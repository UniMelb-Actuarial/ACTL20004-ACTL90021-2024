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Ex3.xml" ContentType="application/vnd.ms-office.chartex+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bavanzi/Dropbox/Mac (3)/Documents/GitHub/ACTL20004-ACTL90021-2024/xlfiles/"/>
    </mc:Choice>
  </mc:AlternateContent>
  <xr:revisionPtr revIDLastSave="0" documentId="13_ncr:1_{925482F9-2239-4F46-9B97-12299C7D85BC}" xr6:coauthVersionLast="47" xr6:coauthVersionMax="47" xr10:uidLastSave="{00000000-0000-0000-0000-000000000000}"/>
  <bookViews>
    <workbookView xWindow="4340" yWindow="760" windowWidth="30220" windowHeight="21580" activeTab="7" xr2:uid="{B7D3D78A-6740-C744-9570-1357A85CE16F}"/>
  </bookViews>
  <sheets>
    <sheet name="Pokemon data" sheetId="2" r:id="rId1"/>
    <sheet name="FIFA WWC" sheetId="3" r:id="rId2"/>
    <sheet name="M6.1 - Assumed Knowledge" sheetId="1" r:id="rId3"/>
    <sheet name="M6.2 - Pivot table" sheetId="6" r:id="rId4"/>
    <sheet name="M6.2 - Pivot chart" sheetId="8" r:id="rId5"/>
    <sheet name="M6.3 - Dynamic arrays" sheetId="9" r:id="rId6"/>
    <sheet name="M6.4 - Dynamic references" sheetId="12" r:id="rId7"/>
    <sheet name="M6.5 - Dependents" sheetId="5" r:id="rId8"/>
    <sheet name="M6.6 Simulations" sheetId="13" r:id="rId9"/>
    <sheet name="M6.6 Macros and VBA" sheetId="15" r:id="rId10"/>
  </sheets>
  <definedNames>
    <definedName name="_xlchart.v1.0" hidden="1">'M6.6 Simulations'!$B$13</definedName>
    <definedName name="_xlchart.v1.1" hidden="1">'M6.6 Simulations'!$B$14:$B$10013</definedName>
    <definedName name="_xlchart.v1.2" hidden="1">'M6.6 Simulations'!$X$4:$X$10003</definedName>
    <definedName name="_xlchart.v1.3" hidden="1">'M6.6 Simulations'!$O$4:$O$10003</definedName>
    <definedName name="age">'FIFA WWC'!$E$4:$E$139</definedName>
    <definedName name="assists">'FIFA WWC'!$L$4:$L$139</definedName>
    <definedName name="assists_per_90">'FIFA WWC'!$S$4:$S$139</definedName>
    <definedName name="Attacking">'Pokemon data'!$A$2:$A$19</definedName>
    <definedName name="Bug">'Pokemon data'!$M$2:$M$19</definedName>
    <definedName name="Dark">'Pokemon data'!$Q$2:$Q$19</definedName>
    <definedName name="Dragon">'Pokemon data'!$P$2:$P$19</definedName>
    <definedName name="Electric">'Pokemon data'!$E$2:$E$19</definedName>
    <definedName name="Fairy">'Pokemon data'!$S$2:$S$19</definedName>
    <definedName name="FiFA">'FIFA WWC'!$A$3:$V$139</definedName>
    <definedName name="Fighting">'Pokemon data'!$H$2:$H$19</definedName>
    <definedName name="Fire">'Pokemon data'!$C$2:$C$19</definedName>
    <definedName name="Flying">'Pokemon data'!$K$2:$K$19</definedName>
    <definedName name="Ghost">'Pokemon data'!$O$2:$O$19</definedName>
    <definedName name="goals">'FIFA WWC'!$K$4:$K$139</definedName>
    <definedName name="goals_minus_penalty_kicks_per_90">'FIFA WWC'!$U$4:$U$139</definedName>
    <definedName name="goals_per_90">'FIFA WWC'!$R$4:$R$139</definedName>
    <definedName name="goals_plus_assists_minus_penalty_kicks_per_90">'FIFA WWC'!$V$4:$V$139</definedName>
    <definedName name="goals_plus_assists_per_90">'FIFA WWC'!$T$4:$T$139</definedName>
    <definedName name="Grass">'Pokemon data'!$F$2:$F$19</definedName>
    <definedName name="Ground">'Pokemon data'!$J$2:$J$19</definedName>
    <definedName name="Ice">'Pokemon data'!$G$2:$G$19</definedName>
    <definedName name="id">'FIFA WWC'!$A$4:$A$139</definedName>
    <definedName name="loss_ratios">'M6.3 - Dynamic arrays'!$B$188:$B$191</definedName>
    <definedName name="lossratios">'M6.3 - Dynamic arrays'!$C$31:$F$35</definedName>
    <definedName name="matches_played">'FIFA WWC'!$G$4:$G$139</definedName>
    <definedName name="min_playing_time">'FIFA WWC'!$I$4:$I$139</definedName>
    <definedName name="minutes_played_90s">'FIFA WWC'!$J$4:$J$139</definedName>
    <definedName name="monthly_profit">'M6.4 - Dynamic references'!$B$4:$C$16</definedName>
    <definedName name="months">'M6.4 - Dynamic references'!$B$5:$B$16</definedName>
    <definedName name="non_penalty_goals">'FIFA WWC'!$M$4:$M$139</definedName>
    <definedName name="Normal">'Pokemon data'!$B$2:$S$2</definedName>
    <definedName name="penalty_kicks_attempted">'FIFA WWC'!$O$4:$O$139</definedName>
    <definedName name="penalty_kicks_made">'FIFA WWC'!$N$4:$N$139</definedName>
    <definedName name="players">'FIFA WWC'!$D$4:$D$139</definedName>
    <definedName name="Poison">'Pokemon data'!$I$2:$I$19</definedName>
    <definedName name="pokemon">'Pokemon data'!$A$1:$S$19</definedName>
    <definedName name="possesion">'FIFA WWC'!$F$4:$F$139</definedName>
    <definedName name="products">'M6.3 - Dynamic arrays'!$E$197:$E$201</definedName>
    <definedName name="Psychic">'Pokemon data'!$L$2:$L$19</definedName>
    <definedName name="red_cards">'FIFA WWC'!$Q$4:$Q$139</definedName>
    <definedName name="Rock">'Pokemon data'!$N$2:$N$19</definedName>
    <definedName name="Slicer_squad">#N/A</definedName>
    <definedName name="squad">'FIFA WWC'!$B$4:$B$139</definedName>
    <definedName name="starts">'FIFA WWC'!$H$4:$H$139</definedName>
    <definedName name="Steel">'Pokemon data'!$R$2:$R$19</definedName>
    <definedName name="tblProduct">'M6.3 - Dynamic arrays'!$E$196:$E$201</definedName>
    <definedName name="Water">'Pokemon data'!$D$2:$D$19</definedName>
    <definedName name="weekly_profit">'M6.4 - Dynamic references'!$B$38:$G$42</definedName>
    <definedName name="year">'FIFA WWC'!$C$4:$C$139</definedName>
    <definedName name="yellow_cards">'FIFA WWC'!$P$4:$P$139</definedName>
  </definedNames>
  <calcPr calcId="191028"/>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12" l="1" a="1"/>
  <c r="F11" i="12" s="1"/>
  <c r="F6" i="12" a="1"/>
  <c r="F6" i="12" s="1"/>
  <c r="H206" i="9"/>
  <c r="N205" i="9"/>
  <c r="T198" i="9"/>
  <c r="N199" i="9"/>
  <c r="N200" i="9"/>
  <c r="N201" i="9"/>
  <c r="N198" i="9"/>
  <c r="H198" i="9" a="1"/>
  <c r="H198" i="9" s="1"/>
  <c r="H188" i="9" a="1"/>
  <c r="H188" i="9" s="1"/>
  <c r="H152" i="9" a="1"/>
  <c r="H152" i="9" s="1"/>
  <c r="A152" i="9"/>
  <c r="I33" i="9" a="1"/>
  <c r="I33" i="9" s="1"/>
  <c r="I34" i="9" a="1"/>
  <c r="I34" i="9" s="1"/>
  <c r="I35" i="9" a="1"/>
  <c r="I35" i="9" s="1"/>
  <c r="I32" i="9" a="1"/>
  <c r="I32" i="9" s="1"/>
  <c r="C7" i="9"/>
  <c r="B7" i="9" a="1"/>
  <c r="B7" i="9" s="1"/>
  <c r="B3" i="9" a="1"/>
  <c r="B3" i="9" s="1"/>
  <c r="G160" i="1" a="1"/>
  <c r="G160" i="1" s="1"/>
  <c r="E160" i="1" a="1"/>
  <c r="E160" i="1" s="1"/>
  <c r="A160" i="1" a="1"/>
  <c r="A160" i="1" s="1"/>
  <c r="I18" i="1"/>
  <c r="G18" i="1"/>
  <c r="E18" i="1" a="1"/>
  <c r="E18" i="1" s="1"/>
  <c r="C18" i="1" a="1"/>
  <c r="C18" i="1" s="1"/>
  <c r="A18" i="1" a="1"/>
  <c r="A18" i="1" s="1"/>
  <c r="N9" i="1"/>
  <c r="J9" i="1"/>
  <c r="F9" i="1"/>
  <c r="B9" i="1"/>
  <c r="V4" i="15" a="1"/>
  <c r="V4" i="15" s="1"/>
  <c r="M4" i="15" a="1"/>
  <c r="M4" i="15" s="1"/>
  <c r="B15" i="15" a="1"/>
  <c r="B15" i="15" s="1"/>
  <c r="B4" i="15" a="1"/>
  <c r="B4" i="15" s="1"/>
  <c r="I29" i="12"/>
  <c r="P38" i="12" a="1"/>
  <c r="P38" i="12" s="1"/>
  <c r="AG8" i="13" a="1"/>
  <c r="AG8" i="13" s="1"/>
  <c r="AH8" i="13" s="1" a="1"/>
  <c r="AH8" i="13" s="1"/>
  <c r="AA24" i="13"/>
  <c r="Z24" i="13"/>
  <c r="E34" i="13"/>
  <c r="X4" i="13" a="1"/>
  <c r="X4" i="13" s="1"/>
  <c r="O4" i="13" a="1"/>
  <c r="O4" i="13" s="1"/>
  <c r="B14" i="13" a="1"/>
  <c r="B14" i="13" s="1"/>
  <c r="I5" i="13" a="1"/>
  <c r="I5" i="13" s="1"/>
  <c r="D5" i="13" a="1"/>
  <c r="D5" i="13" s="1"/>
  <c r="B5" i="13"/>
  <c r="P39" i="12" a="1"/>
  <c r="P39" i="12" s="1"/>
  <c r="R210" i="9" a="1"/>
  <c r="R210" i="9"/>
  <c r="N210" i="9"/>
  <c r="N209" i="9"/>
  <c r="H207" i="9"/>
  <c r="B187" i="9" a="1"/>
  <c r="B187" i="9"/>
  <c r="F176" i="9" a="1"/>
  <c r="F176" i="9" s="1"/>
  <c r="A176" i="9" a="1"/>
  <c r="A176" i="9" s="1"/>
  <c r="A12" i="9" a="1"/>
  <c r="A12" i="9" s="1"/>
  <c r="H37" i="9"/>
  <c r="I37" i="9" s="1" a="1"/>
  <c r="I37" i="9" s="1"/>
  <c r="H32" i="9" a="1"/>
  <c r="H32" i="9" s="1"/>
  <c r="M32" i="9" s="1" a="1"/>
  <c r="M32" i="9" s="1"/>
  <c r="K12" i="9" a="1"/>
  <c r="K12" i="9" s="1"/>
  <c r="H12" i="9" a="1"/>
  <c r="H12" i="9" s="1"/>
  <c r="E153" i="9" s="1"/>
  <c r="C15" i="9" a="1"/>
  <c r="C15" i="9" s="1"/>
  <c r="C16" i="9" a="1"/>
  <c r="C16" i="9" s="1"/>
  <c r="C17" i="9" a="1"/>
  <c r="C17" i="9" s="1"/>
  <c r="C18" i="9" a="1"/>
  <c r="C18" i="9" s="1"/>
  <c r="C19" i="9" a="1"/>
  <c r="C19" i="9" s="1"/>
  <c r="C20" i="9" a="1"/>
  <c r="C20" i="9" s="1"/>
  <c r="C14" i="9" a="1"/>
  <c r="C14" i="9" s="1"/>
  <c r="F198" i="5"/>
  <c r="E40" i="5"/>
  <c r="E46" i="5"/>
  <c r="C196" i="5"/>
  <c r="C194" i="5"/>
  <c r="C190" i="5"/>
  <c r="C188" i="5"/>
  <c r="C184" i="5"/>
  <c r="C182" i="5"/>
  <c r="C181" i="5"/>
  <c r="C179" i="5"/>
  <c r="A151" i="5"/>
  <c r="A144" i="5"/>
  <c r="A142" i="5"/>
  <c r="A141" i="5"/>
  <c r="A137" i="5"/>
  <c r="A136" i="5"/>
  <c r="F133" i="5"/>
  <c r="G133" i="5" s="1"/>
  <c r="H133" i="5" s="1"/>
  <c r="I133" i="5" s="1"/>
  <c r="J133" i="5" s="1"/>
  <c r="K133" i="5" s="1"/>
  <c r="L133" i="5" s="1"/>
  <c r="M133" i="5" s="1"/>
  <c r="N133" i="5" s="1"/>
  <c r="O133" i="5" s="1"/>
  <c r="P133" i="5" s="1"/>
  <c r="Q133" i="5" s="1"/>
  <c r="R133" i="5" s="1"/>
  <c r="E133" i="5"/>
  <c r="D133" i="5"/>
  <c r="C133" i="5"/>
  <c r="A124" i="5"/>
  <c r="A196" i="5" s="1"/>
  <c r="A123" i="5"/>
  <c r="A195" i="5" s="1"/>
  <c r="A122" i="5"/>
  <c r="A121" i="5"/>
  <c r="A193" i="5" s="1"/>
  <c r="A120" i="5"/>
  <c r="A119" i="5"/>
  <c r="A191" i="5" s="1"/>
  <c r="A118" i="5"/>
  <c r="A117" i="5"/>
  <c r="A116" i="5"/>
  <c r="A188" i="5" s="1"/>
  <c r="A115" i="5"/>
  <c r="A114" i="5"/>
  <c r="A186" i="5" s="1"/>
  <c r="A113" i="5"/>
  <c r="A185" i="5" s="1"/>
  <c r="A112" i="5"/>
  <c r="A111" i="5"/>
  <c r="A183" i="5" s="1"/>
  <c r="A110" i="5"/>
  <c r="A182" i="5" s="1"/>
  <c r="A109" i="5"/>
  <c r="A181" i="5" s="1"/>
  <c r="A108" i="5"/>
  <c r="A180" i="5" s="1"/>
  <c r="A107" i="5"/>
  <c r="A179" i="5" s="1"/>
  <c r="F104" i="5"/>
  <c r="G104" i="5" s="1"/>
  <c r="H104" i="5" s="1"/>
  <c r="I104" i="5" s="1"/>
  <c r="J104" i="5" s="1"/>
  <c r="K104" i="5" s="1"/>
  <c r="L104" i="5" s="1"/>
  <c r="M104" i="5" s="1"/>
  <c r="N104" i="5" s="1"/>
  <c r="O104" i="5" s="1"/>
  <c r="P104" i="5" s="1"/>
  <c r="Q104" i="5" s="1"/>
  <c r="R104" i="5" s="1"/>
  <c r="S104" i="5" s="1"/>
  <c r="E104" i="5"/>
  <c r="D104" i="5"/>
  <c r="C104" i="5"/>
  <c r="C100" i="5"/>
  <c r="D99" i="5"/>
  <c r="C99" i="5"/>
  <c r="E98" i="5"/>
  <c r="D98" i="5"/>
  <c r="C98" i="5"/>
  <c r="F97" i="5"/>
  <c r="E97" i="5"/>
  <c r="D97" i="5"/>
  <c r="C97" i="5"/>
  <c r="G96" i="5"/>
  <c r="F96" i="5"/>
  <c r="E96" i="5"/>
  <c r="D96" i="5"/>
  <c r="C96" i="5"/>
  <c r="H95" i="5"/>
  <c r="G95" i="5"/>
  <c r="F95" i="5"/>
  <c r="E95" i="5"/>
  <c r="D95" i="5"/>
  <c r="C95" i="5"/>
  <c r="I94" i="5"/>
  <c r="H94" i="5"/>
  <c r="G94" i="5"/>
  <c r="F94" i="5"/>
  <c r="E94" i="5"/>
  <c r="D94" i="5"/>
  <c r="C94" i="5"/>
  <c r="J93" i="5"/>
  <c r="I93" i="5"/>
  <c r="H93" i="5"/>
  <c r="G93" i="5"/>
  <c r="F93" i="5"/>
  <c r="E93" i="5"/>
  <c r="D93" i="5"/>
  <c r="C93" i="5"/>
  <c r="K92" i="5"/>
  <c r="J92" i="5"/>
  <c r="I92" i="5"/>
  <c r="H92" i="5"/>
  <c r="G92" i="5"/>
  <c r="F92" i="5"/>
  <c r="E92" i="5"/>
  <c r="D92" i="5"/>
  <c r="C92" i="5"/>
  <c r="L91" i="5"/>
  <c r="K91" i="5"/>
  <c r="J91" i="5"/>
  <c r="I91" i="5"/>
  <c r="H91" i="5"/>
  <c r="G91" i="5"/>
  <c r="F91" i="5"/>
  <c r="E91" i="5"/>
  <c r="D91" i="5"/>
  <c r="C91" i="5"/>
  <c r="M90" i="5"/>
  <c r="L90" i="5"/>
  <c r="K90" i="5"/>
  <c r="J90" i="5"/>
  <c r="I90" i="5"/>
  <c r="H90" i="5"/>
  <c r="G90" i="5"/>
  <c r="F90" i="5"/>
  <c r="E90" i="5"/>
  <c r="D90" i="5"/>
  <c r="C90" i="5"/>
  <c r="M89" i="5"/>
  <c r="N89" i="5" s="1"/>
  <c r="L89" i="5"/>
  <c r="K89" i="5"/>
  <c r="J89" i="5"/>
  <c r="I89" i="5"/>
  <c r="H89" i="5"/>
  <c r="G89" i="5"/>
  <c r="F89" i="5"/>
  <c r="E89" i="5"/>
  <c r="D89" i="5"/>
  <c r="C89" i="5"/>
  <c r="M88" i="5"/>
  <c r="N88" i="5" s="1"/>
  <c r="O88" i="5" s="1"/>
  <c r="L88" i="5"/>
  <c r="K88" i="5"/>
  <c r="J88" i="5"/>
  <c r="I88" i="5"/>
  <c r="H88" i="5"/>
  <c r="G88" i="5"/>
  <c r="F88" i="5"/>
  <c r="E88" i="5"/>
  <c r="D88" i="5"/>
  <c r="C88" i="5"/>
  <c r="O87" i="5"/>
  <c r="P87" i="5" s="1"/>
  <c r="N87" i="5"/>
  <c r="M87" i="5"/>
  <c r="L87" i="5"/>
  <c r="K87" i="5"/>
  <c r="J87" i="5"/>
  <c r="I87" i="5"/>
  <c r="H87" i="5"/>
  <c r="G87" i="5"/>
  <c r="F87" i="5"/>
  <c r="E87" i="5"/>
  <c r="D87" i="5"/>
  <c r="C87" i="5"/>
  <c r="Q86" i="5"/>
  <c r="N86" i="5"/>
  <c r="O86" i="5" s="1"/>
  <c r="P86" i="5" s="1"/>
  <c r="M86" i="5"/>
  <c r="L86" i="5"/>
  <c r="K86" i="5"/>
  <c r="J86" i="5"/>
  <c r="I86" i="5"/>
  <c r="H86" i="5"/>
  <c r="G86" i="5"/>
  <c r="F86" i="5"/>
  <c r="E86" i="5"/>
  <c r="D86" i="5"/>
  <c r="C86" i="5"/>
  <c r="P85" i="5"/>
  <c r="Q85" i="5" s="1"/>
  <c r="R85" i="5" s="1"/>
  <c r="O85" i="5"/>
  <c r="N85" i="5"/>
  <c r="M85" i="5"/>
  <c r="L85" i="5"/>
  <c r="K85" i="5"/>
  <c r="J85" i="5"/>
  <c r="I85" i="5"/>
  <c r="H85" i="5"/>
  <c r="G85" i="5"/>
  <c r="F85" i="5"/>
  <c r="E85" i="5"/>
  <c r="D85" i="5"/>
  <c r="C85" i="5"/>
  <c r="O84" i="5"/>
  <c r="P84" i="5" s="1"/>
  <c r="Q84" i="5" s="1"/>
  <c r="R84" i="5" s="1"/>
  <c r="S84" i="5" s="1"/>
  <c r="N84" i="5"/>
  <c r="M84" i="5"/>
  <c r="L84" i="5"/>
  <c r="K84" i="5"/>
  <c r="J84" i="5"/>
  <c r="I84" i="5"/>
  <c r="H84" i="5"/>
  <c r="G84" i="5"/>
  <c r="F84" i="5"/>
  <c r="E84" i="5"/>
  <c r="D84" i="5"/>
  <c r="C84" i="5"/>
  <c r="B84" i="5"/>
  <c r="P74" i="5"/>
  <c r="O74" i="5"/>
  <c r="N74" i="5"/>
  <c r="P73" i="5"/>
  <c r="C195" i="5" s="1"/>
  <c r="N73" i="5"/>
  <c r="P72" i="5"/>
  <c r="N72" i="5"/>
  <c r="O72" i="5" s="1"/>
  <c r="P71" i="5"/>
  <c r="O71" i="5" s="1"/>
  <c r="N71" i="5"/>
  <c r="P70" i="5"/>
  <c r="C192" i="5" s="1"/>
  <c r="N70" i="5"/>
  <c r="O70" i="5" s="1"/>
  <c r="P69" i="5"/>
  <c r="O69" i="5" s="1"/>
  <c r="N69" i="5"/>
  <c r="P68" i="5"/>
  <c r="N68" i="5"/>
  <c r="O68" i="5" s="1"/>
  <c r="P67" i="5"/>
  <c r="C189" i="5" s="1"/>
  <c r="N67" i="5"/>
  <c r="P66" i="5"/>
  <c r="N66" i="5"/>
  <c r="O66" i="5" s="1"/>
  <c r="P65" i="5"/>
  <c r="C187" i="5" s="1"/>
  <c r="N65" i="5"/>
  <c r="P64" i="5"/>
  <c r="C186" i="5" s="1"/>
  <c r="N64" i="5"/>
  <c r="O64" i="5" s="1"/>
  <c r="P63" i="5"/>
  <c r="C185" i="5" s="1"/>
  <c r="N63" i="5"/>
  <c r="P62" i="5"/>
  <c r="O62" i="5"/>
  <c r="N62" i="5"/>
  <c r="P61" i="5"/>
  <c r="C183" i="5" s="1"/>
  <c r="N61" i="5"/>
  <c r="P60" i="5"/>
  <c r="N60" i="5"/>
  <c r="O60" i="5" s="1"/>
  <c r="P59" i="5"/>
  <c r="O59" i="5" s="1"/>
  <c r="N59" i="5"/>
  <c r="P58" i="5"/>
  <c r="C180" i="5" s="1"/>
  <c r="N58" i="5"/>
  <c r="O58" i="5" s="1"/>
  <c r="P57" i="5"/>
  <c r="O57" i="5" s="1"/>
  <c r="N57" i="5"/>
  <c r="C33" i="5"/>
  <c r="B109" i="5" s="1"/>
  <c r="B32" i="5"/>
  <c r="B33" i="5" s="1"/>
  <c r="D31" i="5"/>
  <c r="C107" i="5" s="1"/>
  <c r="C31" i="5"/>
  <c r="B107" i="5" s="1"/>
  <c r="A31" i="5"/>
  <c r="D28" i="5"/>
  <c r="E28" i="5" s="1"/>
  <c r="F28" i="5" s="1"/>
  <c r="G28" i="5" s="1"/>
  <c r="H28" i="5" s="1"/>
  <c r="I28" i="5" s="1"/>
  <c r="J28" i="5" s="1"/>
  <c r="K28" i="5" s="1"/>
  <c r="L28" i="5" s="1"/>
  <c r="M28" i="5" s="1"/>
  <c r="N28" i="5" s="1"/>
  <c r="O28" i="5" s="1"/>
  <c r="P28" i="5" s="1"/>
  <c r="Q28" i="5" s="1"/>
  <c r="R28" i="5" s="1"/>
  <c r="S28" i="5" s="1"/>
  <c r="T28" i="5" s="1"/>
  <c r="A9" i="5"/>
  <c r="A32" i="5" s="1"/>
  <c r="D5" i="5"/>
  <c r="E5" i="5" s="1"/>
  <c r="F5" i="5" s="1"/>
  <c r="G5" i="5" s="1"/>
  <c r="H5" i="5" s="1"/>
  <c r="I5" i="5" s="1"/>
  <c r="J5" i="5" s="1"/>
  <c r="K5" i="5" s="1"/>
  <c r="L5" i="5" s="1"/>
  <c r="M5" i="5" s="1"/>
  <c r="N5" i="5" s="1"/>
  <c r="O5" i="5" s="1"/>
  <c r="P5" i="5" s="1"/>
  <c r="Q5" i="5" s="1"/>
  <c r="R5" i="5" s="1"/>
  <c r="S5" i="5" s="1"/>
  <c r="T5" i="5" s="1"/>
  <c r="I64" i="12" a="1"/>
  <c r="F44" i="12"/>
  <c r="I33" i="12" a="1"/>
  <c r="B152" i="9"/>
  <c r="I67" i="12" a="1"/>
  <c r="P44" i="12"/>
  <c r="O209" i="9"/>
  <c r="J64" i="12"/>
  <c r="H187" i="9"/>
  <c r="F152" i="9"/>
  <c r="O210" i="9"/>
  <c r="I39" i="12" a="1"/>
  <c r="T197" i="9"/>
  <c r="F45" i="12"/>
  <c r="AG7" i="13"/>
  <c r="B13" i="13"/>
  <c r="B4" i="13"/>
  <c r="I31" i="9"/>
  <c r="L12" i="9"/>
  <c r="M31" i="9"/>
  <c r="I206" i="9"/>
  <c r="N197" i="9"/>
  <c r="J37" i="9"/>
  <c r="P45" i="12"/>
  <c r="I4" i="13"/>
  <c r="N204" i="9"/>
  <c r="H6" i="12"/>
  <c r="H11" i="12"/>
  <c r="B12" i="9"/>
  <c r="O3" i="13"/>
  <c r="I38" i="12" a="1"/>
  <c r="J29" i="12"/>
  <c r="L152" i="9"/>
  <c r="J33" i="12"/>
  <c r="I12" i="9"/>
  <c r="X3" i="13"/>
  <c r="G176" i="9"/>
  <c r="H197" i="9"/>
  <c r="I207" i="9"/>
  <c r="L67" i="12"/>
  <c r="AG6" i="13"/>
  <c r="D152" i="9"/>
  <c r="L153" i="9"/>
  <c r="I152" i="9"/>
  <c r="M189" i="9"/>
  <c r="F153" i="9"/>
  <c r="D4" i="13"/>
  <c r="B176" i="9"/>
  <c r="R209" i="9"/>
  <c r="D14" i="9" a="1"/>
  <c r="I64" i="12" l="1"/>
  <c r="I33" i="12"/>
  <c r="I67" i="12"/>
  <c r="I38" i="12"/>
  <c r="I39" i="12"/>
  <c r="M190" i="9" a="1"/>
  <c r="M190" i="9" s="1"/>
  <c r="Z20" i="13"/>
  <c r="AA20" i="13"/>
  <c r="D31" i="13"/>
  <c r="E31" i="13"/>
  <c r="Q20" i="13"/>
  <c r="R20" i="13"/>
  <c r="T199" i="9"/>
  <c r="T200" i="9"/>
  <c r="T201" i="9"/>
  <c r="M35" i="9" a="1"/>
  <c r="M35" i="9" s="1"/>
  <c r="M34" i="9" a="1"/>
  <c r="M34" i="9" s="1"/>
  <c r="M33" i="9" a="1"/>
  <c r="M33" i="9" s="1"/>
  <c r="C152" i="9" a="1"/>
  <c r="C152" i="9" s="1"/>
  <c r="E152" i="9"/>
  <c r="K153" i="9"/>
  <c r="K152" i="9"/>
  <c r="D14" i="9"/>
  <c r="B34" i="5"/>
  <c r="E31" i="5"/>
  <c r="D107" i="5" s="1"/>
  <c r="A10" i="5"/>
  <c r="B135" i="5"/>
  <c r="D32" i="5"/>
  <c r="C108" i="5" s="1"/>
  <c r="A190" i="5"/>
  <c r="A146" i="5"/>
  <c r="A194" i="5"/>
  <c r="A150" i="5"/>
  <c r="A143" i="5"/>
  <c r="A187" i="5"/>
  <c r="C32" i="5"/>
  <c r="B108" i="5" s="1"/>
  <c r="A189" i="5"/>
  <c r="A145" i="5"/>
  <c r="A192" i="5"/>
  <c r="A148" i="5"/>
  <c r="A138" i="5"/>
  <c r="A135" i="5"/>
  <c r="A149" i="5"/>
  <c r="C191" i="5"/>
  <c r="C193" i="5"/>
  <c r="O61" i="5"/>
  <c r="O63" i="5"/>
  <c r="O65" i="5"/>
  <c r="O76" i="5" s="1"/>
  <c r="O67" i="5"/>
  <c r="O73" i="5"/>
  <c r="A147" i="5"/>
  <c r="A140" i="5"/>
  <c r="A184" i="5"/>
  <c r="A139" i="5"/>
  <c r="AK10" i="13" l="1"/>
  <c r="AL10" i="13" s="1"/>
  <c r="AK11" i="13"/>
  <c r="AL11" i="13" s="1"/>
  <c r="AK12" i="13"/>
  <c r="AL12" i="13" s="1"/>
  <c r="A33" i="5"/>
  <c r="A11" i="5"/>
  <c r="C135" i="5"/>
  <c r="B136" i="5"/>
  <c r="B35" i="5"/>
  <c r="F31" i="5"/>
  <c r="E107" i="5" s="1"/>
  <c r="C34" i="5"/>
  <c r="B110" i="5" s="1"/>
  <c r="E32" i="5"/>
  <c r="D108" i="5" s="1"/>
  <c r="C136" i="5" s="1"/>
  <c r="D33" i="5"/>
  <c r="C109" i="5" s="1"/>
  <c r="B137" i="5" l="1"/>
  <c r="A34" i="5"/>
  <c r="A12" i="5"/>
  <c r="D135" i="5"/>
  <c r="B36" i="5"/>
  <c r="E33" i="5"/>
  <c r="D109" i="5" s="1"/>
  <c r="F32" i="5"/>
  <c r="E108" i="5" s="1"/>
  <c r="D136" i="5" s="1"/>
  <c r="G31" i="5"/>
  <c r="F107" i="5" s="1"/>
  <c r="C35" i="5"/>
  <c r="B111" i="5" s="1"/>
  <c r="D34" i="5"/>
  <c r="C110" i="5" s="1"/>
  <c r="B138" i="5" s="1"/>
  <c r="A35" i="5" l="1"/>
  <c r="A13" i="5"/>
  <c r="E135" i="5"/>
  <c r="C137" i="5"/>
  <c r="C36" i="5"/>
  <c r="B112" i="5" s="1"/>
  <c r="F33" i="5"/>
  <c r="E109" i="5" s="1"/>
  <c r="G32" i="5"/>
  <c r="F108" i="5" s="1"/>
  <c r="E136" i="5" s="1"/>
  <c r="E34" i="5"/>
  <c r="D110" i="5" s="1"/>
  <c r="C138" i="5" s="1"/>
  <c r="H31" i="5"/>
  <c r="G107" i="5" s="1"/>
  <c r="B37" i="5"/>
  <c r="D35" i="5"/>
  <c r="C111" i="5" s="1"/>
  <c r="B139" i="5" s="1"/>
  <c r="D137" i="5" l="1"/>
  <c r="A36" i="5"/>
  <c r="A14" i="5"/>
  <c r="F135" i="5"/>
  <c r="B38" i="5"/>
  <c r="D36" i="5"/>
  <c r="C112" i="5" s="1"/>
  <c r="F34" i="5"/>
  <c r="E110" i="5" s="1"/>
  <c r="D138" i="5" s="1"/>
  <c r="I31" i="5"/>
  <c r="H107" i="5" s="1"/>
  <c r="E35" i="5"/>
  <c r="D111" i="5" s="1"/>
  <c r="C139" i="5" s="1"/>
  <c r="G33" i="5"/>
  <c r="F109" i="5" s="1"/>
  <c r="E137" i="5" s="1"/>
  <c r="H32" i="5"/>
  <c r="G108" i="5" s="1"/>
  <c r="F136" i="5" s="1"/>
  <c r="C37" i="5"/>
  <c r="B113" i="5" s="1"/>
  <c r="G135" i="5" l="1"/>
  <c r="A37" i="5"/>
  <c r="A15" i="5"/>
  <c r="B140" i="5"/>
  <c r="G34" i="5"/>
  <c r="F110" i="5" s="1"/>
  <c r="E138" i="5" s="1"/>
  <c r="F35" i="5"/>
  <c r="E111" i="5" s="1"/>
  <c r="D139" i="5" s="1"/>
  <c r="C38" i="5"/>
  <c r="B114" i="5" s="1"/>
  <c r="E36" i="5"/>
  <c r="D112" i="5" s="1"/>
  <c r="C140" i="5" s="1"/>
  <c r="B39" i="5"/>
  <c r="I32" i="5"/>
  <c r="H108" i="5" s="1"/>
  <c r="G136" i="5" s="1"/>
  <c r="H33" i="5"/>
  <c r="G109" i="5" s="1"/>
  <c r="J31" i="5"/>
  <c r="I107" i="5" s="1"/>
  <c r="D37" i="5"/>
  <c r="C113" i="5" s="1"/>
  <c r="B141" i="5" s="1"/>
  <c r="C39" i="5" l="1"/>
  <c r="B115" i="5" s="1"/>
  <c r="D38" i="5"/>
  <c r="C114" i="5" s="1"/>
  <c r="B142" i="5" s="1"/>
  <c r="B40" i="5"/>
  <c r="G35" i="5"/>
  <c r="F111" i="5" s="1"/>
  <c r="E37" i="5"/>
  <c r="D113" i="5" s="1"/>
  <c r="C141" i="5" s="1"/>
  <c r="I33" i="5"/>
  <c r="H109" i="5" s="1"/>
  <c r="G137" i="5" s="1"/>
  <c r="J32" i="5"/>
  <c r="I108" i="5" s="1"/>
  <c r="H136" i="5" s="1"/>
  <c r="H34" i="5"/>
  <c r="G110" i="5" s="1"/>
  <c r="F138" i="5" s="1"/>
  <c r="F36" i="5"/>
  <c r="E112" i="5" s="1"/>
  <c r="K31" i="5"/>
  <c r="J107" i="5" s="1"/>
  <c r="H135" i="5"/>
  <c r="A38" i="5"/>
  <c r="A16" i="5"/>
  <c r="F137" i="5"/>
  <c r="I135" i="5" l="1"/>
  <c r="E139" i="5"/>
  <c r="D140" i="5"/>
  <c r="D39" i="5"/>
  <c r="C115" i="5" s="1"/>
  <c r="B143" i="5" s="1"/>
  <c r="E38" i="5"/>
  <c r="D114" i="5" s="1"/>
  <c r="C142" i="5" s="1"/>
  <c r="C40" i="5"/>
  <c r="B116" i="5" s="1"/>
  <c r="B41" i="5"/>
  <c r="H35" i="5"/>
  <c r="G111" i="5" s="1"/>
  <c r="F37" i="5"/>
  <c r="E113" i="5" s="1"/>
  <c r="D141" i="5" s="1"/>
  <c r="J33" i="5"/>
  <c r="I109" i="5" s="1"/>
  <c r="K32" i="5"/>
  <c r="J108" i="5" s="1"/>
  <c r="I136" i="5" s="1"/>
  <c r="I34" i="5"/>
  <c r="H110" i="5" s="1"/>
  <c r="G138" i="5" s="1"/>
  <c r="L31" i="5"/>
  <c r="K107" i="5" s="1"/>
  <c r="G36" i="5"/>
  <c r="F112" i="5" s="1"/>
  <c r="E140" i="5" s="1"/>
  <c r="A39" i="5"/>
  <c r="A17" i="5"/>
  <c r="J135" i="5" l="1"/>
  <c r="F139" i="5"/>
  <c r="D40" i="5"/>
  <c r="C116" i="5" s="1"/>
  <c r="B144" i="5" s="1"/>
  <c r="G37" i="5"/>
  <c r="F113" i="5" s="1"/>
  <c r="B42" i="5"/>
  <c r="E39" i="5"/>
  <c r="D115" i="5" s="1"/>
  <c r="C143" i="5" s="1"/>
  <c r="H36" i="5"/>
  <c r="G112" i="5" s="1"/>
  <c r="F140" i="5" s="1"/>
  <c r="K33" i="5"/>
  <c r="J109" i="5" s="1"/>
  <c r="I137" i="5" s="1"/>
  <c r="L32" i="5"/>
  <c r="K108" i="5" s="1"/>
  <c r="J136" i="5" s="1"/>
  <c r="C41" i="5"/>
  <c r="B117" i="5" s="1"/>
  <c r="I35" i="5"/>
  <c r="H111" i="5" s="1"/>
  <c r="G139" i="5" s="1"/>
  <c r="J34" i="5"/>
  <c r="I110" i="5" s="1"/>
  <c r="H138" i="5" s="1"/>
  <c r="M31" i="5"/>
  <c r="L107" i="5" s="1"/>
  <c r="F38" i="5"/>
  <c r="E114" i="5" s="1"/>
  <c r="A40" i="5"/>
  <c r="A18" i="5"/>
  <c r="H137" i="5"/>
  <c r="D142" i="5" l="1"/>
  <c r="A41" i="5"/>
  <c r="A19" i="5"/>
  <c r="E141" i="5"/>
  <c r="K135" i="5"/>
  <c r="D41" i="5"/>
  <c r="C117" i="5" s="1"/>
  <c r="B145" i="5" s="1"/>
  <c r="D116" i="5"/>
  <c r="C144" i="5" s="1"/>
  <c r="H37" i="5"/>
  <c r="G113" i="5" s="1"/>
  <c r="F39" i="5"/>
  <c r="E115" i="5" s="1"/>
  <c r="D143" i="5" s="1"/>
  <c r="I36" i="5"/>
  <c r="H112" i="5" s="1"/>
  <c r="G140" i="5" s="1"/>
  <c r="L33" i="5"/>
  <c r="K109" i="5" s="1"/>
  <c r="J137" i="5" s="1"/>
  <c r="M32" i="5"/>
  <c r="L108" i="5" s="1"/>
  <c r="K136" i="5" s="1"/>
  <c r="K34" i="5"/>
  <c r="J110" i="5" s="1"/>
  <c r="I138" i="5" s="1"/>
  <c r="N31" i="5"/>
  <c r="M107" i="5" s="1"/>
  <c r="B43" i="5"/>
  <c r="C42" i="5"/>
  <c r="B118" i="5" s="1"/>
  <c r="G38" i="5"/>
  <c r="F114" i="5" s="1"/>
  <c r="E142" i="5" s="1"/>
  <c r="J35" i="5"/>
  <c r="I111" i="5" s="1"/>
  <c r="H139" i="5" l="1"/>
  <c r="A42" i="5"/>
  <c r="A20" i="5"/>
  <c r="B44" i="5"/>
  <c r="E41" i="5"/>
  <c r="D117" i="5" s="1"/>
  <c r="C43" i="5"/>
  <c r="B119" i="5" s="1"/>
  <c r="G39" i="5"/>
  <c r="F115" i="5" s="1"/>
  <c r="J36" i="5"/>
  <c r="I112" i="5" s="1"/>
  <c r="L34" i="5"/>
  <c r="K110" i="5" s="1"/>
  <c r="H38" i="5"/>
  <c r="G114" i="5" s="1"/>
  <c r="O31" i="5"/>
  <c r="N107" i="5" s="1"/>
  <c r="D42" i="5"/>
  <c r="C118" i="5" s="1"/>
  <c r="I37" i="5"/>
  <c r="H113" i="5" s="1"/>
  <c r="F40" i="5"/>
  <c r="E116" i="5" s="1"/>
  <c r="N32" i="5"/>
  <c r="M108" i="5" s="1"/>
  <c r="K35" i="5"/>
  <c r="J111" i="5" s="1"/>
  <c r="M33" i="5"/>
  <c r="L109" i="5" s="1"/>
  <c r="L135" i="5"/>
  <c r="F141" i="5"/>
  <c r="F142" i="5" l="1"/>
  <c r="D144" i="5"/>
  <c r="L136" i="5"/>
  <c r="I139" i="5"/>
  <c r="D43" i="5"/>
  <c r="C119" i="5" s="1"/>
  <c r="B147" i="5" s="1"/>
  <c r="C44" i="5"/>
  <c r="B120" i="5" s="1"/>
  <c r="M34" i="5"/>
  <c r="L110" i="5" s="1"/>
  <c r="I38" i="5"/>
  <c r="H114" i="5" s="1"/>
  <c r="G142" i="5" s="1"/>
  <c r="B45" i="5"/>
  <c r="L35" i="5"/>
  <c r="K111" i="5" s="1"/>
  <c r="J139" i="5" s="1"/>
  <c r="H39" i="5"/>
  <c r="G115" i="5" s="1"/>
  <c r="P31" i="5"/>
  <c r="O107" i="5" s="1"/>
  <c r="E42" i="5"/>
  <c r="D118" i="5" s="1"/>
  <c r="C146" i="5" s="1"/>
  <c r="G40" i="5"/>
  <c r="F116" i="5" s="1"/>
  <c r="E144" i="5" s="1"/>
  <c r="J37" i="5"/>
  <c r="I113" i="5" s="1"/>
  <c r="H141" i="5" s="1"/>
  <c r="K36" i="5"/>
  <c r="J112" i="5" s="1"/>
  <c r="I140" i="5" s="1"/>
  <c r="N33" i="5"/>
  <c r="M109" i="5" s="1"/>
  <c r="L137" i="5" s="1"/>
  <c r="F41" i="5"/>
  <c r="E117" i="5" s="1"/>
  <c r="D145" i="5" s="1"/>
  <c r="O32" i="5"/>
  <c r="N108" i="5" s="1"/>
  <c r="M136" i="5" s="1"/>
  <c r="J138" i="5"/>
  <c r="H140" i="5"/>
  <c r="A43" i="5"/>
  <c r="A21" i="5"/>
  <c r="G141" i="5"/>
  <c r="E143" i="5"/>
  <c r="B146" i="5"/>
  <c r="K137" i="5"/>
  <c r="M135" i="5"/>
  <c r="C145" i="5"/>
  <c r="N135" i="5" l="1"/>
  <c r="F143" i="5"/>
  <c r="A44" i="5"/>
  <c r="A22" i="5"/>
  <c r="F42" i="5"/>
  <c r="E118" i="5" s="1"/>
  <c r="D146" i="5" s="1"/>
  <c r="I39" i="5"/>
  <c r="H115" i="5" s="1"/>
  <c r="J38" i="5"/>
  <c r="I114" i="5" s="1"/>
  <c r="C45" i="5"/>
  <c r="B121" i="5" s="1"/>
  <c r="M35" i="5"/>
  <c r="L111" i="5" s="1"/>
  <c r="N34" i="5"/>
  <c r="M110" i="5" s="1"/>
  <c r="H40" i="5"/>
  <c r="G116" i="5" s="1"/>
  <c r="F144" i="5" s="1"/>
  <c r="K37" i="5"/>
  <c r="J113" i="5" s="1"/>
  <c r="I141" i="5" s="1"/>
  <c r="L36" i="5"/>
  <c r="K112" i="5" s="1"/>
  <c r="D44" i="5"/>
  <c r="C120" i="5" s="1"/>
  <c r="B148" i="5" s="1"/>
  <c r="O33" i="5"/>
  <c r="N109" i="5" s="1"/>
  <c r="P32" i="5"/>
  <c r="O108" i="5" s="1"/>
  <c r="N136" i="5" s="1"/>
  <c r="B46" i="5"/>
  <c r="E43" i="5"/>
  <c r="D119" i="5" s="1"/>
  <c r="G41" i="5"/>
  <c r="F117" i="5" s="1"/>
  <c r="E145" i="5" s="1"/>
  <c r="Q31" i="5"/>
  <c r="P107" i="5" s="1"/>
  <c r="K138" i="5"/>
  <c r="O135" i="5" l="1"/>
  <c r="J140" i="5"/>
  <c r="H142" i="5"/>
  <c r="C147" i="5"/>
  <c r="G143" i="5"/>
  <c r="B47" i="5"/>
  <c r="G42" i="5"/>
  <c r="F118" i="5" s="1"/>
  <c r="J39" i="5"/>
  <c r="I115" i="5" s="1"/>
  <c r="K38" i="5"/>
  <c r="J114" i="5" s="1"/>
  <c r="I40" i="5"/>
  <c r="H116" i="5" s="1"/>
  <c r="L37" i="5"/>
  <c r="K113" i="5" s="1"/>
  <c r="D45" i="5"/>
  <c r="C121" i="5" s="1"/>
  <c r="N35" i="5"/>
  <c r="M111" i="5" s="1"/>
  <c r="H41" i="5"/>
  <c r="G117" i="5" s="1"/>
  <c r="M36" i="5"/>
  <c r="L112" i="5" s="1"/>
  <c r="E44" i="5"/>
  <c r="D120" i="5" s="1"/>
  <c r="P33" i="5"/>
  <c r="O109" i="5" s="1"/>
  <c r="Q32" i="5"/>
  <c r="P108" i="5" s="1"/>
  <c r="F43" i="5"/>
  <c r="E119" i="5" s="1"/>
  <c r="O34" i="5"/>
  <c r="N110" i="5" s="1"/>
  <c r="R31" i="5"/>
  <c r="Q107" i="5" s="1"/>
  <c r="C46" i="5"/>
  <c r="B122" i="5" s="1"/>
  <c r="L138" i="5"/>
  <c r="A45" i="5"/>
  <c r="A23" i="5"/>
  <c r="M137" i="5"/>
  <c r="K139" i="5"/>
  <c r="N137" i="5" l="1"/>
  <c r="G144" i="5"/>
  <c r="K140" i="5"/>
  <c r="M138" i="5"/>
  <c r="H143" i="5"/>
  <c r="J141" i="5"/>
  <c r="A46" i="5"/>
  <c r="A24" i="5"/>
  <c r="C148" i="5"/>
  <c r="P135" i="5"/>
  <c r="I142" i="5"/>
  <c r="F145" i="5"/>
  <c r="D147" i="5"/>
  <c r="L139" i="5"/>
  <c r="E146" i="5"/>
  <c r="O136" i="5"/>
  <c r="B149" i="5"/>
  <c r="J40" i="5"/>
  <c r="I116" i="5" s="1"/>
  <c r="M37" i="5"/>
  <c r="L113" i="5" s="1"/>
  <c r="C47" i="5"/>
  <c r="B123" i="5" s="1"/>
  <c r="L38" i="5"/>
  <c r="K114" i="5" s="1"/>
  <c r="J142" i="5" s="1"/>
  <c r="I41" i="5"/>
  <c r="H117" i="5" s="1"/>
  <c r="G145" i="5" s="1"/>
  <c r="D46" i="5"/>
  <c r="C122" i="5" s="1"/>
  <c r="G43" i="5"/>
  <c r="F119" i="5" s="1"/>
  <c r="E147" i="5" s="1"/>
  <c r="H42" i="5"/>
  <c r="G118" i="5" s="1"/>
  <c r="F146" i="5" s="1"/>
  <c r="N36" i="5"/>
  <c r="M112" i="5" s="1"/>
  <c r="Q33" i="5"/>
  <c r="P109" i="5" s="1"/>
  <c r="R32" i="5"/>
  <c r="Q108" i="5" s="1"/>
  <c r="P136" i="5" s="1"/>
  <c r="E45" i="5"/>
  <c r="D121" i="5" s="1"/>
  <c r="C149" i="5" s="1"/>
  <c r="B48" i="5"/>
  <c r="F44" i="5"/>
  <c r="E120" i="5" s="1"/>
  <c r="S31" i="5"/>
  <c r="R107" i="5" s="1"/>
  <c r="O35" i="5"/>
  <c r="N111" i="5" s="1"/>
  <c r="K39" i="5"/>
  <c r="J115" i="5" s="1"/>
  <c r="P34" i="5"/>
  <c r="O110" i="5" s="1"/>
  <c r="K157" i="5" l="1"/>
  <c r="C48" i="5"/>
  <c r="B124" i="5" s="1"/>
  <c r="F45" i="5"/>
  <c r="E121" i="5" s="1"/>
  <c r="D160" i="5" s="1"/>
  <c r="D166" i="5" s="1"/>
  <c r="G44" i="5"/>
  <c r="F120" i="5" s="1"/>
  <c r="J41" i="5"/>
  <c r="I117" i="5" s="1"/>
  <c r="H163" i="5" s="1"/>
  <c r="D122" i="5"/>
  <c r="H43" i="5"/>
  <c r="G119" i="5" s="1"/>
  <c r="I42" i="5"/>
  <c r="H118" i="5" s="1"/>
  <c r="O36" i="5"/>
  <c r="N112" i="5" s="1"/>
  <c r="R33" i="5"/>
  <c r="Q109" i="5" s="1"/>
  <c r="S32" i="5"/>
  <c r="R108" i="5" s="1"/>
  <c r="K40" i="5"/>
  <c r="J116" i="5" s="1"/>
  <c r="N37" i="5"/>
  <c r="M113" i="5" s="1"/>
  <c r="Q34" i="5"/>
  <c r="P110" i="5" s="1"/>
  <c r="T31" i="5"/>
  <c r="S107" i="5" s="1"/>
  <c r="P35" i="5"/>
  <c r="O111" i="5" s="1"/>
  <c r="N157" i="5" s="1"/>
  <c r="M38" i="5"/>
  <c r="L114" i="5" s="1"/>
  <c r="D47" i="5"/>
  <c r="C123" i="5" s="1"/>
  <c r="L39" i="5"/>
  <c r="K115" i="5" s="1"/>
  <c r="M139" i="5"/>
  <c r="M157" i="5"/>
  <c r="B150" i="5"/>
  <c r="B160" i="5"/>
  <c r="B166" i="5" s="1"/>
  <c r="C160" i="5"/>
  <c r="C166" i="5" s="1"/>
  <c r="C163" i="5"/>
  <c r="I143" i="5"/>
  <c r="I160" i="5"/>
  <c r="O137" i="5"/>
  <c r="O157" i="5"/>
  <c r="M163" i="5"/>
  <c r="M166" i="5" s="1"/>
  <c r="L140" i="5"/>
  <c r="J163" i="5"/>
  <c r="J166" i="5" s="1"/>
  <c r="H144" i="5"/>
  <c r="H160" i="5"/>
  <c r="H166" i="5" s="1"/>
  <c r="N138" i="5"/>
  <c r="A47" i="5"/>
  <c r="A25" i="5"/>
  <c r="A48" i="5" s="1"/>
  <c r="G163" i="5"/>
  <c r="Q135" i="5"/>
  <c r="Q157" i="5"/>
  <c r="Q166" i="5" s="1"/>
  <c r="D148" i="5"/>
  <c r="K141" i="5"/>
  <c r="K160" i="5"/>
  <c r="D163" i="5"/>
  <c r="P137" i="5" l="1"/>
  <c r="B184" i="5"/>
  <c r="D184" i="5" s="1"/>
  <c r="F184" i="5" s="1"/>
  <c r="I184" i="5" s="1"/>
  <c r="M140" i="5"/>
  <c r="M160" i="5"/>
  <c r="O138" i="5"/>
  <c r="P157" i="5"/>
  <c r="E148" i="5"/>
  <c r="E157" i="5"/>
  <c r="E160" i="5"/>
  <c r="E166" i="5" s="1"/>
  <c r="J143" i="5"/>
  <c r="J160" i="5"/>
  <c r="J157" i="5"/>
  <c r="L141" i="5"/>
  <c r="L163" i="5"/>
  <c r="L166" i="5" s="1"/>
  <c r="L169" i="5" s="1"/>
  <c r="L171" i="5" s="1"/>
  <c r="B186" i="5" s="1"/>
  <c r="D186" i="5" s="1"/>
  <c r="F186" i="5" s="1"/>
  <c r="I186" i="5" s="1"/>
  <c r="L160" i="5"/>
  <c r="O163" i="5"/>
  <c r="O166" i="5" s="1"/>
  <c r="P163" i="5"/>
  <c r="P166" i="5" s="1"/>
  <c r="P169" i="5" s="1"/>
  <c r="P171" i="5" s="1"/>
  <c r="B182" i="5" s="1"/>
  <c r="D182" i="5" s="1"/>
  <c r="F182" i="5" s="1"/>
  <c r="I182" i="5" s="1"/>
  <c r="B151" i="5"/>
  <c r="B157" i="5"/>
  <c r="I144" i="5"/>
  <c r="I157" i="5"/>
  <c r="I163" i="5"/>
  <c r="I166" i="5" s="1"/>
  <c r="C150" i="5"/>
  <c r="C157" i="5"/>
  <c r="N139" i="5"/>
  <c r="B179" i="5"/>
  <c r="D179" i="5" s="1"/>
  <c r="F179" i="5" s="1"/>
  <c r="R135" i="5"/>
  <c r="R157" i="5"/>
  <c r="R166" i="5" s="1"/>
  <c r="R169" i="5" s="1"/>
  <c r="R171" i="5" s="1"/>
  <c r="D149" i="5"/>
  <c r="D157" i="5"/>
  <c r="E163" i="5"/>
  <c r="G146" i="5"/>
  <c r="G157" i="5"/>
  <c r="F147" i="5"/>
  <c r="F157" i="5"/>
  <c r="F163" i="5"/>
  <c r="F160" i="5"/>
  <c r="F166" i="5" s="1"/>
  <c r="B169" i="5" s="1"/>
  <c r="B171" i="5" s="1"/>
  <c r="B196" i="5" s="1"/>
  <c r="D196" i="5" s="1"/>
  <c r="F196" i="5" s="1"/>
  <c r="I196" i="5" s="1"/>
  <c r="G160" i="5"/>
  <c r="G166" i="5" s="1"/>
  <c r="Q169" i="5"/>
  <c r="Q171" i="5" s="1"/>
  <c r="B181" i="5" s="1"/>
  <c r="D181" i="5" s="1"/>
  <c r="F181" i="5" s="1"/>
  <c r="I181" i="5" s="1"/>
  <c r="L157" i="5"/>
  <c r="B163" i="5"/>
  <c r="K142" i="5"/>
  <c r="K163" i="5"/>
  <c r="K166" i="5" s="1"/>
  <c r="J169" i="5" s="1"/>
  <c r="J171" i="5" s="1"/>
  <c r="B188" i="5" s="1"/>
  <c r="D188" i="5" s="1"/>
  <c r="F188" i="5" s="1"/>
  <c r="I188" i="5" s="1"/>
  <c r="B180" i="5"/>
  <c r="D180" i="5" s="1"/>
  <c r="F180" i="5" s="1"/>
  <c r="I180" i="5" s="1"/>
  <c r="Q136" i="5"/>
  <c r="H145" i="5"/>
  <c r="H157" i="5"/>
  <c r="N163" i="5"/>
  <c r="N166" i="5" s="1"/>
  <c r="N169" i="5" s="1"/>
  <c r="N171" i="5" s="1"/>
  <c r="I179" i="5" l="1"/>
  <c r="I169" i="5"/>
  <c r="I171" i="5" s="1"/>
  <c r="B189" i="5" s="1"/>
  <c r="D189" i="5" s="1"/>
  <c r="F189" i="5" s="1"/>
  <c r="I189" i="5" s="1"/>
  <c r="G169" i="5"/>
  <c r="G171" i="5" s="1"/>
  <c r="B191" i="5" s="1"/>
  <c r="D191" i="5" s="1"/>
  <c r="F191" i="5" s="1"/>
  <c r="I191" i="5" s="1"/>
  <c r="C169" i="5"/>
  <c r="C171" i="5" s="1"/>
  <c r="B195" i="5" s="1"/>
  <c r="D195" i="5" s="1"/>
  <c r="F195" i="5" s="1"/>
  <c r="I195" i="5" s="1"/>
  <c r="F169" i="5"/>
  <c r="F171" i="5" s="1"/>
  <c r="B192" i="5" s="1"/>
  <c r="D192" i="5" s="1"/>
  <c r="F192" i="5" s="1"/>
  <c r="I192" i="5" s="1"/>
  <c r="E169" i="5"/>
  <c r="E171" i="5" s="1"/>
  <c r="B193" i="5" s="1"/>
  <c r="D193" i="5" s="1"/>
  <c r="F193" i="5" s="1"/>
  <c r="I193" i="5" s="1"/>
  <c r="M169" i="5"/>
  <c r="M171" i="5" s="1"/>
  <c r="B185" i="5" s="1"/>
  <c r="D185" i="5" s="1"/>
  <c r="F185" i="5" s="1"/>
  <c r="I185" i="5" s="1"/>
  <c r="K169" i="5"/>
  <c r="K171" i="5" s="1"/>
  <c r="B187" i="5" s="1"/>
  <c r="D187" i="5" s="1"/>
  <c r="F187" i="5" s="1"/>
  <c r="I187" i="5" s="1"/>
  <c r="H169" i="5"/>
  <c r="H171" i="5" s="1"/>
  <c r="B190" i="5" s="1"/>
  <c r="D190" i="5" s="1"/>
  <c r="F190" i="5" s="1"/>
  <c r="I190" i="5" s="1"/>
  <c r="O169" i="5"/>
  <c r="O171" i="5" s="1"/>
  <c r="B183" i="5" s="1"/>
  <c r="D183" i="5" s="1"/>
  <c r="F183" i="5" s="1"/>
  <c r="I183" i="5" s="1"/>
  <c r="D169" i="5"/>
  <c r="D171" i="5" s="1"/>
  <c r="B194" i="5" s="1"/>
  <c r="D194" i="5" s="1"/>
  <c r="F194" i="5" s="1"/>
  <c r="I194" i="5" s="1"/>
  <c r="I198"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tc={B8DFFE92-4C1F-834A-8B14-DF1C3BAE1D39}</author>
    <author>tc={956F094E-48EA-BD43-A476-97D9B87AF8A6}</author>
  </authors>
  <commentList>
    <comment ref="C16" authorId="0" shapeId="0" xr:uid="{B8DFFE92-4C1F-834A-8B14-DF1C3BAE1D39}">
      <text>
        <t>[Threaded comment]
Your version of Excel allows you to read this threaded comment; however, any edits to it will get removed if the file is opened in a newer version of Excel. Learn more: https://go.microsoft.com/fwlink/?linkid=870924
Comment:
    Note how the formula proceeds to the second condition only if the first is not verified.</t>
      </text>
    </comment>
    <comment ref="E16" authorId="1" shapeId="0" xr:uid="{956F094E-48EA-BD43-A476-97D9B87AF8A6}">
      <text>
        <t>[Threaded comment]
Your version of Excel allows you to read this threaded comment; however, any edits to it will get removed if the file is opened in a newer version of Excel. Learn more: https://go.microsoft.com/fwlink/?linkid=870924
Comment:
    note how the “TRUE” condition at the end (which is always true!!) is a catch all condition (default if none of the preceding conditions are verified)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<sst xmlns="http://schemas.openxmlformats.org/spreadsheetml/2006/main" count="580" uniqueCount="315">
  <si>
    <t>Attacking</t>
  </si>
  <si>
    <t>Normal</t>
  </si>
  <si>
    <t>Fire</t>
  </si>
  <si>
    <t>Water</t>
  </si>
  <si>
    <t>Electric</t>
  </si>
  <si>
    <t>Grass</t>
  </si>
  <si>
    <t>Ice</t>
  </si>
  <si>
    <t>Fighting</t>
  </si>
  <si>
    <t>Poison</t>
  </si>
  <si>
    <t>Ground</t>
  </si>
  <si>
    <t>Flying</t>
  </si>
  <si>
    <t>Psychic</t>
  </si>
  <si>
    <t>Bug</t>
  </si>
  <si>
    <t>Rock</t>
  </si>
  <si>
    <t>Ghost</t>
  </si>
  <si>
    <t>Dragon</t>
  </si>
  <si>
    <t>Dark</t>
  </si>
  <si>
    <t>Steel</t>
  </si>
  <si>
    <t>Fairy</t>
  </si>
  <si>
    <t>Source:</t>
  </si>
  <si>
    <t>https://github.com/zonination/pokemon-chart/blob/master/chart.csv</t>
  </si>
  <si>
    <t>FIFA Women's World Cup Stats (1991 - 2019)</t>
  </si>
  <si>
    <t>id</t>
  </si>
  <si>
    <t>squad</t>
  </si>
  <si>
    <t>year</t>
  </si>
  <si>
    <t>players</t>
  </si>
  <si>
    <t>age</t>
  </si>
  <si>
    <t>possesion</t>
  </si>
  <si>
    <t>matches_played</t>
  </si>
  <si>
    <t>starts</t>
  </si>
  <si>
    <t>min_playing_time</t>
  </si>
  <si>
    <t>minutes_played_90s</t>
  </si>
  <si>
    <t>goals</t>
  </si>
  <si>
    <t>assists</t>
  </si>
  <si>
    <t>non_penalty_goals</t>
  </si>
  <si>
    <t>penalty_kicks_made</t>
  </si>
  <si>
    <t>penalty_kicks_attempted</t>
  </si>
  <si>
    <t>yellow_cards</t>
  </si>
  <si>
    <t>red_cards</t>
  </si>
  <si>
    <t>goals_per_90</t>
  </si>
  <si>
    <t>assists_per_90</t>
  </si>
  <si>
    <t>goals_plus_assists_per_90</t>
  </si>
  <si>
    <t>goals_minus_penalty_kicks_per_90</t>
  </si>
  <si>
    <t>goals_plus_assists_minus_penalty_kicks_per_90</t>
  </si>
  <si>
    <t>Argentina</t>
  </si>
  <si>
    <t>Australia</t>
  </si>
  <si>
    <t>Brazil</t>
  </si>
  <si>
    <t>Cameroon</t>
  </si>
  <si>
    <t>Canada</t>
  </si>
  <si>
    <t>Chile</t>
  </si>
  <si>
    <t>China PR</t>
  </si>
  <si>
    <t>England</t>
  </si>
  <si>
    <t>France</t>
  </si>
  <si>
    <t>Germany</t>
  </si>
  <si>
    <t>Italy</t>
  </si>
  <si>
    <t>Jamaica</t>
  </si>
  <si>
    <t>Japan</t>
  </si>
  <si>
    <t>Korea Rep</t>
  </si>
  <si>
    <t>Netherlands</t>
  </si>
  <si>
    <t>New Zealand</t>
  </si>
  <si>
    <t>Nigeria</t>
  </si>
  <si>
    <t>Norway</t>
  </si>
  <si>
    <t>Scotland</t>
  </si>
  <si>
    <t>South Africa</t>
  </si>
  <si>
    <t>Spain</t>
  </si>
  <si>
    <t>Sweden</t>
  </si>
  <si>
    <t>Thailand</t>
  </si>
  <si>
    <t>USA</t>
  </si>
  <si>
    <t>Colombia</t>
  </si>
  <si>
    <t>Costa Rica</t>
  </si>
  <si>
    <t>C√¥te d'Ivoire</t>
  </si>
  <si>
    <t>Ecuador</t>
  </si>
  <si>
    <t>Mexico</t>
  </si>
  <si>
    <t>Switzerland</t>
  </si>
  <si>
    <t>Equ. Guinea</t>
  </si>
  <si>
    <t>Korea DPR</t>
  </si>
  <si>
    <t>Denmark</t>
  </si>
  <si>
    <t>Ghana</t>
  </si>
  <si>
    <t>Russia</t>
  </si>
  <si>
    <t>Chinese Taipei</t>
  </si>
  <si>
    <t>Absolute and mixed cell references: Chapter 7 EE19, pages 332-342</t>
  </si>
  <si>
    <t>Pull the formula in the top left corner right, and down, over the yellow area. Can you explain the differences?</t>
  </si>
  <si>
    <t>New Excel 2019 functions (IFS, MAXIFS, MINIFS): Chapter 8, pages 381-398</t>
  </si>
  <si>
    <t>Simple if:</t>
  </si>
  <si>
    <t>IFS</t>
  </si>
  <si>
    <t>MAXIFS</t>
  </si>
  <si>
    <t>MINIFS</t>
  </si>
  <si>
    <t>Paste with transpose will achieve the same as transpose:</t>
  </si>
  <si>
    <t>(All)</t>
  </si>
  <si>
    <t>Row Labels</t>
  </si>
  <si>
    <t>Sum of matches_played</t>
  </si>
  <si>
    <t>Sum of goals</t>
  </si>
  <si>
    <t>Grand Total</t>
  </si>
  <si>
    <t>Average of possesion</t>
  </si>
  <si>
    <t>Spilling</t>
  </si>
  <si>
    <t>Hello</t>
  </si>
  <si>
    <t>&lt;-  =LEN(B3:B6)</t>
  </si>
  <si>
    <t xml:space="preserve">World </t>
  </si>
  <si>
    <t>of</t>
  </si>
  <si>
    <t>Actuaries</t>
  </si>
  <si>
    <t>Think in vectors</t>
  </si>
  <si>
    <t>How often is Fire&gt;Water?</t>
  </si>
  <si>
    <t>For which type of pokemon?</t>
  </si>
  <si>
    <t>Loss ratios</t>
  </si>
  <si>
    <t>NSW</t>
  </si>
  <si>
    <t>VIC</t>
  </si>
  <si>
    <t>ACT</t>
  </si>
  <si>
    <t>Motor</t>
  </si>
  <si>
    <t>Liability</t>
  </si>
  <si>
    <t>Life</t>
  </si>
  <si>
    <t>Property</t>
  </si>
  <si>
    <t>The # sign</t>
  </si>
  <si>
    <t xml:space="preserve">Try to change to SEQUENCE(10) and compare sum differences above </t>
  </si>
  <si>
    <t>Some new formulas</t>
  </si>
  <si>
    <t>Which teams played 7 matches?</t>
  </si>
  <si>
    <t>Lookup functions</t>
  </si>
  <si>
    <t>VLOOKUP</t>
  </si>
  <si>
    <t>You can specify a lookup array and find all the corresponding values.</t>
  </si>
  <si>
    <t>Or return multiple columns as previouly shown</t>
  </si>
  <si>
    <t>You can even return multiple rows with different columns!</t>
  </si>
  <si>
    <t>We use 'Products' as the lookup array</t>
  </si>
  <si>
    <t>It must be at the first column of your table</t>
  </si>
  <si>
    <t>-&gt; returning 2nd and 4th column in first row</t>
  </si>
  <si>
    <t>and we select the 4th column to return values.</t>
  </si>
  <si>
    <t>-&gt; 1st and 3rd column in 2nd row</t>
  </si>
  <si>
    <t>-&gt; return N/A if value does not exist.</t>
  </si>
  <si>
    <t>-&gt; 4th and 2nd column in 3rd row</t>
  </si>
  <si>
    <r>
      <rPr>
        <b/>
        <sz val="12"/>
        <color rgb="FFFF0000"/>
        <rFont val="Calibri"/>
        <family val="2"/>
      </rPr>
      <t>XLOOKUP</t>
    </r>
    <r>
      <rPr>
        <sz val="12"/>
        <color rgb="FFFF0000"/>
        <rFont val="Calibri"/>
        <family val="2"/>
      </rPr>
      <t xml:space="preserve"> - We don't have to specify the column number.</t>
    </r>
  </si>
  <si>
    <t>Product</t>
  </si>
  <si>
    <t xml:space="preserve">Specifying return values if not found </t>
  </si>
  <si>
    <r>
      <t xml:space="preserve">MATCH </t>
    </r>
    <r>
      <rPr>
        <sz val="12"/>
        <color rgb="FFFF0000"/>
        <rFont val="Calibri"/>
        <family val="2"/>
        <scheme val="minor"/>
      </rPr>
      <t>- Matching the index of your lookup array</t>
    </r>
  </si>
  <si>
    <t>Combining with INDEX makes it works like a lookup function</t>
  </si>
  <si>
    <t>XLOOKUP does not require your lookup array in your data table</t>
  </si>
  <si>
    <t>However your lookup and return array need to have same length.</t>
  </si>
  <si>
    <t>Travel</t>
  </si>
  <si>
    <t>INDEX</t>
  </si>
  <si>
    <t>INDEX returns the value inside your array with specified index.</t>
  </si>
  <si>
    <t xml:space="preserve">How many goals did Argentina scored? </t>
  </si>
  <si>
    <t>Specifying search mode</t>
  </si>
  <si>
    <t>1: First to last; -1: Last to first</t>
  </si>
  <si>
    <r>
      <rPr>
        <b/>
        <sz val="12"/>
        <color rgb="FFFF0000"/>
        <rFont val="Calibri"/>
        <family val="2"/>
        <scheme val="minor"/>
      </rPr>
      <t>XMATCH</t>
    </r>
    <r>
      <rPr>
        <sz val="12"/>
        <color rgb="FFFF0000"/>
        <rFont val="Calibri"/>
        <family val="2"/>
        <scheme val="minor"/>
      </rPr>
      <t xml:space="preserve"> - allows specified search mode</t>
    </r>
  </si>
  <si>
    <t>allows lookup from the last item.</t>
  </si>
  <si>
    <t>Argentina went to world cup for multiple years.</t>
  </si>
  <si>
    <t>So there will be different number of goals if we search in different order.</t>
  </si>
  <si>
    <t>Dynamic references</t>
  </si>
  <si>
    <t>OFFSET</t>
  </si>
  <si>
    <t>Month</t>
  </si>
  <si>
    <t>Profit</t>
  </si>
  <si>
    <t>Which month?</t>
  </si>
  <si>
    <t>Jan</t>
  </si>
  <si>
    <t>Feb</t>
  </si>
  <si>
    <t>Mar</t>
  </si>
  <si>
    <t>Apr</t>
  </si>
  <si>
    <t>May</t>
  </si>
  <si>
    <t>From</t>
  </si>
  <si>
    <t>To</t>
  </si>
  <si>
    <t>Jun</t>
  </si>
  <si>
    <t>&lt;- try change this</t>
  </si>
  <si>
    <t>Jul</t>
  </si>
  <si>
    <t>You can dynamically reference a specified period!</t>
  </si>
  <si>
    <t>Aug</t>
  </si>
  <si>
    <t>Sep</t>
  </si>
  <si>
    <t>First, select the whole table to offset.</t>
  </si>
  <si>
    <t>Oct</t>
  </si>
  <si>
    <t>Move down 'F10' rows to get to the starting month.</t>
  </si>
  <si>
    <t>Nov</t>
  </si>
  <si>
    <t>Dec</t>
  </si>
  <si>
    <t>And you select 2 columns, which is the original width of your table.</t>
  </si>
  <si>
    <t>ADDRESS</t>
  </si>
  <si>
    <t>What is the address storing the month 'Jan' inside the table?</t>
  </si>
  <si>
    <t>&lt;- We are finding the address at row 26 and column 2, which stores the text 'Jan'.</t>
  </si>
  <si>
    <t>INDIRECT</t>
  </si>
  <si>
    <t>get the value of the address specified in cell</t>
  </si>
  <si>
    <t>What does that address contain?</t>
  </si>
  <si>
    <t>Combining together...</t>
  </si>
  <si>
    <t>You can reference any part of your table!</t>
  </si>
  <si>
    <t>You can do it with OFFSET too!</t>
  </si>
  <si>
    <t xml:space="preserve">To </t>
  </si>
  <si>
    <t>From Week</t>
  </si>
  <si>
    <t>Up to Week</t>
  </si>
  <si>
    <t>&lt;-</t>
  </si>
  <si>
    <t>Change them!</t>
  </si>
  <si>
    <t>-&gt;</t>
  </si>
  <si>
    <t>Week1</t>
  </si>
  <si>
    <t>Week2</t>
  </si>
  <si>
    <t>Week3</t>
  </si>
  <si>
    <t>Week4</t>
  </si>
  <si>
    <t>Get the months-&gt;</t>
  </si>
  <si>
    <t>Get the numbers-&gt;</t>
  </si>
  <si>
    <t>The trick here is similar as INDIRECT(ADDRESS()), we dynamically select the range by adding week numbers.</t>
  </si>
  <si>
    <t>Breakdown:</t>
  </si>
  <si>
    <t>To get the months:</t>
  </si>
  <si>
    <t xml:space="preserve">MATCH(I39,A26:G26,0) </t>
  </si>
  <si>
    <t>Find which column in A26:G26 contains the starting month</t>
  </si>
  <si>
    <t>ADDRESS(38, MATCH(I39,A26:G26,0) )</t>
  </si>
  <si>
    <t>That is the address of the cell inside the table containing the starting month</t>
  </si>
  <si>
    <t>INDIRECT(ADDRESS(..,MATCH()))</t>
  </si>
  <si>
    <t>This gives you the indirect reference to the starting month.</t>
  </si>
  <si>
    <t>The second INDIRECT gives you the indirect reference for the ending month.</t>
  </si>
  <si>
    <t>Combining them will give us the specified months.</t>
  </si>
  <si>
    <t>To get the data:</t>
  </si>
  <si>
    <t>Same as above</t>
  </si>
  <si>
    <t>ADDRESS(38+K39, MATCH(I39,A26:G26,0) )</t>
  </si>
  <si>
    <t>We move down few rows (+K39) based on the starting week</t>
  </si>
  <si>
    <t>This gives you the indirect reference corresponds to the value to the starting month at the starting week.</t>
  </si>
  <si>
    <t>The second INDIRECT gives you the indirect reference for the ending month at the ending week.</t>
  </si>
  <si>
    <t>Note: We need INDIRECT(address):INDIRECT(address) to select the range between two indirect addresses.</t>
  </si>
  <si>
    <t>top left</t>
  </si>
  <si>
    <t>bottom right</t>
  </si>
  <si>
    <t>Table 3.10</t>
  </si>
  <si>
    <t>Incurred Losses</t>
  </si>
  <si>
    <t>Period</t>
  </si>
  <si>
    <t>Incurred losses to end of development year n=</t>
  </si>
  <si>
    <t>of origin</t>
  </si>
  <si>
    <t>$000</t>
  </si>
  <si>
    <t xml:space="preserve">Inflation </t>
  </si>
  <si>
    <t>Incurred losses, as of 31/12/1995, to end of development year n=</t>
  </si>
  <si>
    <t>factor</t>
  </si>
  <si>
    <t>Table 2.2</t>
  </si>
  <si>
    <t>Forecast Numbers of IBNR Claims</t>
  </si>
  <si>
    <t>Number of claims notified, actual and forecast (bold), in development year</t>
  </si>
  <si>
    <t>Number</t>
  </si>
  <si>
    <t>11 &amp; later</t>
  </si>
  <si>
    <t>to 1995</t>
  </si>
  <si>
    <t>IBNR</t>
  </si>
  <si>
    <t>Total</t>
  </si>
  <si>
    <t>Cumulative reported claim counts</t>
  </si>
  <si>
    <t>Average incurred cost per reported claim, by period of origin and for develop period j=</t>
  </si>
  <si>
    <t>Incurred loss age to age factors</t>
  </si>
  <si>
    <t>Age to age factor from development year n to n+1</t>
  </si>
  <si>
    <t>development year n=</t>
  </si>
  <si>
    <t>Weighted</t>
  </si>
  <si>
    <t>averages:</t>
  </si>
  <si>
    <t>All</t>
  </si>
  <si>
    <t>Last 6</t>
  </si>
  <si>
    <t>experience</t>
  </si>
  <si>
    <t>years</t>
  </si>
  <si>
    <t>Last 3</t>
  </si>
  <si>
    <t>Model(un-</t>
  </si>
  <si>
    <t>smoothed)</t>
  </si>
  <si>
    <t>&lt;- we could decide to set this to 1 to be conservative</t>
  </si>
  <si>
    <t>age-to-</t>
  </si>
  <si>
    <t>ultimate</t>
  </si>
  <si>
    <t>prop-to-ult</t>
  </si>
  <si>
    <t>Paid losses</t>
  </si>
  <si>
    <t>to</t>
  </si>
  <si>
    <t>Out-</t>
  </si>
  <si>
    <t>Incurred</t>
  </si>
  <si>
    <t>Incurred CL/</t>
  </si>
  <si>
    <t>Paid CL</t>
  </si>
  <si>
    <t>Separation</t>
  </si>
  <si>
    <t>Average cost</t>
  </si>
  <si>
    <t xml:space="preserve">Claim </t>
  </si>
  <si>
    <t>Ultimate</t>
  </si>
  <si>
    <t>1995</t>
  </si>
  <si>
    <t>standing</t>
  </si>
  <si>
    <t>CL</t>
  </si>
  <si>
    <t>PPCI</t>
  </si>
  <si>
    <t>unadjusted</t>
  </si>
  <si>
    <t>adjusted</t>
  </si>
  <si>
    <t>method</t>
  </si>
  <si>
    <t>per claim</t>
  </si>
  <si>
    <t>numbers</t>
  </si>
  <si>
    <t>=SUM(F179:F196)</t>
  </si>
  <si>
    <t>this formula is show as text by adding a apostrophe ' in front of it.</t>
  </si>
  <si>
    <t>Basic random functions</t>
  </si>
  <si>
    <t>Simulating different distributions (Continuous)</t>
  </si>
  <si>
    <t>Simulating Discrete RV</t>
  </si>
  <si>
    <t>Weather</t>
  </si>
  <si>
    <t>Probability</t>
  </si>
  <si>
    <t>RAND</t>
  </si>
  <si>
    <t>RANDARRAY</t>
  </si>
  <si>
    <t>Good</t>
  </si>
  <si>
    <t>OK</t>
  </si>
  <si>
    <t>Bad</t>
  </si>
  <si>
    <t>Frequency</t>
  </si>
  <si>
    <t>Empirical Probability</t>
  </si>
  <si>
    <t>Mean</t>
  </si>
  <si>
    <t>SD</t>
  </si>
  <si>
    <t>Var</t>
  </si>
  <si>
    <t>Theoretical</t>
  </si>
  <si>
    <t>Variance</t>
  </si>
  <si>
    <t>Theoretical Variance</t>
  </si>
  <si>
    <t>Record a macro</t>
  </si>
  <si>
    <t>Try running recorded_example1 here!</t>
  </si>
  <si>
    <t>Absolute and relative references in macro</t>
  </si>
  <si>
    <t>Run recorded_absolute_example.</t>
  </si>
  <si>
    <t>Undo everything, select another cell outside the table and run it again. What happens?</t>
  </si>
  <si>
    <t>(You can clear all formatting by Home -&gt; Editing -&gt; Clear -&gt; Clear all formatting)</t>
  </si>
  <si>
    <t>Now click on cell B15 and run recorded_relative example.</t>
  </si>
  <si>
    <t>Click on cell E15 and run it again. What happens?</t>
  </si>
  <si>
    <t>This example shows the difference between absolute and relative referencing in recorded macro.</t>
  </si>
  <si>
    <t>Buttons in macro</t>
  </si>
  <si>
    <t>Try clicking this button!</t>
  </si>
  <si>
    <t>And this shape!</t>
  </si>
  <si>
    <t>Editing a macro</t>
  </si>
  <si>
    <t>Click on any cell between M5:P8. Run recorded_example1_edit.</t>
  </si>
  <si>
    <t>We added new lines, where the font size of the row you selected increases.</t>
  </si>
  <si>
    <t>Added the following lines:</t>
  </si>
  <si>
    <t>Try Here</t>
  </si>
  <si>
    <t>Writing VBA: Conditioning</t>
  </si>
  <si>
    <t>Click on any values under profit and press the button.</t>
  </si>
  <si>
    <t>Here we have three situations with conditioning.</t>
  </si>
  <si>
    <t>Writing VBA: Loop</t>
  </si>
  <si>
    <t>Example: Print numbers from 1 to k, each number n times</t>
  </si>
  <si>
    <t>For Loop</t>
  </si>
  <si>
    <t>While loop version of the previous example.</t>
  </si>
  <si>
    <t>Paste special: Chapter 11, pages 518-530</t>
  </si>
  <si>
    <t>=SUM(LEN(B3#))</t>
  </si>
  <si>
    <t>=SUM(B3#)</t>
  </si>
  <si>
    <t>Then you select the number of rows between starting and ending month.</t>
  </si>
  <si>
    <t>You don't need to offset by columns; use 0 as the third argument in those cases.</t>
  </si>
  <si>
    <t>find the address in Excel syntax for specified rows and columns in numbers</t>
  </si>
  <si>
    <t>B64</t>
  </si>
  <si>
    <t>D66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</si>
</sst>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0.000"/>
    <numFmt numFmtId="165" formatCode="0.0"/>
    <numFmt numFmtId="166" formatCode="0.0%"/>
    <numFmt numFmtId="167" formatCode="_(* #,##0_);_(* \(#,##0\);_(* &quot;-&quot;??_);_(@_)"/>
  </numFmts>
  <fonts count="22" x14ac:knownFonts="1">
    <font>
      <sz val="12"/>
      <color theme="1"/>
      <name val="Calibri"/>
      <family val="2"/>
      <scheme val="minor"/>
    </font>
    <font>
      <sz val="11"/>
      <color theme="1"/>
      <name val="Calibri"/>
      <family val="2"/>
      <scheme val="minor"/>
    </font>
    <font>
      <b/>
      <sz val="12"/>
      <color theme="1"/>
      <name val="Calibri"/>
      <family val="2"/>
      <scheme val="minor"/>
    </font>
    <font>
      <b/>
      <sz val="12"/>
      <color rgb="FFFF0000"/>
      <name val="Calibri"/>
      <family val="2"/>
      <scheme val="minor"/>
    </font>
    <font>
      <u/>
      <sz val="12"/>
      <color theme="10"/>
      <name val="Calibri"/>
      <family val="2"/>
      <scheme val="minor"/>
    </font>
    <font>
      <sz val="10"/>
      <color rgb="FF000000"/>
      <name val="Arial Unicode MS"/>
      <family val="2"/>
    </font>
    <font>
      <sz val="14"/>
      <color rgb="FF3C4043"/>
      <name val="Arial"/>
      <family val="2"/>
    </font>
    <font>
      <sz val="12"/>
      <color theme="1"/>
      <name val="Calibri"/>
      <family val="2"/>
      <scheme val="minor"/>
    </font>
    <font>
      <b/>
      <sz val="12"/>
      <color rgb="FF000000"/>
      <name val="Arial"/>
      <family val="2"/>
    </font>
    <font>
      <sz val="12"/>
      <color theme="1"/>
      <name val="Arial"/>
      <family val="2"/>
    </font>
    <font>
      <sz val="12"/>
      <color rgb="FF000000"/>
      <name val="Arial"/>
      <family val="2"/>
    </font>
    <font>
      <b/>
      <sz val="12"/>
      <color theme="1"/>
      <name val="Arial"/>
      <family val="2"/>
    </font>
    <font>
      <sz val="12"/>
      <name val="Arial"/>
      <family val="2"/>
    </font>
    <font>
      <sz val="12"/>
      <color rgb="FFFF0000"/>
      <name val="Calibri"/>
      <family val="2"/>
      <scheme val="minor"/>
    </font>
    <font>
      <b/>
      <sz val="12"/>
      <color rgb="FFFF0000"/>
      <name val="Calibri"/>
      <family val="2"/>
    </font>
    <font>
      <sz val="12"/>
      <color rgb="FFFF0000"/>
      <name val="Calibri"/>
      <family val="2"/>
    </font>
    <font>
      <b/>
      <sz val="12"/>
      <color rgb="FFFF0000"/>
      <name val="Calibri"/>
      <family val="2"/>
      <scheme val="minor"/>
    </font>
    <font>
      <sz val="12"/>
      <color rgb="FFFF0000"/>
      <name val="Calibri"/>
      <family val="2"/>
      <scheme val="minor"/>
    </font>
    <font>
      <sz val="12"/>
      <color rgb="FF000000"/>
      <name val="Calibri"/>
      <family val="2"/>
      <scheme val="minor"/>
    </font>
    <font>
      <sz val="11"/>
      <color rgb="FFFF0000"/>
      <name val="Calibri"/>
      <family val="2"/>
      <scheme val="minor"/>
    </font>
    <font>
      <sz val="18"/>
      <color theme="1"/>
      <name val="Calibri"/>
      <family val="2"/>
      <scheme val="minor"/>
    </font>
    <font>
      <sz val="12"/>
      <color rgb="FF000000"/>
      <name val="Calibri"/>
      <family val="2"/>
    </font>
  </fonts>
  <fills count="7">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rgb="FFFFFF00"/>
        <bgColor rgb="FF000000"/>
      </patternFill>
    </fill>
  </fills>
  <borders count="31">
    <border>
      <left/>
      <right/>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auto="1"/>
      </bottom>
      <diagonal/>
    </border>
    <border>
      <left/>
      <right style="thin">
        <color auto="1"/>
      </right>
      <top/>
      <bottom/>
      <diagonal/>
    </border>
    <border>
      <left style="thin">
        <color indexed="64"/>
      </left>
      <right/>
      <top/>
      <bottom/>
      <diagonal/>
    </border>
    <border>
      <left/>
      <right/>
      <top style="thin">
        <color indexed="64"/>
      </top>
      <bottom style="double">
        <color indexed="64"/>
      </bottom>
      <diagonal/>
    </border>
    <border>
      <left/>
      <right/>
      <top style="thin">
        <color indexed="64"/>
      </top>
      <bottom style="thin">
        <color auto="1"/>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applyNumberFormat="0" applyFill="0" applyBorder="0" applyAlignment="0" applyProtection="0"/>
    <xf numFmtId="9" fontId="7" fillId="0" borderId="0" applyFont="0" applyFill="0" applyBorder="0" applyAlignment="0" applyProtection="0"/>
  </cellStyleXfs>
  <cellXfs count="119">
    <xf numFmtId="0" fontId="0" fillId="0" borderId="0" xfId="0"/>
    <xf numFmtId="0" fontId="0" fillId="0" borderId="1" xfId="0" applyBorder="1"/>
    <xf numFmtId="0" fontId="0" fillId="2" borderId="0" xfId="0"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0" borderId="0" xfId="0" applyFont="1"/>
    <xf numFmtId="0" fontId="3" fillId="0" borderId="0" xfId="0" applyFont="1"/>
    <xf numFmtId="0" fontId="5" fillId="0" borderId="0" xfId="0" applyFont="1"/>
    <xf numFmtId="0" fontId="4" fillId="0" borderId="0" xfId="1"/>
    <xf numFmtId="0" fontId="6" fillId="0" borderId="0" xfId="0" applyFont="1"/>
    <xf numFmtId="0" fontId="8" fillId="0" borderId="0" xfId="0" applyFont="1" applyAlignment="1">
      <alignment horizontal="left"/>
    </xf>
    <xf numFmtId="0" fontId="9" fillId="0" borderId="0" xfId="0" applyFont="1"/>
    <xf numFmtId="0" fontId="10" fillId="0" borderId="0" xfId="0" applyFont="1"/>
    <xf numFmtId="0" fontId="8" fillId="0" borderId="0" xfId="0" applyFont="1" applyAlignment="1">
      <alignment horizontal="center"/>
    </xf>
    <xf numFmtId="0" fontId="11" fillId="0" borderId="0" xfId="0" applyFont="1" applyAlignment="1">
      <alignment horizontal="left"/>
    </xf>
    <xf numFmtId="0" fontId="8" fillId="0" borderId="10" xfId="0" applyFont="1" applyBorder="1"/>
    <xf numFmtId="0" fontId="11" fillId="0" borderId="0" xfId="0" applyFont="1"/>
    <xf numFmtId="0" fontId="8" fillId="0" borderId="10" xfId="0" applyFont="1" applyBorder="1" applyAlignment="1">
      <alignment horizontal="center"/>
    </xf>
    <xf numFmtId="0" fontId="11" fillId="0" borderId="10" xfId="0" applyFont="1" applyBorder="1"/>
    <xf numFmtId="0" fontId="10" fillId="0" borderId="0" xfId="0" applyFont="1" applyAlignment="1">
      <alignment horizontal="center"/>
    </xf>
    <xf numFmtId="41" fontId="10" fillId="0" borderId="0" xfId="0" applyNumberFormat="1" applyFont="1"/>
    <xf numFmtId="164" fontId="10" fillId="0" borderId="11" xfId="0" applyNumberFormat="1" applyFont="1" applyBorder="1"/>
    <xf numFmtId="0" fontId="11" fillId="0" borderId="12" xfId="0" applyFont="1" applyBorder="1"/>
    <xf numFmtId="0" fontId="11" fillId="0" borderId="0" xfId="0" applyFont="1" applyAlignment="1">
      <alignment horizontal="right"/>
    </xf>
    <xf numFmtId="0" fontId="12" fillId="0" borderId="0" xfId="0" applyFont="1"/>
    <xf numFmtId="0" fontId="9" fillId="0" borderId="12" xfId="0" applyFont="1" applyBorder="1"/>
    <xf numFmtId="165" fontId="9" fillId="0" borderId="0" xfId="0" applyNumberFormat="1" applyFont="1"/>
    <xf numFmtId="165" fontId="11" fillId="0" borderId="0" xfId="0" applyNumberFormat="1" applyFont="1"/>
    <xf numFmtId="165" fontId="9" fillId="0" borderId="12" xfId="0" applyNumberFormat="1" applyFont="1" applyBorder="1"/>
    <xf numFmtId="165" fontId="11" fillId="0" borderId="13" xfId="0" applyNumberFormat="1" applyFont="1" applyBorder="1"/>
    <xf numFmtId="0" fontId="10" fillId="0" borderId="0" xfId="0" applyFont="1" applyAlignment="1">
      <alignment horizontal="left"/>
    </xf>
    <xf numFmtId="0" fontId="10" fillId="0" borderId="10" xfId="0" applyFont="1" applyBorder="1" applyAlignment="1">
      <alignment horizontal="center"/>
    </xf>
    <xf numFmtId="0" fontId="10" fillId="0" borderId="10" xfId="0" applyFont="1" applyBorder="1" applyAlignment="1">
      <alignment horizontal="left"/>
    </xf>
    <xf numFmtId="0" fontId="10" fillId="0" borderId="10" xfId="0" applyFont="1" applyBorder="1"/>
    <xf numFmtId="164" fontId="10" fillId="0" borderId="0" xfId="0" applyNumberFormat="1" applyFont="1"/>
    <xf numFmtId="165" fontId="10" fillId="0" borderId="0" xfId="0" applyNumberFormat="1" applyFont="1"/>
    <xf numFmtId="164" fontId="10" fillId="2" borderId="0" xfId="0" applyNumberFormat="1" applyFont="1" applyFill="1"/>
    <xf numFmtId="164" fontId="10" fillId="3" borderId="0" xfId="0" applyNumberFormat="1" applyFont="1" applyFill="1"/>
    <xf numFmtId="164" fontId="10" fillId="4" borderId="0" xfId="0" applyNumberFormat="1" applyFont="1" applyFill="1"/>
    <xf numFmtId="0" fontId="9" fillId="5" borderId="0" xfId="0" applyFont="1" applyFill="1"/>
    <xf numFmtId="0" fontId="9" fillId="0" borderId="0" xfId="0" applyFont="1" applyAlignment="1">
      <alignment horizontal="center"/>
    </xf>
    <xf numFmtId="166" fontId="9" fillId="0" borderId="0" xfId="2" applyNumberFormat="1" applyFont="1"/>
    <xf numFmtId="0" fontId="8" fillId="0" borderId="14" xfId="0" applyFont="1" applyBorder="1" applyAlignment="1">
      <alignment horizontal="center"/>
    </xf>
    <xf numFmtId="0" fontId="8" fillId="0" borderId="1" xfId="0" applyFont="1" applyBorder="1" applyAlignment="1">
      <alignment horizontal="center"/>
    </xf>
    <xf numFmtId="0" fontId="8" fillId="0" borderId="0" xfId="0" applyFont="1"/>
    <xf numFmtId="41" fontId="9" fillId="0" borderId="0" xfId="0" applyNumberFormat="1" applyFont="1"/>
    <xf numFmtId="167" fontId="11" fillId="0" borderId="0" xfId="0" applyNumberFormat="1" applyFont="1"/>
    <xf numFmtId="167" fontId="9" fillId="0" borderId="0" xfId="0" applyNumberFormat="1" applyFont="1"/>
    <xf numFmtId="41" fontId="8" fillId="0" borderId="0" xfId="0" applyNumberFormat="1" applyFont="1"/>
    <xf numFmtId="9" fontId="9" fillId="0" borderId="0" xfId="2" applyFont="1"/>
    <xf numFmtId="43" fontId="9" fillId="0" borderId="0" xfId="0" applyNumberFormat="1" applyFont="1"/>
    <xf numFmtId="41" fontId="8" fillId="0" borderId="10" xfId="0" applyNumberFormat="1" applyFont="1" applyBorder="1"/>
    <xf numFmtId="41" fontId="11" fillId="0" borderId="0" xfId="0" applyNumberFormat="1" applyFont="1"/>
    <xf numFmtId="167" fontId="10" fillId="0" borderId="10" xfId="0" applyNumberFormat="1" applyFont="1" applyBorder="1"/>
    <xf numFmtId="167" fontId="8" fillId="0" borderId="10" xfId="0" applyNumberFormat="1" applyFont="1" applyBorder="1"/>
    <xf numFmtId="0" fontId="9" fillId="0" borderId="0" xfId="0" quotePrefix="1" applyFont="1"/>
    <xf numFmtId="0" fontId="0" fillId="0" borderId="0" xfId="0" pivotButton="1"/>
    <xf numFmtId="0" fontId="0" fillId="0" borderId="0" xfId="0" applyAlignment="1">
      <alignment horizontal="left"/>
    </xf>
    <xf numFmtId="0" fontId="0" fillId="0" borderId="0" xfId="0" quotePrefix="1"/>
    <xf numFmtId="0" fontId="0" fillId="0" borderId="13" xfId="0" applyBorder="1"/>
    <xf numFmtId="0" fontId="0" fillId="0" borderId="10" xfId="0" applyBorder="1"/>
    <xf numFmtId="0" fontId="13" fillId="0" borderId="0" xfId="0" applyFont="1"/>
    <xf numFmtId="164" fontId="0" fillId="0" borderId="0" xfId="0" applyNumberFormat="1"/>
    <xf numFmtId="164" fontId="0" fillId="0" borderId="6" xfId="0" applyNumberFormat="1" applyBorder="1"/>
    <xf numFmtId="164" fontId="0" fillId="0" borderId="8" xfId="0" applyNumberFormat="1" applyBorder="1"/>
    <xf numFmtId="164" fontId="0" fillId="0" borderId="9" xfId="0" applyNumberFormat="1"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14" fillId="0" borderId="0" xfId="0" applyFont="1"/>
    <xf numFmtId="0" fontId="16" fillId="0" borderId="0" xfId="0" applyFont="1"/>
    <xf numFmtId="0" fontId="17" fillId="0" borderId="0" xfId="0" applyFont="1"/>
    <xf numFmtId="0" fontId="18" fillId="0" borderId="0" xfId="0" applyFont="1"/>
    <xf numFmtId="0" fontId="0" fillId="2" borderId="17" xfId="0" applyFill="1" applyBorder="1"/>
    <xf numFmtId="0" fontId="0" fillId="2" borderId="19" xfId="0" applyFill="1" applyBorder="1"/>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2" borderId="25" xfId="0" applyFill="1" applyBorder="1"/>
    <xf numFmtId="0" fontId="0" fillId="2" borderId="26" xfId="0" applyFill="1" applyBorder="1"/>
    <xf numFmtId="0" fontId="13" fillId="0" borderId="0" xfId="0" applyFont="1" applyAlignment="1">
      <alignment horizontal="center"/>
    </xf>
    <xf numFmtId="0" fontId="13" fillId="0" borderId="0" xfId="0" applyFont="1" applyAlignment="1">
      <alignment horizontal="right"/>
    </xf>
    <xf numFmtId="0" fontId="0" fillId="5" borderId="0" xfId="0" applyFill="1"/>
    <xf numFmtId="0" fontId="13" fillId="0" borderId="18" xfId="0" applyFont="1" applyBorder="1"/>
    <xf numFmtId="0" fontId="3" fillId="0" borderId="17" xfId="0" applyFont="1" applyBorder="1"/>
    <xf numFmtId="0" fontId="0" fillId="0" borderId="27" xfId="0" applyBorder="1"/>
    <xf numFmtId="0" fontId="0" fillId="0" borderId="28" xfId="0" applyBorder="1"/>
    <xf numFmtId="0" fontId="0" fillId="0" borderId="12" xfId="0" applyBorder="1"/>
    <xf numFmtId="0" fontId="0" fillId="0" borderId="11" xfId="0" applyBorder="1"/>
    <xf numFmtId="0" fontId="0" fillId="0" borderId="29" xfId="0" applyBorder="1"/>
    <xf numFmtId="0" fontId="0" fillId="0" borderId="30" xfId="0" applyBorder="1"/>
    <xf numFmtId="0" fontId="1" fillId="0" borderId="0" xfId="0" applyFont="1" applyAlignment="1">
      <alignment horizontal="right"/>
    </xf>
    <xf numFmtId="0" fontId="19" fillId="0" borderId="0" xfId="0" applyFont="1" applyAlignment="1">
      <alignment horizontal="right"/>
    </xf>
    <xf numFmtId="0" fontId="1" fillId="2" borderId="0" xfId="0" applyFont="1" applyFill="1" applyAlignment="1">
      <alignment horizontal="right"/>
    </xf>
    <xf numFmtId="0" fontId="19" fillId="2" borderId="0" xfId="0" applyFont="1" applyFill="1" applyAlignment="1">
      <alignment horizontal="right"/>
    </xf>
    <xf numFmtId="0" fontId="3" fillId="0" borderId="1" xfId="0" applyFont="1" applyBorder="1"/>
    <xf numFmtId="0" fontId="20" fillId="0" borderId="0" xfId="0" applyFont="1"/>
    <xf numFmtId="0" fontId="20" fillId="0" borderId="11" xfId="0" applyFont="1" applyBorder="1"/>
    <xf numFmtId="0" fontId="20" fillId="0" borderId="12" xfId="0" applyFont="1" applyBorder="1"/>
    <xf numFmtId="0" fontId="20" fillId="2" borderId="0" xfId="0" applyFont="1" applyFill="1"/>
    <xf numFmtId="0" fontId="2" fillId="0" borderId="15" xfId="0" applyFont="1" applyBorder="1"/>
    <xf numFmtId="0" fontId="18" fillId="6" borderId="0" xfId="0" applyFont="1" applyFill="1" applyAlignment="1">
      <alignment wrapText="1"/>
    </xf>
    <xf numFmtId="0" fontId="0" fillId="0" borderId="10" xfId="0" quotePrefix="1" applyBorder="1"/>
  </cellXfs>
  <cellStyles count="3">
    <cellStyle name="Hyperlink" xfId="1" builtinId="8"/>
    <cellStyle name="Normal" xfId="0" builtinId="0"/>
    <cellStyle name="Per cent 2" xfId="2" xr:uid="{905027FE-9333-1A4A-81D0-E99E9246473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[Module6.xlsm]M6.2 - Pivot chart!PivotTable4</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'M6.2 - Pivot chart'!$B$3</c:f>
              <c:strCache>
                <c:ptCount val="1"/>
                <c:pt idx="0">
                  <c:v>Sum of matches_played</c:v>
                </c:pt>
              </c:strCache>
            </c:strRef>
          </c:tx>
          <c:spPr>
            <a:solidFill>
              <a:schemeClr val="accent1"/>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chart'!$B$4:$B$11</c:f>
              <c:numCache>
                <c:formatCode>General</c:formatCode>
                <c:ptCount val="7"/>
                <c:pt idx="0">
                  <c:v>3</c:v>
                </c:pt>
                <c:pt idx="1">
                  <c:v>3</c:v>
                </c:pt>
                <c:pt idx="2">
                  <c:v>3</c:v>
                </c:pt>
                <c:pt idx="3">
                  <c:v>4</c:v>
                </c:pt>
                <c:pt idx="4">
                  <c:v>4</c:v>
                </c:pt>
                <c:pt idx="5">
                  <c:v>5</c:v>
                </c:pt>
                <c:pt idx="6">
                  <c:v>4</c:v>
                </c:pt>
              </c:numCache>
            </c:numRef>
          </c:val>
          <c:extLst>
            <c:ext xmlns:c16="http://schemas.microsoft.com/office/drawing/2014/chart" uri="{C3380CC4-5D6E-409C-BE32-E72D297353CC}">
              <c16:uniqueId val="{00000000-DB96-4667-A91C-18020170F659}"/>
            </c:ext>
          </c:extLst>
        </c:ser>
        <c:ser>
          <c:idx val="1"/>
          <c:order val="1"/>
          <c:tx>
            <c:strRef>
              <c:f>'M6.2 - Pivot chart'!$C$3</c:f>
              <c:strCache>
                <c:ptCount val="1"/>
                <c:pt idx="0">
                  <c:v>Sum of goals</c:v>
                </c:pt>
              </c:strCache>
            </c:strRef>
          </c:tx>
          <c:spPr>
            <a:solidFill>
              <a:schemeClr val="accent2"/>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chart'!$C$4:$C$11</c:f>
              <c:numCache>
                <c:formatCode>General</c:formatCode>
                <c:ptCount val="7"/>
                <c:pt idx="0">
                  <c:v>3</c:v>
                </c:pt>
                <c:pt idx="1">
                  <c:v>3</c:v>
                </c:pt>
                <c:pt idx="2">
                  <c:v>3</c:v>
                </c:pt>
                <c:pt idx="3">
                  <c:v>9</c:v>
                </c:pt>
                <c:pt idx="4">
                  <c:v>6</c:v>
                </c:pt>
                <c:pt idx="5">
                  <c:v>5</c:v>
                </c:pt>
                <c:pt idx="6">
                  <c:v>8</c:v>
                </c:pt>
              </c:numCache>
            </c:numRef>
          </c:val>
          <c:extLst>
            <c:ext xmlns:c16="http://schemas.microsoft.com/office/drawing/2014/chart" uri="{C3380CC4-5D6E-409C-BE32-E72D297353CC}">
              <c16:uniqueId val="{00000001-DB96-4667-A91C-18020170F659}"/>
            </c:ext>
          </c:extLst>
        </c:ser>
        <c:dLbls>
          <c:showLegendKey val="0"/>
          <c:showVal val="0"/>
          <c:showCatName val="0"/>
          <c:showSerName val="0"/>
          <c:showPercent val="0"/>
          <c:showBubbleSize val="0"/>
        </c:dLbls>
        <c:gapWidth val="219"/>
        <c:axId val="408426607"/>
        <c:axId val="2039344704"/>
      </c:barChart>
      <c:lineChart>
        <c:grouping val="standard"/>
        <c:varyColors val="0"/>
        <c:ser>
          <c:idx val="2"/>
          <c:order val="2"/>
          <c:tx>
            <c:strRef>
              <c:f>'M6.2 - Pivot chart'!$D$3</c:f>
              <c:strCache>
                <c:ptCount val="1"/>
                <c:pt idx="0">
                  <c:v>Average of possesion</c:v>
                </c:pt>
              </c:strCache>
            </c:strRef>
          </c:tx>
          <c:spPr>
            <a:ln w="28575" cap="rnd">
              <a:solidFill>
                <a:schemeClr val="accent3"/>
              </a:solidFill>
              <a:round/>
            </a:ln>
            <a:effectLst/>
          </c:spPr>
          <c:marker>
            <c:symbol val="none"/>
          </c:marker>
          <c:cat>
            <c:strRef>
              <c:f>'M6.2 - Pivot chart'!$A$4:$A$11</c:f>
              <c:strCache>
                <c:ptCount val="7"/>
                <c:pt idx="0">
                  <c:v>1995</c:v>
                </c:pt>
                <c:pt idx="1">
                  <c:v>1999</c:v>
                </c:pt>
                <c:pt idx="2">
                  <c:v>2003</c:v>
                </c:pt>
                <c:pt idx="3">
                  <c:v>2007</c:v>
                </c:pt>
                <c:pt idx="4">
                  <c:v>2011</c:v>
                </c:pt>
                <c:pt idx="5">
                  <c:v>2015</c:v>
                </c:pt>
                <c:pt idx="6">
                  <c:v>2019</c:v>
                </c:pt>
              </c:strCache>
            </c:strRef>
          </c:cat>
          <c:val>
            <c:numRef>
              <c:f>'M6.2 - Pivot chart'!$D$4:$D$11</c:f>
              <c:numCache>
                <c:formatCode>General</c:formatCode>
                <c:ptCount val="7"/>
                <c:pt idx="2">
                  <c:v>49</c:v>
                </c:pt>
                <c:pt idx="3">
                  <c:v>48.3</c:v>
                </c:pt>
                <c:pt idx="4">
                  <c:v>53.5</c:v>
                </c:pt>
                <c:pt idx="5">
                  <c:v>46.2</c:v>
                </c:pt>
                <c:pt idx="6">
                  <c:v>61.3</c:v>
                </c:pt>
              </c:numCache>
            </c:numRef>
          </c:val>
          <c:smooth val="0"/>
          <c:extLst>
            <c:ext xmlns:c16="http://schemas.microsoft.com/office/drawing/2014/chart" uri="{C3380CC4-5D6E-409C-BE32-E72D297353CC}">
              <c16:uniqueId val="{00000002-DB96-4667-A91C-18020170F659}"/>
            </c:ext>
          </c:extLst>
        </c:ser>
        <c:dLbls>
          <c:showLegendKey val="0"/>
          <c:showVal val="0"/>
          <c:showCatName val="0"/>
          <c:showSerName val="0"/>
          <c:showPercent val="0"/>
          <c:showBubbleSize val="0"/>
        </c:dLbls>
        <c:marker val="1"/>
        <c:smooth val="0"/>
        <c:axId val="2091505488"/>
        <c:axId val="2091503760"/>
      </c:lineChart>
      <c:catAx>
        <c:axId val="408426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344704"/>
        <c:crosses val="autoZero"/>
        <c:auto val="1"/>
        <c:lblAlgn val="ctr"/>
        <c:lblOffset val="100"/>
        <c:noMultiLvlLbl val="0"/>
      </c:catAx>
      <c:valAx>
        <c:axId val="2039344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26607"/>
        <c:crosses val="autoZero"/>
        <c:crossBetween val="between"/>
      </c:valAx>
      <c:valAx>
        <c:axId val="20915037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505488"/>
        <c:crosses val="max"/>
        <c:crossBetween val="between"/>
      </c:valAx>
      <c:catAx>
        <c:axId val="2091505488"/>
        <c:scaling>
          <c:orientation val="minMax"/>
        </c:scaling>
        <c:delete val="1"/>
        <c:axPos val="b"/>
        <c:numFmt formatCode="General" sourceLinked="1"/>
        <c:majorTickMark val="out"/>
        <c:minorTickMark val="none"/>
        <c:tickLblPos val="nextTo"/>
        <c:crossAx val="20915037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Simulated U(0,1)</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U(0,1)</a:t>
          </a:r>
        </a:p>
      </cx:txPr>
    </cx:title>
    <cx:plotArea>
      <cx:plotAreaRegion>
        <cx:series layoutId="clusteredColumn" uniqueId="{F0B8C912-EE1A-4FB5-9F75-1FD9082BA9B6}">
          <cx:tx>
            <cx:txData>
              <cx:f>_xlchart.v1.0</cx:f>
              <cx:v>=RANDARRAY(10000)</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dataLabels>
          <cx:dataId val="0"/>
          <cx:layoutPr>
            <cx:binning intervalClosed="r">
              <cx:binSize val="0.050000000000000003"/>
            </cx:binning>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max="1000" min="0"/>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Simulated N(0,1)</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N(0,1)</a:t>
          </a:r>
        </a:p>
      </cx:txPr>
    </cx:title>
    <cx:plotArea>
      <cx:plotAreaRegion>
        <cx:series layoutId="clusteredColumn" uniqueId="{1692C4DA-5B04-49FA-9E9F-A2137BED9647}">
          <cx:dataId val="0"/>
          <cx:layoutPr>
            <cx:binning intervalClosed="r">
              <cx:binSize val="0.10000000000000001"/>
            </cx:binning>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Simulated Gamma(10,5)</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Gamma(10,5)</a:t>
          </a:r>
        </a:p>
      </cx:txPr>
    </cx:title>
    <cx:plotArea>
      <cx:plotAreaRegion>
        <cx:series layoutId="clusteredColumn" uniqueId="{8445B9F1-82DF-49F7-9362-A52051D3C46F}">
          <cx:dataId val="0"/>
          <cx:layoutPr>
            <cx:binning intervalClosed="r"/>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png"/><Relationship Id="rId5" Type="http://schemas.microsoft.com/office/2007/relationships/hdphoto" Target="../media/hdphoto2.wdp"/><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10</xdr:col>
      <xdr:colOff>431800</xdr:colOff>
      <xdr:row>32</xdr:row>
      <xdr:rowOff>82550</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686800" y="6838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88900</xdr:colOff>
      <xdr:row>16</xdr:row>
      <xdr:rowOff>25400</xdr:rowOff>
    </xdr:from>
    <xdr:to>
      <xdr:col>2</xdr:col>
      <xdr:colOff>304800</xdr:colOff>
      <xdr:row>29</xdr:row>
      <xdr:rowOff>3172</xdr:rowOff>
    </xdr:to>
    <mc:AlternateContent xmlns:mc="http://schemas.openxmlformats.org/markup-compatibility/2006" xmlns:a14="http://schemas.microsoft.com/office/drawing/2010/main">
      <mc:Choice Requires="a14">
        <xdr:graphicFrame macro="">
          <xdr:nvGraphicFramePr>
            <xdr:cNvPr id="3" name="squad">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quad"/>
            </a:graphicData>
          </a:graphic>
        </xdr:graphicFrame>
      </mc:Choice>
      <mc:Fallback xmlns="">
        <xdr:sp macro="" textlink="">
          <xdr:nvSpPr>
            <xdr:cNvPr id="0" name=""/>
            <xdr:cNvSpPr>
              <a:spLocks noTextEdit="1"/>
            </xdr:cNvSpPr>
          </xdr:nvSpPr>
          <xdr:spPr>
            <a:xfrm>
              <a:off x="1079500" y="3276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695325</xdr:colOff>
      <xdr:row>0</xdr:row>
      <xdr:rowOff>161925</xdr:rowOff>
    </xdr:from>
    <xdr:to>
      <xdr:col>18</xdr:col>
      <xdr:colOff>203200</xdr:colOff>
      <xdr:row>36</xdr:row>
      <xdr:rowOff>123825</xdr:rowOff>
    </xdr:to>
    <xdr:graphicFrame macro="">
      <xdr:nvGraphicFramePr>
        <xdr:cNvPr id="4" name="圖表 3">
          <a:extLst>
            <a:ext uri="{FF2B5EF4-FFF2-40B4-BE49-F238E27FC236}">
              <a16:creationId xmlns:a16="http://schemas.microsoft.com/office/drawing/2014/main" id="{00000000-0008-0000-0400-000004000000}"/>
            </a:ext>
            <a:ext uri="{147F2762-F138-4A5C-976F-8EAC2B608ADB}">
              <a16:predDERef xmlns:a16="http://schemas.microsoft.com/office/drawing/2014/main" pred="{391C3527-C6FA-3533-7E21-BBB72A6D5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xdr:colOff>
      <xdr:row>14</xdr:row>
      <xdr:rowOff>0</xdr:rowOff>
    </xdr:from>
    <xdr:to>
      <xdr:col>9</xdr:col>
      <xdr:colOff>466725</xdr:colOff>
      <xdr:row>27</xdr:row>
      <xdr:rowOff>142875</xdr:rowOff>
    </xdr:to>
    <mc:AlternateContent xmlns:mc="http://schemas.openxmlformats.org/markup-compatibility/2006">
      <mc:Choice xmlns:cx1="http://schemas.microsoft.com/office/drawing/2015/9/8/chartex" Requires="cx1">
        <xdr:graphicFrame macro="">
          <xdr:nvGraphicFramePr>
            <xdr:cNvPr id="3" name="圖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028825" y="2844800"/>
              <a:ext cx="4495800"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114300</xdr:colOff>
      <xdr:row>3</xdr:row>
      <xdr:rowOff>47625</xdr:rowOff>
    </xdr:from>
    <xdr:to>
      <xdr:col>22</xdr:col>
      <xdr:colOff>276225</xdr:colOff>
      <xdr:row>16</xdr:row>
      <xdr:rowOff>190500</xdr:rowOff>
    </xdr:to>
    <mc:AlternateContent xmlns:mc="http://schemas.openxmlformats.org/markup-compatibility/2006">
      <mc:Choice xmlns:cx1="http://schemas.microsoft.com/office/drawing/2015/9/8/chartex" Requires="cx1">
        <xdr:graphicFrame macro="">
          <xdr:nvGraphicFramePr>
            <xdr:cNvPr id="4" name="圖表 3">
              <a:extLst>
                <a:ext uri="{FF2B5EF4-FFF2-40B4-BE49-F238E27FC236}">
                  <a16:creationId xmlns:a16="http://schemas.microsoft.com/office/drawing/2014/main" id="{00000000-0008-0000-0800-000004000000}"/>
                </a:ext>
                <a:ext uri="{147F2762-F138-4A5C-976F-8EAC2B608ADB}">
                  <a16:predDERef xmlns:a16="http://schemas.microsoft.com/office/drawing/2014/main" pred="{6AECB59A-E807-A6CE-27E5-50C505B5B12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223500" y="657225"/>
              <a:ext cx="4873625"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104775</xdr:colOff>
      <xdr:row>3</xdr:row>
      <xdr:rowOff>0</xdr:rowOff>
    </xdr:from>
    <xdr:to>
      <xdr:col>30</xdr:col>
      <xdr:colOff>619125</xdr:colOff>
      <xdr:row>16</xdr:row>
      <xdr:rowOff>142875</xdr:rowOff>
    </xdr:to>
    <mc:AlternateContent xmlns:mc="http://schemas.openxmlformats.org/markup-compatibility/2006">
      <mc:Choice xmlns:cx1="http://schemas.microsoft.com/office/drawing/2015/9/8/chartex" Requires="cx1">
        <xdr:graphicFrame macro="">
          <xdr:nvGraphicFramePr>
            <xdr:cNvPr id="5" name="圖表 4">
              <a:extLst>
                <a:ext uri="{FF2B5EF4-FFF2-40B4-BE49-F238E27FC236}">
                  <a16:creationId xmlns:a16="http://schemas.microsoft.com/office/drawing/2014/main" id="{00000000-0008-0000-0800-000005000000}"/>
                </a:ext>
                <a:ext uri="{147F2762-F138-4A5C-976F-8EAC2B608ADB}">
                  <a16:predDERef xmlns:a16="http://schemas.microsoft.com/office/drawing/2014/main" pred="{E6002B3E-A065-EE2C-8D16-28124F50755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6271875" y="609600"/>
              <a:ext cx="4552950"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2</xdr:row>
          <xdr:rowOff>63500</xdr:rowOff>
        </xdr:from>
        <xdr:to>
          <xdr:col>9</xdr:col>
          <xdr:colOff>279400</xdr:colOff>
          <xdr:row>3</xdr:row>
          <xdr:rowOff>101600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recorded_example1</a:t>
              </a: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7</xdr:col>
      <xdr:colOff>209549</xdr:colOff>
      <xdr:row>5</xdr:row>
      <xdr:rowOff>66676</xdr:rowOff>
    </xdr:from>
    <xdr:to>
      <xdr:col>9</xdr:col>
      <xdr:colOff>314324</xdr:colOff>
      <xdr:row>7</xdr:row>
      <xdr:rowOff>85726</xdr:rowOff>
    </xdr:to>
    <xdr:sp macro="[0]!recorded_example1" textlink="">
      <xdr:nvSpPr>
        <xdr:cNvPr id="2" name="Cube 1">
          <a:extLst>
            <a:ext uri="{FF2B5EF4-FFF2-40B4-BE49-F238E27FC236}">
              <a16:creationId xmlns:a16="http://schemas.microsoft.com/office/drawing/2014/main" id="{00000000-0008-0000-0900-000002000000}"/>
            </a:ext>
          </a:extLst>
        </xdr:cNvPr>
        <xdr:cNvSpPr/>
      </xdr:nvSpPr>
      <xdr:spPr>
        <a:xfrm>
          <a:off x="5048249" y="1266826"/>
          <a:ext cx="1476375" cy="419100"/>
        </a:xfrm>
        <a:prstGeom prst="cub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recorded_example1</a:t>
          </a:r>
        </a:p>
      </xdr:txBody>
    </xdr:sp>
    <xdr:clientData/>
  </xdr:twoCellAnchor>
  <mc:AlternateContent xmlns:mc="http://schemas.openxmlformats.org/markup-compatibility/2006">
    <mc:Choice xmlns:a14="http://schemas.microsoft.com/office/drawing/2010/main" Requires="a14">
      <xdr:twoCellAnchor editAs="oneCell">
        <xdr:from>
          <xdr:col>14</xdr:col>
          <xdr:colOff>0</xdr:colOff>
          <xdr:row>11</xdr:row>
          <xdr:rowOff>50800</xdr:rowOff>
        </xdr:from>
        <xdr:to>
          <xdr:col>16</xdr:col>
          <xdr:colOff>406400</xdr:colOff>
          <xdr:row>12</xdr:row>
          <xdr:rowOff>101600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recorded_example1_edit</a:t>
              </a: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editAs="oneCell">
    <xdr:from>
      <xdr:col>12</xdr:col>
      <xdr:colOff>104776</xdr:colOff>
      <xdr:row>15</xdr:row>
      <xdr:rowOff>133350</xdr:rowOff>
    </xdr:from>
    <xdr:to>
      <xdr:col>18</xdr:col>
      <xdr:colOff>588753</xdr:colOff>
      <xdr:row>24</xdr:row>
      <xdr:rowOff>28575</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 uri="{28A0092B-C50C-407E-A947-70E740481C1C}">
              <a14:useLocalDpi xmlns:a14="http://schemas.microsoft.com/office/drawing/2010/main" val="0"/>
            </a:ext>
          </a:extLst>
        </a:blip>
        <a:stretch>
          <a:fillRect/>
        </a:stretch>
      </xdr:blipFill>
      <xdr:spPr>
        <a:xfrm>
          <a:off x="8372476" y="3324225"/>
          <a:ext cx="4951202" cy="1885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317500</xdr:colOff>
          <xdr:row>12</xdr:row>
          <xdr:rowOff>139700</xdr:rowOff>
        </xdr:from>
        <xdr:to>
          <xdr:col>10</xdr:col>
          <xdr:colOff>520700</xdr:colOff>
          <xdr:row>17</xdr:row>
          <xdr:rowOff>228600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Click here to clear all formats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14</xdr:row>
          <xdr:rowOff>177800</xdr:rowOff>
        </xdr:from>
        <xdr:to>
          <xdr:col>24</xdr:col>
          <xdr:colOff>596900</xdr:colOff>
          <xdr:row>15</xdr:row>
          <xdr:rowOff>127000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9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Good Profit?</a:t>
              </a:r>
            </a:p>
          </xdr:txBody>
        </xdr:sp>
        <xdr:clientData fPrintsWithSheet="0"/>
      </xdr:twoCellAnchor>
    </mc:Choice>
    <mc:Fallback/>
  </mc:AlternateContent>
  <xdr:twoCellAnchor editAs="oneCell">
    <xdr:from>
      <xdr:col>21</xdr:col>
      <xdr:colOff>104776</xdr:colOff>
      <xdr:row>19</xdr:row>
      <xdr:rowOff>95250</xdr:rowOff>
    </xdr:from>
    <xdr:to>
      <xdr:col>25</xdr:col>
      <xdr:colOff>638176</xdr:colOff>
      <xdr:row>30</xdr:row>
      <xdr:rowOff>88476</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897101" y="4276725"/>
          <a:ext cx="3276600" cy="219350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25400</xdr:colOff>
          <xdr:row>16</xdr:row>
          <xdr:rowOff>25400</xdr:rowOff>
        </xdr:from>
        <xdr:to>
          <xdr:col>7</xdr:col>
          <xdr:colOff>596900</xdr:colOff>
          <xdr:row>16</xdr:row>
          <xdr:rowOff>266700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900-000005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Relative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660400</xdr:colOff>
          <xdr:row>14</xdr:row>
          <xdr:rowOff>76200</xdr:rowOff>
        </xdr:from>
        <xdr:to>
          <xdr:col>7</xdr:col>
          <xdr:colOff>673100</xdr:colOff>
          <xdr:row>15</xdr:row>
          <xdr:rowOff>25400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9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Absolute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50800</xdr:colOff>
          <xdr:row>4</xdr:row>
          <xdr:rowOff>25400</xdr:rowOff>
        </xdr:from>
        <xdr:to>
          <xdr:col>29</xdr:col>
          <xdr:colOff>520700</xdr:colOff>
          <xdr:row>4</xdr:row>
          <xdr:rowOff>266700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900-000007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Print numbers</a:t>
              </a:r>
            </a:p>
          </xdr:txBody>
        </xdr:sp>
        <xdr:clientData fPrintsWithSheet="0"/>
      </xdr:twoCellAnchor>
    </mc:Choice>
    <mc:Fallback/>
  </mc:AlternateContent>
  <xdr:twoCellAnchor editAs="oneCell">
    <xdr:from>
      <xdr:col>30</xdr:col>
      <xdr:colOff>209550</xdr:colOff>
      <xdr:row>4</xdr:row>
      <xdr:rowOff>38100</xdr:rowOff>
    </xdr:from>
    <xdr:to>
      <xdr:col>35</xdr:col>
      <xdr:colOff>495300</xdr:colOff>
      <xdr:row>14</xdr:row>
      <xdr:rowOff>104102</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 uri="{28A0092B-C50C-407E-A947-70E740481C1C}">
              <a14:useLocalDpi xmlns:a14="http://schemas.microsoft.com/office/drawing/2010/main" val="0"/>
            </a:ext>
          </a:extLst>
        </a:blip>
        <a:stretch>
          <a:fillRect/>
        </a:stretch>
      </xdr:blipFill>
      <xdr:spPr>
        <a:xfrm>
          <a:off x="21174075" y="838200"/>
          <a:ext cx="3714750" cy="235200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37</xdr:col>
          <xdr:colOff>190500</xdr:colOff>
          <xdr:row>4</xdr:row>
          <xdr:rowOff>25400</xdr:rowOff>
        </xdr:from>
        <xdr:to>
          <xdr:col>39</xdr:col>
          <xdr:colOff>292100</xdr:colOff>
          <xdr:row>4</xdr:row>
          <xdr:rowOff>266700</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9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Print numbers (While)</a:t>
              </a:r>
            </a:p>
          </xdr:txBody>
        </xdr:sp>
        <xdr:clientData fPrintsWithSheet="0"/>
      </xdr:twoCellAnchor>
    </mc:Choice>
    <mc:Fallback/>
  </mc:AlternateContent>
  <xdr:twoCellAnchor editAs="oneCell">
    <xdr:from>
      <xdr:col>39</xdr:col>
      <xdr:colOff>66675</xdr:colOff>
      <xdr:row>5</xdr:row>
      <xdr:rowOff>190500</xdr:rowOff>
    </xdr:from>
    <xdr:to>
      <xdr:col>43</xdr:col>
      <xdr:colOff>638638</xdr:colOff>
      <xdr:row>17</xdr:row>
      <xdr:rowOff>67046</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7203400" y="1285875"/>
          <a:ext cx="3315163" cy="265784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enjamin Avanzi" id="{41D526D4-9D67-3148-83A7-7F4FDCAD8DB6}" userId="S::b.avanzi@unimelb.edu.au::4c1a0c65-cf17-4469-a7d7-15c887ee25bb"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158.870142939813" createdVersion="8" refreshedVersion="8" minRefreshableVersion="3" recordCount="136" xr:uid="{61FC52FC-B3E2-3643-BB68-795569812EE9}">
  <cacheSource type="worksheet">
    <worksheetSource ref="A3:V139" sheet="FIFA WWC"/>
  </cacheSource>
  <cacheFields count="22">
    <cacheField name="id" numFmtId="0">
      <sharedItems containsSemiMixedTypes="0" containsString="0" containsNumber="1" containsInteger="1" minValue="1" maxValue="136"/>
    </cacheField>
    <cacheField name="squad" numFmtId="0">
      <sharedItems count="36">
        <s v="Argentina"/>
        <s v="Australia"/>
        <s v="Brazil"/>
        <s v="Cameroon"/>
        <s v="Canada"/>
        <s v="Chile"/>
        <s v="China PR"/>
        <s v="England"/>
        <s v="France"/>
        <s v="Germany"/>
        <s v="Italy"/>
        <s v="Jamaica"/>
        <s v="Japan"/>
        <s v="Korea Rep"/>
        <s v="Netherlands"/>
        <s v="New Zealand"/>
        <s v="Nigeria"/>
        <s v="Norway"/>
        <s v="Scotland"/>
        <s v="South Africa"/>
        <s v="Spain"/>
        <s v="Sweden"/>
        <s v="Thailand"/>
        <s v="USA"/>
        <s v="Colombia"/>
        <s v="Costa Rica"/>
        <s v="C√¥te d'Ivoire"/>
        <s v="Ecuador"/>
        <s v="Mexico"/>
        <s v="Switzerland"/>
        <s v="Equ. Guinea"/>
        <s v="Korea DPR"/>
        <s v="Denmark"/>
        <s v="Ghana"/>
        <s v="Russia"/>
        <s v="Chinese Taipei"/>
      </sharedItems>
    </cacheField>
    <cacheField name="year" numFmtId="0">
      <sharedItems containsSemiMixedTypes="0" containsString="0" containsNumber="1" containsInteger="1" minValue="1991" maxValue="2019" count="8">
        <n v="2019"/>
        <n v="2015"/>
        <n v="2011"/>
        <n v="2007"/>
        <n v="2003"/>
        <n v="1999"/>
        <n v="1995"/>
        <n v="1991"/>
      </sharedItems>
    </cacheField>
    <cacheField name="players" numFmtId="0">
      <sharedItems containsSemiMixedTypes="0" containsString="0" containsNumber="1" containsInteger="1" minValue="13" maxValue="23" count="11">
        <n v="18"/>
        <n v="20"/>
        <n v="16"/>
        <n v="17"/>
        <n v="22"/>
        <n v="19"/>
        <n v="21"/>
        <n v="15"/>
        <n v="23"/>
        <n v="14"/>
        <n v="13"/>
      </sharedItems>
    </cacheField>
    <cacheField name="age" numFmtId="0">
      <sharedItems containsSemiMixedTypes="0" containsString="0" containsNumber="1" minValue="18.2" maxValue="29.7"/>
    </cacheField>
    <cacheField name="possesion" numFmtId="0">
      <sharedItems containsString="0" containsBlank="1" containsNumber="1" minValue="30" maxValue="63"/>
    </cacheField>
    <cacheField name="matches_played" numFmtId="0">
      <sharedItems containsSemiMixedTypes="0" containsString="0" containsNumber="1" containsInteger="1" minValue="3" maxValue="7" count="5">
        <n v="3"/>
        <n v="4"/>
        <n v="7"/>
        <n v="5"/>
        <n v="6"/>
      </sharedItems>
    </cacheField>
    <cacheField name="starts" numFmtId="0">
      <sharedItems containsSemiMixedTypes="0" containsString="0" containsNumber="1" containsInteger="1" minValue="33" maxValue="77"/>
    </cacheField>
    <cacheField name="min_playing_time" numFmtId="0">
      <sharedItems containsSemiMixedTypes="0" containsString="0" containsNumber="1" containsInteger="1" minValue="240" maxValue="690"/>
    </cacheField>
    <cacheField name="minutes_played_90s" numFmtId="0">
      <sharedItems containsSemiMixedTypes="0" containsString="0" containsNumber="1" minValue="2.7" maxValue="7.7"/>
    </cacheField>
    <cacheField name="goals" numFmtId="0">
      <sharedItems containsSemiMixedTypes="0" containsString="0" containsNumber="1" containsInteger="1" minValue="0" maxValue="25"/>
    </cacheField>
    <cacheField name="assists" numFmtId="0">
      <sharedItems containsSemiMixedTypes="0" containsString="0" containsNumber="1" containsInteger="1" minValue="0" maxValue="17"/>
    </cacheField>
    <cacheField name="non_penalty_goals" numFmtId="0">
      <sharedItems containsSemiMixedTypes="0" containsString="0" containsNumber="1" containsInteger="1" minValue="0" maxValue="25"/>
    </cacheField>
    <cacheField name="penalty_kicks_made" numFmtId="0">
      <sharedItems containsSemiMixedTypes="0" containsString="0" containsNumber="1" containsInteger="1" minValue="0" maxValue="4"/>
    </cacheField>
    <cacheField name="penalty_kicks_attempted" numFmtId="0">
      <sharedItems containsSemiMixedTypes="0" containsString="0" containsNumber="1" containsInteger="1" minValue="0" maxValue="4"/>
    </cacheField>
    <cacheField name="yellow_cards" numFmtId="0">
      <sharedItems containsString="0" containsBlank="1" containsNumber="1" containsInteger="1" minValue="0" maxValue="8"/>
    </cacheField>
    <cacheField name="red_cards" numFmtId="0">
      <sharedItems containsString="0" containsBlank="1" containsNumber="1" containsInteger="1" minValue="0" maxValue="1"/>
    </cacheField>
    <cacheField name="goals_per_90" numFmtId="0">
      <sharedItems containsSemiMixedTypes="0" containsString="0" containsNumber="1" minValue="0" maxValue="4.6900000000000004"/>
    </cacheField>
    <cacheField name="assists_per_90" numFmtId="0">
      <sharedItems containsSemiMixedTypes="0" containsString="0" containsNumber="1" minValue="0" maxValue="2.4300000000000002"/>
    </cacheField>
    <cacheField name="goals_plus_assists_per_90" numFmtId="0">
      <sharedItems containsSemiMixedTypes="0" containsString="0" containsNumber="1" minValue="0" maxValue="6.75"/>
    </cacheField>
    <cacheField name="goals_minus_penalty_kicks_per_90" numFmtId="0">
      <sharedItems containsSemiMixedTypes="0" containsString="0" containsNumber="1" minValue="0" maxValue="4.5"/>
    </cacheField>
    <cacheField name="goals_plus_assists_minus_penalty_kicks_per_90" numFmtId="0">
      <sharedItems containsSemiMixedTypes="0" containsString="0" containsNumber="1" minValue="0" maxValue="6.56"/>
    </cacheField>
  </cacheFields>
  <extLst>
    <ext xmlns:x14="http://schemas.microsoft.com/office/spreadsheetml/2009/9/main" uri="{725AE2AE-9491-48be-B2B4-4EB974FC3084}">
      <x14:pivotCacheDefinition pivotCacheId="16805936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n v="1"/>
    <x v="0"/>
    <x v="0"/>
    <x v="0"/>
    <n v="26.8"/>
    <n v="34.700000000000003"/>
    <x v="0"/>
    <n v="33"/>
    <n v="270"/>
    <n v="3"/>
    <n v="2"/>
    <n v="1"/>
    <n v="1"/>
    <n v="1"/>
    <n v="1"/>
    <n v="3"/>
    <n v="0"/>
    <n v="0.67"/>
    <n v="0.33"/>
    <n v="1"/>
    <n v="0.33"/>
    <n v="0.67"/>
  </r>
  <r>
    <n v="2"/>
    <x v="1"/>
    <x v="0"/>
    <x v="0"/>
    <n v="25.4"/>
    <n v="61.3"/>
    <x v="1"/>
    <n v="44"/>
    <n v="390"/>
    <n v="4.3"/>
    <n v="8"/>
    <n v="4"/>
    <n v="8"/>
    <n v="0"/>
    <n v="1"/>
    <n v="2"/>
    <n v="0"/>
    <n v="1.85"/>
    <n v="0.92"/>
    <n v="2.77"/>
    <n v="1.85"/>
    <n v="2.77"/>
  </r>
  <r>
    <n v="3"/>
    <x v="2"/>
    <x v="0"/>
    <x v="0"/>
    <n v="29.7"/>
    <n v="51.5"/>
    <x v="1"/>
    <n v="44"/>
    <n v="390"/>
    <n v="4.3"/>
    <n v="7"/>
    <n v="3"/>
    <n v="5"/>
    <n v="2"/>
    <n v="3"/>
    <n v="7"/>
    <n v="0"/>
    <n v="1.62"/>
    <n v="0.69"/>
    <n v="2.31"/>
    <n v="1.1499999999999999"/>
    <n v="1.85"/>
  </r>
  <r>
    <n v="4"/>
    <x v="3"/>
    <x v="0"/>
    <x v="1"/>
    <n v="27.7"/>
    <n v="36"/>
    <x v="1"/>
    <n v="44"/>
    <n v="360"/>
    <n v="4"/>
    <n v="3"/>
    <n v="3"/>
    <n v="3"/>
    <n v="0"/>
    <n v="0"/>
    <n v="6"/>
    <n v="0"/>
    <n v="0.75"/>
    <n v="0.75"/>
    <n v="1.5"/>
    <n v="0.75"/>
    <n v="1.5"/>
  </r>
  <r>
    <n v="5"/>
    <x v="4"/>
    <x v="0"/>
    <x v="2"/>
    <n v="27"/>
    <n v="63"/>
    <x v="1"/>
    <n v="44"/>
    <n v="360"/>
    <n v="4"/>
    <n v="4"/>
    <n v="3"/>
    <n v="4"/>
    <n v="0"/>
    <n v="1"/>
    <n v="2"/>
    <n v="0"/>
    <n v="1"/>
    <n v="0.75"/>
    <n v="1.75"/>
    <n v="1"/>
    <n v="1.75"/>
  </r>
  <r>
    <n v="6"/>
    <x v="5"/>
    <x v="0"/>
    <x v="0"/>
    <n v="26.8"/>
    <n v="42"/>
    <x v="0"/>
    <n v="33"/>
    <n v="270"/>
    <n v="3"/>
    <n v="1"/>
    <n v="1"/>
    <n v="1"/>
    <n v="0"/>
    <n v="1"/>
    <n v="5"/>
    <n v="0"/>
    <n v="0.33"/>
    <n v="0.33"/>
    <n v="0.67"/>
    <n v="0.33"/>
    <n v="0.67"/>
  </r>
  <r>
    <n v="7"/>
    <x v="6"/>
    <x v="0"/>
    <x v="3"/>
    <n v="26.6"/>
    <n v="47"/>
    <x v="1"/>
    <n v="44"/>
    <n v="360"/>
    <n v="4"/>
    <n v="1"/>
    <n v="1"/>
    <n v="1"/>
    <n v="0"/>
    <n v="0"/>
    <n v="5"/>
    <n v="0"/>
    <n v="0.25"/>
    <n v="0.25"/>
    <n v="0.5"/>
    <n v="0.25"/>
    <n v="0.5"/>
  </r>
  <r>
    <n v="8"/>
    <x v="7"/>
    <x v="0"/>
    <x v="4"/>
    <n v="27.8"/>
    <n v="60.4"/>
    <x v="2"/>
    <n v="77"/>
    <n v="630"/>
    <n v="7"/>
    <n v="13"/>
    <n v="12"/>
    <n v="12"/>
    <n v="1"/>
    <n v="4"/>
    <n v="1"/>
    <n v="1"/>
    <n v="1.86"/>
    <n v="1.71"/>
    <n v="3.57"/>
    <n v="1.71"/>
    <n v="3.43"/>
  </r>
  <r>
    <n v="9"/>
    <x v="8"/>
    <x v="0"/>
    <x v="3"/>
    <n v="27.8"/>
    <n v="58.8"/>
    <x v="3"/>
    <n v="55"/>
    <n v="480"/>
    <n v="5.3"/>
    <n v="10"/>
    <n v="8"/>
    <n v="8"/>
    <n v="2"/>
    <n v="2"/>
    <n v="2"/>
    <n v="0"/>
    <n v="1.87"/>
    <n v="1.5"/>
    <n v="3.38"/>
    <n v="1.5"/>
    <n v="3"/>
  </r>
  <r>
    <n v="10"/>
    <x v="9"/>
    <x v="0"/>
    <x v="5"/>
    <n v="25.5"/>
    <n v="57.2"/>
    <x v="3"/>
    <n v="55"/>
    <n v="450"/>
    <n v="5"/>
    <n v="10"/>
    <n v="4"/>
    <n v="9"/>
    <n v="1"/>
    <n v="1"/>
    <n v="2"/>
    <n v="0"/>
    <n v="2"/>
    <n v="0.8"/>
    <n v="2.8"/>
    <n v="1.8"/>
    <n v="2.6"/>
  </r>
  <r>
    <n v="11"/>
    <x v="10"/>
    <x v="0"/>
    <x v="3"/>
    <n v="26.5"/>
    <n v="43.4"/>
    <x v="3"/>
    <n v="55"/>
    <n v="450"/>
    <n v="5"/>
    <n v="9"/>
    <n v="6"/>
    <n v="8"/>
    <n v="1"/>
    <n v="1"/>
    <n v="4"/>
    <n v="0"/>
    <n v="1.8"/>
    <n v="1.2"/>
    <n v="3"/>
    <n v="1.6"/>
    <n v="2.8"/>
  </r>
  <r>
    <n v="12"/>
    <x v="11"/>
    <x v="0"/>
    <x v="1"/>
    <n v="22.9"/>
    <n v="36.700000000000003"/>
    <x v="0"/>
    <n v="33"/>
    <n v="270"/>
    <n v="3"/>
    <n v="1"/>
    <n v="1"/>
    <n v="1"/>
    <n v="0"/>
    <n v="0"/>
    <n v="4"/>
    <n v="0"/>
    <n v="0.33"/>
    <n v="0.33"/>
    <n v="0.67"/>
    <n v="0.33"/>
    <n v="0.67"/>
  </r>
  <r>
    <n v="13"/>
    <x v="12"/>
    <x v="0"/>
    <x v="3"/>
    <n v="24.8"/>
    <n v="53.8"/>
    <x v="1"/>
    <n v="44"/>
    <n v="360"/>
    <n v="4"/>
    <n v="3"/>
    <n v="2"/>
    <n v="2"/>
    <n v="1"/>
    <n v="1"/>
    <n v="4"/>
    <n v="0"/>
    <n v="0.75"/>
    <n v="0.5"/>
    <n v="1.25"/>
    <n v="0.5"/>
    <n v="1"/>
  </r>
  <r>
    <n v="14"/>
    <x v="13"/>
    <x v="0"/>
    <x v="5"/>
    <n v="26.9"/>
    <n v="52"/>
    <x v="0"/>
    <n v="33"/>
    <n v="270"/>
    <n v="3"/>
    <n v="1"/>
    <n v="1"/>
    <n v="1"/>
    <n v="0"/>
    <n v="0"/>
    <n v="4"/>
    <n v="0"/>
    <n v="0.33"/>
    <n v="0.33"/>
    <n v="0.67"/>
    <n v="0.33"/>
    <n v="0.67"/>
  </r>
  <r>
    <n v="15"/>
    <x v="14"/>
    <x v="0"/>
    <x v="2"/>
    <n v="26.1"/>
    <n v="57.1"/>
    <x v="2"/>
    <n v="77"/>
    <n v="660"/>
    <n v="7.3"/>
    <n v="11"/>
    <n v="7"/>
    <n v="10"/>
    <n v="1"/>
    <n v="1"/>
    <n v="0"/>
    <n v="0"/>
    <n v="1.5"/>
    <n v="0.95"/>
    <n v="2.4500000000000002"/>
    <n v="1.36"/>
    <n v="2.3199999999999998"/>
  </r>
  <r>
    <n v="16"/>
    <x v="15"/>
    <x v="0"/>
    <x v="3"/>
    <n v="27.6"/>
    <n v="39.299999999999997"/>
    <x v="0"/>
    <n v="33"/>
    <n v="270"/>
    <n v="3"/>
    <n v="0"/>
    <n v="0"/>
    <n v="0"/>
    <n v="0"/>
    <n v="0"/>
    <n v="1"/>
    <n v="0"/>
    <n v="0"/>
    <n v="0"/>
    <n v="0"/>
    <n v="0"/>
    <n v="0"/>
  </r>
  <r>
    <n v="17"/>
    <x v="16"/>
    <x v="0"/>
    <x v="1"/>
    <n v="25.7"/>
    <n v="34.799999999999997"/>
    <x v="1"/>
    <n v="44"/>
    <n v="360"/>
    <n v="4"/>
    <n v="1"/>
    <n v="1"/>
    <n v="1"/>
    <n v="0"/>
    <n v="0"/>
    <n v="6"/>
    <n v="1"/>
    <n v="0.25"/>
    <n v="0.25"/>
    <n v="0.5"/>
    <n v="0.25"/>
    <n v="0.5"/>
  </r>
  <r>
    <n v="18"/>
    <x v="17"/>
    <x v="0"/>
    <x v="3"/>
    <n v="26.8"/>
    <n v="50.2"/>
    <x v="3"/>
    <n v="55"/>
    <n v="480"/>
    <n v="5.3"/>
    <n v="5"/>
    <n v="3"/>
    <n v="3"/>
    <n v="2"/>
    <n v="2"/>
    <n v="1"/>
    <n v="0"/>
    <n v="0.94"/>
    <n v="0.56000000000000005"/>
    <n v="1.5"/>
    <n v="0.56000000000000005"/>
    <n v="1.1299999999999999"/>
  </r>
  <r>
    <n v="19"/>
    <x v="18"/>
    <x v="0"/>
    <x v="5"/>
    <n v="26.4"/>
    <n v="47"/>
    <x v="0"/>
    <n v="33"/>
    <n v="270"/>
    <n v="3"/>
    <n v="5"/>
    <n v="3"/>
    <n v="5"/>
    <n v="0"/>
    <n v="0"/>
    <n v="6"/>
    <n v="0"/>
    <n v="1.67"/>
    <n v="1"/>
    <n v="2.67"/>
    <n v="1.67"/>
    <n v="2.67"/>
  </r>
  <r>
    <n v="20"/>
    <x v="19"/>
    <x v="0"/>
    <x v="5"/>
    <n v="27.5"/>
    <n v="38"/>
    <x v="0"/>
    <n v="33"/>
    <n v="270"/>
    <n v="3"/>
    <n v="1"/>
    <n v="1"/>
    <n v="1"/>
    <n v="0"/>
    <n v="0"/>
    <n v="7"/>
    <n v="1"/>
    <n v="0.33"/>
    <n v="0.33"/>
    <n v="0.67"/>
    <n v="0.33"/>
    <n v="0.67"/>
  </r>
  <r>
    <n v="21"/>
    <x v="20"/>
    <x v="0"/>
    <x v="5"/>
    <n v="25.2"/>
    <n v="62.5"/>
    <x v="1"/>
    <n v="44"/>
    <n v="360"/>
    <n v="4"/>
    <n v="4"/>
    <n v="2"/>
    <n v="2"/>
    <n v="2"/>
    <n v="2"/>
    <n v="1"/>
    <n v="0"/>
    <n v="1"/>
    <n v="0.5"/>
    <n v="1.5"/>
    <n v="0.5"/>
    <n v="1"/>
  </r>
  <r>
    <n v="22"/>
    <x v="21"/>
    <x v="0"/>
    <x v="1"/>
    <n v="28.5"/>
    <n v="48.4"/>
    <x v="2"/>
    <n v="77"/>
    <n v="660"/>
    <n v="7.3"/>
    <n v="12"/>
    <n v="7"/>
    <n v="11"/>
    <n v="1"/>
    <n v="1"/>
    <n v="2"/>
    <n v="0"/>
    <n v="1.64"/>
    <n v="0.95"/>
    <n v="2.59"/>
    <n v="1.5"/>
    <n v="2.4500000000000002"/>
  </r>
  <r>
    <n v="23"/>
    <x v="22"/>
    <x v="0"/>
    <x v="0"/>
    <n v="27.8"/>
    <n v="30"/>
    <x v="0"/>
    <n v="33"/>
    <n v="270"/>
    <n v="3"/>
    <n v="1"/>
    <n v="1"/>
    <n v="1"/>
    <n v="0"/>
    <n v="0"/>
    <n v="5"/>
    <n v="0"/>
    <n v="0.33"/>
    <n v="0.33"/>
    <n v="0.67"/>
    <n v="0.33"/>
    <n v="0.67"/>
  </r>
  <r>
    <n v="24"/>
    <x v="23"/>
    <x v="0"/>
    <x v="6"/>
    <n v="28.8"/>
    <n v="56"/>
    <x v="2"/>
    <n v="77"/>
    <n v="630"/>
    <n v="7"/>
    <n v="25"/>
    <n v="17"/>
    <n v="22"/>
    <n v="3"/>
    <n v="4"/>
    <n v="0"/>
    <n v="0"/>
    <n v="3.57"/>
    <n v="2.4300000000000002"/>
    <n v="6"/>
    <n v="3.14"/>
    <n v="5.57"/>
  </r>
  <r>
    <n v="25"/>
    <x v="1"/>
    <x v="1"/>
    <x v="3"/>
    <n v="23.6"/>
    <n v="46.2"/>
    <x v="3"/>
    <n v="55"/>
    <n v="450"/>
    <n v="5"/>
    <n v="5"/>
    <n v="4"/>
    <n v="5"/>
    <n v="0"/>
    <n v="0"/>
    <n v="0"/>
    <n v="0"/>
    <n v="1"/>
    <n v="0.8"/>
    <n v="1.8"/>
    <n v="1"/>
    <n v="1.8"/>
  </r>
  <r>
    <n v="26"/>
    <x v="2"/>
    <x v="1"/>
    <x v="1"/>
    <n v="27.4"/>
    <n v="59"/>
    <x v="1"/>
    <n v="44"/>
    <n v="360"/>
    <n v="4"/>
    <n v="4"/>
    <n v="1"/>
    <n v="3"/>
    <n v="1"/>
    <n v="1"/>
    <n v="1"/>
    <n v="0"/>
    <n v="1"/>
    <n v="0.25"/>
    <n v="1.25"/>
    <n v="0.75"/>
    <n v="1"/>
  </r>
  <r>
    <n v="27"/>
    <x v="3"/>
    <x v="1"/>
    <x v="3"/>
    <n v="25.1"/>
    <n v="48.8"/>
    <x v="1"/>
    <n v="44"/>
    <n v="360"/>
    <n v="4"/>
    <n v="9"/>
    <n v="5"/>
    <n v="5"/>
    <n v="4"/>
    <n v="4"/>
    <n v="6"/>
    <n v="0"/>
    <n v="2.25"/>
    <n v="1.25"/>
    <n v="3.5"/>
    <n v="1.25"/>
    <n v="2.5"/>
  </r>
  <r>
    <n v="28"/>
    <x v="4"/>
    <x v="1"/>
    <x v="0"/>
    <n v="27.2"/>
    <n v="55"/>
    <x v="3"/>
    <n v="55"/>
    <n v="450"/>
    <n v="5"/>
    <n v="4"/>
    <n v="1"/>
    <n v="3"/>
    <n v="1"/>
    <n v="1"/>
    <n v="3"/>
    <n v="0"/>
    <n v="0.8"/>
    <n v="0.2"/>
    <n v="1"/>
    <n v="0.6"/>
    <n v="0.8"/>
  </r>
  <r>
    <n v="29"/>
    <x v="6"/>
    <x v="1"/>
    <x v="0"/>
    <n v="23.6"/>
    <n v="48.6"/>
    <x v="3"/>
    <n v="55"/>
    <n v="450"/>
    <n v="5"/>
    <n v="4"/>
    <n v="2"/>
    <n v="3"/>
    <n v="1"/>
    <n v="1"/>
    <n v="2"/>
    <n v="0"/>
    <n v="0.8"/>
    <n v="0.4"/>
    <n v="1.2"/>
    <n v="0.6"/>
    <n v="1"/>
  </r>
  <r>
    <n v="30"/>
    <x v="24"/>
    <x v="1"/>
    <x v="0"/>
    <n v="24.3"/>
    <n v="44.3"/>
    <x v="1"/>
    <n v="44"/>
    <n v="360"/>
    <n v="4"/>
    <n v="4"/>
    <n v="4"/>
    <n v="4"/>
    <n v="0"/>
    <n v="0"/>
    <n v="8"/>
    <n v="0"/>
    <n v="1"/>
    <n v="1"/>
    <n v="2"/>
    <n v="1"/>
    <n v="2"/>
  </r>
  <r>
    <n v="31"/>
    <x v="25"/>
    <x v="1"/>
    <x v="7"/>
    <n v="25"/>
    <n v="42.3"/>
    <x v="0"/>
    <n v="33"/>
    <n v="270"/>
    <n v="3"/>
    <n v="3"/>
    <n v="3"/>
    <n v="3"/>
    <n v="0"/>
    <n v="0"/>
    <n v="0"/>
    <n v="0"/>
    <n v="1"/>
    <n v="1"/>
    <n v="2"/>
    <n v="1"/>
    <n v="2"/>
  </r>
  <r>
    <n v="32"/>
    <x v="26"/>
    <x v="1"/>
    <x v="5"/>
    <n v="25"/>
    <n v="45"/>
    <x v="0"/>
    <n v="33"/>
    <n v="270"/>
    <n v="3"/>
    <n v="3"/>
    <n v="0"/>
    <n v="3"/>
    <n v="0"/>
    <n v="0"/>
    <n v="8"/>
    <n v="0"/>
    <n v="1"/>
    <n v="0"/>
    <n v="1"/>
    <n v="1"/>
    <n v="1"/>
  </r>
  <r>
    <n v="33"/>
    <x v="27"/>
    <x v="1"/>
    <x v="5"/>
    <n v="23.4"/>
    <n v="38.700000000000003"/>
    <x v="0"/>
    <n v="33"/>
    <n v="270"/>
    <n v="3"/>
    <n v="1"/>
    <n v="0"/>
    <n v="0"/>
    <n v="1"/>
    <n v="1"/>
    <n v="6"/>
    <n v="1"/>
    <n v="0.33"/>
    <n v="0"/>
    <n v="0.33"/>
    <n v="0"/>
    <n v="0"/>
  </r>
  <r>
    <n v="34"/>
    <x v="7"/>
    <x v="1"/>
    <x v="4"/>
    <n v="27.6"/>
    <n v="48.1"/>
    <x v="2"/>
    <n v="77"/>
    <n v="660"/>
    <n v="7.3"/>
    <n v="10"/>
    <n v="4"/>
    <n v="7"/>
    <n v="3"/>
    <n v="3"/>
    <n v="3"/>
    <n v="0"/>
    <n v="1.36"/>
    <n v="0.55000000000000004"/>
    <n v="1.91"/>
    <n v="0.95"/>
    <n v="1.5"/>
  </r>
  <r>
    <n v="35"/>
    <x v="8"/>
    <x v="1"/>
    <x v="5"/>
    <n v="27.3"/>
    <n v="53.6"/>
    <x v="3"/>
    <n v="55"/>
    <n v="480"/>
    <n v="5.3"/>
    <n v="9"/>
    <n v="7"/>
    <n v="9"/>
    <n v="0"/>
    <n v="0"/>
    <n v="0"/>
    <n v="0"/>
    <n v="1.69"/>
    <n v="1.31"/>
    <n v="3"/>
    <n v="1.69"/>
    <n v="3"/>
  </r>
  <r>
    <n v="36"/>
    <x v="9"/>
    <x v="1"/>
    <x v="6"/>
    <n v="26.9"/>
    <n v="54.7"/>
    <x v="2"/>
    <n v="77"/>
    <n v="690"/>
    <n v="7.7"/>
    <n v="20"/>
    <n v="11"/>
    <n v="18"/>
    <n v="2"/>
    <n v="2"/>
    <n v="1"/>
    <n v="0"/>
    <n v="2.61"/>
    <n v="1.43"/>
    <n v="4.04"/>
    <n v="2.35"/>
    <n v="3.78"/>
  </r>
  <r>
    <n v="37"/>
    <x v="12"/>
    <x v="1"/>
    <x v="8"/>
    <n v="27.9"/>
    <n v="55.1"/>
    <x v="2"/>
    <n v="77"/>
    <n v="630"/>
    <n v="7"/>
    <n v="9"/>
    <n v="5"/>
    <n v="7"/>
    <n v="2"/>
    <n v="2"/>
    <n v="1"/>
    <n v="0"/>
    <n v="1.29"/>
    <n v="0.71"/>
    <n v="2"/>
    <n v="1"/>
    <n v="1.71"/>
  </r>
  <r>
    <n v="38"/>
    <x v="13"/>
    <x v="1"/>
    <x v="5"/>
    <n v="26.1"/>
    <n v="43.8"/>
    <x v="1"/>
    <n v="44"/>
    <n v="360"/>
    <n v="4"/>
    <n v="4"/>
    <n v="3"/>
    <n v="3"/>
    <n v="1"/>
    <n v="1"/>
    <n v="5"/>
    <n v="0"/>
    <n v="1"/>
    <n v="0.75"/>
    <n v="1.75"/>
    <n v="0.75"/>
    <n v="1.5"/>
  </r>
  <r>
    <n v="39"/>
    <x v="28"/>
    <x v="1"/>
    <x v="3"/>
    <n v="24.3"/>
    <n v="52.3"/>
    <x v="0"/>
    <n v="33"/>
    <n v="270"/>
    <n v="3"/>
    <n v="2"/>
    <n v="1"/>
    <n v="2"/>
    <n v="0"/>
    <n v="0"/>
    <n v="4"/>
    <n v="0"/>
    <n v="0.67"/>
    <n v="0.33"/>
    <n v="1"/>
    <n v="0.67"/>
    <n v="1"/>
  </r>
  <r>
    <n v="40"/>
    <x v="14"/>
    <x v="1"/>
    <x v="0"/>
    <n v="24.3"/>
    <n v="49"/>
    <x v="1"/>
    <n v="44"/>
    <n v="360"/>
    <n v="4"/>
    <n v="3"/>
    <n v="3"/>
    <n v="3"/>
    <n v="0"/>
    <n v="0"/>
    <n v="3"/>
    <n v="0"/>
    <n v="0.75"/>
    <n v="0.75"/>
    <n v="1.5"/>
    <n v="0.75"/>
    <n v="1.5"/>
  </r>
  <r>
    <n v="41"/>
    <x v="15"/>
    <x v="1"/>
    <x v="7"/>
    <n v="24.9"/>
    <n v="46.7"/>
    <x v="0"/>
    <n v="33"/>
    <n v="270"/>
    <n v="3"/>
    <n v="2"/>
    <n v="2"/>
    <n v="2"/>
    <n v="0"/>
    <n v="0"/>
    <n v="4"/>
    <n v="0"/>
    <n v="0.67"/>
    <n v="0.67"/>
    <n v="1.33"/>
    <n v="0.67"/>
    <n v="1.33"/>
  </r>
  <r>
    <n v="42"/>
    <x v="16"/>
    <x v="1"/>
    <x v="3"/>
    <n v="24.6"/>
    <n v="48.3"/>
    <x v="0"/>
    <n v="33"/>
    <n v="270"/>
    <n v="3"/>
    <n v="3"/>
    <n v="3"/>
    <n v="3"/>
    <n v="0"/>
    <n v="0"/>
    <n v="6"/>
    <n v="1"/>
    <n v="1"/>
    <n v="1"/>
    <n v="2"/>
    <n v="1"/>
    <n v="2"/>
  </r>
  <r>
    <n v="43"/>
    <x v="17"/>
    <x v="1"/>
    <x v="0"/>
    <n v="26.7"/>
    <n v="54.5"/>
    <x v="1"/>
    <n v="44"/>
    <n v="360"/>
    <n v="4"/>
    <n v="9"/>
    <n v="6"/>
    <n v="9"/>
    <n v="0"/>
    <n v="0"/>
    <n v="1"/>
    <n v="0"/>
    <n v="2.25"/>
    <n v="1.5"/>
    <n v="3.75"/>
    <n v="2.25"/>
    <n v="3.75"/>
  </r>
  <r>
    <n v="44"/>
    <x v="20"/>
    <x v="1"/>
    <x v="3"/>
    <n v="25.3"/>
    <n v="50.7"/>
    <x v="0"/>
    <n v="33"/>
    <n v="270"/>
    <n v="3"/>
    <n v="2"/>
    <n v="2"/>
    <n v="2"/>
    <n v="0"/>
    <n v="0"/>
    <n v="3"/>
    <n v="0"/>
    <n v="0.67"/>
    <n v="0.67"/>
    <n v="1.33"/>
    <n v="0.67"/>
    <n v="1.33"/>
  </r>
  <r>
    <n v="45"/>
    <x v="21"/>
    <x v="1"/>
    <x v="0"/>
    <n v="28.1"/>
    <n v="49.3"/>
    <x v="1"/>
    <n v="44"/>
    <n v="360"/>
    <n v="4"/>
    <n v="4"/>
    <n v="2"/>
    <n v="4"/>
    <n v="0"/>
    <n v="0"/>
    <n v="0"/>
    <n v="0"/>
    <n v="1"/>
    <n v="0.5"/>
    <n v="1.5"/>
    <n v="1"/>
    <n v="1.5"/>
  </r>
  <r>
    <n v="46"/>
    <x v="29"/>
    <x v="1"/>
    <x v="3"/>
    <n v="25"/>
    <n v="55.3"/>
    <x v="1"/>
    <n v="44"/>
    <n v="360"/>
    <n v="4"/>
    <n v="9"/>
    <n v="7"/>
    <n v="8"/>
    <n v="1"/>
    <n v="1"/>
    <n v="4"/>
    <n v="0"/>
    <n v="2.25"/>
    <n v="1.75"/>
    <n v="4"/>
    <n v="2"/>
    <n v="3.75"/>
  </r>
  <r>
    <n v="47"/>
    <x v="22"/>
    <x v="1"/>
    <x v="3"/>
    <n v="25.7"/>
    <n v="40"/>
    <x v="0"/>
    <n v="33"/>
    <n v="270"/>
    <n v="3"/>
    <n v="3"/>
    <n v="3"/>
    <n v="3"/>
    <n v="0"/>
    <n v="0"/>
    <n v="3"/>
    <n v="0"/>
    <n v="1"/>
    <n v="1"/>
    <n v="2"/>
    <n v="1"/>
    <n v="2"/>
  </r>
  <r>
    <n v="48"/>
    <x v="23"/>
    <x v="1"/>
    <x v="1"/>
    <n v="28.4"/>
    <n v="52.9"/>
    <x v="2"/>
    <n v="77"/>
    <n v="630"/>
    <n v="7"/>
    <n v="14"/>
    <n v="7"/>
    <n v="12"/>
    <n v="2"/>
    <n v="2"/>
    <n v="2"/>
    <n v="0"/>
    <n v="2"/>
    <n v="1"/>
    <n v="3"/>
    <n v="1.71"/>
    <n v="2.71"/>
  </r>
  <r>
    <n v="49"/>
    <x v="1"/>
    <x v="2"/>
    <x v="1"/>
    <n v="22.8"/>
    <n v="53.5"/>
    <x v="1"/>
    <n v="44"/>
    <n v="360"/>
    <n v="4"/>
    <n v="6"/>
    <n v="6"/>
    <n v="6"/>
    <n v="0"/>
    <n v="0"/>
    <n v="0"/>
    <n v="0"/>
    <n v="1.5"/>
    <n v="1.5"/>
    <n v="3"/>
    <n v="1.5"/>
    <n v="3"/>
  </r>
  <r>
    <n v="50"/>
    <x v="2"/>
    <x v="2"/>
    <x v="2"/>
    <n v="27"/>
    <n v="53.3"/>
    <x v="1"/>
    <n v="44"/>
    <n v="390"/>
    <n v="4.3"/>
    <n v="9"/>
    <n v="6"/>
    <n v="7"/>
    <n v="2"/>
    <n v="2"/>
    <n v="0"/>
    <n v="0"/>
    <n v="2.08"/>
    <n v="1.38"/>
    <n v="3.46"/>
    <n v="1.62"/>
    <n v="3"/>
  </r>
  <r>
    <n v="51"/>
    <x v="4"/>
    <x v="2"/>
    <x v="5"/>
    <n v="25.9"/>
    <n v="47.3"/>
    <x v="0"/>
    <n v="33"/>
    <n v="270"/>
    <n v="3"/>
    <n v="1"/>
    <n v="0"/>
    <n v="1"/>
    <n v="0"/>
    <n v="0"/>
    <n v="0"/>
    <n v="0"/>
    <n v="0.33"/>
    <n v="0"/>
    <n v="0.33"/>
    <n v="0.33"/>
    <n v="0.33"/>
  </r>
  <r>
    <n v="52"/>
    <x v="24"/>
    <x v="2"/>
    <x v="3"/>
    <n v="22.4"/>
    <n v="49.3"/>
    <x v="0"/>
    <n v="33"/>
    <n v="270"/>
    <n v="3"/>
    <n v="0"/>
    <n v="0"/>
    <n v="0"/>
    <n v="0"/>
    <n v="0"/>
    <n v="0"/>
    <n v="0"/>
    <n v="0"/>
    <n v="0"/>
    <n v="0"/>
    <n v="0"/>
    <n v="0"/>
  </r>
  <r>
    <n v="53"/>
    <x v="7"/>
    <x v="2"/>
    <x v="0"/>
    <n v="26.9"/>
    <n v="49.3"/>
    <x v="1"/>
    <n v="44"/>
    <n v="390"/>
    <n v="4.3"/>
    <n v="6"/>
    <n v="7"/>
    <n v="6"/>
    <n v="0"/>
    <n v="0"/>
    <n v="0"/>
    <n v="0"/>
    <n v="1.38"/>
    <n v="1.62"/>
    <n v="3"/>
    <n v="1.38"/>
    <n v="3"/>
  </r>
  <r>
    <n v="54"/>
    <x v="30"/>
    <x v="2"/>
    <x v="7"/>
    <n v="26.1"/>
    <n v="40.700000000000003"/>
    <x v="0"/>
    <n v="33"/>
    <n v="270"/>
    <n v="3"/>
    <n v="2"/>
    <n v="0"/>
    <n v="2"/>
    <n v="0"/>
    <n v="0"/>
    <m/>
    <m/>
    <n v="0.67"/>
    <n v="0"/>
    <n v="0.67"/>
    <n v="0.67"/>
    <n v="0.67"/>
  </r>
  <r>
    <n v="55"/>
    <x v="8"/>
    <x v="2"/>
    <x v="1"/>
    <n v="26.7"/>
    <n v="52.3"/>
    <x v="4"/>
    <n v="66"/>
    <n v="570"/>
    <n v="6.3"/>
    <n v="10"/>
    <n v="9"/>
    <n v="10"/>
    <n v="0"/>
    <n v="0"/>
    <n v="0"/>
    <n v="0"/>
    <n v="1.58"/>
    <n v="1.42"/>
    <n v="3"/>
    <n v="1.58"/>
    <n v="3"/>
  </r>
  <r>
    <n v="56"/>
    <x v="9"/>
    <x v="2"/>
    <x v="3"/>
    <n v="26.4"/>
    <n v="50"/>
    <x v="1"/>
    <n v="44"/>
    <n v="390"/>
    <n v="4.3"/>
    <n v="7"/>
    <n v="6"/>
    <n v="6"/>
    <n v="1"/>
    <n v="1"/>
    <n v="0"/>
    <n v="0"/>
    <n v="1.62"/>
    <n v="1.38"/>
    <n v="3"/>
    <n v="1.38"/>
    <n v="2.77"/>
  </r>
  <r>
    <n v="57"/>
    <x v="12"/>
    <x v="2"/>
    <x v="0"/>
    <n v="25.4"/>
    <n v="56.5"/>
    <x v="4"/>
    <n v="66"/>
    <n v="600"/>
    <n v="6.7"/>
    <n v="12"/>
    <n v="10"/>
    <n v="12"/>
    <n v="0"/>
    <n v="0"/>
    <n v="0"/>
    <n v="0"/>
    <n v="1.8"/>
    <n v="1.5"/>
    <n v="3.3"/>
    <n v="1.8"/>
    <n v="3.3"/>
  </r>
  <r>
    <n v="58"/>
    <x v="31"/>
    <x v="2"/>
    <x v="3"/>
    <n v="21.1"/>
    <n v="50.7"/>
    <x v="0"/>
    <n v="33"/>
    <n v="270"/>
    <n v="3"/>
    <n v="0"/>
    <n v="0"/>
    <n v="0"/>
    <n v="0"/>
    <n v="0"/>
    <m/>
    <m/>
    <n v="0"/>
    <n v="0"/>
    <n v="0"/>
    <n v="0"/>
    <n v="0"/>
  </r>
  <r>
    <n v="59"/>
    <x v="28"/>
    <x v="2"/>
    <x v="0"/>
    <n v="23.1"/>
    <n v="47.7"/>
    <x v="0"/>
    <n v="33"/>
    <n v="270"/>
    <n v="3"/>
    <n v="3"/>
    <n v="3"/>
    <n v="3"/>
    <n v="0"/>
    <n v="0"/>
    <n v="0"/>
    <n v="0"/>
    <n v="1"/>
    <n v="1"/>
    <n v="2"/>
    <n v="1"/>
    <n v="2"/>
  </r>
  <r>
    <n v="60"/>
    <x v="15"/>
    <x v="2"/>
    <x v="2"/>
    <n v="24.4"/>
    <n v="45.7"/>
    <x v="0"/>
    <n v="33"/>
    <n v="270"/>
    <n v="3"/>
    <n v="4"/>
    <n v="3"/>
    <n v="4"/>
    <n v="0"/>
    <n v="0"/>
    <n v="0"/>
    <n v="0"/>
    <n v="1.33"/>
    <n v="1"/>
    <n v="2.33"/>
    <n v="1.33"/>
    <n v="2.33"/>
  </r>
  <r>
    <n v="61"/>
    <x v="16"/>
    <x v="2"/>
    <x v="3"/>
    <n v="24.3"/>
    <n v="50.7"/>
    <x v="0"/>
    <n v="33"/>
    <n v="270"/>
    <n v="3"/>
    <n v="1"/>
    <n v="0"/>
    <n v="1"/>
    <n v="0"/>
    <n v="0"/>
    <n v="0"/>
    <n v="0"/>
    <n v="0.33"/>
    <n v="0"/>
    <n v="0.33"/>
    <n v="0.33"/>
    <n v="0.33"/>
  </r>
  <r>
    <n v="62"/>
    <x v="17"/>
    <x v="2"/>
    <x v="0"/>
    <n v="24.7"/>
    <n v="50.7"/>
    <x v="0"/>
    <n v="33"/>
    <n v="270"/>
    <n v="3"/>
    <n v="2"/>
    <n v="1"/>
    <n v="2"/>
    <n v="0"/>
    <n v="0"/>
    <n v="0"/>
    <n v="0"/>
    <n v="0.67"/>
    <n v="0.33"/>
    <n v="1"/>
    <n v="0.67"/>
    <n v="1"/>
  </r>
  <r>
    <n v="63"/>
    <x v="21"/>
    <x v="2"/>
    <x v="5"/>
    <n v="28.4"/>
    <n v="45.3"/>
    <x v="4"/>
    <n v="66"/>
    <n v="540"/>
    <n v="6"/>
    <n v="10"/>
    <n v="4"/>
    <n v="9"/>
    <n v="1"/>
    <n v="1"/>
    <n v="0"/>
    <n v="0"/>
    <n v="1.67"/>
    <n v="0.67"/>
    <n v="2.33"/>
    <n v="1.5"/>
    <n v="2.17"/>
  </r>
  <r>
    <n v="64"/>
    <x v="23"/>
    <x v="2"/>
    <x v="0"/>
    <n v="28.3"/>
    <n v="50.5"/>
    <x v="4"/>
    <n v="66"/>
    <n v="600"/>
    <n v="6.7"/>
    <n v="12"/>
    <n v="9"/>
    <n v="12"/>
    <n v="0"/>
    <n v="0"/>
    <n v="0"/>
    <n v="0"/>
    <n v="1.8"/>
    <n v="1.35"/>
    <n v="3.15"/>
    <n v="1.8"/>
    <n v="3.15"/>
  </r>
  <r>
    <n v="65"/>
    <x v="0"/>
    <x v="3"/>
    <x v="5"/>
    <n v="21"/>
    <n v="38.299999999999997"/>
    <x v="0"/>
    <n v="33"/>
    <n v="270"/>
    <n v="3"/>
    <n v="1"/>
    <n v="0"/>
    <n v="1"/>
    <n v="0"/>
    <n v="0"/>
    <m/>
    <m/>
    <n v="0.33"/>
    <n v="0"/>
    <n v="0.33"/>
    <n v="0.33"/>
    <n v="0.33"/>
  </r>
  <r>
    <n v="66"/>
    <x v="1"/>
    <x v="3"/>
    <x v="0"/>
    <n v="24.7"/>
    <n v="48.3"/>
    <x v="1"/>
    <n v="44"/>
    <n v="360"/>
    <n v="4"/>
    <n v="9"/>
    <n v="6"/>
    <n v="9"/>
    <n v="0"/>
    <n v="0"/>
    <m/>
    <m/>
    <n v="2.25"/>
    <n v="1.5"/>
    <n v="3.75"/>
    <n v="2.25"/>
    <n v="3.75"/>
  </r>
  <r>
    <n v="67"/>
    <x v="2"/>
    <x v="3"/>
    <x v="2"/>
    <n v="25.7"/>
    <n v="61.3"/>
    <x v="4"/>
    <n v="66"/>
    <n v="540"/>
    <n v="6"/>
    <n v="16"/>
    <n v="7"/>
    <n v="16"/>
    <n v="0"/>
    <n v="0"/>
    <m/>
    <m/>
    <n v="2.67"/>
    <n v="1.17"/>
    <n v="3.83"/>
    <n v="2.67"/>
    <n v="3.83"/>
  </r>
  <r>
    <n v="68"/>
    <x v="4"/>
    <x v="3"/>
    <x v="0"/>
    <n v="23.8"/>
    <n v="39.299999999999997"/>
    <x v="0"/>
    <n v="33"/>
    <n v="270"/>
    <n v="3"/>
    <n v="7"/>
    <n v="3"/>
    <n v="7"/>
    <n v="0"/>
    <n v="0"/>
    <m/>
    <m/>
    <n v="2.33"/>
    <n v="1"/>
    <n v="3.33"/>
    <n v="2.33"/>
    <n v="3.33"/>
  </r>
  <r>
    <n v="69"/>
    <x v="6"/>
    <x v="3"/>
    <x v="0"/>
    <n v="24.9"/>
    <n v="47.3"/>
    <x v="1"/>
    <n v="44"/>
    <n v="360"/>
    <n v="4"/>
    <n v="5"/>
    <n v="0"/>
    <n v="5"/>
    <n v="0"/>
    <n v="0"/>
    <m/>
    <m/>
    <n v="1.25"/>
    <n v="0"/>
    <n v="1.25"/>
    <n v="1.25"/>
    <n v="1.25"/>
  </r>
  <r>
    <n v="70"/>
    <x v="32"/>
    <x v="3"/>
    <x v="2"/>
    <n v="26.9"/>
    <n v="50.7"/>
    <x v="0"/>
    <n v="33"/>
    <n v="270"/>
    <n v="3"/>
    <n v="4"/>
    <n v="2"/>
    <n v="4"/>
    <n v="0"/>
    <n v="0"/>
    <m/>
    <m/>
    <n v="1.33"/>
    <n v="0.67"/>
    <n v="2"/>
    <n v="1.33"/>
    <n v="2"/>
  </r>
  <r>
    <n v="71"/>
    <x v="7"/>
    <x v="3"/>
    <x v="0"/>
    <n v="24.8"/>
    <n v="52.5"/>
    <x v="1"/>
    <n v="44"/>
    <n v="360"/>
    <n v="4"/>
    <n v="7"/>
    <n v="5"/>
    <n v="5"/>
    <n v="2"/>
    <n v="2"/>
    <m/>
    <m/>
    <n v="1.75"/>
    <n v="1.25"/>
    <n v="3"/>
    <n v="1.25"/>
    <n v="2.5"/>
  </r>
  <r>
    <n v="72"/>
    <x v="9"/>
    <x v="3"/>
    <x v="3"/>
    <n v="26.5"/>
    <n v="49.5"/>
    <x v="4"/>
    <n v="66"/>
    <n v="540"/>
    <n v="6"/>
    <n v="20"/>
    <n v="11"/>
    <n v="19"/>
    <n v="1"/>
    <n v="1"/>
    <m/>
    <m/>
    <n v="3.33"/>
    <n v="1.83"/>
    <n v="5.17"/>
    <n v="3.17"/>
    <n v="5"/>
  </r>
  <r>
    <n v="73"/>
    <x v="33"/>
    <x v="3"/>
    <x v="5"/>
    <n v="24.5"/>
    <n v="52.3"/>
    <x v="0"/>
    <n v="33"/>
    <n v="270"/>
    <n v="3"/>
    <n v="3"/>
    <n v="0"/>
    <n v="2"/>
    <n v="1"/>
    <n v="1"/>
    <m/>
    <m/>
    <n v="1"/>
    <n v="0"/>
    <n v="1"/>
    <n v="0.67"/>
    <n v="0.67"/>
  </r>
  <r>
    <n v="74"/>
    <x v="12"/>
    <x v="3"/>
    <x v="2"/>
    <n v="24.7"/>
    <n v="56"/>
    <x v="0"/>
    <n v="33"/>
    <n v="270"/>
    <n v="3"/>
    <n v="3"/>
    <n v="0"/>
    <n v="3"/>
    <n v="0"/>
    <n v="0"/>
    <m/>
    <m/>
    <n v="1"/>
    <n v="0"/>
    <n v="1"/>
    <n v="1"/>
    <n v="1"/>
  </r>
  <r>
    <n v="75"/>
    <x v="31"/>
    <x v="3"/>
    <x v="7"/>
    <n v="22.8"/>
    <n v="52.8"/>
    <x v="1"/>
    <n v="44"/>
    <n v="360"/>
    <n v="4"/>
    <n v="5"/>
    <n v="1"/>
    <n v="5"/>
    <n v="0"/>
    <n v="0"/>
    <m/>
    <m/>
    <n v="1.25"/>
    <n v="0.25"/>
    <n v="1.5"/>
    <n v="1.25"/>
    <n v="1.5"/>
  </r>
  <r>
    <n v="76"/>
    <x v="15"/>
    <x v="3"/>
    <x v="0"/>
    <n v="24.5"/>
    <n v="39.700000000000003"/>
    <x v="0"/>
    <n v="33"/>
    <n v="270"/>
    <n v="3"/>
    <n v="0"/>
    <n v="0"/>
    <n v="0"/>
    <n v="0"/>
    <n v="0"/>
    <m/>
    <m/>
    <n v="0"/>
    <n v="0"/>
    <n v="0"/>
    <n v="0"/>
    <n v="0"/>
  </r>
  <r>
    <n v="77"/>
    <x v="16"/>
    <x v="3"/>
    <x v="7"/>
    <n v="23.6"/>
    <n v="51"/>
    <x v="0"/>
    <n v="33"/>
    <n v="270"/>
    <n v="3"/>
    <n v="1"/>
    <n v="0"/>
    <n v="1"/>
    <n v="0"/>
    <n v="0"/>
    <m/>
    <m/>
    <n v="0.33"/>
    <n v="0"/>
    <n v="0.33"/>
    <n v="0.33"/>
    <n v="0.33"/>
  </r>
  <r>
    <n v="78"/>
    <x v="17"/>
    <x v="3"/>
    <x v="5"/>
    <n v="26.3"/>
    <n v="53.7"/>
    <x v="4"/>
    <n v="66"/>
    <n v="540"/>
    <n v="6"/>
    <n v="12"/>
    <n v="10"/>
    <n v="11"/>
    <n v="1"/>
    <n v="1"/>
    <m/>
    <m/>
    <n v="2"/>
    <n v="1.67"/>
    <n v="3.67"/>
    <n v="1.83"/>
    <n v="3.5"/>
  </r>
  <r>
    <n v="79"/>
    <x v="21"/>
    <x v="3"/>
    <x v="2"/>
    <n v="26.1"/>
    <n v="49.7"/>
    <x v="0"/>
    <n v="33"/>
    <n v="270"/>
    <n v="3"/>
    <n v="3"/>
    <n v="3"/>
    <n v="3"/>
    <n v="0"/>
    <n v="0"/>
    <m/>
    <m/>
    <n v="1"/>
    <n v="1"/>
    <n v="2"/>
    <n v="1"/>
    <n v="2"/>
  </r>
  <r>
    <n v="80"/>
    <x v="23"/>
    <x v="3"/>
    <x v="0"/>
    <n v="26.7"/>
    <n v="46.5"/>
    <x v="4"/>
    <n v="66"/>
    <n v="540"/>
    <n v="6"/>
    <n v="12"/>
    <n v="3"/>
    <n v="11"/>
    <n v="1"/>
    <n v="1"/>
    <m/>
    <m/>
    <n v="2"/>
    <n v="0.5"/>
    <n v="2.5"/>
    <n v="1.83"/>
    <n v="2.33"/>
  </r>
  <r>
    <n v="81"/>
    <x v="0"/>
    <x v="4"/>
    <x v="2"/>
    <n v="23"/>
    <n v="49"/>
    <x v="0"/>
    <n v="33"/>
    <n v="270"/>
    <n v="3"/>
    <n v="1"/>
    <n v="0"/>
    <n v="1"/>
    <n v="0"/>
    <n v="0"/>
    <m/>
    <m/>
    <n v="0.33"/>
    <n v="0"/>
    <n v="0.33"/>
    <n v="0.33"/>
    <n v="0.33"/>
  </r>
  <r>
    <n v="82"/>
    <x v="1"/>
    <x v="4"/>
    <x v="2"/>
    <n v="23.4"/>
    <n v="49"/>
    <x v="0"/>
    <n v="33"/>
    <n v="270"/>
    <n v="3"/>
    <n v="3"/>
    <n v="0"/>
    <n v="3"/>
    <n v="0"/>
    <n v="0"/>
    <m/>
    <m/>
    <n v="1"/>
    <n v="0"/>
    <n v="1"/>
    <n v="1"/>
    <n v="1"/>
  </r>
  <r>
    <n v="83"/>
    <x v="2"/>
    <x v="4"/>
    <x v="2"/>
    <n v="22.4"/>
    <n v="55"/>
    <x v="1"/>
    <n v="44"/>
    <n v="360"/>
    <n v="4"/>
    <n v="9"/>
    <n v="0"/>
    <n v="9"/>
    <n v="0"/>
    <n v="0"/>
    <m/>
    <m/>
    <n v="2.25"/>
    <n v="0"/>
    <n v="2.25"/>
    <n v="2.25"/>
    <n v="2.25"/>
  </r>
  <r>
    <n v="84"/>
    <x v="4"/>
    <x v="4"/>
    <x v="3"/>
    <n v="22.7"/>
    <n v="41.7"/>
    <x v="4"/>
    <n v="66"/>
    <n v="540"/>
    <n v="6"/>
    <n v="10"/>
    <n v="0"/>
    <n v="10"/>
    <n v="0"/>
    <n v="0"/>
    <m/>
    <m/>
    <n v="1.67"/>
    <n v="0"/>
    <n v="1.67"/>
    <n v="1.67"/>
    <n v="1.67"/>
  </r>
  <r>
    <n v="85"/>
    <x v="6"/>
    <x v="4"/>
    <x v="0"/>
    <n v="27"/>
    <n v="61"/>
    <x v="1"/>
    <n v="44"/>
    <n v="360"/>
    <n v="4"/>
    <n v="3"/>
    <n v="0"/>
    <n v="3"/>
    <n v="0"/>
    <n v="0"/>
    <m/>
    <m/>
    <n v="0.75"/>
    <n v="0"/>
    <n v="0.75"/>
    <n v="0.75"/>
    <n v="0.75"/>
  </r>
  <r>
    <n v="86"/>
    <x v="8"/>
    <x v="4"/>
    <x v="3"/>
    <n v="25.2"/>
    <n v="46.3"/>
    <x v="0"/>
    <n v="33"/>
    <n v="270"/>
    <n v="3"/>
    <n v="2"/>
    <n v="0"/>
    <n v="2"/>
    <n v="0"/>
    <n v="0"/>
    <m/>
    <m/>
    <n v="0.67"/>
    <n v="0"/>
    <n v="0.67"/>
    <n v="0.67"/>
    <n v="0.67"/>
  </r>
  <r>
    <n v="87"/>
    <x v="9"/>
    <x v="4"/>
    <x v="5"/>
    <n v="27"/>
    <n v="51.8"/>
    <x v="4"/>
    <n v="66"/>
    <n v="570"/>
    <n v="6.3"/>
    <n v="25"/>
    <n v="0"/>
    <n v="25"/>
    <n v="0"/>
    <n v="0"/>
    <m/>
    <m/>
    <n v="3.95"/>
    <n v="0"/>
    <n v="3.95"/>
    <n v="3.95"/>
    <n v="3.95"/>
  </r>
  <r>
    <n v="88"/>
    <x v="33"/>
    <x v="4"/>
    <x v="7"/>
    <n v="25.4"/>
    <n v="47.7"/>
    <x v="0"/>
    <n v="33"/>
    <n v="270"/>
    <n v="3"/>
    <n v="2"/>
    <n v="0"/>
    <n v="2"/>
    <n v="0"/>
    <n v="0"/>
    <m/>
    <m/>
    <n v="0.67"/>
    <n v="0"/>
    <n v="0.67"/>
    <n v="0.67"/>
    <n v="0.67"/>
  </r>
  <r>
    <n v="89"/>
    <x v="12"/>
    <x v="4"/>
    <x v="2"/>
    <n v="24.2"/>
    <n v="54.7"/>
    <x v="0"/>
    <n v="33"/>
    <n v="270"/>
    <n v="3"/>
    <n v="7"/>
    <n v="0"/>
    <n v="7"/>
    <n v="0"/>
    <n v="0"/>
    <m/>
    <m/>
    <n v="2.33"/>
    <n v="0"/>
    <n v="2.33"/>
    <n v="2.33"/>
    <n v="2.33"/>
  </r>
  <r>
    <n v="90"/>
    <x v="31"/>
    <x v="4"/>
    <x v="7"/>
    <n v="24.6"/>
    <n v="52.3"/>
    <x v="0"/>
    <n v="33"/>
    <n v="270"/>
    <n v="3"/>
    <n v="3"/>
    <n v="0"/>
    <n v="3"/>
    <n v="0"/>
    <n v="0"/>
    <m/>
    <m/>
    <n v="1"/>
    <n v="0"/>
    <n v="1"/>
    <n v="1"/>
    <n v="1"/>
  </r>
  <r>
    <n v="91"/>
    <x v="13"/>
    <x v="4"/>
    <x v="0"/>
    <n v="22.2"/>
    <n v="48.7"/>
    <x v="0"/>
    <n v="33"/>
    <n v="270"/>
    <n v="3"/>
    <n v="1"/>
    <n v="0"/>
    <n v="1"/>
    <n v="0"/>
    <n v="0"/>
    <m/>
    <m/>
    <n v="0.33"/>
    <n v="0"/>
    <n v="0.33"/>
    <n v="0.33"/>
    <n v="0.33"/>
  </r>
  <r>
    <n v="92"/>
    <x v="16"/>
    <x v="4"/>
    <x v="2"/>
    <n v="24.7"/>
    <n v="51.3"/>
    <x v="0"/>
    <n v="33"/>
    <n v="270"/>
    <n v="3"/>
    <n v="0"/>
    <n v="0"/>
    <n v="0"/>
    <n v="0"/>
    <n v="0"/>
    <m/>
    <m/>
    <n v="0"/>
    <n v="0"/>
    <n v="0"/>
    <n v="0"/>
    <n v="0"/>
  </r>
  <r>
    <n v="93"/>
    <x v="17"/>
    <x v="4"/>
    <x v="2"/>
    <n v="25.3"/>
    <n v="48"/>
    <x v="1"/>
    <n v="44"/>
    <n v="360"/>
    <n v="4"/>
    <n v="10"/>
    <n v="1"/>
    <n v="10"/>
    <n v="0"/>
    <n v="0"/>
    <m/>
    <m/>
    <n v="2.5"/>
    <n v="0.25"/>
    <n v="2.75"/>
    <n v="2.5"/>
    <n v="2.75"/>
  </r>
  <r>
    <n v="94"/>
    <x v="34"/>
    <x v="4"/>
    <x v="3"/>
    <n v="28.1"/>
    <n v="45"/>
    <x v="1"/>
    <n v="44"/>
    <n v="360"/>
    <n v="4"/>
    <n v="5"/>
    <n v="1"/>
    <n v="5"/>
    <n v="0"/>
    <n v="0"/>
    <m/>
    <m/>
    <n v="1.25"/>
    <n v="0.25"/>
    <n v="1.5"/>
    <n v="1.25"/>
    <n v="1.5"/>
  </r>
  <r>
    <n v="95"/>
    <x v="21"/>
    <x v="4"/>
    <x v="0"/>
    <n v="25.9"/>
    <n v="48.2"/>
    <x v="4"/>
    <n v="66"/>
    <n v="570"/>
    <n v="6.3"/>
    <n v="10"/>
    <n v="0"/>
    <n v="10"/>
    <n v="0"/>
    <n v="0"/>
    <m/>
    <m/>
    <n v="1.58"/>
    <n v="0"/>
    <n v="1.58"/>
    <n v="1.58"/>
    <n v="1.58"/>
  </r>
  <r>
    <n v="96"/>
    <x v="23"/>
    <x v="4"/>
    <x v="0"/>
    <n v="28.1"/>
    <n v="52.8"/>
    <x v="4"/>
    <n v="66"/>
    <n v="540"/>
    <n v="6"/>
    <n v="15"/>
    <n v="4"/>
    <n v="15"/>
    <n v="0"/>
    <n v="0"/>
    <m/>
    <m/>
    <n v="2.5"/>
    <n v="0.67"/>
    <n v="3.17"/>
    <n v="2.5"/>
    <n v="3.17"/>
  </r>
  <r>
    <n v="97"/>
    <x v="1"/>
    <x v="5"/>
    <x v="3"/>
    <n v="25"/>
    <m/>
    <x v="0"/>
    <n v="33"/>
    <n v="270"/>
    <n v="3"/>
    <n v="3"/>
    <n v="1"/>
    <n v="3"/>
    <n v="0"/>
    <n v="0"/>
    <m/>
    <m/>
    <n v="1"/>
    <n v="0.33"/>
    <n v="1.33"/>
    <n v="1"/>
    <n v="1.33"/>
  </r>
  <r>
    <n v="98"/>
    <x v="2"/>
    <x v="5"/>
    <x v="7"/>
    <n v="25"/>
    <m/>
    <x v="4"/>
    <n v="66"/>
    <n v="554"/>
    <n v="6.2"/>
    <n v="16"/>
    <n v="10"/>
    <n v="16"/>
    <n v="0"/>
    <n v="0"/>
    <m/>
    <m/>
    <n v="2.6"/>
    <n v="1.62"/>
    <n v="4.22"/>
    <n v="2.6"/>
    <n v="4.22"/>
  </r>
  <r>
    <n v="99"/>
    <x v="4"/>
    <x v="5"/>
    <x v="7"/>
    <n v="25.9"/>
    <m/>
    <x v="0"/>
    <n v="33"/>
    <n v="270"/>
    <n v="3"/>
    <n v="3"/>
    <n v="3"/>
    <n v="3"/>
    <n v="0"/>
    <n v="0"/>
    <m/>
    <m/>
    <n v="1"/>
    <n v="1"/>
    <n v="2"/>
    <n v="1"/>
    <n v="2"/>
  </r>
  <r>
    <n v="100"/>
    <x v="6"/>
    <x v="5"/>
    <x v="9"/>
    <n v="26.6"/>
    <m/>
    <x v="4"/>
    <n v="66"/>
    <n v="570"/>
    <n v="6.3"/>
    <n v="19"/>
    <n v="9"/>
    <n v="18"/>
    <n v="1"/>
    <n v="1"/>
    <m/>
    <m/>
    <n v="3"/>
    <n v="1.42"/>
    <n v="4.42"/>
    <n v="2.84"/>
    <n v="4.26"/>
  </r>
  <r>
    <n v="101"/>
    <x v="32"/>
    <x v="5"/>
    <x v="3"/>
    <n v="25.5"/>
    <m/>
    <x v="0"/>
    <n v="33"/>
    <n v="270"/>
    <n v="3"/>
    <n v="1"/>
    <n v="0"/>
    <n v="1"/>
    <n v="0"/>
    <n v="0"/>
    <m/>
    <m/>
    <n v="0.33"/>
    <n v="0"/>
    <n v="0.33"/>
    <n v="0.33"/>
    <n v="0.33"/>
  </r>
  <r>
    <n v="102"/>
    <x v="9"/>
    <x v="5"/>
    <x v="0"/>
    <n v="24.4"/>
    <m/>
    <x v="1"/>
    <n v="44"/>
    <n v="360"/>
    <n v="4"/>
    <n v="11"/>
    <n v="4"/>
    <n v="11"/>
    <n v="0"/>
    <n v="0"/>
    <m/>
    <m/>
    <n v="2.75"/>
    <n v="1"/>
    <n v="3.75"/>
    <n v="2.75"/>
    <n v="3.75"/>
  </r>
  <r>
    <n v="103"/>
    <x v="33"/>
    <x v="5"/>
    <x v="2"/>
    <n v="23.6"/>
    <m/>
    <x v="0"/>
    <n v="33"/>
    <n v="270"/>
    <n v="3"/>
    <n v="1"/>
    <n v="0"/>
    <n v="1"/>
    <n v="0"/>
    <n v="0"/>
    <m/>
    <m/>
    <n v="0.33"/>
    <n v="0"/>
    <n v="0.33"/>
    <n v="0.33"/>
    <n v="0.33"/>
  </r>
  <r>
    <n v="104"/>
    <x v="10"/>
    <x v="5"/>
    <x v="3"/>
    <n v="26.7"/>
    <m/>
    <x v="0"/>
    <n v="33"/>
    <n v="270"/>
    <n v="3"/>
    <n v="3"/>
    <n v="1"/>
    <n v="3"/>
    <n v="0"/>
    <n v="0"/>
    <m/>
    <m/>
    <n v="1"/>
    <n v="0.33"/>
    <n v="1.33"/>
    <n v="1"/>
    <n v="1.33"/>
  </r>
  <r>
    <n v="105"/>
    <x v="12"/>
    <x v="5"/>
    <x v="7"/>
    <n v="23"/>
    <m/>
    <x v="0"/>
    <n v="33"/>
    <n v="270"/>
    <n v="3"/>
    <n v="1"/>
    <n v="1"/>
    <n v="1"/>
    <n v="0"/>
    <n v="0"/>
    <m/>
    <m/>
    <n v="0.33"/>
    <n v="0.33"/>
    <n v="0.67"/>
    <n v="0.33"/>
    <n v="0.67"/>
  </r>
  <r>
    <n v="106"/>
    <x v="31"/>
    <x v="5"/>
    <x v="2"/>
    <n v="24.5"/>
    <m/>
    <x v="0"/>
    <n v="33"/>
    <n v="270"/>
    <n v="3"/>
    <n v="4"/>
    <n v="2"/>
    <n v="4"/>
    <n v="0"/>
    <n v="0"/>
    <m/>
    <m/>
    <n v="1.33"/>
    <n v="0.67"/>
    <n v="2"/>
    <n v="1.33"/>
    <n v="2"/>
  </r>
  <r>
    <n v="107"/>
    <x v="28"/>
    <x v="5"/>
    <x v="7"/>
    <n v="21.5"/>
    <m/>
    <x v="0"/>
    <n v="33"/>
    <n v="270"/>
    <n v="3"/>
    <n v="1"/>
    <n v="0"/>
    <n v="1"/>
    <n v="0"/>
    <n v="0"/>
    <m/>
    <m/>
    <n v="0.33"/>
    <n v="0"/>
    <n v="0.33"/>
    <n v="0.33"/>
    <n v="0.33"/>
  </r>
  <r>
    <n v="108"/>
    <x v="16"/>
    <x v="5"/>
    <x v="2"/>
    <n v="23.5"/>
    <m/>
    <x v="1"/>
    <n v="44"/>
    <n v="374"/>
    <n v="4.2"/>
    <n v="8"/>
    <n v="3"/>
    <n v="8"/>
    <n v="0"/>
    <n v="0"/>
    <m/>
    <m/>
    <n v="1.93"/>
    <n v="0.72"/>
    <n v="2.65"/>
    <n v="1.93"/>
    <n v="2.65"/>
  </r>
  <r>
    <n v="109"/>
    <x v="17"/>
    <x v="5"/>
    <x v="5"/>
    <n v="25.1"/>
    <m/>
    <x v="4"/>
    <n v="66"/>
    <n v="540"/>
    <n v="6"/>
    <n v="15"/>
    <n v="10"/>
    <n v="15"/>
    <n v="0"/>
    <n v="0"/>
    <m/>
    <m/>
    <n v="2.5"/>
    <n v="1.67"/>
    <n v="4.17"/>
    <n v="2.5"/>
    <n v="4.17"/>
  </r>
  <r>
    <n v="110"/>
    <x v="34"/>
    <x v="5"/>
    <x v="7"/>
    <n v="25.6"/>
    <m/>
    <x v="1"/>
    <n v="44"/>
    <n v="360"/>
    <n v="4"/>
    <n v="10"/>
    <n v="9"/>
    <n v="10"/>
    <n v="0"/>
    <n v="0"/>
    <m/>
    <m/>
    <n v="2.5"/>
    <n v="2.25"/>
    <n v="4.75"/>
    <n v="2.5"/>
    <n v="4.75"/>
  </r>
  <r>
    <n v="111"/>
    <x v="21"/>
    <x v="5"/>
    <x v="3"/>
    <n v="24.6"/>
    <m/>
    <x v="1"/>
    <n v="44"/>
    <n v="360"/>
    <n v="4"/>
    <n v="7"/>
    <n v="5"/>
    <n v="7"/>
    <n v="0"/>
    <n v="0"/>
    <m/>
    <m/>
    <n v="1.75"/>
    <n v="1.25"/>
    <n v="3"/>
    <n v="1.75"/>
    <n v="3"/>
  </r>
  <r>
    <n v="112"/>
    <x v="23"/>
    <x v="5"/>
    <x v="0"/>
    <n v="27.4"/>
    <m/>
    <x v="4"/>
    <n v="66"/>
    <n v="570"/>
    <n v="6.3"/>
    <n v="17"/>
    <n v="15"/>
    <n v="16"/>
    <n v="1"/>
    <n v="1"/>
    <m/>
    <m/>
    <n v="2.68"/>
    <n v="2.37"/>
    <n v="5.05"/>
    <n v="2.5299999999999998"/>
    <n v="4.8899999999999997"/>
  </r>
  <r>
    <n v="113"/>
    <x v="1"/>
    <x v="6"/>
    <x v="3"/>
    <n v="25"/>
    <m/>
    <x v="0"/>
    <n v="33"/>
    <n v="270"/>
    <n v="3"/>
    <n v="3"/>
    <n v="0"/>
    <n v="3"/>
    <n v="0"/>
    <n v="0"/>
    <m/>
    <m/>
    <n v="1"/>
    <n v="0"/>
    <n v="1"/>
    <n v="1"/>
    <n v="1"/>
  </r>
  <r>
    <n v="114"/>
    <x v="2"/>
    <x v="6"/>
    <x v="2"/>
    <n v="27.9"/>
    <m/>
    <x v="0"/>
    <n v="33"/>
    <n v="270"/>
    <n v="3"/>
    <n v="3"/>
    <n v="1"/>
    <n v="3"/>
    <n v="0"/>
    <n v="0"/>
    <m/>
    <m/>
    <n v="1"/>
    <n v="0.33"/>
    <n v="1.33"/>
    <n v="1"/>
    <n v="1.33"/>
  </r>
  <r>
    <n v="115"/>
    <x v="4"/>
    <x v="6"/>
    <x v="7"/>
    <n v="26.2"/>
    <m/>
    <x v="0"/>
    <n v="33"/>
    <n v="270"/>
    <n v="3"/>
    <n v="5"/>
    <n v="0"/>
    <n v="5"/>
    <n v="0"/>
    <n v="0"/>
    <m/>
    <m/>
    <n v="1.67"/>
    <n v="0"/>
    <n v="1.67"/>
    <n v="1.67"/>
    <n v="1.67"/>
  </r>
  <r>
    <n v="116"/>
    <x v="6"/>
    <x v="6"/>
    <x v="2"/>
    <n v="24.3"/>
    <m/>
    <x v="4"/>
    <n v="66"/>
    <n v="570"/>
    <n v="6.3"/>
    <n v="11"/>
    <n v="0"/>
    <n v="11"/>
    <n v="0"/>
    <n v="0"/>
    <m/>
    <m/>
    <n v="1.74"/>
    <n v="0"/>
    <n v="1.74"/>
    <n v="1.74"/>
    <n v="1.74"/>
  </r>
  <r>
    <n v="117"/>
    <x v="32"/>
    <x v="6"/>
    <x v="3"/>
    <n v="21.3"/>
    <m/>
    <x v="1"/>
    <n v="44"/>
    <n v="360"/>
    <n v="4"/>
    <n v="7"/>
    <n v="0"/>
    <n v="7"/>
    <n v="0"/>
    <n v="0"/>
    <m/>
    <m/>
    <n v="1.75"/>
    <n v="0"/>
    <n v="1.75"/>
    <n v="1.75"/>
    <n v="1.75"/>
  </r>
  <r>
    <n v="118"/>
    <x v="7"/>
    <x v="6"/>
    <x v="2"/>
    <n v="27.8"/>
    <m/>
    <x v="1"/>
    <n v="44"/>
    <n v="360"/>
    <n v="4"/>
    <n v="6"/>
    <n v="0"/>
    <n v="6"/>
    <n v="0"/>
    <n v="0"/>
    <m/>
    <m/>
    <n v="1.5"/>
    <n v="0"/>
    <n v="1.5"/>
    <n v="1.5"/>
    <n v="1.5"/>
  </r>
  <r>
    <n v="119"/>
    <x v="9"/>
    <x v="6"/>
    <x v="3"/>
    <n v="25.3"/>
    <m/>
    <x v="4"/>
    <n v="66"/>
    <n v="540"/>
    <n v="6"/>
    <n v="13"/>
    <n v="0"/>
    <n v="13"/>
    <n v="0"/>
    <n v="0"/>
    <m/>
    <m/>
    <n v="2.17"/>
    <n v="0"/>
    <n v="2.17"/>
    <n v="2.17"/>
    <n v="2.17"/>
  </r>
  <r>
    <n v="120"/>
    <x v="12"/>
    <x v="6"/>
    <x v="9"/>
    <n v="22.6"/>
    <m/>
    <x v="1"/>
    <n v="44"/>
    <n v="360"/>
    <n v="4"/>
    <n v="2"/>
    <n v="0"/>
    <n v="2"/>
    <n v="0"/>
    <n v="0"/>
    <m/>
    <m/>
    <n v="0.5"/>
    <n v="0"/>
    <n v="0.5"/>
    <n v="0.5"/>
    <n v="0.5"/>
  </r>
  <r>
    <n v="121"/>
    <x v="16"/>
    <x v="6"/>
    <x v="2"/>
    <n v="20.6"/>
    <m/>
    <x v="0"/>
    <n v="33"/>
    <n v="270"/>
    <n v="3"/>
    <n v="5"/>
    <n v="0"/>
    <n v="5"/>
    <n v="0"/>
    <n v="0"/>
    <m/>
    <m/>
    <n v="1.67"/>
    <n v="0"/>
    <n v="1.67"/>
    <n v="1.67"/>
    <n v="1.67"/>
  </r>
  <r>
    <n v="122"/>
    <x v="17"/>
    <x v="6"/>
    <x v="3"/>
    <n v="24.6"/>
    <m/>
    <x v="4"/>
    <n v="66"/>
    <n v="540"/>
    <n v="6"/>
    <n v="23"/>
    <n v="0"/>
    <n v="23"/>
    <n v="0"/>
    <n v="0"/>
    <m/>
    <m/>
    <n v="3.83"/>
    <n v="0"/>
    <n v="3.83"/>
    <n v="3.83"/>
    <n v="3.83"/>
  </r>
  <r>
    <n v="123"/>
    <x v="21"/>
    <x v="6"/>
    <x v="0"/>
    <n v="27.5"/>
    <m/>
    <x v="1"/>
    <n v="44"/>
    <n v="390"/>
    <n v="4.3"/>
    <n v="6"/>
    <n v="0"/>
    <n v="6"/>
    <n v="0"/>
    <n v="0"/>
    <m/>
    <m/>
    <n v="1.38"/>
    <n v="0"/>
    <n v="1.38"/>
    <n v="1.38"/>
    <n v="1.38"/>
  </r>
  <r>
    <n v="124"/>
    <x v="23"/>
    <x v="6"/>
    <x v="0"/>
    <n v="24.1"/>
    <m/>
    <x v="4"/>
    <n v="66"/>
    <n v="540"/>
    <n v="6"/>
    <n v="15"/>
    <n v="4"/>
    <n v="15"/>
    <n v="0"/>
    <n v="0"/>
    <m/>
    <m/>
    <n v="2.5"/>
    <n v="0.67"/>
    <n v="3.17"/>
    <n v="2.5"/>
    <n v="3.17"/>
  </r>
  <r>
    <n v="125"/>
    <x v="2"/>
    <x v="7"/>
    <x v="3"/>
    <n v="25.7"/>
    <m/>
    <x v="0"/>
    <n v="33"/>
    <n v="240"/>
    <n v="2.7"/>
    <n v="1"/>
    <n v="0"/>
    <n v="1"/>
    <n v="0"/>
    <n v="0"/>
    <m/>
    <m/>
    <n v="0.37"/>
    <n v="0"/>
    <n v="0.37"/>
    <n v="0.37"/>
    <n v="0.37"/>
  </r>
  <r>
    <n v="126"/>
    <x v="6"/>
    <x v="7"/>
    <x v="7"/>
    <n v="22.1"/>
    <m/>
    <x v="1"/>
    <n v="44"/>
    <n v="320"/>
    <n v="3.6"/>
    <n v="10"/>
    <n v="3"/>
    <n v="10"/>
    <n v="0"/>
    <n v="0"/>
    <m/>
    <m/>
    <n v="2.81"/>
    <n v="0.84"/>
    <n v="3.66"/>
    <n v="2.81"/>
    <n v="3.66"/>
  </r>
  <r>
    <n v="127"/>
    <x v="35"/>
    <x v="7"/>
    <x v="2"/>
    <n v="21.2"/>
    <m/>
    <x v="1"/>
    <n v="44"/>
    <n v="320"/>
    <n v="3.6"/>
    <n v="2"/>
    <n v="1"/>
    <n v="2"/>
    <n v="0"/>
    <n v="0"/>
    <m/>
    <m/>
    <n v="0.56000000000000005"/>
    <n v="0.28000000000000003"/>
    <n v="0.84"/>
    <n v="0.56000000000000005"/>
    <n v="0.84"/>
  </r>
  <r>
    <n v="128"/>
    <x v="32"/>
    <x v="7"/>
    <x v="7"/>
    <n v="23.8"/>
    <m/>
    <x v="1"/>
    <n v="44"/>
    <n v="340"/>
    <n v="3.8"/>
    <n v="7"/>
    <n v="5"/>
    <n v="5"/>
    <n v="2"/>
    <n v="2"/>
    <m/>
    <m/>
    <n v="1.85"/>
    <n v="1.32"/>
    <n v="3.18"/>
    <n v="1.32"/>
    <n v="2.65"/>
  </r>
  <r>
    <n v="129"/>
    <x v="9"/>
    <x v="7"/>
    <x v="0"/>
    <n v="23.8"/>
    <m/>
    <x v="4"/>
    <n v="66"/>
    <n v="500"/>
    <n v="5.6"/>
    <n v="13"/>
    <n v="9"/>
    <n v="12"/>
    <n v="1"/>
    <n v="1"/>
    <m/>
    <m/>
    <n v="2.34"/>
    <n v="1.62"/>
    <n v="3.96"/>
    <n v="2.16"/>
    <n v="3.78"/>
  </r>
  <r>
    <n v="130"/>
    <x v="10"/>
    <x v="7"/>
    <x v="3"/>
    <n v="24.2"/>
    <m/>
    <x v="1"/>
    <n v="44"/>
    <n v="340"/>
    <n v="3.8"/>
    <n v="8"/>
    <n v="5"/>
    <n v="8"/>
    <n v="0"/>
    <n v="0"/>
    <m/>
    <m/>
    <n v="2.12"/>
    <n v="1.32"/>
    <n v="3.44"/>
    <n v="2.12"/>
    <n v="3.44"/>
  </r>
  <r>
    <n v="131"/>
    <x v="12"/>
    <x v="7"/>
    <x v="10"/>
    <n v="24.3"/>
    <m/>
    <x v="0"/>
    <n v="33"/>
    <n v="240"/>
    <n v="2.7"/>
    <n v="0"/>
    <n v="0"/>
    <n v="0"/>
    <n v="0"/>
    <n v="0"/>
    <m/>
    <m/>
    <n v="0"/>
    <n v="0"/>
    <n v="0"/>
    <n v="0"/>
    <n v="0"/>
  </r>
  <r>
    <n v="132"/>
    <x v="15"/>
    <x v="7"/>
    <x v="7"/>
    <n v="25.5"/>
    <m/>
    <x v="0"/>
    <n v="33"/>
    <n v="240"/>
    <n v="2.7"/>
    <n v="1"/>
    <n v="1"/>
    <n v="1"/>
    <n v="0"/>
    <n v="0"/>
    <m/>
    <m/>
    <n v="0.37"/>
    <n v="0.37"/>
    <n v="0.75"/>
    <n v="0.37"/>
    <n v="0.75"/>
  </r>
  <r>
    <n v="133"/>
    <x v="16"/>
    <x v="7"/>
    <x v="3"/>
    <n v="18.2"/>
    <m/>
    <x v="0"/>
    <n v="33"/>
    <n v="240"/>
    <n v="2.7"/>
    <n v="0"/>
    <n v="0"/>
    <n v="0"/>
    <n v="0"/>
    <n v="0"/>
    <m/>
    <m/>
    <n v="0"/>
    <n v="0"/>
    <n v="0"/>
    <n v="0"/>
    <n v="0"/>
  </r>
  <r>
    <n v="134"/>
    <x v="17"/>
    <x v="7"/>
    <x v="7"/>
    <n v="24.1"/>
    <m/>
    <x v="4"/>
    <n v="66"/>
    <n v="500"/>
    <n v="5.6"/>
    <n v="13"/>
    <n v="6"/>
    <n v="12"/>
    <n v="1"/>
    <n v="1"/>
    <m/>
    <m/>
    <n v="2.34"/>
    <n v="1.08"/>
    <n v="3.42"/>
    <n v="2.16"/>
    <n v="3.24"/>
  </r>
  <r>
    <n v="135"/>
    <x v="21"/>
    <x v="7"/>
    <x v="0"/>
    <n v="25.4"/>
    <m/>
    <x v="4"/>
    <n v="66"/>
    <n v="480"/>
    <n v="5.3"/>
    <n v="17"/>
    <n v="11"/>
    <n v="16"/>
    <n v="1"/>
    <n v="1"/>
    <m/>
    <m/>
    <n v="3.19"/>
    <n v="2.06"/>
    <n v="5.25"/>
    <n v="3"/>
    <n v="5.0599999999999996"/>
  </r>
  <r>
    <n v="136"/>
    <x v="23"/>
    <x v="7"/>
    <x v="2"/>
    <n v="23"/>
    <m/>
    <x v="4"/>
    <n v="66"/>
    <n v="480"/>
    <n v="5.3"/>
    <n v="25"/>
    <n v="11"/>
    <n v="24"/>
    <n v="1"/>
    <n v="1"/>
    <m/>
    <m/>
    <n v="4.6900000000000004"/>
    <n v="2.06"/>
    <n v="6.75"/>
    <n v="4.5"/>
    <n v="6.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5C0B95-95B2-0B43-AAB5-55D34F086EB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0" firstHeaderRow="0" firstDataRow="1" firstDataCol="1" rowPageCount="1" colPageCount="1"/>
  <pivotFields count="22">
    <pivotField showAll="0"/>
    <pivotField axis="axisRow" showAll="0">
      <items count="37">
        <item x="0"/>
        <item x="1"/>
        <item x="2"/>
        <item x="26"/>
        <item x="3"/>
        <item x="4"/>
        <item x="5"/>
        <item x="6"/>
        <item x="35"/>
        <item x="24"/>
        <item x="25"/>
        <item x="32"/>
        <item x="27"/>
        <item x="7"/>
        <item x="30"/>
        <item x="8"/>
        <item x="9"/>
        <item x="33"/>
        <item x="10"/>
        <item x="11"/>
        <item x="12"/>
        <item x="31"/>
        <item x="13"/>
        <item x="28"/>
        <item x="14"/>
        <item x="15"/>
        <item x="16"/>
        <item x="17"/>
        <item x="34"/>
        <item x="18"/>
        <item x="19"/>
        <item x="20"/>
        <item x="21"/>
        <item x="29"/>
        <item x="22"/>
        <item x="23"/>
        <item t="default"/>
      </items>
    </pivotField>
    <pivotField axis="axisPage" showAll="0">
      <items count="9">
        <item x="7"/>
        <item x="6"/>
        <item x="5"/>
        <item x="4"/>
        <item x="3"/>
        <item x="2"/>
        <item x="1"/>
        <item x="0"/>
        <item t="default"/>
      </items>
    </pivotField>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2"/>
  </colFields>
  <colItems count="2">
    <i>
      <x/>
    </i>
    <i i="1">
      <x v="1"/>
    </i>
  </colItems>
  <pageFields count="1">
    <pageField fld="2" hier="-1"/>
  </pageFields>
  <dataFields count="2">
    <dataField name="Sum of matches_played" fld="6" baseField="0" baseItem="0"/>
    <dataField name="Sum of goal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287B85-2685-1048-B561-3F05CD3B0AA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11" firstHeaderRow="0" firstDataRow="1" firstDataCol="1" rowPageCount="1" colPageCount="1"/>
  <pivotFields count="22">
    <pivotField showAll="0"/>
    <pivotField axis="axisPage" multipleItemSelectionAllowed="1" showAll="0">
      <items count="37">
        <item h="1" x="0"/>
        <item x="1"/>
        <item h="1" x="2"/>
        <item h="1" x="26"/>
        <item h="1" x="3"/>
        <item h="1" x="4"/>
        <item h="1" x="5"/>
        <item h="1" x="6"/>
        <item h="1" x="35"/>
        <item h="1" x="24"/>
        <item h="1" x="25"/>
        <item h="1" x="32"/>
        <item h="1" x="27"/>
        <item h="1" x="7"/>
        <item h="1" x="30"/>
        <item h="1" x="8"/>
        <item h="1" x="9"/>
        <item h="1" x="33"/>
        <item h="1" x="10"/>
        <item h="1" x="11"/>
        <item h="1" x="12"/>
        <item h="1" x="31"/>
        <item h="1" x="13"/>
        <item h="1" x="28"/>
        <item h="1" x="14"/>
        <item h="1" x="15"/>
        <item h="1" x="16"/>
        <item h="1" x="17"/>
        <item h="1" x="34"/>
        <item h="1" x="18"/>
        <item h="1" x="19"/>
        <item h="1" x="20"/>
        <item h="1" x="21"/>
        <item h="1" x="29"/>
        <item h="1" x="22"/>
        <item h="1" x="23"/>
        <item t="default"/>
      </items>
    </pivotField>
    <pivotField axis="axisRow" showAll="0">
      <items count="9">
        <item x="7"/>
        <item x="6"/>
        <item x="5"/>
        <item x="4"/>
        <item x="3"/>
        <item x="2"/>
        <item x="1"/>
        <item x="0"/>
        <item t="default"/>
      </items>
    </pivotField>
    <pivotField showAll="0"/>
    <pivotField showAll="0"/>
    <pivotField dataField="1" showAll="0"/>
    <pivotField dataField="1" showAll="0">
      <items count="6">
        <item x="0"/>
        <item x="1"/>
        <item x="3"/>
        <item x="4"/>
        <item x="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8">
    <i>
      <x v="1"/>
    </i>
    <i>
      <x v="2"/>
    </i>
    <i>
      <x v="3"/>
    </i>
    <i>
      <x v="4"/>
    </i>
    <i>
      <x v="5"/>
    </i>
    <i>
      <x v="6"/>
    </i>
    <i>
      <x v="7"/>
    </i>
    <i t="grand">
      <x/>
    </i>
  </rowItems>
  <colFields count="1">
    <field x="-2"/>
  </colFields>
  <colItems count="3">
    <i>
      <x/>
    </i>
    <i i="1">
      <x v="1"/>
    </i>
    <i i="2">
      <x v="2"/>
    </i>
  </colItems>
  <pageFields count="1">
    <pageField fld="1" hier="-1"/>
  </pageFields>
  <dataFields count="3">
    <dataField name="Sum of matches_played" fld="6" baseField="0" baseItem="0"/>
    <dataField name="Sum of goals" fld="10" baseField="0" baseItem="0"/>
    <dataField name="Average of possesion" fld="5" subtotal="average" baseField="0" baseItem="0"/>
  </dataFields>
  <chartFormats count="15">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1"/>
          </reference>
        </references>
      </pivotArea>
    </chartFormat>
    <chartFormat chart="1" format="7" series="1">
      <pivotArea type="data" outline="0" fieldPosition="0">
        <references count="1">
          <reference field="4294967294" count="1" selected="0">
            <x v="2"/>
          </reference>
        </references>
      </pivotArea>
    </chartFormat>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1"/>
          </reference>
        </references>
      </pivotArea>
    </chartFormat>
    <chartFormat chart="3" format="13" series="1">
      <pivotArea type="data" outline="0" fieldPosition="0">
        <references count="1">
          <reference field="4294967294" count="1" selected="0">
            <x v="2"/>
          </reference>
        </references>
      </pivotArea>
    </chartFormat>
    <chartFormat chart="4" format="14" series="1">
      <pivotArea type="data" outline="0" fieldPosition="0">
        <references count="1">
          <reference field="4294967294" count="1" selected="0">
            <x v="0"/>
          </reference>
        </references>
      </pivotArea>
    </chartFormat>
    <chartFormat chart="4" format="15" series="1">
      <pivotArea type="data" outline="0" fieldPosition="0">
        <references count="1">
          <reference field="4294967294" count="1" selected="0">
            <x v="1"/>
          </reference>
        </references>
      </pivotArea>
    </chartFormat>
    <chartFormat chart="4" format="1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Matches, goals and possessio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quad" xr10:uid="{39507514-BCAA-DE4E-82BE-9CACED3CD5EA}" sourceName="squad">
  <pivotTables>
    <pivotTable tabId="8" name="PivotTable4"/>
  </pivotTables>
  <data>
    <tabular pivotCacheId="1680593638">
      <items count="36">
        <i x="0"/>
        <i x="1" s="1"/>
        <i x="2"/>
        <i x="26"/>
        <i x="3"/>
        <i x="4"/>
        <i x="5"/>
        <i x="6"/>
        <i x="35"/>
        <i x="24"/>
        <i x="25"/>
        <i x="32"/>
        <i x="27"/>
        <i x="7"/>
        <i x="30"/>
        <i x="8"/>
        <i x="9"/>
        <i x="33"/>
        <i x="10"/>
        <i x="11"/>
        <i x="12"/>
        <i x="31"/>
        <i x="13"/>
        <i x="28"/>
        <i x="14"/>
        <i x="15"/>
        <i x="16"/>
        <i x="17"/>
        <i x="34"/>
        <i x="18"/>
        <i x="19"/>
        <i x="20"/>
        <i x="21"/>
        <i x="29"/>
        <i x="22"/>
        <i x="2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quad" xr10:uid="{455DA9B7-5FDA-7249-9F52-1296C7E6A8F7}" cache="Slicer_squad" caption="squad" rowHeight="251883"/>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6" dT="2023-08-17T09:47:37.39" personId="{41D526D4-9D67-3148-83A7-7F4FDCAD8DB6}" id="{B8DFFE92-4C1F-834A-8B14-DF1C3BAE1D39}">
    <text>Note how the formula proceeds to the second condition only if the first is not verified.</text>
  </threadedComment>
  <threadedComment ref="E16" dT="2023-08-17T09:47:37.39" personId="{41D526D4-9D67-3148-83A7-7F4FDCAD8DB6}" id="{956F094E-48EA-BD43-A476-97D9B87AF8A6}">
    <text>note how the “TRUE” condition at the end (which is always true!!) is a catch all condition (default if none of the preceding conditions are verified)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github.com/zonination/pokemon-chart/blob/master/chart.csv"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5C904-E326-9543-B211-79A5D7A9CA2E}">
  <sheetPr codeName="Sheet1"/>
  <dimension ref="A1:S22"/>
  <sheetViews>
    <sheetView workbookViewId="0">
      <selection activeCell="B25" sqref="B25"/>
    </sheetView>
  </sheetViews>
  <sheetFormatPr baseColWidth="10" defaultColWidth="11" defaultRowHeight="16" x14ac:dyDescent="0.2"/>
  <sheetData>
    <row r="1" spans="1:19" ht="17" x14ac:dyDescent="0.25">
      <c r="A1" s="13"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ht="17" x14ac:dyDescent="0.25">
      <c r="A2" s="13" t="s">
        <v>1</v>
      </c>
      <c r="B2">
        <v>1</v>
      </c>
      <c r="C2">
        <v>1</v>
      </c>
      <c r="D2">
        <v>1</v>
      </c>
      <c r="E2">
        <v>1</v>
      </c>
      <c r="F2">
        <v>1</v>
      </c>
      <c r="G2">
        <v>1</v>
      </c>
      <c r="H2">
        <v>1</v>
      </c>
      <c r="I2">
        <v>1</v>
      </c>
      <c r="J2">
        <v>1</v>
      </c>
      <c r="K2">
        <v>1</v>
      </c>
      <c r="L2">
        <v>1</v>
      </c>
      <c r="M2">
        <v>1</v>
      </c>
      <c r="N2">
        <v>0.5</v>
      </c>
      <c r="O2">
        <v>0</v>
      </c>
      <c r="P2">
        <v>1</v>
      </c>
      <c r="Q2">
        <v>1</v>
      </c>
      <c r="R2">
        <v>0.5</v>
      </c>
      <c r="S2">
        <v>1</v>
      </c>
    </row>
    <row r="3" spans="1:19" ht="17" x14ac:dyDescent="0.25">
      <c r="A3" s="13" t="s">
        <v>2</v>
      </c>
      <c r="B3">
        <v>1</v>
      </c>
      <c r="C3">
        <v>0.5</v>
      </c>
      <c r="D3">
        <v>0.5</v>
      </c>
      <c r="E3">
        <v>1</v>
      </c>
      <c r="F3">
        <v>2</v>
      </c>
      <c r="G3">
        <v>2</v>
      </c>
      <c r="H3">
        <v>1</v>
      </c>
      <c r="I3">
        <v>1</v>
      </c>
      <c r="J3">
        <v>1</v>
      </c>
      <c r="K3">
        <v>1</v>
      </c>
      <c r="L3">
        <v>1</v>
      </c>
      <c r="M3">
        <v>2</v>
      </c>
      <c r="N3">
        <v>0.5</v>
      </c>
      <c r="O3">
        <v>1</v>
      </c>
      <c r="P3">
        <v>0.5</v>
      </c>
      <c r="Q3">
        <v>1</v>
      </c>
      <c r="R3">
        <v>2</v>
      </c>
      <c r="S3">
        <v>1</v>
      </c>
    </row>
    <row r="4" spans="1:19" ht="17" x14ac:dyDescent="0.25">
      <c r="A4" s="13" t="s">
        <v>3</v>
      </c>
      <c r="B4">
        <v>1</v>
      </c>
      <c r="C4">
        <v>2</v>
      </c>
      <c r="D4">
        <v>0.5</v>
      </c>
      <c r="E4">
        <v>1</v>
      </c>
      <c r="F4">
        <v>0.5</v>
      </c>
      <c r="G4">
        <v>1</v>
      </c>
      <c r="H4">
        <v>1</v>
      </c>
      <c r="I4">
        <v>1</v>
      </c>
      <c r="J4">
        <v>2</v>
      </c>
      <c r="K4">
        <v>1</v>
      </c>
      <c r="L4">
        <v>1</v>
      </c>
      <c r="M4">
        <v>1</v>
      </c>
      <c r="N4">
        <v>2</v>
      </c>
      <c r="O4">
        <v>1</v>
      </c>
      <c r="P4">
        <v>0.5</v>
      </c>
      <c r="Q4">
        <v>1</v>
      </c>
      <c r="R4">
        <v>1</v>
      </c>
      <c r="S4">
        <v>1</v>
      </c>
    </row>
    <row r="5" spans="1:19" ht="17" x14ac:dyDescent="0.25">
      <c r="A5" s="13" t="s">
        <v>4</v>
      </c>
      <c r="B5">
        <v>1</v>
      </c>
      <c r="C5">
        <v>1</v>
      </c>
      <c r="D5">
        <v>2</v>
      </c>
      <c r="E5">
        <v>0.5</v>
      </c>
      <c r="F5">
        <v>0.5</v>
      </c>
      <c r="G5">
        <v>1</v>
      </c>
      <c r="H5">
        <v>1</v>
      </c>
      <c r="I5">
        <v>1</v>
      </c>
      <c r="J5">
        <v>0</v>
      </c>
      <c r="K5">
        <v>2</v>
      </c>
      <c r="L5">
        <v>1</v>
      </c>
      <c r="M5">
        <v>1</v>
      </c>
      <c r="N5">
        <v>1</v>
      </c>
      <c r="O5">
        <v>1</v>
      </c>
      <c r="P5">
        <v>0.5</v>
      </c>
      <c r="Q5">
        <v>1</v>
      </c>
      <c r="R5">
        <v>1</v>
      </c>
      <c r="S5">
        <v>1</v>
      </c>
    </row>
    <row r="6" spans="1:19" ht="17" x14ac:dyDescent="0.25">
      <c r="A6" s="13" t="s">
        <v>5</v>
      </c>
      <c r="B6">
        <v>1</v>
      </c>
      <c r="C6">
        <v>0.5</v>
      </c>
      <c r="D6">
        <v>2</v>
      </c>
      <c r="E6">
        <v>1</v>
      </c>
      <c r="F6">
        <v>0.5</v>
      </c>
      <c r="G6">
        <v>1</v>
      </c>
      <c r="H6">
        <v>1</v>
      </c>
      <c r="I6">
        <v>0.5</v>
      </c>
      <c r="J6">
        <v>2</v>
      </c>
      <c r="K6">
        <v>0.5</v>
      </c>
      <c r="L6">
        <v>1</v>
      </c>
      <c r="M6">
        <v>0.5</v>
      </c>
      <c r="N6">
        <v>2</v>
      </c>
      <c r="O6">
        <v>1</v>
      </c>
      <c r="P6">
        <v>0.5</v>
      </c>
      <c r="Q6">
        <v>1</v>
      </c>
      <c r="R6">
        <v>0.5</v>
      </c>
      <c r="S6">
        <v>1</v>
      </c>
    </row>
    <row r="7" spans="1:19" ht="17" x14ac:dyDescent="0.25">
      <c r="A7" s="13" t="s">
        <v>6</v>
      </c>
      <c r="B7">
        <v>1</v>
      </c>
      <c r="C7">
        <v>0.5</v>
      </c>
      <c r="D7">
        <v>0.5</v>
      </c>
      <c r="E7">
        <v>1</v>
      </c>
      <c r="F7">
        <v>2</v>
      </c>
      <c r="G7">
        <v>0.5</v>
      </c>
      <c r="H7">
        <v>1</v>
      </c>
      <c r="I7">
        <v>1</v>
      </c>
      <c r="J7">
        <v>2</v>
      </c>
      <c r="K7">
        <v>2</v>
      </c>
      <c r="L7">
        <v>1</v>
      </c>
      <c r="M7">
        <v>1</v>
      </c>
      <c r="N7">
        <v>1</v>
      </c>
      <c r="O7">
        <v>1</v>
      </c>
      <c r="P7">
        <v>2</v>
      </c>
      <c r="Q7">
        <v>1</v>
      </c>
      <c r="R7">
        <v>0.5</v>
      </c>
      <c r="S7">
        <v>1</v>
      </c>
    </row>
    <row r="8" spans="1:19" ht="17" x14ac:dyDescent="0.25">
      <c r="A8" s="13" t="s">
        <v>7</v>
      </c>
      <c r="B8">
        <v>2</v>
      </c>
      <c r="C8">
        <v>1</v>
      </c>
      <c r="D8">
        <v>1</v>
      </c>
      <c r="E8">
        <v>1</v>
      </c>
      <c r="F8">
        <v>1</v>
      </c>
      <c r="G8">
        <v>2</v>
      </c>
      <c r="H8">
        <v>1</v>
      </c>
      <c r="I8">
        <v>0.5</v>
      </c>
      <c r="J8">
        <v>1</v>
      </c>
      <c r="K8">
        <v>0.5</v>
      </c>
      <c r="L8">
        <v>0.5</v>
      </c>
      <c r="M8">
        <v>0.5</v>
      </c>
      <c r="N8">
        <v>2</v>
      </c>
      <c r="O8">
        <v>0</v>
      </c>
      <c r="P8">
        <v>1</v>
      </c>
      <c r="Q8">
        <v>2</v>
      </c>
      <c r="R8">
        <v>2</v>
      </c>
      <c r="S8">
        <v>0.5</v>
      </c>
    </row>
    <row r="9" spans="1:19" ht="17" x14ac:dyDescent="0.25">
      <c r="A9" s="13" t="s">
        <v>8</v>
      </c>
      <c r="B9">
        <v>1</v>
      </c>
      <c r="C9">
        <v>1</v>
      </c>
      <c r="D9">
        <v>1</v>
      </c>
      <c r="E9">
        <v>1</v>
      </c>
      <c r="F9">
        <v>2</v>
      </c>
      <c r="G9">
        <v>1</v>
      </c>
      <c r="H9">
        <v>1</v>
      </c>
      <c r="I9">
        <v>0.5</v>
      </c>
      <c r="J9">
        <v>0.5</v>
      </c>
      <c r="K9">
        <v>1</v>
      </c>
      <c r="L9">
        <v>1</v>
      </c>
      <c r="M9">
        <v>1</v>
      </c>
      <c r="N9">
        <v>0.5</v>
      </c>
      <c r="O9">
        <v>0.5</v>
      </c>
      <c r="P9">
        <v>1</v>
      </c>
      <c r="Q9">
        <v>1</v>
      </c>
      <c r="R9">
        <v>0</v>
      </c>
      <c r="S9">
        <v>2</v>
      </c>
    </row>
    <row r="10" spans="1:19" ht="17" x14ac:dyDescent="0.25">
      <c r="A10" s="13" t="s">
        <v>9</v>
      </c>
      <c r="B10">
        <v>1</v>
      </c>
      <c r="C10">
        <v>2</v>
      </c>
      <c r="D10">
        <v>1</v>
      </c>
      <c r="E10">
        <v>2</v>
      </c>
      <c r="F10">
        <v>0.5</v>
      </c>
      <c r="G10">
        <v>1</v>
      </c>
      <c r="H10">
        <v>1</v>
      </c>
      <c r="I10">
        <v>2</v>
      </c>
      <c r="J10">
        <v>1</v>
      </c>
      <c r="K10">
        <v>0</v>
      </c>
      <c r="L10">
        <v>1</v>
      </c>
      <c r="M10">
        <v>0.5</v>
      </c>
      <c r="N10">
        <v>2</v>
      </c>
      <c r="O10">
        <v>1</v>
      </c>
      <c r="P10">
        <v>1</v>
      </c>
      <c r="Q10">
        <v>1</v>
      </c>
      <c r="R10">
        <v>2</v>
      </c>
      <c r="S10">
        <v>1</v>
      </c>
    </row>
    <row r="11" spans="1:19" ht="17" x14ac:dyDescent="0.25">
      <c r="A11" s="13" t="s">
        <v>10</v>
      </c>
      <c r="B11">
        <v>1</v>
      </c>
      <c r="C11">
        <v>1</v>
      </c>
      <c r="D11">
        <v>1</v>
      </c>
      <c r="E11">
        <v>0.5</v>
      </c>
      <c r="F11">
        <v>2</v>
      </c>
      <c r="G11">
        <v>1</v>
      </c>
      <c r="H11">
        <v>2</v>
      </c>
      <c r="I11">
        <v>1</v>
      </c>
      <c r="J11">
        <v>1</v>
      </c>
      <c r="K11">
        <v>1</v>
      </c>
      <c r="L11">
        <v>1</v>
      </c>
      <c r="M11">
        <v>2</v>
      </c>
      <c r="N11">
        <v>0.5</v>
      </c>
      <c r="O11">
        <v>1</v>
      </c>
      <c r="P11">
        <v>1</v>
      </c>
      <c r="Q11">
        <v>1</v>
      </c>
      <c r="R11">
        <v>0.5</v>
      </c>
      <c r="S11">
        <v>1</v>
      </c>
    </row>
    <row r="12" spans="1:19" ht="17" x14ac:dyDescent="0.25">
      <c r="A12" s="13" t="s">
        <v>11</v>
      </c>
      <c r="B12">
        <v>1</v>
      </c>
      <c r="C12">
        <v>1</v>
      </c>
      <c r="D12">
        <v>1</v>
      </c>
      <c r="E12">
        <v>1</v>
      </c>
      <c r="F12">
        <v>1</v>
      </c>
      <c r="G12">
        <v>1</v>
      </c>
      <c r="H12">
        <v>2</v>
      </c>
      <c r="I12">
        <v>2</v>
      </c>
      <c r="J12">
        <v>1</v>
      </c>
      <c r="K12">
        <v>1</v>
      </c>
      <c r="L12">
        <v>0.5</v>
      </c>
      <c r="M12">
        <v>1</v>
      </c>
      <c r="N12">
        <v>1</v>
      </c>
      <c r="O12">
        <v>1</v>
      </c>
      <c r="P12">
        <v>1</v>
      </c>
      <c r="Q12">
        <v>0</v>
      </c>
      <c r="R12">
        <v>0.5</v>
      </c>
      <c r="S12">
        <v>1</v>
      </c>
    </row>
    <row r="13" spans="1:19" ht="17" x14ac:dyDescent="0.25">
      <c r="A13" s="13" t="s">
        <v>12</v>
      </c>
      <c r="B13">
        <v>1</v>
      </c>
      <c r="C13">
        <v>0.5</v>
      </c>
      <c r="D13">
        <v>1</v>
      </c>
      <c r="E13">
        <v>1</v>
      </c>
      <c r="F13">
        <v>2</v>
      </c>
      <c r="G13">
        <v>1</v>
      </c>
      <c r="H13">
        <v>0.5</v>
      </c>
      <c r="I13">
        <v>0.5</v>
      </c>
      <c r="J13">
        <v>1</v>
      </c>
      <c r="K13">
        <v>0.5</v>
      </c>
      <c r="L13">
        <v>2</v>
      </c>
      <c r="M13">
        <v>1</v>
      </c>
      <c r="N13">
        <v>1</v>
      </c>
      <c r="O13">
        <v>0.5</v>
      </c>
      <c r="P13">
        <v>1</v>
      </c>
      <c r="Q13">
        <v>2</v>
      </c>
      <c r="R13">
        <v>0.5</v>
      </c>
      <c r="S13">
        <v>0.5</v>
      </c>
    </row>
    <row r="14" spans="1:19" ht="17" x14ac:dyDescent="0.25">
      <c r="A14" s="13" t="s">
        <v>13</v>
      </c>
      <c r="B14">
        <v>1</v>
      </c>
      <c r="C14">
        <v>2</v>
      </c>
      <c r="D14">
        <v>1</v>
      </c>
      <c r="E14">
        <v>1</v>
      </c>
      <c r="F14">
        <v>1</v>
      </c>
      <c r="G14">
        <v>2</v>
      </c>
      <c r="H14">
        <v>0.5</v>
      </c>
      <c r="I14">
        <v>1</v>
      </c>
      <c r="J14">
        <v>0.5</v>
      </c>
      <c r="K14">
        <v>2</v>
      </c>
      <c r="L14">
        <v>1</v>
      </c>
      <c r="M14">
        <v>2</v>
      </c>
      <c r="N14">
        <v>1</v>
      </c>
      <c r="O14">
        <v>1</v>
      </c>
      <c r="P14">
        <v>1</v>
      </c>
      <c r="Q14">
        <v>1</v>
      </c>
      <c r="R14">
        <v>0.5</v>
      </c>
      <c r="S14">
        <v>1</v>
      </c>
    </row>
    <row r="15" spans="1:19" ht="17" x14ac:dyDescent="0.25">
      <c r="A15" s="13" t="s">
        <v>14</v>
      </c>
      <c r="B15">
        <v>0</v>
      </c>
      <c r="C15">
        <v>1</v>
      </c>
      <c r="D15">
        <v>1</v>
      </c>
      <c r="E15">
        <v>1</v>
      </c>
      <c r="F15">
        <v>1</v>
      </c>
      <c r="G15">
        <v>1</v>
      </c>
      <c r="H15">
        <v>1</v>
      </c>
      <c r="I15">
        <v>1</v>
      </c>
      <c r="J15">
        <v>1</v>
      </c>
      <c r="K15">
        <v>1</v>
      </c>
      <c r="L15">
        <v>2</v>
      </c>
      <c r="M15">
        <v>1</v>
      </c>
      <c r="N15">
        <v>1</v>
      </c>
      <c r="O15">
        <v>2</v>
      </c>
      <c r="P15">
        <v>1</v>
      </c>
      <c r="Q15">
        <v>0.5</v>
      </c>
      <c r="R15">
        <v>1</v>
      </c>
      <c r="S15">
        <v>1</v>
      </c>
    </row>
    <row r="16" spans="1:19" ht="17" x14ac:dyDescent="0.25">
      <c r="A16" s="13" t="s">
        <v>15</v>
      </c>
      <c r="B16">
        <v>1</v>
      </c>
      <c r="C16">
        <v>1</v>
      </c>
      <c r="D16">
        <v>1</v>
      </c>
      <c r="E16">
        <v>1</v>
      </c>
      <c r="F16">
        <v>1</v>
      </c>
      <c r="G16">
        <v>1</v>
      </c>
      <c r="H16">
        <v>1</v>
      </c>
      <c r="I16">
        <v>1</v>
      </c>
      <c r="J16">
        <v>1</v>
      </c>
      <c r="K16">
        <v>1</v>
      </c>
      <c r="L16">
        <v>1</v>
      </c>
      <c r="M16">
        <v>1</v>
      </c>
      <c r="N16">
        <v>1</v>
      </c>
      <c r="O16">
        <v>1</v>
      </c>
      <c r="P16">
        <v>2</v>
      </c>
      <c r="Q16">
        <v>1</v>
      </c>
      <c r="R16">
        <v>0.5</v>
      </c>
      <c r="S16">
        <v>0</v>
      </c>
    </row>
    <row r="17" spans="1:19" ht="17" x14ac:dyDescent="0.25">
      <c r="A17" s="13" t="s">
        <v>16</v>
      </c>
      <c r="B17">
        <v>1</v>
      </c>
      <c r="C17">
        <v>1</v>
      </c>
      <c r="D17">
        <v>1</v>
      </c>
      <c r="E17">
        <v>1</v>
      </c>
      <c r="F17">
        <v>1</v>
      </c>
      <c r="G17">
        <v>1</v>
      </c>
      <c r="H17">
        <v>0.5</v>
      </c>
      <c r="I17">
        <v>1</v>
      </c>
      <c r="J17">
        <v>1</v>
      </c>
      <c r="K17">
        <v>1</v>
      </c>
      <c r="L17">
        <v>2</v>
      </c>
      <c r="M17">
        <v>1</v>
      </c>
      <c r="N17">
        <v>1</v>
      </c>
      <c r="O17">
        <v>2</v>
      </c>
      <c r="P17">
        <v>1</v>
      </c>
      <c r="Q17">
        <v>0.5</v>
      </c>
      <c r="R17">
        <v>1</v>
      </c>
      <c r="S17">
        <v>0.5</v>
      </c>
    </row>
    <row r="18" spans="1:19" ht="17" x14ac:dyDescent="0.25">
      <c r="A18" s="13" t="s">
        <v>17</v>
      </c>
      <c r="B18">
        <v>1</v>
      </c>
      <c r="C18">
        <v>0.5</v>
      </c>
      <c r="D18">
        <v>0.5</v>
      </c>
      <c r="E18">
        <v>0.5</v>
      </c>
      <c r="F18">
        <v>1</v>
      </c>
      <c r="G18">
        <v>2</v>
      </c>
      <c r="H18">
        <v>1</v>
      </c>
      <c r="I18">
        <v>1</v>
      </c>
      <c r="J18">
        <v>1</v>
      </c>
      <c r="K18">
        <v>1</v>
      </c>
      <c r="L18">
        <v>1</v>
      </c>
      <c r="M18">
        <v>1</v>
      </c>
      <c r="N18">
        <v>2</v>
      </c>
      <c r="O18">
        <v>1</v>
      </c>
      <c r="P18">
        <v>1</v>
      </c>
      <c r="Q18">
        <v>1</v>
      </c>
      <c r="R18">
        <v>0.5</v>
      </c>
      <c r="S18">
        <v>2</v>
      </c>
    </row>
    <row r="19" spans="1:19" ht="17" x14ac:dyDescent="0.25">
      <c r="A19" s="13" t="s">
        <v>18</v>
      </c>
      <c r="B19">
        <v>1</v>
      </c>
      <c r="C19">
        <v>0.5</v>
      </c>
      <c r="D19">
        <v>1</v>
      </c>
      <c r="E19">
        <v>1</v>
      </c>
      <c r="F19">
        <v>1</v>
      </c>
      <c r="G19">
        <v>1</v>
      </c>
      <c r="H19">
        <v>2</v>
      </c>
      <c r="I19">
        <v>0.5</v>
      </c>
      <c r="J19">
        <v>1</v>
      </c>
      <c r="K19">
        <v>1</v>
      </c>
      <c r="L19">
        <v>1</v>
      </c>
      <c r="M19">
        <v>1</v>
      </c>
      <c r="N19">
        <v>1</v>
      </c>
      <c r="O19">
        <v>1</v>
      </c>
      <c r="P19">
        <v>2</v>
      </c>
      <c r="Q19">
        <v>2</v>
      </c>
      <c r="R19">
        <v>0.5</v>
      </c>
      <c r="S19">
        <v>1</v>
      </c>
    </row>
    <row r="22" spans="1:19" ht="17" x14ac:dyDescent="0.25">
      <c r="A22" s="13" t="s">
        <v>19</v>
      </c>
      <c r="B22" s="14" t="s">
        <v>20</v>
      </c>
    </row>
  </sheetData>
  <hyperlinks>
    <hyperlink ref="B22" r:id="rId1" xr:uid="{86729434-85F6-AA47-8D13-C198526A046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99C1C-D30A-8A45-AEF3-1A6BD10676CA}">
  <sheetPr codeName="Sheet2"/>
  <dimension ref="A1:V139"/>
  <sheetViews>
    <sheetView workbookViewId="0">
      <selection activeCell="B84" sqref="B84"/>
    </sheetView>
  </sheetViews>
  <sheetFormatPr baseColWidth="10" defaultColWidth="11" defaultRowHeight="16" x14ac:dyDescent="0.2"/>
  <sheetData>
    <row r="1" spans="1:22" ht="18" x14ac:dyDescent="0.2">
      <c r="A1" s="15" t="s">
        <v>21</v>
      </c>
    </row>
    <row r="3" spans="1:22" x14ac:dyDescent="0.2">
      <c r="A3" t="s">
        <v>22</v>
      </c>
      <c r="B3" t="s">
        <v>23</v>
      </c>
      <c r="C3" t="s">
        <v>24</v>
      </c>
      <c r="D3" t="s">
        <v>25</v>
      </c>
      <c r="E3" t="s">
        <v>26</v>
      </c>
      <c r="F3" t="s">
        <v>27</v>
      </c>
      <c r="G3" t="s">
        <v>28</v>
      </c>
      <c r="H3" t="s">
        <v>29</v>
      </c>
      <c r="I3" t="s">
        <v>30</v>
      </c>
      <c r="J3" t="s">
        <v>31</v>
      </c>
      <c r="K3" t="s">
        <v>32</v>
      </c>
      <c r="L3" t="s">
        <v>33</v>
      </c>
      <c r="M3" t="s">
        <v>34</v>
      </c>
      <c r="N3" t="s">
        <v>35</v>
      </c>
      <c r="O3" t="s">
        <v>36</v>
      </c>
      <c r="P3" t="s">
        <v>37</v>
      </c>
      <c r="Q3" t="s">
        <v>38</v>
      </c>
      <c r="R3" t="s">
        <v>39</v>
      </c>
      <c r="S3" t="s">
        <v>40</v>
      </c>
      <c r="T3" t="s">
        <v>41</v>
      </c>
      <c r="U3" t="s">
        <v>42</v>
      </c>
      <c r="V3" t="s">
        <v>43</v>
      </c>
    </row>
    <row r="4" spans="1:22" x14ac:dyDescent="0.2">
      <c r="A4">
        <v>1</v>
      </c>
      <c r="B4" t="s">
        <v>44</v>
      </c>
      <c r="C4">
        <v>2019</v>
      </c>
      <c r="D4">
        <v>18</v>
      </c>
      <c r="E4">
        <v>26.8</v>
      </c>
      <c r="F4">
        <v>34.700000000000003</v>
      </c>
      <c r="G4">
        <v>3</v>
      </c>
      <c r="H4">
        <v>33</v>
      </c>
      <c r="I4">
        <v>270</v>
      </c>
      <c r="J4">
        <v>3</v>
      </c>
      <c r="K4">
        <v>2</v>
      </c>
      <c r="L4">
        <v>1</v>
      </c>
      <c r="M4">
        <v>1</v>
      </c>
      <c r="N4">
        <v>1</v>
      </c>
      <c r="O4">
        <v>1</v>
      </c>
      <c r="P4">
        <v>3</v>
      </c>
      <c r="Q4">
        <v>0</v>
      </c>
      <c r="R4">
        <v>0.67</v>
      </c>
      <c r="S4">
        <v>0.33</v>
      </c>
      <c r="T4">
        <v>1</v>
      </c>
      <c r="U4">
        <v>0.33</v>
      </c>
      <c r="V4">
        <v>0.67</v>
      </c>
    </row>
    <row r="5" spans="1:22" x14ac:dyDescent="0.2">
      <c r="A5">
        <v>2</v>
      </c>
      <c r="B5" t="s">
        <v>45</v>
      </c>
      <c r="C5">
        <v>2019</v>
      </c>
      <c r="D5">
        <v>18</v>
      </c>
      <c r="E5">
        <v>25.4</v>
      </c>
      <c r="F5">
        <v>61.3</v>
      </c>
      <c r="G5">
        <v>4</v>
      </c>
      <c r="H5">
        <v>44</v>
      </c>
      <c r="I5">
        <v>390</v>
      </c>
      <c r="J5">
        <v>4.3</v>
      </c>
      <c r="K5">
        <v>8</v>
      </c>
      <c r="L5">
        <v>4</v>
      </c>
      <c r="M5">
        <v>8</v>
      </c>
      <c r="N5">
        <v>0</v>
      </c>
      <c r="O5">
        <v>1</v>
      </c>
      <c r="P5">
        <v>2</v>
      </c>
      <c r="Q5">
        <v>0</v>
      </c>
      <c r="R5">
        <v>1.85</v>
      </c>
      <c r="S5">
        <v>0.92</v>
      </c>
      <c r="T5">
        <v>2.77</v>
      </c>
      <c r="U5">
        <v>1.85</v>
      </c>
      <c r="V5">
        <v>2.77</v>
      </c>
    </row>
    <row r="6" spans="1:22" x14ac:dyDescent="0.2">
      <c r="A6">
        <v>3</v>
      </c>
      <c r="B6" t="s">
        <v>46</v>
      </c>
      <c r="C6">
        <v>2019</v>
      </c>
      <c r="D6">
        <v>18</v>
      </c>
      <c r="E6">
        <v>29.7</v>
      </c>
      <c r="F6">
        <v>51.5</v>
      </c>
      <c r="G6">
        <v>4</v>
      </c>
      <c r="H6">
        <v>44</v>
      </c>
      <c r="I6">
        <v>390</v>
      </c>
      <c r="J6">
        <v>4.3</v>
      </c>
      <c r="K6">
        <v>7</v>
      </c>
      <c r="L6">
        <v>3</v>
      </c>
      <c r="M6">
        <v>5</v>
      </c>
      <c r="N6">
        <v>2</v>
      </c>
      <c r="O6">
        <v>3</v>
      </c>
      <c r="P6">
        <v>7</v>
      </c>
      <c r="Q6">
        <v>0</v>
      </c>
      <c r="R6">
        <v>1.62</v>
      </c>
      <c r="S6">
        <v>0.69</v>
      </c>
      <c r="T6">
        <v>2.31</v>
      </c>
      <c r="U6">
        <v>1.1499999999999999</v>
      </c>
      <c r="V6">
        <v>1.85</v>
      </c>
    </row>
    <row r="7" spans="1:22" x14ac:dyDescent="0.2">
      <c r="A7">
        <v>4</v>
      </c>
      <c r="B7" t="s">
        <v>47</v>
      </c>
      <c r="C7">
        <v>2019</v>
      </c>
      <c r="D7">
        <v>20</v>
      </c>
      <c r="E7">
        <v>27.7</v>
      </c>
      <c r="F7">
        <v>36</v>
      </c>
      <c r="G7">
        <v>4</v>
      </c>
      <c r="H7">
        <v>44</v>
      </c>
      <c r="I7">
        <v>360</v>
      </c>
      <c r="J7">
        <v>4</v>
      </c>
      <c r="K7">
        <v>3</v>
      </c>
      <c r="L7">
        <v>3</v>
      </c>
      <c r="M7">
        <v>3</v>
      </c>
      <c r="N7">
        <v>0</v>
      </c>
      <c r="O7">
        <v>0</v>
      </c>
      <c r="P7">
        <v>6</v>
      </c>
      <c r="Q7">
        <v>0</v>
      </c>
      <c r="R7">
        <v>0.75</v>
      </c>
      <c r="S7">
        <v>0.75</v>
      </c>
      <c r="T7">
        <v>1.5</v>
      </c>
      <c r="U7">
        <v>0.75</v>
      </c>
      <c r="V7">
        <v>1.5</v>
      </c>
    </row>
    <row r="8" spans="1:22" x14ac:dyDescent="0.2">
      <c r="A8">
        <v>5</v>
      </c>
      <c r="B8" t="s">
        <v>48</v>
      </c>
      <c r="C8">
        <v>2019</v>
      </c>
      <c r="D8">
        <v>16</v>
      </c>
      <c r="E8">
        <v>27</v>
      </c>
      <c r="F8">
        <v>63</v>
      </c>
      <c r="G8">
        <v>4</v>
      </c>
      <c r="H8">
        <v>44</v>
      </c>
      <c r="I8">
        <v>360</v>
      </c>
      <c r="J8">
        <v>4</v>
      </c>
      <c r="K8">
        <v>4</v>
      </c>
      <c r="L8">
        <v>3</v>
      </c>
      <c r="M8">
        <v>4</v>
      </c>
      <c r="N8">
        <v>0</v>
      </c>
      <c r="O8">
        <v>1</v>
      </c>
      <c r="P8">
        <v>2</v>
      </c>
      <c r="Q8">
        <v>0</v>
      </c>
      <c r="R8">
        <v>1</v>
      </c>
      <c r="S8">
        <v>0.75</v>
      </c>
      <c r="T8">
        <v>1.75</v>
      </c>
      <c r="U8">
        <v>1</v>
      </c>
      <c r="V8">
        <v>1.75</v>
      </c>
    </row>
    <row r="9" spans="1:22" x14ac:dyDescent="0.2">
      <c r="A9">
        <v>6</v>
      </c>
      <c r="B9" t="s">
        <v>49</v>
      </c>
      <c r="C9">
        <v>2019</v>
      </c>
      <c r="D9">
        <v>18</v>
      </c>
      <c r="E9">
        <v>26.8</v>
      </c>
      <c r="F9">
        <v>42</v>
      </c>
      <c r="G9">
        <v>3</v>
      </c>
      <c r="H9">
        <v>33</v>
      </c>
      <c r="I9">
        <v>270</v>
      </c>
      <c r="J9">
        <v>3</v>
      </c>
      <c r="K9">
        <v>1</v>
      </c>
      <c r="L9">
        <v>1</v>
      </c>
      <c r="M9">
        <v>1</v>
      </c>
      <c r="N9">
        <v>0</v>
      </c>
      <c r="O9">
        <v>1</v>
      </c>
      <c r="P9">
        <v>5</v>
      </c>
      <c r="Q9">
        <v>0</v>
      </c>
      <c r="R9">
        <v>0.33</v>
      </c>
      <c r="S9">
        <v>0.33</v>
      </c>
      <c r="T9">
        <v>0.67</v>
      </c>
      <c r="U9">
        <v>0.33</v>
      </c>
      <c r="V9">
        <v>0.67</v>
      </c>
    </row>
    <row r="10" spans="1:22" x14ac:dyDescent="0.2">
      <c r="A10">
        <v>7</v>
      </c>
      <c r="B10" t="s">
        <v>50</v>
      </c>
      <c r="C10">
        <v>2019</v>
      </c>
      <c r="D10">
        <v>17</v>
      </c>
      <c r="E10">
        <v>26.6</v>
      </c>
      <c r="F10">
        <v>47</v>
      </c>
      <c r="G10">
        <v>4</v>
      </c>
      <c r="H10">
        <v>44</v>
      </c>
      <c r="I10">
        <v>360</v>
      </c>
      <c r="J10">
        <v>4</v>
      </c>
      <c r="K10">
        <v>1</v>
      </c>
      <c r="L10">
        <v>1</v>
      </c>
      <c r="M10">
        <v>1</v>
      </c>
      <c r="N10">
        <v>0</v>
      </c>
      <c r="O10">
        <v>0</v>
      </c>
      <c r="P10">
        <v>5</v>
      </c>
      <c r="Q10">
        <v>0</v>
      </c>
      <c r="R10">
        <v>0.25</v>
      </c>
      <c r="S10">
        <v>0.25</v>
      </c>
      <c r="T10">
        <v>0.5</v>
      </c>
      <c r="U10">
        <v>0.25</v>
      </c>
      <c r="V10">
        <v>0.5</v>
      </c>
    </row>
    <row r="11" spans="1:22" x14ac:dyDescent="0.2">
      <c r="A11">
        <v>8</v>
      </c>
      <c r="B11" t="s">
        <v>51</v>
      </c>
      <c r="C11">
        <v>2019</v>
      </c>
      <c r="D11">
        <v>22</v>
      </c>
      <c r="E11">
        <v>27.8</v>
      </c>
      <c r="F11">
        <v>60.4</v>
      </c>
      <c r="G11">
        <v>7</v>
      </c>
      <c r="H11">
        <v>77</v>
      </c>
      <c r="I11">
        <v>630</v>
      </c>
      <c r="J11">
        <v>7</v>
      </c>
      <c r="K11">
        <v>13</v>
      </c>
      <c r="L11">
        <v>12</v>
      </c>
      <c r="M11">
        <v>12</v>
      </c>
      <c r="N11">
        <v>1</v>
      </c>
      <c r="O11">
        <v>4</v>
      </c>
      <c r="P11">
        <v>1</v>
      </c>
      <c r="Q11">
        <v>1</v>
      </c>
      <c r="R11">
        <v>1.86</v>
      </c>
      <c r="S11">
        <v>1.71</v>
      </c>
      <c r="T11">
        <v>3.57</v>
      </c>
      <c r="U11">
        <v>1.71</v>
      </c>
      <c r="V11">
        <v>3.43</v>
      </c>
    </row>
    <row r="12" spans="1:22" x14ac:dyDescent="0.2">
      <c r="A12">
        <v>9</v>
      </c>
      <c r="B12" t="s">
        <v>52</v>
      </c>
      <c r="C12">
        <v>2019</v>
      </c>
      <c r="D12">
        <v>17</v>
      </c>
      <c r="E12">
        <v>27.8</v>
      </c>
      <c r="F12">
        <v>58.8</v>
      </c>
      <c r="G12">
        <v>5</v>
      </c>
      <c r="H12">
        <v>55</v>
      </c>
      <c r="I12">
        <v>480</v>
      </c>
      <c r="J12">
        <v>5.3</v>
      </c>
      <c r="K12">
        <v>10</v>
      </c>
      <c r="L12">
        <v>8</v>
      </c>
      <c r="M12">
        <v>8</v>
      </c>
      <c r="N12">
        <v>2</v>
      </c>
      <c r="O12">
        <v>2</v>
      </c>
      <c r="P12">
        <v>2</v>
      </c>
      <c r="Q12">
        <v>0</v>
      </c>
      <c r="R12">
        <v>1.87</v>
      </c>
      <c r="S12">
        <v>1.5</v>
      </c>
      <c r="T12">
        <v>3.38</v>
      </c>
      <c r="U12">
        <v>1.5</v>
      </c>
      <c r="V12">
        <v>3</v>
      </c>
    </row>
    <row r="13" spans="1:22" x14ac:dyDescent="0.2">
      <c r="A13">
        <v>10</v>
      </c>
      <c r="B13" t="s">
        <v>53</v>
      </c>
      <c r="C13">
        <v>2019</v>
      </c>
      <c r="D13">
        <v>19</v>
      </c>
      <c r="E13">
        <v>25.5</v>
      </c>
      <c r="F13">
        <v>57.2</v>
      </c>
      <c r="G13">
        <v>5</v>
      </c>
      <c r="H13">
        <v>55</v>
      </c>
      <c r="I13">
        <v>450</v>
      </c>
      <c r="J13">
        <v>5</v>
      </c>
      <c r="K13">
        <v>10</v>
      </c>
      <c r="L13">
        <v>4</v>
      </c>
      <c r="M13">
        <v>9</v>
      </c>
      <c r="N13">
        <v>1</v>
      </c>
      <c r="O13">
        <v>1</v>
      </c>
      <c r="P13">
        <v>2</v>
      </c>
      <c r="Q13">
        <v>0</v>
      </c>
      <c r="R13">
        <v>2</v>
      </c>
      <c r="S13">
        <v>0.8</v>
      </c>
      <c r="T13">
        <v>2.8</v>
      </c>
      <c r="U13">
        <v>1.8</v>
      </c>
      <c r="V13">
        <v>2.6</v>
      </c>
    </row>
    <row r="14" spans="1:22" x14ac:dyDescent="0.2">
      <c r="A14">
        <v>11</v>
      </c>
      <c r="B14" t="s">
        <v>54</v>
      </c>
      <c r="C14">
        <v>2019</v>
      </c>
      <c r="D14">
        <v>17</v>
      </c>
      <c r="E14">
        <v>26.5</v>
      </c>
      <c r="F14">
        <v>43.4</v>
      </c>
      <c r="G14">
        <v>5</v>
      </c>
      <c r="H14">
        <v>55</v>
      </c>
      <c r="I14">
        <v>450</v>
      </c>
      <c r="J14">
        <v>5</v>
      </c>
      <c r="K14">
        <v>9</v>
      </c>
      <c r="L14">
        <v>6</v>
      </c>
      <c r="M14">
        <v>8</v>
      </c>
      <c r="N14">
        <v>1</v>
      </c>
      <c r="O14">
        <v>1</v>
      </c>
      <c r="P14">
        <v>4</v>
      </c>
      <c r="Q14">
        <v>0</v>
      </c>
      <c r="R14">
        <v>1.8</v>
      </c>
      <c r="S14">
        <v>1.2</v>
      </c>
      <c r="T14">
        <v>3</v>
      </c>
      <c r="U14">
        <v>1.6</v>
      </c>
      <c r="V14">
        <v>2.8</v>
      </c>
    </row>
    <row r="15" spans="1:22" x14ac:dyDescent="0.2">
      <c r="A15">
        <v>12</v>
      </c>
      <c r="B15" t="s">
        <v>55</v>
      </c>
      <c r="C15">
        <v>2019</v>
      </c>
      <c r="D15">
        <v>20</v>
      </c>
      <c r="E15">
        <v>22.9</v>
      </c>
      <c r="F15">
        <v>36.700000000000003</v>
      </c>
      <c r="G15">
        <v>3</v>
      </c>
      <c r="H15">
        <v>33</v>
      </c>
      <c r="I15">
        <v>270</v>
      </c>
      <c r="J15">
        <v>3</v>
      </c>
      <c r="K15">
        <v>1</v>
      </c>
      <c r="L15">
        <v>1</v>
      </c>
      <c r="M15">
        <v>1</v>
      </c>
      <c r="N15">
        <v>0</v>
      </c>
      <c r="O15">
        <v>0</v>
      </c>
      <c r="P15">
        <v>4</v>
      </c>
      <c r="Q15">
        <v>0</v>
      </c>
      <c r="R15">
        <v>0.33</v>
      </c>
      <c r="S15">
        <v>0.33</v>
      </c>
      <c r="T15">
        <v>0.67</v>
      </c>
      <c r="U15">
        <v>0.33</v>
      </c>
      <c r="V15">
        <v>0.67</v>
      </c>
    </row>
    <row r="16" spans="1:22" x14ac:dyDescent="0.2">
      <c r="A16">
        <v>13</v>
      </c>
      <c r="B16" t="s">
        <v>56</v>
      </c>
      <c r="C16">
        <v>2019</v>
      </c>
      <c r="D16">
        <v>17</v>
      </c>
      <c r="E16">
        <v>24.8</v>
      </c>
      <c r="F16">
        <v>53.8</v>
      </c>
      <c r="G16">
        <v>4</v>
      </c>
      <c r="H16">
        <v>44</v>
      </c>
      <c r="I16">
        <v>360</v>
      </c>
      <c r="J16">
        <v>4</v>
      </c>
      <c r="K16">
        <v>3</v>
      </c>
      <c r="L16">
        <v>2</v>
      </c>
      <c r="M16">
        <v>2</v>
      </c>
      <c r="N16">
        <v>1</v>
      </c>
      <c r="O16">
        <v>1</v>
      </c>
      <c r="P16">
        <v>4</v>
      </c>
      <c r="Q16">
        <v>0</v>
      </c>
      <c r="R16">
        <v>0.75</v>
      </c>
      <c r="S16">
        <v>0.5</v>
      </c>
      <c r="T16">
        <v>1.25</v>
      </c>
      <c r="U16">
        <v>0.5</v>
      </c>
      <c r="V16">
        <v>1</v>
      </c>
    </row>
    <row r="17" spans="1:22" x14ac:dyDescent="0.2">
      <c r="A17">
        <v>14</v>
      </c>
      <c r="B17" t="s">
        <v>57</v>
      </c>
      <c r="C17">
        <v>2019</v>
      </c>
      <c r="D17">
        <v>19</v>
      </c>
      <c r="E17">
        <v>26.9</v>
      </c>
      <c r="F17">
        <v>52</v>
      </c>
      <c r="G17">
        <v>3</v>
      </c>
      <c r="H17">
        <v>33</v>
      </c>
      <c r="I17">
        <v>270</v>
      </c>
      <c r="J17">
        <v>3</v>
      </c>
      <c r="K17">
        <v>1</v>
      </c>
      <c r="L17">
        <v>1</v>
      </c>
      <c r="M17">
        <v>1</v>
      </c>
      <c r="N17">
        <v>0</v>
      </c>
      <c r="O17">
        <v>0</v>
      </c>
      <c r="P17">
        <v>4</v>
      </c>
      <c r="Q17">
        <v>0</v>
      </c>
      <c r="R17">
        <v>0.33</v>
      </c>
      <c r="S17">
        <v>0.33</v>
      </c>
      <c r="T17">
        <v>0.67</v>
      </c>
      <c r="U17">
        <v>0.33</v>
      </c>
      <c r="V17">
        <v>0.67</v>
      </c>
    </row>
    <row r="18" spans="1:22" x14ac:dyDescent="0.2">
      <c r="A18">
        <v>15</v>
      </c>
      <c r="B18" t="s">
        <v>58</v>
      </c>
      <c r="C18">
        <v>2019</v>
      </c>
      <c r="D18">
        <v>16</v>
      </c>
      <c r="E18">
        <v>26.1</v>
      </c>
      <c r="F18">
        <v>57.1</v>
      </c>
      <c r="G18">
        <v>7</v>
      </c>
      <c r="H18">
        <v>77</v>
      </c>
      <c r="I18">
        <v>660</v>
      </c>
      <c r="J18">
        <v>7.3</v>
      </c>
      <c r="K18">
        <v>11</v>
      </c>
      <c r="L18">
        <v>7</v>
      </c>
      <c r="M18">
        <v>10</v>
      </c>
      <c r="N18">
        <v>1</v>
      </c>
      <c r="O18">
        <v>1</v>
      </c>
      <c r="P18">
        <v>0</v>
      </c>
      <c r="Q18">
        <v>0</v>
      </c>
      <c r="R18">
        <v>1.5</v>
      </c>
      <c r="S18">
        <v>0.95</v>
      </c>
      <c r="T18">
        <v>2.4500000000000002</v>
      </c>
      <c r="U18">
        <v>1.36</v>
      </c>
      <c r="V18">
        <v>2.3199999999999998</v>
      </c>
    </row>
    <row r="19" spans="1:22" x14ac:dyDescent="0.2">
      <c r="A19">
        <v>16</v>
      </c>
      <c r="B19" t="s">
        <v>59</v>
      </c>
      <c r="C19">
        <v>2019</v>
      </c>
      <c r="D19">
        <v>17</v>
      </c>
      <c r="E19">
        <v>27.6</v>
      </c>
      <c r="F19">
        <v>39.299999999999997</v>
      </c>
      <c r="G19">
        <v>3</v>
      </c>
      <c r="H19">
        <v>33</v>
      </c>
      <c r="I19">
        <v>270</v>
      </c>
      <c r="J19">
        <v>3</v>
      </c>
      <c r="K19">
        <v>0</v>
      </c>
      <c r="L19">
        <v>0</v>
      </c>
      <c r="M19">
        <v>0</v>
      </c>
      <c r="N19">
        <v>0</v>
      </c>
      <c r="O19">
        <v>0</v>
      </c>
      <c r="P19">
        <v>1</v>
      </c>
      <c r="Q19">
        <v>0</v>
      </c>
      <c r="R19">
        <v>0</v>
      </c>
      <c r="S19">
        <v>0</v>
      </c>
      <c r="T19">
        <v>0</v>
      </c>
      <c r="U19">
        <v>0</v>
      </c>
      <c r="V19">
        <v>0</v>
      </c>
    </row>
    <row r="20" spans="1:22" x14ac:dyDescent="0.2">
      <c r="A20">
        <v>17</v>
      </c>
      <c r="B20" t="s">
        <v>60</v>
      </c>
      <c r="C20">
        <v>2019</v>
      </c>
      <c r="D20">
        <v>20</v>
      </c>
      <c r="E20">
        <v>25.7</v>
      </c>
      <c r="F20">
        <v>34.799999999999997</v>
      </c>
      <c r="G20">
        <v>4</v>
      </c>
      <c r="H20">
        <v>44</v>
      </c>
      <c r="I20">
        <v>360</v>
      </c>
      <c r="J20">
        <v>4</v>
      </c>
      <c r="K20">
        <v>1</v>
      </c>
      <c r="L20">
        <v>1</v>
      </c>
      <c r="M20">
        <v>1</v>
      </c>
      <c r="N20">
        <v>0</v>
      </c>
      <c r="O20">
        <v>0</v>
      </c>
      <c r="P20">
        <v>6</v>
      </c>
      <c r="Q20">
        <v>1</v>
      </c>
      <c r="R20">
        <v>0.25</v>
      </c>
      <c r="S20">
        <v>0.25</v>
      </c>
      <c r="T20">
        <v>0.5</v>
      </c>
      <c r="U20">
        <v>0.25</v>
      </c>
      <c r="V20">
        <v>0.5</v>
      </c>
    </row>
    <row r="21" spans="1:22" x14ac:dyDescent="0.2">
      <c r="A21">
        <v>18</v>
      </c>
      <c r="B21" t="s">
        <v>61</v>
      </c>
      <c r="C21">
        <v>2019</v>
      </c>
      <c r="D21">
        <v>17</v>
      </c>
      <c r="E21">
        <v>26.8</v>
      </c>
      <c r="F21">
        <v>50.2</v>
      </c>
      <c r="G21">
        <v>5</v>
      </c>
      <c r="H21">
        <v>55</v>
      </c>
      <c r="I21">
        <v>480</v>
      </c>
      <c r="J21">
        <v>5.3</v>
      </c>
      <c r="K21">
        <v>5</v>
      </c>
      <c r="L21">
        <v>3</v>
      </c>
      <c r="M21">
        <v>3</v>
      </c>
      <c r="N21">
        <v>2</v>
      </c>
      <c r="O21">
        <v>2</v>
      </c>
      <c r="P21">
        <v>1</v>
      </c>
      <c r="Q21">
        <v>0</v>
      </c>
      <c r="R21">
        <v>0.94</v>
      </c>
      <c r="S21">
        <v>0.56000000000000005</v>
      </c>
      <c r="T21">
        <v>1.5</v>
      </c>
      <c r="U21">
        <v>0.56000000000000005</v>
      </c>
      <c r="V21">
        <v>1.1299999999999999</v>
      </c>
    </row>
    <row r="22" spans="1:22" x14ac:dyDescent="0.2">
      <c r="A22">
        <v>19</v>
      </c>
      <c r="B22" t="s">
        <v>62</v>
      </c>
      <c r="C22">
        <v>2019</v>
      </c>
      <c r="D22">
        <v>19</v>
      </c>
      <c r="E22">
        <v>26.4</v>
      </c>
      <c r="F22">
        <v>47</v>
      </c>
      <c r="G22">
        <v>3</v>
      </c>
      <c r="H22">
        <v>33</v>
      </c>
      <c r="I22">
        <v>270</v>
      </c>
      <c r="J22">
        <v>3</v>
      </c>
      <c r="K22">
        <v>5</v>
      </c>
      <c r="L22">
        <v>3</v>
      </c>
      <c r="M22">
        <v>5</v>
      </c>
      <c r="N22">
        <v>0</v>
      </c>
      <c r="O22">
        <v>0</v>
      </c>
      <c r="P22">
        <v>6</v>
      </c>
      <c r="Q22">
        <v>0</v>
      </c>
      <c r="R22">
        <v>1.67</v>
      </c>
      <c r="S22">
        <v>1</v>
      </c>
      <c r="T22">
        <v>2.67</v>
      </c>
      <c r="U22">
        <v>1.67</v>
      </c>
      <c r="V22">
        <v>2.67</v>
      </c>
    </row>
    <row r="23" spans="1:22" x14ac:dyDescent="0.2">
      <c r="A23">
        <v>20</v>
      </c>
      <c r="B23" t="s">
        <v>63</v>
      </c>
      <c r="C23">
        <v>2019</v>
      </c>
      <c r="D23">
        <v>19</v>
      </c>
      <c r="E23">
        <v>27.5</v>
      </c>
      <c r="F23">
        <v>38</v>
      </c>
      <c r="G23">
        <v>3</v>
      </c>
      <c r="H23">
        <v>33</v>
      </c>
      <c r="I23">
        <v>270</v>
      </c>
      <c r="J23">
        <v>3</v>
      </c>
      <c r="K23">
        <v>1</v>
      </c>
      <c r="L23">
        <v>1</v>
      </c>
      <c r="M23">
        <v>1</v>
      </c>
      <c r="N23">
        <v>0</v>
      </c>
      <c r="O23">
        <v>0</v>
      </c>
      <c r="P23">
        <v>7</v>
      </c>
      <c r="Q23">
        <v>1</v>
      </c>
      <c r="R23">
        <v>0.33</v>
      </c>
      <c r="S23">
        <v>0.33</v>
      </c>
      <c r="T23">
        <v>0.67</v>
      </c>
      <c r="U23">
        <v>0.33</v>
      </c>
      <c r="V23">
        <v>0.67</v>
      </c>
    </row>
    <row r="24" spans="1:22" x14ac:dyDescent="0.2">
      <c r="A24">
        <v>21</v>
      </c>
      <c r="B24" t="s">
        <v>64</v>
      </c>
      <c r="C24">
        <v>2019</v>
      </c>
      <c r="D24">
        <v>19</v>
      </c>
      <c r="E24">
        <v>25.2</v>
      </c>
      <c r="F24">
        <v>62.5</v>
      </c>
      <c r="G24">
        <v>4</v>
      </c>
      <c r="H24">
        <v>44</v>
      </c>
      <c r="I24">
        <v>360</v>
      </c>
      <c r="J24">
        <v>4</v>
      </c>
      <c r="K24">
        <v>4</v>
      </c>
      <c r="L24">
        <v>2</v>
      </c>
      <c r="M24">
        <v>2</v>
      </c>
      <c r="N24">
        <v>2</v>
      </c>
      <c r="O24">
        <v>2</v>
      </c>
      <c r="P24">
        <v>1</v>
      </c>
      <c r="Q24">
        <v>0</v>
      </c>
      <c r="R24">
        <v>1</v>
      </c>
      <c r="S24">
        <v>0.5</v>
      </c>
      <c r="T24">
        <v>1.5</v>
      </c>
      <c r="U24">
        <v>0.5</v>
      </c>
      <c r="V24">
        <v>1</v>
      </c>
    </row>
    <row r="25" spans="1:22" x14ac:dyDescent="0.2">
      <c r="A25">
        <v>22</v>
      </c>
      <c r="B25" t="s">
        <v>65</v>
      </c>
      <c r="C25">
        <v>2019</v>
      </c>
      <c r="D25">
        <v>20</v>
      </c>
      <c r="E25">
        <v>28.5</v>
      </c>
      <c r="F25">
        <v>48.4</v>
      </c>
      <c r="G25">
        <v>7</v>
      </c>
      <c r="H25">
        <v>77</v>
      </c>
      <c r="I25">
        <v>660</v>
      </c>
      <c r="J25">
        <v>7.3</v>
      </c>
      <c r="K25">
        <v>12</v>
      </c>
      <c r="L25">
        <v>7</v>
      </c>
      <c r="M25">
        <v>11</v>
      </c>
      <c r="N25">
        <v>1</v>
      </c>
      <c r="O25">
        <v>1</v>
      </c>
      <c r="P25">
        <v>2</v>
      </c>
      <c r="Q25">
        <v>0</v>
      </c>
      <c r="R25">
        <v>1.64</v>
      </c>
      <c r="S25">
        <v>0.95</v>
      </c>
      <c r="T25">
        <v>2.59</v>
      </c>
      <c r="U25">
        <v>1.5</v>
      </c>
      <c r="V25">
        <v>2.4500000000000002</v>
      </c>
    </row>
    <row r="26" spans="1:22" x14ac:dyDescent="0.2">
      <c r="A26">
        <v>23</v>
      </c>
      <c r="B26" t="s">
        <v>66</v>
      </c>
      <c r="C26">
        <v>2019</v>
      </c>
      <c r="D26">
        <v>18</v>
      </c>
      <c r="E26">
        <v>27.8</v>
      </c>
      <c r="F26">
        <v>30</v>
      </c>
      <c r="G26">
        <v>3</v>
      </c>
      <c r="H26">
        <v>33</v>
      </c>
      <c r="I26">
        <v>270</v>
      </c>
      <c r="J26">
        <v>3</v>
      </c>
      <c r="K26">
        <v>1</v>
      </c>
      <c r="L26">
        <v>1</v>
      </c>
      <c r="M26">
        <v>1</v>
      </c>
      <c r="N26">
        <v>0</v>
      </c>
      <c r="O26">
        <v>0</v>
      </c>
      <c r="P26">
        <v>5</v>
      </c>
      <c r="Q26">
        <v>0</v>
      </c>
      <c r="R26">
        <v>0.33</v>
      </c>
      <c r="S26">
        <v>0.33</v>
      </c>
      <c r="T26">
        <v>0.67</v>
      </c>
      <c r="U26">
        <v>0.33</v>
      </c>
      <c r="V26">
        <v>0.67</v>
      </c>
    </row>
    <row r="27" spans="1:22" x14ac:dyDescent="0.2">
      <c r="A27">
        <v>24</v>
      </c>
      <c r="B27" t="s">
        <v>67</v>
      </c>
      <c r="C27">
        <v>2019</v>
      </c>
      <c r="D27">
        <v>21</v>
      </c>
      <c r="E27">
        <v>28.8</v>
      </c>
      <c r="F27">
        <v>56</v>
      </c>
      <c r="G27">
        <v>7</v>
      </c>
      <c r="H27">
        <v>77</v>
      </c>
      <c r="I27">
        <v>630</v>
      </c>
      <c r="J27">
        <v>7</v>
      </c>
      <c r="K27">
        <v>25</v>
      </c>
      <c r="L27">
        <v>17</v>
      </c>
      <c r="M27">
        <v>22</v>
      </c>
      <c r="N27">
        <v>3</v>
      </c>
      <c r="O27">
        <v>4</v>
      </c>
      <c r="P27">
        <v>0</v>
      </c>
      <c r="Q27">
        <v>0</v>
      </c>
      <c r="R27">
        <v>3.57</v>
      </c>
      <c r="S27">
        <v>2.4300000000000002</v>
      </c>
      <c r="T27">
        <v>6</v>
      </c>
      <c r="U27">
        <v>3.14</v>
      </c>
      <c r="V27">
        <v>5.57</v>
      </c>
    </row>
    <row r="28" spans="1:22" x14ac:dyDescent="0.2">
      <c r="A28">
        <v>25</v>
      </c>
      <c r="B28" t="s">
        <v>45</v>
      </c>
      <c r="C28">
        <v>2015</v>
      </c>
      <c r="D28">
        <v>17</v>
      </c>
      <c r="E28">
        <v>23.6</v>
      </c>
      <c r="F28">
        <v>46.2</v>
      </c>
      <c r="G28">
        <v>5</v>
      </c>
      <c r="H28">
        <v>55</v>
      </c>
      <c r="I28">
        <v>450</v>
      </c>
      <c r="J28">
        <v>5</v>
      </c>
      <c r="K28">
        <v>5</v>
      </c>
      <c r="L28">
        <v>4</v>
      </c>
      <c r="M28">
        <v>5</v>
      </c>
      <c r="N28">
        <v>0</v>
      </c>
      <c r="O28">
        <v>0</v>
      </c>
      <c r="P28">
        <v>0</v>
      </c>
      <c r="Q28">
        <v>0</v>
      </c>
      <c r="R28">
        <v>1</v>
      </c>
      <c r="S28">
        <v>0.8</v>
      </c>
      <c r="T28">
        <v>1.8</v>
      </c>
      <c r="U28">
        <v>1</v>
      </c>
      <c r="V28">
        <v>1.8</v>
      </c>
    </row>
    <row r="29" spans="1:22" x14ac:dyDescent="0.2">
      <c r="A29">
        <v>26</v>
      </c>
      <c r="B29" t="s">
        <v>46</v>
      </c>
      <c r="C29">
        <v>2015</v>
      </c>
      <c r="D29">
        <v>20</v>
      </c>
      <c r="E29">
        <v>27.4</v>
      </c>
      <c r="F29">
        <v>59</v>
      </c>
      <c r="G29">
        <v>4</v>
      </c>
      <c r="H29">
        <v>44</v>
      </c>
      <c r="I29">
        <v>360</v>
      </c>
      <c r="J29">
        <v>4</v>
      </c>
      <c r="K29">
        <v>4</v>
      </c>
      <c r="L29">
        <v>1</v>
      </c>
      <c r="M29">
        <v>3</v>
      </c>
      <c r="N29">
        <v>1</v>
      </c>
      <c r="O29">
        <v>1</v>
      </c>
      <c r="P29">
        <v>1</v>
      </c>
      <c r="Q29">
        <v>0</v>
      </c>
      <c r="R29">
        <v>1</v>
      </c>
      <c r="S29">
        <v>0.25</v>
      </c>
      <c r="T29">
        <v>1.25</v>
      </c>
      <c r="U29">
        <v>0.75</v>
      </c>
      <c r="V29">
        <v>1</v>
      </c>
    </row>
    <row r="30" spans="1:22" x14ac:dyDescent="0.2">
      <c r="A30">
        <v>27</v>
      </c>
      <c r="B30" t="s">
        <v>47</v>
      </c>
      <c r="C30">
        <v>2015</v>
      </c>
      <c r="D30">
        <v>17</v>
      </c>
      <c r="E30">
        <v>25.1</v>
      </c>
      <c r="F30">
        <v>48.8</v>
      </c>
      <c r="G30">
        <v>4</v>
      </c>
      <c r="H30">
        <v>44</v>
      </c>
      <c r="I30">
        <v>360</v>
      </c>
      <c r="J30">
        <v>4</v>
      </c>
      <c r="K30">
        <v>9</v>
      </c>
      <c r="L30">
        <v>5</v>
      </c>
      <c r="M30">
        <v>5</v>
      </c>
      <c r="N30">
        <v>4</v>
      </c>
      <c r="O30">
        <v>4</v>
      </c>
      <c r="P30">
        <v>6</v>
      </c>
      <c r="Q30">
        <v>0</v>
      </c>
      <c r="R30">
        <v>2.25</v>
      </c>
      <c r="S30">
        <v>1.25</v>
      </c>
      <c r="T30">
        <v>3.5</v>
      </c>
      <c r="U30">
        <v>1.25</v>
      </c>
      <c r="V30">
        <v>2.5</v>
      </c>
    </row>
    <row r="31" spans="1:22" x14ac:dyDescent="0.2">
      <c r="A31">
        <v>28</v>
      </c>
      <c r="B31" t="s">
        <v>48</v>
      </c>
      <c r="C31">
        <v>2015</v>
      </c>
      <c r="D31">
        <v>18</v>
      </c>
      <c r="E31">
        <v>27.2</v>
      </c>
      <c r="F31">
        <v>55</v>
      </c>
      <c r="G31">
        <v>5</v>
      </c>
      <c r="H31">
        <v>55</v>
      </c>
      <c r="I31">
        <v>450</v>
      </c>
      <c r="J31">
        <v>5</v>
      </c>
      <c r="K31">
        <v>4</v>
      </c>
      <c r="L31">
        <v>1</v>
      </c>
      <c r="M31">
        <v>3</v>
      </c>
      <c r="N31">
        <v>1</v>
      </c>
      <c r="O31">
        <v>1</v>
      </c>
      <c r="P31">
        <v>3</v>
      </c>
      <c r="Q31">
        <v>0</v>
      </c>
      <c r="R31">
        <v>0.8</v>
      </c>
      <c r="S31">
        <v>0.2</v>
      </c>
      <c r="T31">
        <v>1</v>
      </c>
      <c r="U31">
        <v>0.6</v>
      </c>
      <c r="V31">
        <v>0.8</v>
      </c>
    </row>
    <row r="32" spans="1:22" x14ac:dyDescent="0.2">
      <c r="A32">
        <v>29</v>
      </c>
      <c r="B32" t="s">
        <v>50</v>
      </c>
      <c r="C32">
        <v>2015</v>
      </c>
      <c r="D32">
        <v>18</v>
      </c>
      <c r="E32">
        <v>23.6</v>
      </c>
      <c r="F32">
        <v>48.6</v>
      </c>
      <c r="G32">
        <v>5</v>
      </c>
      <c r="H32">
        <v>55</v>
      </c>
      <c r="I32">
        <v>450</v>
      </c>
      <c r="J32">
        <v>5</v>
      </c>
      <c r="K32">
        <v>4</v>
      </c>
      <c r="L32">
        <v>2</v>
      </c>
      <c r="M32">
        <v>3</v>
      </c>
      <c r="N32">
        <v>1</v>
      </c>
      <c r="O32">
        <v>1</v>
      </c>
      <c r="P32">
        <v>2</v>
      </c>
      <c r="Q32">
        <v>0</v>
      </c>
      <c r="R32">
        <v>0.8</v>
      </c>
      <c r="S32">
        <v>0.4</v>
      </c>
      <c r="T32">
        <v>1.2</v>
      </c>
      <c r="U32">
        <v>0.6</v>
      </c>
      <c r="V32">
        <v>1</v>
      </c>
    </row>
    <row r="33" spans="1:22" x14ac:dyDescent="0.2">
      <c r="A33">
        <v>30</v>
      </c>
      <c r="B33" t="s">
        <v>68</v>
      </c>
      <c r="C33">
        <v>2015</v>
      </c>
      <c r="D33">
        <v>18</v>
      </c>
      <c r="E33">
        <v>24.3</v>
      </c>
      <c r="F33">
        <v>44.3</v>
      </c>
      <c r="G33">
        <v>4</v>
      </c>
      <c r="H33">
        <v>44</v>
      </c>
      <c r="I33">
        <v>360</v>
      </c>
      <c r="J33">
        <v>4</v>
      </c>
      <c r="K33">
        <v>4</v>
      </c>
      <c r="L33">
        <v>4</v>
      </c>
      <c r="M33">
        <v>4</v>
      </c>
      <c r="N33">
        <v>0</v>
      </c>
      <c r="O33">
        <v>0</v>
      </c>
      <c r="P33">
        <v>8</v>
      </c>
      <c r="Q33">
        <v>0</v>
      </c>
      <c r="R33">
        <v>1</v>
      </c>
      <c r="S33">
        <v>1</v>
      </c>
      <c r="T33">
        <v>2</v>
      </c>
      <c r="U33">
        <v>1</v>
      </c>
      <c r="V33">
        <v>2</v>
      </c>
    </row>
    <row r="34" spans="1:22" x14ac:dyDescent="0.2">
      <c r="A34">
        <v>31</v>
      </c>
      <c r="B34" t="s">
        <v>69</v>
      </c>
      <c r="C34">
        <v>2015</v>
      </c>
      <c r="D34">
        <v>15</v>
      </c>
      <c r="E34">
        <v>25</v>
      </c>
      <c r="F34">
        <v>42.3</v>
      </c>
      <c r="G34">
        <v>3</v>
      </c>
      <c r="H34">
        <v>33</v>
      </c>
      <c r="I34">
        <v>270</v>
      </c>
      <c r="J34">
        <v>3</v>
      </c>
      <c r="K34">
        <v>3</v>
      </c>
      <c r="L34">
        <v>3</v>
      </c>
      <c r="M34">
        <v>3</v>
      </c>
      <c r="N34">
        <v>0</v>
      </c>
      <c r="O34">
        <v>0</v>
      </c>
      <c r="P34">
        <v>0</v>
      </c>
      <c r="Q34">
        <v>0</v>
      </c>
      <c r="R34">
        <v>1</v>
      </c>
      <c r="S34">
        <v>1</v>
      </c>
      <c r="T34">
        <v>2</v>
      </c>
      <c r="U34">
        <v>1</v>
      </c>
      <c r="V34">
        <v>2</v>
      </c>
    </row>
    <row r="35" spans="1:22" x14ac:dyDescent="0.2">
      <c r="A35">
        <v>32</v>
      </c>
      <c r="B35" t="s">
        <v>70</v>
      </c>
      <c r="C35">
        <v>2015</v>
      </c>
      <c r="D35">
        <v>19</v>
      </c>
      <c r="E35">
        <v>25</v>
      </c>
      <c r="F35">
        <v>45</v>
      </c>
      <c r="G35">
        <v>3</v>
      </c>
      <c r="H35">
        <v>33</v>
      </c>
      <c r="I35">
        <v>270</v>
      </c>
      <c r="J35">
        <v>3</v>
      </c>
      <c r="K35">
        <v>3</v>
      </c>
      <c r="L35">
        <v>0</v>
      </c>
      <c r="M35">
        <v>3</v>
      </c>
      <c r="N35">
        <v>0</v>
      </c>
      <c r="O35">
        <v>0</v>
      </c>
      <c r="P35">
        <v>8</v>
      </c>
      <c r="Q35">
        <v>0</v>
      </c>
      <c r="R35">
        <v>1</v>
      </c>
      <c r="S35">
        <v>0</v>
      </c>
      <c r="T35">
        <v>1</v>
      </c>
      <c r="U35">
        <v>1</v>
      </c>
      <c r="V35">
        <v>1</v>
      </c>
    </row>
    <row r="36" spans="1:22" x14ac:dyDescent="0.2">
      <c r="A36">
        <v>33</v>
      </c>
      <c r="B36" t="s">
        <v>71</v>
      </c>
      <c r="C36">
        <v>2015</v>
      </c>
      <c r="D36">
        <v>19</v>
      </c>
      <c r="E36">
        <v>23.4</v>
      </c>
      <c r="F36">
        <v>38.700000000000003</v>
      </c>
      <c r="G36">
        <v>3</v>
      </c>
      <c r="H36">
        <v>33</v>
      </c>
      <c r="I36">
        <v>270</v>
      </c>
      <c r="J36">
        <v>3</v>
      </c>
      <c r="K36">
        <v>1</v>
      </c>
      <c r="L36">
        <v>0</v>
      </c>
      <c r="M36">
        <v>0</v>
      </c>
      <c r="N36">
        <v>1</v>
      </c>
      <c r="O36">
        <v>1</v>
      </c>
      <c r="P36">
        <v>6</v>
      </c>
      <c r="Q36">
        <v>1</v>
      </c>
      <c r="R36">
        <v>0.33</v>
      </c>
      <c r="S36">
        <v>0</v>
      </c>
      <c r="T36">
        <v>0.33</v>
      </c>
      <c r="U36">
        <v>0</v>
      </c>
      <c r="V36">
        <v>0</v>
      </c>
    </row>
    <row r="37" spans="1:22" x14ac:dyDescent="0.2">
      <c r="A37">
        <v>34</v>
      </c>
      <c r="B37" t="s">
        <v>51</v>
      </c>
      <c r="C37">
        <v>2015</v>
      </c>
      <c r="D37">
        <v>22</v>
      </c>
      <c r="E37">
        <v>27.6</v>
      </c>
      <c r="F37">
        <v>48.1</v>
      </c>
      <c r="G37">
        <v>7</v>
      </c>
      <c r="H37">
        <v>77</v>
      </c>
      <c r="I37">
        <v>660</v>
      </c>
      <c r="J37">
        <v>7.3</v>
      </c>
      <c r="K37">
        <v>10</v>
      </c>
      <c r="L37">
        <v>4</v>
      </c>
      <c r="M37">
        <v>7</v>
      </c>
      <c r="N37">
        <v>3</v>
      </c>
      <c r="O37">
        <v>3</v>
      </c>
      <c r="P37">
        <v>3</v>
      </c>
      <c r="Q37">
        <v>0</v>
      </c>
      <c r="R37">
        <v>1.36</v>
      </c>
      <c r="S37">
        <v>0.55000000000000004</v>
      </c>
      <c r="T37">
        <v>1.91</v>
      </c>
      <c r="U37">
        <v>0.95</v>
      </c>
      <c r="V37">
        <v>1.5</v>
      </c>
    </row>
    <row r="38" spans="1:22" x14ac:dyDescent="0.2">
      <c r="A38">
        <v>35</v>
      </c>
      <c r="B38" t="s">
        <v>52</v>
      </c>
      <c r="C38">
        <v>2015</v>
      </c>
      <c r="D38">
        <v>19</v>
      </c>
      <c r="E38">
        <v>27.3</v>
      </c>
      <c r="F38">
        <v>53.6</v>
      </c>
      <c r="G38">
        <v>5</v>
      </c>
      <c r="H38">
        <v>55</v>
      </c>
      <c r="I38">
        <v>480</v>
      </c>
      <c r="J38">
        <v>5.3</v>
      </c>
      <c r="K38">
        <v>9</v>
      </c>
      <c r="L38">
        <v>7</v>
      </c>
      <c r="M38">
        <v>9</v>
      </c>
      <c r="N38">
        <v>0</v>
      </c>
      <c r="O38">
        <v>0</v>
      </c>
      <c r="P38">
        <v>0</v>
      </c>
      <c r="Q38">
        <v>0</v>
      </c>
      <c r="R38">
        <v>1.69</v>
      </c>
      <c r="S38">
        <v>1.31</v>
      </c>
      <c r="T38">
        <v>3</v>
      </c>
      <c r="U38">
        <v>1.69</v>
      </c>
      <c r="V38">
        <v>3</v>
      </c>
    </row>
    <row r="39" spans="1:22" x14ac:dyDescent="0.2">
      <c r="A39">
        <v>36</v>
      </c>
      <c r="B39" t="s">
        <v>53</v>
      </c>
      <c r="C39">
        <v>2015</v>
      </c>
      <c r="D39">
        <v>21</v>
      </c>
      <c r="E39">
        <v>26.9</v>
      </c>
      <c r="F39">
        <v>54.7</v>
      </c>
      <c r="G39">
        <v>7</v>
      </c>
      <c r="H39">
        <v>77</v>
      </c>
      <c r="I39">
        <v>690</v>
      </c>
      <c r="J39">
        <v>7.7</v>
      </c>
      <c r="K39">
        <v>20</v>
      </c>
      <c r="L39">
        <v>11</v>
      </c>
      <c r="M39">
        <v>18</v>
      </c>
      <c r="N39">
        <v>2</v>
      </c>
      <c r="O39">
        <v>2</v>
      </c>
      <c r="P39">
        <v>1</v>
      </c>
      <c r="Q39">
        <v>0</v>
      </c>
      <c r="R39">
        <v>2.61</v>
      </c>
      <c r="S39">
        <v>1.43</v>
      </c>
      <c r="T39">
        <v>4.04</v>
      </c>
      <c r="U39">
        <v>2.35</v>
      </c>
      <c r="V39">
        <v>3.78</v>
      </c>
    </row>
    <row r="40" spans="1:22" x14ac:dyDescent="0.2">
      <c r="A40">
        <v>37</v>
      </c>
      <c r="B40" t="s">
        <v>56</v>
      </c>
      <c r="C40">
        <v>2015</v>
      </c>
      <c r="D40">
        <v>23</v>
      </c>
      <c r="E40">
        <v>27.9</v>
      </c>
      <c r="F40">
        <v>55.1</v>
      </c>
      <c r="G40">
        <v>7</v>
      </c>
      <c r="H40">
        <v>77</v>
      </c>
      <c r="I40">
        <v>630</v>
      </c>
      <c r="J40">
        <v>7</v>
      </c>
      <c r="K40">
        <v>9</v>
      </c>
      <c r="L40">
        <v>5</v>
      </c>
      <c r="M40">
        <v>7</v>
      </c>
      <c r="N40">
        <v>2</v>
      </c>
      <c r="O40">
        <v>2</v>
      </c>
      <c r="P40">
        <v>1</v>
      </c>
      <c r="Q40">
        <v>0</v>
      </c>
      <c r="R40">
        <v>1.29</v>
      </c>
      <c r="S40">
        <v>0.71</v>
      </c>
      <c r="T40">
        <v>2</v>
      </c>
      <c r="U40">
        <v>1</v>
      </c>
      <c r="V40">
        <v>1.71</v>
      </c>
    </row>
    <row r="41" spans="1:22" x14ac:dyDescent="0.2">
      <c r="A41">
        <v>38</v>
      </c>
      <c r="B41" t="s">
        <v>57</v>
      </c>
      <c r="C41">
        <v>2015</v>
      </c>
      <c r="D41">
        <v>19</v>
      </c>
      <c r="E41">
        <v>26.1</v>
      </c>
      <c r="F41">
        <v>43.8</v>
      </c>
      <c r="G41">
        <v>4</v>
      </c>
      <c r="H41">
        <v>44</v>
      </c>
      <c r="I41">
        <v>360</v>
      </c>
      <c r="J41">
        <v>4</v>
      </c>
      <c r="K41">
        <v>4</v>
      </c>
      <c r="L41">
        <v>3</v>
      </c>
      <c r="M41">
        <v>3</v>
      </c>
      <c r="N41">
        <v>1</v>
      </c>
      <c r="O41">
        <v>1</v>
      </c>
      <c r="P41">
        <v>5</v>
      </c>
      <c r="Q41">
        <v>0</v>
      </c>
      <c r="R41">
        <v>1</v>
      </c>
      <c r="S41">
        <v>0.75</v>
      </c>
      <c r="T41">
        <v>1.75</v>
      </c>
      <c r="U41">
        <v>0.75</v>
      </c>
      <c r="V41">
        <v>1.5</v>
      </c>
    </row>
    <row r="42" spans="1:22" x14ac:dyDescent="0.2">
      <c r="A42">
        <v>39</v>
      </c>
      <c r="B42" t="s">
        <v>72</v>
      </c>
      <c r="C42">
        <v>2015</v>
      </c>
      <c r="D42">
        <v>17</v>
      </c>
      <c r="E42">
        <v>24.3</v>
      </c>
      <c r="F42">
        <v>52.3</v>
      </c>
      <c r="G42">
        <v>3</v>
      </c>
      <c r="H42">
        <v>33</v>
      </c>
      <c r="I42">
        <v>270</v>
      </c>
      <c r="J42">
        <v>3</v>
      </c>
      <c r="K42">
        <v>2</v>
      </c>
      <c r="L42">
        <v>1</v>
      </c>
      <c r="M42">
        <v>2</v>
      </c>
      <c r="N42">
        <v>0</v>
      </c>
      <c r="O42">
        <v>0</v>
      </c>
      <c r="P42">
        <v>4</v>
      </c>
      <c r="Q42">
        <v>0</v>
      </c>
      <c r="R42">
        <v>0.67</v>
      </c>
      <c r="S42">
        <v>0.33</v>
      </c>
      <c r="T42">
        <v>1</v>
      </c>
      <c r="U42">
        <v>0.67</v>
      </c>
      <c r="V42">
        <v>1</v>
      </c>
    </row>
    <row r="43" spans="1:22" x14ac:dyDescent="0.2">
      <c r="A43">
        <v>40</v>
      </c>
      <c r="B43" t="s">
        <v>58</v>
      </c>
      <c r="C43">
        <v>2015</v>
      </c>
      <c r="D43">
        <v>18</v>
      </c>
      <c r="E43">
        <v>24.3</v>
      </c>
      <c r="F43">
        <v>49</v>
      </c>
      <c r="G43">
        <v>4</v>
      </c>
      <c r="H43">
        <v>44</v>
      </c>
      <c r="I43">
        <v>360</v>
      </c>
      <c r="J43">
        <v>4</v>
      </c>
      <c r="K43">
        <v>3</v>
      </c>
      <c r="L43">
        <v>3</v>
      </c>
      <c r="M43">
        <v>3</v>
      </c>
      <c r="N43">
        <v>0</v>
      </c>
      <c r="O43">
        <v>0</v>
      </c>
      <c r="P43">
        <v>3</v>
      </c>
      <c r="Q43">
        <v>0</v>
      </c>
      <c r="R43">
        <v>0.75</v>
      </c>
      <c r="S43">
        <v>0.75</v>
      </c>
      <c r="T43">
        <v>1.5</v>
      </c>
      <c r="U43">
        <v>0.75</v>
      </c>
      <c r="V43">
        <v>1.5</v>
      </c>
    </row>
    <row r="44" spans="1:22" x14ac:dyDescent="0.2">
      <c r="A44">
        <v>41</v>
      </c>
      <c r="B44" t="s">
        <v>59</v>
      </c>
      <c r="C44">
        <v>2015</v>
      </c>
      <c r="D44">
        <v>15</v>
      </c>
      <c r="E44">
        <v>24.9</v>
      </c>
      <c r="F44">
        <v>46.7</v>
      </c>
      <c r="G44">
        <v>3</v>
      </c>
      <c r="H44">
        <v>33</v>
      </c>
      <c r="I44">
        <v>270</v>
      </c>
      <c r="J44">
        <v>3</v>
      </c>
      <c r="K44">
        <v>2</v>
      </c>
      <c r="L44">
        <v>2</v>
      </c>
      <c r="M44">
        <v>2</v>
      </c>
      <c r="N44">
        <v>0</v>
      </c>
      <c r="O44">
        <v>0</v>
      </c>
      <c r="P44">
        <v>4</v>
      </c>
      <c r="Q44">
        <v>0</v>
      </c>
      <c r="R44">
        <v>0.67</v>
      </c>
      <c r="S44">
        <v>0.67</v>
      </c>
      <c r="T44">
        <v>1.33</v>
      </c>
      <c r="U44">
        <v>0.67</v>
      </c>
      <c r="V44">
        <v>1.33</v>
      </c>
    </row>
    <row r="45" spans="1:22" x14ac:dyDescent="0.2">
      <c r="A45">
        <v>42</v>
      </c>
      <c r="B45" t="s">
        <v>60</v>
      </c>
      <c r="C45">
        <v>2015</v>
      </c>
      <c r="D45">
        <v>17</v>
      </c>
      <c r="E45">
        <v>24.6</v>
      </c>
      <c r="F45">
        <v>48.3</v>
      </c>
      <c r="G45">
        <v>3</v>
      </c>
      <c r="H45">
        <v>33</v>
      </c>
      <c r="I45">
        <v>270</v>
      </c>
      <c r="J45">
        <v>3</v>
      </c>
      <c r="K45">
        <v>3</v>
      </c>
      <c r="L45">
        <v>3</v>
      </c>
      <c r="M45">
        <v>3</v>
      </c>
      <c r="N45">
        <v>0</v>
      </c>
      <c r="O45">
        <v>0</v>
      </c>
      <c r="P45">
        <v>6</v>
      </c>
      <c r="Q45">
        <v>1</v>
      </c>
      <c r="R45">
        <v>1</v>
      </c>
      <c r="S45">
        <v>1</v>
      </c>
      <c r="T45">
        <v>2</v>
      </c>
      <c r="U45">
        <v>1</v>
      </c>
      <c r="V45">
        <v>2</v>
      </c>
    </row>
    <row r="46" spans="1:22" x14ac:dyDescent="0.2">
      <c r="A46">
        <v>43</v>
      </c>
      <c r="B46" t="s">
        <v>61</v>
      </c>
      <c r="C46">
        <v>2015</v>
      </c>
      <c r="D46">
        <v>18</v>
      </c>
      <c r="E46">
        <v>26.7</v>
      </c>
      <c r="F46">
        <v>54.5</v>
      </c>
      <c r="G46">
        <v>4</v>
      </c>
      <c r="H46">
        <v>44</v>
      </c>
      <c r="I46">
        <v>360</v>
      </c>
      <c r="J46">
        <v>4</v>
      </c>
      <c r="K46">
        <v>9</v>
      </c>
      <c r="L46">
        <v>6</v>
      </c>
      <c r="M46">
        <v>9</v>
      </c>
      <c r="N46">
        <v>0</v>
      </c>
      <c r="O46">
        <v>0</v>
      </c>
      <c r="P46">
        <v>1</v>
      </c>
      <c r="Q46">
        <v>0</v>
      </c>
      <c r="R46">
        <v>2.25</v>
      </c>
      <c r="S46">
        <v>1.5</v>
      </c>
      <c r="T46">
        <v>3.75</v>
      </c>
      <c r="U46">
        <v>2.25</v>
      </c>
      <c r="V46">
        <v>3.75</v>
      </c>
    </row>
    <row r="47" spans="1:22" x14ac:dyDescent="0.2">
      <c r="A47">
        <v>44</v>
      </c>
      <c r="B47" t="s">
        <v>64</v>
      </c>
      <c r="C47">
        <v>2015</v>
      </c>
      <c r="D47">
        <v>17</v>
      </c>
      <c r="E47">
        <v>25.3</v>
      </c>
      <c r="F47">
        <v>50.7</v>
      </c>
      <c r="G47">
        <v>3</v>
      </c>
      <c r="H47">
        <v>33</v>
      </c>
      <c r="I47">
        <v>270</v>
      </c>
      <c r="J47">
        <v>3</v>
      </c>
      <c r="K47">
        <v>2</v>
      </c>
      <c r="L47">
        <v>2</v>
      </c>
      <c r="M47">
        <v>2</v>
      </c>
      <c r="N47">
        <v>0</v>
      </c>
      <c r="O47">
        <v>0</v>
      </c>
      <c r="P47">
        <v>3</v>
      </c>
      <c r="Q47">
        <v>0</v>
      </c>
      <c r="R47">
        <v>0.67</v>
      </c>
      <c r="S47">
        <v>0.67</v>
      </c>
      <c r="T47">
        <v>1.33</v>
      </c>
      <c r="U47">
        <v>0.67</v>
      </c>
      <c r="V47">
        <v>1.33</v>
      </c>
    </row>
    <row r="48" spans="1:22" x14ac:dyDescent="0.2">
      <c r="A48">
        <v>45</v>
      </c>
      <c r="B48" t="s">
        <v>65</v>
      </c>
      <c r="C48">
        <v>2015</v>
      </c>
      <c r="D48">
        <v>18</v>
      </c>
      <c r="E48">
        <v>28.1</v>
      </c>
      <c r="F48">
        <v>49.3</v>
      </c>
      <c r="G48">
        <v>4</v>
      </c>
      <c r="H48">
        <v>44</v>
      </c>
      <c r="I48">
        <v>360</v>
      </c>
      <c r="J48">
        <v>4</v>
      </c>
      <c r="K48">
        <v>4</v>
      </c>
      <c r="L48">
        <v>2</v>
      </c>
      <c r="M48">
        <v>4</v>
      </c>
      <c r="N48">
        <v>0</v>
      </c>
      <c r="O48">
        <v>0</v>
      </c>
      <c r="P48">
        <v>0</v>
      </c>
      <c r="Q48">
        <v>0</v>
      </c>
      <c r="R48">
        <v>1</v>
      </c>
      <c r="S48">
        <v>0.5</v>
      </c>
      <c r="T48">
        <v>1.5</v>
      </c>
      <c r="U48">
        <v>1</v>
      </c>
      <c r="V48">
        <v>1.5</v>
      </c>
    </row>
    <row r="49" spans="1:22" x14ac:dyDescent="0.2">
      <c r="A49">
        <v>46</v>
      </c>
      <c r="B49" t="s">
        <v>73</v>
      </c>
      <c r="C49">
        <v>2015</v>
      </c>
      <c r="D49">
        <v>17</v>
      </c>
      <c r="E49">
        <v>25</v>
      </c>
      <c r="F49">
        <v>55.3</v>
      </c>
      <c r="G49">
        <v>4</v>
      </c>
      <c r="H49">
        <v>44</v>
      </c>
      <c r="I49">
        <v>360</v>
      </c>
      <c r="J49">
        <v>4</v>
      </c>
      <c r="K49">
        <v>9</v>
      </c>
      <c r="L49">
        <v>7</v>
      </c>
      <c r="M49">
        <v>8</v>
      </c>
      <c r="N49">
        <v>1</v>
      </c>
      <c r="O49">
        <v>1</v>
      </c>
      <c r="P49">
        <v>4</v>
      </c>
      <c r="Q49">
        <v>0</v>
      </c>
      <c r="R49">
        <v>2.25</v>
      </c>
      <c r="S49">
        <v>1.75</v>
      </c>
      <c r="T49">
        <v>4</v>
      </c>
      <c r="U49">
        <v>2</v>
      </c>
      <c r="V49">
        <v>3.75</v>
      </c>
    </row>
    <row r="50" spans="1:22" x14ac:dyDescent="0.2">
      <c r="A50">
        <v>47</v>
      </c>
      <c r="B50" t="s">
        <v>66</v>
      </c>
      <c r="C50">
        <v>2015</v>
      </c>
      <c r="D50">
        <v>17</v>
      </c>
      <c r="E50">
        <v>25.7</v>
      </c>
      <c r="F50">
        <v>40</v>
      </c>
      <c r="G50">
        <v>3</v>
      </c>
      <c r="H50">
        <v>33</v>
      </c>
      <c r="I50">
        <v>270</v>
      </c>
      <c r="J50">
        <v>3</v>
      </c>
      <c r="K50">
        <v>3</v>
      </c>
      <c r="L50">
        <v>3</v>
      </c>
      <c r="M50">
        <v>3</v>
      </c>
      <c r="N50">
        <v>0</v>
      </c>
      <c r="O50">
        <v>0</v>
      </c>
      <c r="P50">
        <v>3</v>
      </c>
      <c r="Q50">
        <v>0</v>
      </c>
      <c r="R50">
        <v>1</v>
      </c>
      <c r="S50">
        <v>1</v>
      </c>
      <c r="T50">
        <v>2</v>
      </c>
      <c r="U50">
        <v>1</v>
      </c>
      <c r="V50">
        <v>2</v>
      </c>
    </row>
    <row r="51" spans="1:22" x14ac:dyDescent="0.2">
      <c r="A51">
        <v>48</v>
      </c>
      <c r="B51" t="s">
        <v>67</v>
      </c>
      <c r="C51">
        <v>2015</v>
      </c>
      <c r="D51">
        <v>20</v>
      </c>
      <c r="E51">
        <v>28.4</v>
      </c>
      <c r="F51">
        <v>52.9</v>
      </c>
      <c r="G51">
        <v>7</v>
      </c>
      <c r="H51">
        <v>77</v>
      </c>
      <c r="I51">
        <v>630</v>
      </c>
      <c r="J51">
        <v>7</v>
      </c>
      <c r="K51">
        <v>14</v>
      </c>
      <c r="L51">
        <v>7</v>
      </c>
      <c r="M51">
        <v>12</v>
      </c>
      <c r="N51">
        <v>2</v>
      </c>
      <c r="O51">
        <v>2</v>
      </c>
      <c r="P51">
        <v>2</v>
      </c>
      <c r="Q51">
        <v>0</v>
      </c>
      <c r="R51">
        <v>2</v>
      </c>
      <c r="S51">
        <v>1</v>
      </c>
      <c r="T51">
        <v>3</v>
      </c>
      <c r="U51">
        <v>1.71</v>
      </c>
      <c r="V51">
        <v>2.71</v>
      </c>
    </row>
    <row r="52" spans="1:22" x14ac:dyDescent="0.2">
      <c r="A52">
        <v>49</v>
      </c>
      <c r="B52" t="s">
        <v>45</v>
      </c>
      <c r="C52">
        <v>2011</v>
      </c>
      <c r="D52">
        <v>20</v>
      </c>
      <c r="E52">
        <v>22.8</v>
      </c>
      <c r="F52">
        <v>53.5</v>
      </c>
      <c r="G52">
        <v>4</v>
      </c>
      <c r="H52">
        <v>44</v>
      </c>
      <c r="I52">
        <v>360</v>
      </c>
      <c r="J52">
        <v>4</v>
      </c>
      <c r="K52">
        <v>6</v>
      </c>
      <c r="L52">
        <v>6</v>
      </c>
      <c r="M52">
        <v>6</v>
      </c>
      <c r="N52">
        <v>0</v>
      </c>
      <c r="O52">
        <v>0</v>
      </c>
      <c r="P52">
        <v>0</v>
      </c>
      <c r="Q52">
        <v>0</v>
      </c>
      <c r="R52">
        <v>1.5</v>
      </c>
      <c r="S52">
        <v>1.5</v>
      </c>
      <c r="T52">
        <v>3</v>
      </c>
      <c r="U52">
        <v>1.5</v>
      </c>
      <c r="V52">
        <v>3</v>
      </c>
    </row>
    <row r="53" spans="1:22" x14ac:dyDescent="0.2">
      <c r="A53">
        <v>50</v>
      </c>
      <c r="B53" t="s">
        <v>46</v>
      </c>
      <c r="C53">
        <v>2011</v>
      </c>
      <c r="D53">
        <v>16</v>
      </c>
      <c r="E53">
        <v>27</v>
      </c>
      <c r="F53">
        <v>53.3</v>
      </c>
      <c r="G53">
        <v>4</v>
      </c>
      <c r="H53">
        <v>44</v>
      </c>
      <c r="I53">
        <v>390</v>
      </c>
      <c r="J53">
        <v>4.3</v>
      </c>
      <c r="K53">
        <v>9</v>
      </c>
      <c r="L53">
        <v>6</v>
      </c>
      <c r="M53">
        <v>7</v>
      </c>
      <c r="N53">
        <v>2</v>
      </c>
      <c r="O53">
        <v>2</v>
      </c>
      <c r="P53">
        <v>0</v>
      </c>
      <c r="Q53">
        <v>0</v>
      </c>
      <c r="R53">
        <v>2.08</v>
      </c>
      <c r="S53">
        <v>1.38</v>
      </c>
      <c r="T53">
        <v>3.46</v>
      </c>
      <c r="U53">
        <v>1.62</v>
      </c>
      <c r="V53">
        <v>3</v>
      </c>
    </row>
    <row r="54" spans="1:22" x14ac:dyDescent="0.2">
      <c r="A54">
        <v>51</v>
      </c>
      <c r="B54" t="s">
        <v>48</v>
      </c>
      <c r="C54">
        <v>2011</v>
      </c>
      <c r="D54">
        <v>19</v>
      </c>
      <c r="E54">
        <v>25.9</v>
      </c>
      <c r="F54">
        <v>47.3</v>
      </c>
      <c r="G54">
        <v>3</v>
      </c>
      <c r="H54">
        <v>33</v>
      </c>
      <c r="I54">
        <v>270</v>
      </c>
      <c r="J54">
        <v>3</v>
      </c>
      <c r="K54">
        <v>1</v>
      </c>
      <c r="L54">
        <v>0</v>
      </c>
      <c r="M54">
        <v>1</v>
      </c>
      <c r="N54">
        <v>0</v>
      </c>
      <c r="O54">
        <v>0</v>
      </c>
      <c r="P54">
        <v>0</v>
      </c>
      <c r="Q54">
        <v>0</v>
      </c>
      <c r="R54">
        <v>0.33</v>
      </c>
      <c r="S54">
        <v>0</v>
      </c>
      <c r="T54">
        <v>0.33</v>
      </c>
      <c r="U54">
        <v>0.33</v>
      </c>
      <c r="V54">
        <v>0.33</v>
      </c>
    </row>
    <row r="55" spans="1:22" x14ac:dyDescent="0.2">
      <c r="A55">
        <v>52</v>
      </c>
      <c r="B55" t="s">
        <v>68</v>
      </c>
      <c r="C55">
        <v>2011</v>
      </c>
      <c r="D55">
        <v>17</v>
      </c>
      <c r="E55">
        <v>22.4</v>
      </c>
      <c r="F55">
        <v>49.3</v>
      </c>
      <c r="G55">
        <v>3</v>
      </c>
      <c r="H55">
        <v>33</v>
      </c>
      <c r="I55">
        <v>270</v>
      </c>
      <c r="J55">
        <v>3</v>
      </c>
      <c r="K55">
        <v>0</v>
      </c>
      <c r="L55">
        <v>0</v>
      </c>
      <c r="M55">
        <v>0</v>
      </c>
      <c r="N55">
        <v>0</v>
      </c>
      <c r="O55">
        <v>0</v>
      </c>
      <c r="P55">
        <v>0</v>
      </c>
      <c r="Q55">
        <v>0</v>
      </c>
      <c r="R55">
        <v>0</v>
      </c>
      <c r="S55">
        <v>0</v>
      </c>
      <c r="T55">
        <v>0</v>
      </c>
      <c r="U55">
        <v>0</v>
      </c>
      <c r="V55">
        <v>0</v>
      </c>
    </row>
    <row r="56" spans="1:22" x14ac:dyDescent="0.2">
      <c r="A56">
        <v>53</v>
      </c>
      <c r="B56" t="s">
        <v>51</v>
      </c>
      <c r="C56">
        <v>2011</v>
      </c>
      <c r="D56">
        <v>18</v>
      </c>
      <c r="E56">
        <v>26.9</v>
      </c>
      <c r="F56">
        <v>49.3</v>
      </c>
      <c r="G56">
        <v>4</v>
      </c>
      <c r="H56">
        <v>44</v>
      </c>
      <c r="I56">
        <v>390</v>
      </c>
      <c r="J56">
        <v>4.3</v>
      </c>
      <c r="K56">
        <v>6</v>
      </c>
      <c r="L56">
        <v>7</v>
      </c>
      <c r="M56">
        <v>6</v>
      </c>
      <c r="N56">
        <v>0</v>
      </c>
      <c r="O56">
        <v>0</v>
      </c>
      <c r="P56">
        <v>0</v>
      </c>
      <c r="Q56">
        <v>0</v>
      </c>
      <c r="R56">
        <v>1.38</v>
      </c>
      <c r="S56">
        <v>1.62</v>
      </c>
      <c r="T56">
        <v>3</v>
      </c>
      <c r="U56">
        <v>1.38</v>
      </c>
      <c r="V56">
        <v>3</v>
      </c>
    </row>
    <row r="57" spans="1:22" x14ac:dyDescent="0.2">
      <c r="A57">
        <v>54</v>
      </c>
      <c r="B57" t="s">
        <v>74</v>
      </c>
      <c r="C57">
        <v>2011</v>
      </c>
      <c r="D57">
        <v>15</v>
      </c>
      <c r="E57">
        <v>26.1</v>
      </c>
      <c r="F57">
        <v>40.700000000000003</v>
      </c>
      <c r="G57">
        <v>3</v>
      </c>
      <c r="H57">
        <v>33</v>
      </c>
      <c r="I57">
        <v>270</v>
      </c>
      <c r="J57">
        <v>3</v>
      </c>
      <c r="K57">
        <v>2</v>
      </c>
      <c r="L57">
        <v>0</v>
      </c>
      <c r="M57">
        <v>2</v>
      </c>
      <c r="N57">
        <v>0</v>
      </c>
      <c r="O57">
        <v>0</v>
      </c>
      <c r="R57">
        <v>0.67</v>
      </c>
      <c r="S57">
        <v>0</v>
      </c>
      <c r="T57">
        <v>0.67</v>
      </c>
      <c r="U57">
        <v>0.67</v>
      </c>
      <c r="V57">
        <v>0.67</v>
      </c>
    </row>
    <row r="58" spans="1:22" x14ac:dyDescent="0.2">
      <c r="A58">
        <v>55</v>
      </c>
      <c r="B58" t="s">
        <v>52</v>
      </c>
      <c r="C58">
        <v>2011</v>
      </c>
      <c r="D58">
        <v>20</v>
      </c>
      <c r="E58">
        <v>26.7</v>
      </c>
      <c r="F58">
        <v>52.3</v>
      </c>
      <c r="G58">
        <v>6</v>
      </c>
      <c r="H58">
        <v>66</v>
      </c>
      <c r="I58">
        <v>570</v>
      </c>
      <c r="J58">
        <v>6.3</v>
      </c>
      <c r="K58">
        <v>10</v>
      </c>
      <c r="L58">
        <v>9</v>
      </c>
      <c r="M58">
        <v>10</v>
      </c>
      <c r="N58">
        <v>0</v>
      </c>
      <c r="O58">
        <v>0</v>
      </c>
      <c r="P58">
        <v>0</v>
      </c>
      <c r="Q58">
        <v>0</v>
      </c>
      <c r="R58">
        <v>1.58</v>
      </c>
      <c r="S58">
        <v>1.42</v>
      </c>
      <c r="T58">
        <v>3</v>
      </c>
      <c r="U58">
        <v>1.58</v>
      </c>
      <c r="V58">
        <v>3</v>
      </c>
    </row>
    <row r="59" spans="1:22" x14ac:dyDescent="0.2">
      <c r="A59">
        <v>56</v>
      </c>
      <c r="B59" t="s">
        <v>53</v>
      </c>
      <c r="C59">
        <v>2011</v>
      </c>
      <c r="D59">
        <v>17</v>
      </c>
      <c r="E59">
        <v>26.4</v>
      </c>
      <c r="F59">
        <v>50</v>
      </c>
      <c r="G59">
        <v>4</v>
      </c>
      <c r="H59">
        <v>44</v>
      </c>
      <c r="I59">
        <v>390</v>
      </c>
      <c r="J59">
        <v>4.3</v>
      </c>
      <c r="K59">
        <v>7</v>
      </c>
      <c r="L59">
        <v>6</v>
      </c>
      <c r="M59">
        <v>6</v>
      </c>
      <c r="N59">
        <v>1</v>
      </c>
      <c r="O59">
        <v>1</v>
      </c>
      <c r="P59">
        <v>0</v>
      </c>
      <c r="Q59">
        <v>0</v>
      </c>
      <c r="R59">
        <v>1.62</v>
      </c>
      <c r="S59">
        <v>1.38</v>
      </c>
      <c r="T59">
        <v>3</v>
      </c>
      <c r="U59">
        <v>1.38</v>
      </c>
      <c r="V59">
        <v>2.77</v>
      </c>
    </row>
    <row r="60" spans="1:22" x14ac:dyDescent="0.2">
      <c r="A60">
        <v>57</v>
      </c>
      <c r="B60" t="s">
        <v>56</v>
      </c>
      <c r="C60">
        <v>2011</v>
      </c>
      <c r="D60">
        <v>18</v>
      </c>
      <c r="E60">
        <v>25.4</v>
      </c>
      <c r="F60">
        <v>56.5</v>
      </c>
      <c r="G60">
        <v>6</v>
      </c>
      <c r="H60">
        <v>66</v>
      </c>
      <c r="I60">
        <v>600</v>
      </c>
      <c r="J60">
        <v>6.7</v>
      </c>
      <c r="K60">
        <v>12</v>
      </c>
      <c r="L60">
        <v>10</v>
      </c>
      <c r="M60">
        <v>12</v>
      </c>
      <c r="N60">
        <v>0</v>
      </c>
      <c r="O60">
        <v>0</v>
      </c>
      <c r="P60">
        <v>0</v>
      </c>
      <c r="Q60">
        <v>0</v>
      </c>
      <c r="R60">
        <v>1.8</v>
      </c>
      <c r="S60">
        <v>1.5</v>
      </c>
      <c r="T60">
        <v>3.3</v>
      </c>
      <c r="U60">
        <v>1.8</v>
      </c>
      <c r="V60">
        <v>3.3</v>
      </c>
    </row>
    <row r="61" spans="1:22" x14ac:dyDescent="0.2">
      <c r="A61">
        <v>58</v>
      </c>
      <c r="B61" t="s">
        <v>75</v>
      </c>
      <c r="C61">
        <v>2011</v>
      </c>
      <c r="D61">
        <v>17</v>
      </c>
      <c r="E61">
        <v>21.1</v>
      </c>
      <c r="F61">
        <v>50.7</v>
      </c>
      <c r="G61">
        <v>3</v>
      </c>
      <c r="H61">
        <v>33</v>
      </c>
      <c r="I61">
        <v>270</v>
      </c>
      <c r="J61">
        <v>3</v>
      </c>
      <c r="K61">
        <v>0</v>
      </c>
      <c r="L61">
        <v>0</v>
      </c>
      <c r="M61">
        <v>0</v>
      </c>
      <c r="N61">
        <v>0</v>
      </c>
      <c r="O61">
        <v>0</v>
      </c>
      <c r="R61">
        <v>0</v>
      </c>
      <c r="S61">
        <v>0</v>
      </c>
      <c r="T61">
        <v>0</v>
      </c>
      <c r="U61">
        <v>0</v>
      </c>
      <c r="V61">
        <v>0</v>
      </c>
    </row>
    <row r="62" spans="1:22" x14ac:dyDescent="0.2">
      <c r="A62">
        <v>59</v>
      </c>
      <c r="B62" t="s">
        <v>72</v>
      </c>
      <c r="C62">
        <v>2011</v>
      </c>
      <c r="D62">
        <v>18</v>
      </c>
      <c r="E62">
        <v>23.1</v>
      </c>
      <c r="F62">
        <v>47.7</v>
      </c>
      <c r="G62">
        <v>3</v>
      </c>
      <c r="H62">
        <v>33</v>
      </c>
      <c r="I62">
        <v>270</v>
      </c>
      <c r="J62">
        <v>3</v>
      </c>
      <c r="K62">
        <v>3</v>
      </c>
      <c r="L62">
        <v>3</v>
      </c>
      <c r="M62">
        <v>3</v>
      </c>
      <c r="N62">
        <v>0</v>
      </c>
      <c r="O62">
        <v>0</v>
      </c>
      <c r="P62">
        <v>0</v>
      </c>
      <c r="Q62">
        <v>0</v>
      </c>
      <c r="R62">
        <v>1</v>
      </c>
      <c r="S62">
        <v>1</v>
      </c>
      <c r="T62">
        <v>2</v>
      </c>
      <c r="U62">
        <v>1</v>
      </c>
      <c r="V62">
        <v>2</v>
      </c>
    </row>
    <row r="63" spans="1:22" x14ac:dyDescent="0.2">
      <c r="A63">
        <v>60</v>
      </c>
      <c r="B63" t="s">
        <v>59</v>
      </c>
      <c r="C63">
        <v>2011</v>
      </c>
      <c r="D63">
        <v>16</v>
      </c>
      <c r="E63">
        <v>24.4</v>
      </c>
      <c r="F63">
        <v>45.7</v>
      </c>
      <c r="G63">
        <v>3</v>
      </c>
      <c r="H63">
        <v>33</v>
      </c>
      <c r="I63">
        <v>270</v>
      </c>
      <c r="J63">
        <v>3</v>
      </c>
      <c r="K63">
        <v>4</v>
      </c>
      <c r="L63">
        <v>3</v>
      </c>
      <c r="M63">
        <v>4</v>
      </c>
      <c r="N63">
        <v>0</v>
      </c>
      <c r="O63">
        <v>0</v>
      </c>
      <c r="P63">
        <v>0</v>
      </c>
      <c r="Q63">
        <v>0</v>
      </c>
      <c r="R63">
        <v>1.33</v>
      </c>
      <c r="S63">
        <v>1</v>
      </c>
      <c r="T63">
        <v>2.33</v>
      </c>
      <c r="U63">
        <v>1.33</v>
      </c>
      <c r="V63">
        <v>2.33</v>
      </c>
    </row>
    <row r="64" spans="1:22" x14ac:dyDescent="0.2">
      <c r="A64">
        <v>61</v>
      </c>
      <c r="B64" t="s">
        <v>60</v>
      </c>
      <c r="C64">
        <v>2011</v>
      </c>
      <c r="D64">
        <v>17</v>
      </c>
      <c r="E64">
        <v>24.3</v>
      </c>
      <c r="F64">
        <v>50.7</v>
      </c>
      <c r="G64">
        <v>3</v>
      </c>
      <c r="H64">
        <v>33</v>
      </c>
      <c r="I64">
        <v>270</v>
      </c>
      <c r="J64">
        <v>3</v>
      </c>
      <c r="K64">
        <v>1</v>
      </c>
      <c r="L64">
        <v>0</v>
      </c>
      <c r="M64">
        <v>1</v>
      </c>
      <c r="N64">
        <v>0</v>
      </c>
      <c r="O64">
        <v>0</v>
      </c>
      <c r="P64">
        <v>0</v>
      </c>
      <c r="Q64">
        <v>0</v>
      </c>
      <c r="R64">
        <v>0.33</v>
      </c>
      <c r="S64">
        <v>0</v>
      </c>
      <c r="T64">
        <v>0.33</v>
      </c>
      <c r="U64">
        <v>0.33</v>
      </c>
      <c r="V64">
        <v>0.33</v>
      </c>
    </row>
    <row r="65" spans="1:22" x14ac:dyDescent="0.2">
      <c r="A65">
        <v>62</v>
      </c>
      <c r="B65" t="s">
        <v>61</v>
      </c>
      <c r="C65">
        <v>2011</v>
      </c>
      <c r="D65">
        <v>18</v>
      </c>
      <c r="E65">
        <v>24.7</v>
      </c>
      <c r="F65">
        <v>50.7</v>
      </c>
      <c r="G65">
        <v>3</v>
      </c>
      <c r="H65">
        <v>33</v>
      </c>
      <c r="I65">
        <v>270</v>
      </c>
      <c r="J65">
        <v>3</v>
      </c>
      <c r="K65">
        <v>2</v>
      </c>
      <c r="L65">
        <v>1</v>
      </c>
      <c r="M65">
        <v>2</v>
      </c>
      <c r="N65">
        <v>0</v>
      </c>
      <c r="O65">
        <v>0</v>
      </c>
      <c r="P65">
        <v>0</v>
      </c>
      <c r="Q65">
        <v>0</v>
      </c>
      <c r="R65">
        <v>0.67</v>
      </c>
      <c r="S65">
        <v>0.33</v>
      </c>
      <c r="T65">
        <v>1</v>
      </c>
      <c r="U65">
        <v>0.67</v>
      </c>
      <c r="V65">
        <v>1</v>
      </c>
    </row>
    <row r="66" spans="1:22" x14ac:dyDescent="0.2">
      <c r="A66">
        <v>63</v>
      </c>
      <c r="B66" t="s">
        <v>65</v>
      </c>
      <c r="C66">
        <v>2011</v>
      </c>
      <c r="D66">
        <v>19</v>
      </c>
      <c r="E66">
        <v>28.4</v>
      </c>
      <c r="F66">
        <v>45.3</v>
      </c>
      <c r="G66">
        <v>6</v>
      </c>
      <c r="H66">
        <v>66</v>
      </c>
      <c r="I66">
        <v>540</v>
      </c>
      <c r="J66">
        <v>6</v>
      </c>
      <c r="K66">
        <v>10</v>
      </c>
      <c r="L66">
        <v>4</v>
      </c>
      <c r="M66">
        <v>9</v>
      </c>
      <c r="N66">
        <v>1</v>
      </c>
      <c r="O66">
        <v>1</v>
      </c>
      <c r="P66">
        <v>0</v>
      </c>
      <c r="Q66">
        <v>0</v>
      </c>
      <c r="R66">
        <v>1.67</v>
      </c>
      <c r="S66">
        <v>0.67</v>
      </c>
      <c r="T66">
        <v>2.33</v>
      </c>
      <c r="U66">
        <v>1.5</v>
      </c>
      <c r="V66">
        <v>2.17</v>
      </c>
    </row>
    <row r="67" spans="1:22" x14ac:dyDescent="0.2">
      <c r="A67">
        <v>64</v>
      </c>
      <c r="B67" t="s">
        <v>67</v>
      </c>
      <c r="C67">
        <v>2011</v>
      </c>
      <c r="D67">
        <v>18</v>
      </c>
      <c r="E67">
        <v>28.3</v>
      </c>
      <c r="F67">
        <v>50.5</v>
      </c>
      <c r="G67">
        <v>6</v>
      </c>
      <c r="H67">
        <v>66</v>
      </c>
      <c r="I67">
        <v>600</v>
      </c>
      <c r="J67">
        <v>6.7</v>
      </c>
      <c r="K67">
        <v>12</v>
      </c>
      <c r="L67">
        <v>9</v>
      </c>
      <c r="M67">
        <v>12</v>
      </c>
      <c r="N67">
        <v>0</v>
      </c>
      <c r="O67">
        <v>0</v>
      </c>
      <c r="P67">
        <v>0</v>
      </c>
      <c r="Q67">
        <v>0</v>
      </c>
      <c r="R67">
        <v>1.8</v>
      </c>
      <c r="S67">
        <v>1.35</v>
      </c>
      <c r="T67">
        <v>3.15</v>
      </c>
      <c r="U67">
        <v>1.8</v>
      </c>
      <c r="V67">
        <v>3.15</v>
      </c>
    </row>
    <row r="68" spans="1:22" x14ac:dyDescent="0.2">
      <c r="A68">
        <v>65</v>
      </c>
      <c r="B68" t="s">
        <v>44</v>
      </c>
      <c r="C68">
        <v>2007</v>
      </c>
      <c r="D68">
        <v>19</v>
      </c>
      <c r="E68">
        <v>21</v>
      </c>
      <c r="F68">
        <v>38.299999999999997</v>
      </c>
      <c r="G68">
        <v>3</v>
      </c>
      <c r="H68">
        <v>33</v>
      </c>
      <c r="I68">
        <v>270</v>
      </c>
      <c r="J68">
        <v>3</v>
      </c>
      <c r="K68">
        <v>1</v>
      </c>
      <c r="L68">
        <v>0</v>
      </c>
      <c r="M68">
        <v>1</v>
      </c>
      <c r="N68">
        <v>0</v>
      </c>
      <c r="O68">
        <v>0</v>
      </c>
      <c r="R68">
        <v>0.33</v>
      </c>
      <c r="S68">
        <v>0</v>
      </c>
      <c r="T68">
        <v>0.33</v>
      </c>
      <c r="U68">
        <v>0.33</v>
      </c>
      <c r="V68">
        <v>0.33</v>
      </c>
    </row>
    <row r="69" spans="1:22" x14ac:dyDescent="0.2">
      <c r="A69">
        <v>66</v>
      </c>
      <c r="B69" t="s">
        <v>45</v>
      </c>
      <c r="C69">
        <v>2007</v>
      </c>
      <c r="D69">
        <v>18</v>
      </c>
      <c r="E69">
        <v>24.7</v>
      </c>
      <c r="F69">
        <v>48.3</v>
      </c>
      <c r="G69">
        <v>4</v>
      </c>
      <c r="H69">
        <v>44</v>
      </c>
      <c r="I69">
        <v>360</v>
      </c>
      <c r="J69">
        <v>4</v>
      </c>
      <c r="K69">
        <v>9</v>
      </c>
      <c r="L69">
        <v>6</v>
      </c>
      <c r="M69">
        <v>9</v>
      </c>
      <c r="N69">
        <v>0</v>
      </c>
      <c r="O69">
        <v>0</v>
      </c>
      <c r="R69">
        <v>2.25</v>
      </c>
      <c r="S69">
        <v>1.5</v>
      </c>
      <c r="T69">
        <v>3.75</v>
      </c>
      <c r="U69">
        <v>2.25</v>
      </c>
      <c r="V69">
        <v>3.75</v>
      </c>
    </row>
    <row r="70" spans="1:22" x14ac:dyDescent="0.2">
      <c r="A70">
        <v>67</v>
      </c>
      <c r="B70" t="s">
        <v>46</v>
      </c>
      <c r="C70">
        <v>2007</v>
      </c>
      <c r="D70">
        <v>16</v>
      </c>
      <c r="E70">
        <v>25.7</v>
      </c>
      <c r="F70">
        <v>61.3</v>
      </c>
      <c r="G70">
        <v>6</v>
      </c>
      <c r="H70">
        <v>66</v>
      </c>
      <c r="I70">
        <v>540</v>
      </c>
      <c r="J70">
        <v>6</v>
      </c>
      <c r="K70">
        <v>16</v>
      </c>
      <c r="L70">
        <v>7</v>
      </c>
      <c r="M70">
        <v>16</v>
      </c>
      <c r="N70">
        <v>0</v>
      </c>
      <c r="O70">
        <v>0</v>
      </c>
      <c r="R70">
        <v>2.67</v>
      </c>
      <c r="S70">
        <v>1.17</v>
      </c>
      <c r="T70">
        <v>3.83</v>
      </c>
      <c r="U70">
        <v>2.67</v>
      </c>
      <c r="V70">
        <v>3.83</v>
      </c>
    </row>
    <row r="71" spans="1:22" x14ac:dyDescent="0.2">
      <c r="A71">
        <v>68</v>
      </c>
      <c r="B71" t="s">
        <v>48</v>
      </c>
      <c r="C71">
        <v>2007</v>
      </c>
      <c r="D71">
        <v>18</v>
      </c>
      <c r="E71">
        <v>23.8</v>
      </c>
      <c r="F71">
        <v>39.299999999999997</v>
      </c>
      <c r="G71">
        <v>3</v>
      </c>
      <c r="H71">
        <v>33</v>
      </c>
      <c r="I71">
        <v>270</v>
      </c>
      <c r="J71">
        <v>3</v>
      </c>
      <c r="K71">
        <v>7</v>
      </c>
      <c r="L71">
        <v>3</v>
      </c>
      <c r="M71">
        <v>7</v>
      </c>
      <c r="N71">
        <v>0</v>
      </c>
      <c r="O71">
        <v>0</v>
      </c>
      <c r="R71">
        <v>2.33</v>
      </c>
      <c r="S71">
        <v>1</v>
      </c>
      <c r="T71">
        <v>3.33</v>
      </c>
      <c r="U71">
        <v>2.33</v>
      </c>
      <c r="V71">
        <v>3.33</v>
      </c>
    </row>
    <row r="72" spans="1:22" x14ac:dyDescent="0.2">
      <c r="A72">
        <v>69</v>
      </c>
      <c r="B72" t="s">
        <v>50</v>
      </c>
      <c r="C72">
        <v>2007</v>
      </c>
      <c r="D72">
        <v>18</v>
      </c>
      <c r="E72">
        <v>24.9</v>
      </c>
      <c r="F72">
        <v>47.3</v>
      </c>
      <c r="G72">
        <v>4</v>
      </c>
      <c r="H72">
        <v>44</v>
      </c>
      <c r="I72">
        <v>360</v>
      </c>
      <c r="J72">
        <v>4</v>
      </c>
      <c r="K72">
        <v>5</v>
      </c>
      <c r="L72">
        <v>0</v>
      </c>
      <c r="M72">
        <v>5</v>
      </c>
      <c r="N72">
        <v>0</v>
      </c>
      <c r="O72">
        <v>0</v>
      </c>
      <c r="R72">
        <v>1.25</v>
      </c>
      <c r="S72">
        <v>0</v>
      </c>
      <c r="T72">
        <v>1.25</v>
      </c>
      <c r="U72">
        <v>1.25</v>
      </c>
      <c r="V72">
        <v>1.25</v>
      </c>
    </row>
    <row r="73" spans="1:22" x14ac:dyDescent="0.2">
      <c r="A73">
        <v>70</v>
      </c>
      <c r="B73" t="s">
        <v>76</v>
      </c>
      <c r="C73">
        <v>2007</v>
      </c>
      <c r="D73">
        <v>16</v>
      </c>
      <c r="E73">
        <v>26.9</v>
      </c>
      <c r="F73">
        <v>50.7</v>
      </c>
      <c r="G73">
        <v>3</v>
      </c>
      <c r="H73">
        <v>33</v>
      </c>
      <c r="I73">
        <v>270</v>
      </c>
      <c r="J73">
        <v>3</v>
      </c>
      <c r="K73">
        <v>4</v>
      </c>
      <c r="L73">
        <v>2</v>
      </c>
      <c r="M73">
        <v>4</v>
      </c>
      <c r="N73">
        <v>0</v>
      </c>
      <c r="O73">
        <v>0</v>
      </c>
      <c r="R73">
        <v>1.33</v>
      </c>
      <c r="S73">
        <v>0.67</v>
      </c>
      <c r="T73">
        <v>2</v>
      </c>
      <c r="U73">
        <v>1.33</v>
      </c>
      <c r="V73">
        <v>2</v>
      </c>
    </row>
    <row r="74" spans="1:22" x14ac:dyDescent="0.2">
      <c r="A74">
        <v>71</v>
      </c>
      <c r="B74" t="s">
        <v>51</v>
      </c>
      <c r="C74">
        <v>2007</v>
      </c>
      <c r="D74">
        <v>18</v>
      </c>
      <c r="E74">
        <v>24.8</v>
      </c>
      <c r="F74">
        <v>52.5</v>
      </c>
      <c r="G74">
        <v>4</v>
      </c>
      <c r="H74">
        <v>44</v>
      </c>
      <c r="I74">
        <v>360</v>
      </c>
      <c r="J74">
        <v>4</v>
      </c>
      <c r="K74">
        <v>7</v>
      </c>
      <c r="L74">
        <v>5</v>
      </c>
      <c r="M74">
        <v>5</v>
      </c>
      <c r="N74">
        <v>2</v>
      </c>
      <c r="O74">
        <v>2</v>
      </c>
      <c r="R74">
        <v>1.75</v>
      </c>
      <c r="S74">
        <v>1.25</v>
      </c>
      <c r="T74">
        <v>3</v>
      </c>
      <c r="U74">
        <v>1.25</v>
      </c>
      <c r="V74">
        <v>2.5</v>
      </c>
    </row>
    <row r="75" spans="1:22" x14ac:dyDescent="0.2">
      <c r="A75">
        <v>72</v>
      </c>
      <c r="B75" t="s">
        <v>53</v>
      </c>
      <c r="C75">
        <v>2007</v>
      </c>
      <c r="D75">
        <v>17</v>
      </c>
      <c r="E75">
        <v>26.5</v>
      </c>
      <c r="F75">
        <v>49.5</v>
      </c>
      <c r="G75">
        <v>6</v>
      </c>
      <c r="H75">
        <v>66</v>
      </c>
      <c r="I75">
        <v>540</v>
      </c>
      <c r="J75">
        <v>6</v>
      </c>
      <c r="K75">
        <v>20</v>
      </c>
      <c r="L75">
        <v>11</v>
      </c>
      <c r="M75">
        <v>19</v>
      </c>
      <c r="N75">
        <v>1</v>
      </c>
      <c r="O75">
        <v>1</v>
      </c>
      <c r="R75">
        <v>3.33</v>
      </c>
      <c r="S75">
        <v>1.83</v>
      </c>
      <c r="T75">
        <v>5.17</v>
      </c>
      <c r="U75">
        <v>3.17</v>
      </c>
      <c r="V75">
        <v>5</v>
      </c>
    </row>
    <row r="76" spans="1:22" x14ac:dyDescent="0.2">
      <c r="A76">
        <v>73</v>
      </c>
      <c r="B76" t="s">
        <v>77</v>
      </c>
      <c r="C76">
        <v>2007</v>
      </c>
      <c r="D76">
        <v>19</v>
      </c>
      <c r="E76">
        <v>24.5</v>
      </c>
      <c r="F76">
        <v>52.3</v>
      </c>
      <c r="G76">
        <v>3</v>
      </c>
      <c r="H76">
        <v>33</v>
      </c>
      <c r="I76">
        <v>270</v>
      </c>
      <c r="J76">
        <v>3</v>
      </c>
      <c r="K76">
        <v>3</v>
      </c>
      <c r="L76">
        <v>0</v>
      </c>
      <c r="M76">
        <v>2</v>
      </c>
      <c r="N76">
        <v>1</v>
      </c>
      <c r="O76">
        <v>1</v>
      </c>
      <c r="R76">
        <v>1</v>
      </c>
      <c r="S76">
        <v>0</v>
      </c>
      <c r="T76">
        <v>1</v>
      </c>
      <c r="U76">
        <v>0.67</v>
      </c>
      <c r="V76">
        <v>0.67</v>
      </c>
    </row>
    <row r="77" spans="1:22" x14ac:dyDescent="0.2">
      <c r="A77">
        <v>74</v>
      </c>
      <c r="B77" t="s">
        <v>56</v>
      </c>
      <c r="C77">
        <v>2007</v>
      </c>
      <c r="D77">
        <v>16</v>
      </c>
      <c r="E77">
        <v>24.7</v>
      </c>
      <c r="F77">
        <v>56</v>
      </c>
      <c r="G77">
        <v>3</v>
      </c>
      <c r="H77">
        <v>33</v>
      </c>
      <c r="I77">
        <v>270</v>
      </c>
      <c r="J77">
        <v>3</v>
      </c>
      <c r="K77">
        <v>3</v>
      </c>
      <c r="L77">
        <v>0</v>
      </c>
      <c r="M77">
        <v>3</v>
      </c>
      <c r="N77">
        <v>0</v>
      </c>
      <c r="O77">
        <v>0</v>
      </c>
      <c r="R77">
        <v>1</v>
      </c>
      <c r="S77">
        <v>0</v>
      </c>
      <c r="T77">
        <v>1</v>
      </c>
      <c r="U77">
        <v>1</v>
      </c>
      <c r="V77">
        <v>1</v>
      </c>
    </row>
    <row r="78" spans="1:22" x14ac:dyDescent="0.2">
      <c r="A78">
        <v>75</v>
      </c>
      <c r="B78" t="s">
        <v>75</v>
      </c>
      <c r="C78">
        <v>2007</v>
      </c>
      <c r="D78">
        <v>15</v>
      </c>
      <c r="E78">
        <v>22.8</v>
      </c>
      <c r="F78">
        <v>52.8</v>
      </c>
      <c r="G78">
        <v>4</v>
      </c>
      <c r="H78">
        <v>44</v>
      </c>
      <c r="I78">
        <v>360</v>
      </c>
      <c r="J78">
        <v>4</v>
      </c>
      <c r="K78">
        <v>5</v>
      </c>
      <c r="L78">
        <v>1</v>
      </c>
      <c r="M78">
        <v>5</v>
      </c>
      <c r="N78">
        <v>0</v>
      </c>
      <c r="O78">
        <v>0</v>
      </c>
      <c r="R78">
        <v>1.25</v>
      </c>
      <c r="S78">
        <v>0.25</v>
      </c>
      <c r="T78">
        <v>1.5</v>
      </c>
      <c r="U78">
        <v>1.25</v>
      </c>
      <c r="V78">
        <v>1.5</v>
      </c>
    </row>
    <row r="79" spans="1:22" x14ac:dyDescent="0.2">
      <c r="A79">
        <v>76</v>
      </c>
      <c r="B79" t="s">
        <v>59</v>
      </c>
      <c r="C79">
        <v>2007</v>
      </c>
      <c r="D79">
        <v>18</v>
      </c>
      <c r="E79">
        <v>24.5</v>
      </c>
      <c r="F79">
        <v>39.700000000000003</v>
      </c>
      <c r="G79">
        <v>3</v>
      </c>
      <c r="H79">
        <v>33</v>
      </c>
      <c r="I79">
        <v>270</v>
      </c>
      <c r="J79">
        <v>3</v>
      </c>
      <c r="K79">
        <v>0</v>
      </c>
      <c r="L79">
        <v>0</v>
      </c>
      <c r="M79">
        <v>0</v>
      </c>
      <c r="N79">
        <v>0</v>
      </c>
      <c r="O79">
        <v>0</v>
      </c>
      <c r="R79">
        <v>0</v>
      </c>
      <c r="S79">
        <v>0</v>
      </c>
      <c r="T79">
        <v>0</v>
      </c>
      <c r="U79">
        <v>0</v>
      </c>
      <c r="V79">
        <v>0</v>
      </c>
    </row>
    <row r="80" spans="1:22" x14ac:dyDescent="0.2">
      <c r="A80">
        <v>77</v>
      </c>
      <c r="B80" t="s">
        <v>60</v>
      </c>
      <c r="C80">
        <v>2007</v>
      </c>
      <c r="D80">
        <v>15</v>
      </c>
      <c r="E80">
        <v>23.6</v>
      </c>
      <c r="F80">
        <v>51</v>
      </c>
      <c r="G80">
        <v>3</v>
      </c>
      <c r="H80">
        <v>33</v>
      </c>
      <c r="I80">
        <v>270</v>
      </c>
      <c r="J80">
        <v>3</v>
      </c>
      <c r="K80">
        <v>1</v>
      </c>
      <c r="L80">
        <v>0</v>
      </c>
      <c r="M80">
        <v>1</v>
      </c>
      <c r="N80">
        <v>0</v>
      </c>
      <c r="O80">
        <v>0</v>
      </c>
      <c r="R80">
        <v>0.33</v>
      </c>
      <c r="S80">
        <v>0</v>
      </c>
      <c r="T80">
        <v>0.33</v>
      </c>
      <c r="U80">
        <v>0.33</v>
      </c>
      <c r="V80">
        <v>0.33</v>
      </c>
    </row>
    <row r="81" spans="1:22" x14ac:dyDescent="0.2">
      <c r="A81">
        <v>78</v>
      </c>
      <c r="B81" t="s">
        <v>61</v>
      </c>
      <c r="C81">
        <v>2007</v>
      </c>
      <c r="D81">
        <v>19</v>
      </c>
      <c r="E81">
        <v>26.3</v>
      </c>
      <c r="F81">
        <v>53.7</v>
      </c>
      <c r="G81">
        <v>6</v>
      </c>
      <c r="H81">
        <v>66</v>
      </c>
      <c r="I81">
        <v>540</v>
      </c>
      <c r="J81">
        <v>6</v>
      </c>
      <c r="K81">
        <v>12</v>
      </c>
      <c r="L81">
        <v>10</v>
      </c>
      <c r="M81">
        <v>11</v>
      </c>
      <c r="N81">
        <v>1</v>
      </c>
      <c r="O81">
        <v>1</v>
      </c>
      <c r="R81">
        <v>2</v>
      </c>
      <c r="S81">
        <v>1.67</v>
      </c>
      <c r="T81">
        <v>3.67</v>
      </c>
      <c r="U81">
        <v>1.83</v>
      </c>
      <c r="V81">
        <v>3.5</v>
      </c>
    </row>
    <row r="82" spans="1:22" x14ac:dyDescent="0.2">
      <c r="A82">
        <v>79</v>
      </c>
      <c r="B82" t="s">
        <v>65</v>
      </c>
      <c r="C82">
        <v>2007</v>
      </c>
      <c r="D82">
        <v>16</v>
      </c>
      <c r="E82">
        <v>26.1</v>
      </c>
      <c r="F82">
        <v>49.7</v>
      </c>
      <c r="G82">
        <v>3</v>
      </c>
      <c r="H82">
        <v>33</v>
      </c>
      <c r="I82">
        <v>270</v>
      </c>
      <c r="J82">
        <v>3</v>
      </c>
      <c r="K82">
        <v>3</v>
      </c>
      <c r="L82">
        <v>3</v>
      </c>
      <c r="M82">
        <v>3</v>
      </c>
      <c r="N82">
        <v>0</v>
      </c>
      <c r="O82">
        <v>0</v>
      </c>
      <c r="R82">
        <v>1</v>
      </c>
      <c r="S82">
        <v>1</v>
      </c>
      <c r="T82">
        <v>2</v>
      </c>
      <c r="U82">
        <v>1</v>
      </c>
      <c r="V82">
        <v>2</v>
      </c>
    </row>
    <row r="83" spans="1:22" x14ac:dyDescent="0.2">
      <c r="A83">
        <v>80</v>
      </c>
      <c r="B83" t="s">
        <v>67</v>
      </c>
      <c r="C83">
        <v>2007</v>
      </c>
      <c r="D83">
        <v>18</v>
      </c>
      <c r="E83">
        <v>26.7</v>
      </c>
      <c r="F83">
        <v>46.5</v>
      </c>
      <c r="G83">
        <v>6</v>
      </c>
      <c r="H83">
        <v>66</v>
      </c>
      <c r="I83">
        <v>540</v>
      </c>
      <c r="J83">
        <v>6</v>
      </c>
      <c r="K83">
        <v>12</v>
      </c>
      <c r="L83">
        <v>3</v>
      </c>
      <c r="M83">
        <v>11</v>
      </c>
      <c r="N83">
        <v>1</v>
      </c>
      <c r="O83">
        <v>1</v>
      </c>
      <c r="R83">
        <v>2</v>
      </c>
      <c r="S83">
        <v>0.5</v>
      </c>
      <c r="T83">
        <v>2.5</v>
      </c>
      <c r="U83">
        <v>1.83</v>
      </c>
      <c r="V83">
        <v>2.33</v>
      </c>
    </row>
    <row r="84" spans="1:22" x14ac:dyDescent="0.2">
      <c r="A84">
        <v>81</v>
      </c>
      <c r="B84" t="s">
        <v>44</v>
      </c>
      <c r="C84">
        <v>2003</v>
      </c>
      <c r="D84">
        <v>16</v>
      </c>
      <c r="E84">
        <v>23</v>
      </c>
      <c r="F84">
        <v>49</v>
      </c>
      <c r="G84">
        <v>3</v>
      </c>
      <c r="H84">
        <v>33</v>
      </c>
      <c r="I84">
        <v>270</v>
      </c>
      <c r="J84">
        <v>3</v>
      </c>
      <c r="K84">
        <v>1</v>
      </c>
      <c r="L84">
        <v>0</v>
      </c>
      <c r="M84">
        <v>1</v>
      </c>
      <c r="N84">
        <v>0</v>
      </c>
      <c r="O84">
        <v>0</v>
      </c>
      <c r="R84">
        <v>0.33</v>
      </c>
      <c r="S84">
        <v>0</v>
      </c>
      <c r="T84">
        <v>0.33</v>
      </c>
      <c r="U84">
        <v>0.33</v>
      </c>
      <c r="V84">
        <v>0.33</v>
      </c>
    </row>
    <row r="85" spans="1:22" x14ac:dyDescent="0.2">
      <c r="A85">
        <v>82</v>
      </c>
      <c r="B85" t="s">
        <v>45</v>
      </c>
      <c r="C85">
        <v>2003</v>
      </c>
      <c r="D85">
        <v>16</v>
      </c>
      <c r="E85">
        <v>23.4</v>
      </c>
      <c r="F85">
        <v>49</v>
      </c>
      <c r="G85">
        <v>3</v>
      </c>
      <c r="H85">
        <v>33</v>
      </c>
      <c r="I85">
        <v>270</v>
      </c>
      <c r="J85">
        <v>3</v>
      </c>
      <c r="K85">
        <v>3</v>
      </c>
      <c r="L85">
        <v>0</v>
      </c>
      <c r="M85">
        <v>3</v>
      </c>
      <c r="N85">
        <v>0</v>
      </c>
      <c r="O85">
        <v>0</v>
      </c>
      <c r="R85">
        <v>1</v>
      </c>
      <c r="S85">
        <v>0</v>
      </c>
      <c r="T85">
        <v>1</v>
      </c>
      <c r="U85">
        <v>1</v>
      </c>
      <c r="V85">
        <v>1</v>
      </c>
    </row>
    <row r="86" spans="1:22" x14ac:dyDescent="0.2">
      <c r="A86">
        <v>83</v>
      </c>
      <c r="B86" t="s">
        <v>46</v>
      </c>
      <c r="C86">
        <v>2003</v>
      </c>
      <c r="D86">
        <v>16</v>
      </c>
      <c r="E86">
        <v>22.4</v>
      </c>
      <c r="F86">
        <v>55</v>
      </c>
      <c r="G86">
        <v>4</v>
      </c>
      <c r="H86">
        <v>44</v>
      </c>
      <c r="I86">
        <v>360</v>
      </c>
      <c r="J86">
        <v>4</v>
      </c>
      <c r="K86">
        <v>9</v>
      </c>
      <c r="L86">
        <v>0</v>
      </c>
      <c r="M86">
        <v>9</v>
      </c>
      <c r="N86">
        <v>0</v>
      </c>
      <c r="O86">
        <v>0</v>
      </c>
      <c r="R86">
        <v>2.25</v>
      </c>
      <c r="S86">
        <v>0</v>
      </c>
      <c r="T86">
        <v>2.25</v>
      </c>
      <c r="U86">
        <v>2.25</v>
      </c>
      <c r="V86">
        <v>2.25</v>
      </c>
    </row>
    <row r="87" spans="1:22" x14ac:dyDescent="0.2">
      <c r="A87">
        <v>84</v>
      </c>
      <c r="B87" t="s">
        <v>48</v>
      </c>
      <c r="C87">
        <v>2003</v>
      </c>
      <c r="D87">
        <v>17</v>
      </c>
      <c r="E87">
        <v>22.7</v>
      </c>
      <c r="F87">
        <v>41.7</v>
      </c>
      <c r="G87">
        <v>6</v>
      </c>
      <c r="H87">
        <v>66</v>
      </c>
      <c r="I87">
        <v>540</v>
      </c>
      <c r="J87">
        <v>6</v>
      </c>
      <c r="K87">
        <v>10</v>
      </c>
      <c r="L87">
        <v>0</v>
      </c>
      <c r="M87">
        <v>10</v>
      </c>
      <c r="N87">
        <v>0</v>
      </c>
      <c r="O87">
        <v>0</v>
      </c>
      <c r="R87">
        <v>1.67</v>
      </c>
      <c r="S87">
        <v>0</v>
      </c>
      <c r="T87">
        <v>1.67</v>
      </c>
      <c r="U87">
        <v>1.67</v>
      </c>
      <c r="V87">
        <v>1.67</v>
      </c>
    </row>
    <row r="88" spans="1:22" x14ac:dyDescent="0.2">
      <c r="A88">
        <v>85</v>
      </c>
      <c r="B88" t="s">
        <v>50</v>
      </c>
      <c r="C88">
        <v>2003</v>
      </c>
      <c r="D88">
        <v>18</v>
      </c>
      <c r="E88">
        <v>27</v>
      </c>
      <c r="F88">
        <v>61</v>
      </c>
      <c r="G88">
        <v>4</v>
      </c>
      <c r="H88">
        <v>44</v>
      </c>
      <c r="I88">
        <v>360</v>
      </c>
      <c r="J88">
        <v>4</v>
      </c>
      <c r="K88">
        <v>3</v>
      </c>
      <c r="L88">
        <v>0</v>
      </c>
      <c r="M88">
        <v>3</v>
      </c>
      <c r="N88">
        <v>0</v>
      </c>
      <c r="O88">
        <v>0</v>
      </c>
      <c r="R88">
        <v>0.75</v>
      </c>
      <c r="S88">
        <v>0</v>
      </c>
      <c r="T88">
        <v>0.75</v>
      </c>
      <c r="U88">
        <v>0.75</v>
      </c>
      <c r="V88">
        <v>0.75</v>
      </c>
    </row>
    <row r="89" spans="1:22" x14ac:dyDescent="0.2">
      <c r="A89">
        <v>86</v>
      </c>
      <c r="B89" t="s">
        <v>52</v>
      </c>
      <c r="C89">
        <v>2003</v>
      </c>
      <c r="D89">
        <v>17</v>
      </c>
      <c r="E89">
        <v>25.2</v>
      </c>
      <c r="F89">
        <v>46.3</v>
      </c>
      <c r="G89">
        <v>3</v>
      </c>
      <c r="H89">
        <v>33</v>
      </c>
      <c r="I89">
        <v>270</v>
      </c>
      <c r="J89">
        <v>3</v>
      </c>
      <c r="K89">
        <v>2</v>
      </c>
      <c r="L89">
        <v>0</v>
      </c>
      <c r="M89">
        <v>2</v>
      </c>
      <c r="N89">
        <v>0</v>
      </c>
      <c r="O89">
        <v>0</v>
      </c>
      <c r="R89">
        <v>0.67</v>
      </c>
      <c r="S89">
        <v>0</v>
      </c>
      <c r="T89">
        <v>0.67</v>
      </c>
      <c r="U89">
        <v>0.67</v>
      </c>
      <c r="V89">
        <v>0.67</v>
      </c>
    </row>
    <row r="90" spans="1:22" x14ac:dyDescent="0.2">
      <c r="A90">
        <v>87</v>
      </c>
      <c r="B90" t="s">
        <v>53</v>
      </c>
      <c r="C90">
        <v>2003</v>
      </c>
      <c r="D90">
        <v>19</v>
      </c>
      <c r="E90">
        <v>27</v>
      </c>
      <c r="F90">
        <v>51.8</v>
      </c>
      <c r="G90">
        <v>6</v>
      </c>
      <c r="H90">
        <v>66</v>
      </c>
      <c r="I90">
        <v>570</v>
      </c>
      <c r="J90">
        <v>6.3</v>
      </c>
      <c r="K90">
        <v>25</v>
      </c>
      <c r="L90">
        <v>0</v>
      </c>
      <c r="M90">
        <v>25</v>
      </c>
      <c r="N90">
        <v>0</v>
      </c>
      <c r="O90">
        <v>0</v>
      </c>
      <c r="R90">
        <v>3.95</v>
      </c>
      <c r="S90">
        <v>0</v>
      </c>
      <c r="T90">
        <v>3.95</v>
      </c>
      <c r="U90">
        <v>3.95</v>
      </c>
      <c r="V90">
        <v>3.95</v>
      </c>
    </row>
    <row r="91" spans="1:22" x14ac:dyDescent="0.2">
      <c r="A91">
        <v>88</v>
      </c>
      <c r="B91" t="s">
        <v>77</v>
      </c>
      <c r="C91">
        <v>2003</v>
      </c>
      <c r="D91">
        <v>15</v>
      </c>
      <c r="E91">
        <v>25.4</v>
      </c>
      <c r="F91">
        <v>47.7</v>
      </c>
      <c r="G91">
        <v>3</v>
      </c>
      <c r="H91">
        <v>33</v>
      </c>
      <c r="I91">
        <v>270</v>
      </c>
      <c r="J91">
        <v>3</v>
      </c>
      <c r="K91">
        <v>2</v>
      </c>
      <c r="L91">
        <v>0</v>
      </c>
      <c r="M91">
        <v>2</v>
      </c>
      <c r="N91">
        <v>0</v>
      </c>
      <c r="O91">
        <v>0</v>
      </c>
      <c r="R91">
        <v>0.67</v>
      </c>
      <c r="S91">
        <v>0</v>
      </c>
      <c r="T91">
        <v>0.67</v>
      </c>
      <c r="U91">
        <v>0.67</v>
      </c>
      <c r="V91">
        <v>0.67</v>
      </c>
    </row>
    <row r="92" spans="1:22" x14ac:dyDescent="0.2">
      <c r="A92">
        <v>89</v>
      </c>
      <c r="B92" t="s">
        <v>56</v>
      </c>
      <c r="C92">
        <v>2003</v>
      </c>
      <c r="D92">
        <v>16</v>
      </c>
      <c r="E92">
        <v>24.2</v>
      </c>
      <c r="F92">
        <v>54.7</v>
      </c>
      <c r="G92">
        <v>3</v>
      </c>
      <c r="H92">
        <v>33</v>
      </c>
      <c r="I92">
        <v>270</v>
      </c>
      <c r="J92">
        <v>3</v>
      </c>
      <c r="K92">
        <v>7</v>
      </c>
      <c r="L92">
        <v>0</v>
      </c>
      <c r="M92">
        <v>7</v>
      </c>
      <c r="N92">
        <v>0</v>
      </c>
      <c r="O92">
        <v>0</v>
      </c>
      <c r="R92">
        <v>2.33</v>
      </c>
      <c r="S92">
        <v>0</v>
      </c>
      <c r="T92">
        <v>2.33</v>
      </c>
      <c r="U92">
        <v>2.33</v>
      </c>
      <c r="V92">
        <v>2.33</v>
      </c>
    </row>
    <row r="93" spans="1:22" x14ac:dyDescent="0.2">
      <c r="A93">
        <v>90</v>
      </c>
      <c r="B93" t="s">
        <v>75</v>
      </c>
      <c r="C93">
        <v>2003</v>
      </c>
      <c r="D93">
        <v>15</v>
      </c>
      <c r="E93">
        <v>24.6</v>
      </c>
      <c r="F93">
        <v>52.3</v>
      </c>
      <c r="G93">
        <v>3</v>
      </c>
      <c r="H93">
        <v>33</v>
      </c>
      <c r="I93">
        <v>270</v>
      </c>
      <c r="J93">
        <v>3</v>
      </c>
      <c r="K93">
        <v>3</v>
      </c>
      <c r="L93">
        <v>0</v>
      </c>
      <c r="M93">
        <v>3</v>
      </c>
      <c r="N93">
        <v>0</v>
      </c>
      <c r="O93">
        <v>0</v>
      </c>
      <c r="R93">
        <v>1</v>
      </c>
      <c r="S93">
        <v>0</v>
      </c>
      <c r="T93">
        <v>1</v>
      </c>
      <c r="U93">
        <v>1</v>
      </c>
      <c r="V93">
        <v>1</v>
      </c>
    </row>
    <row r="94" spans="1:22" x14ac:dyDescent="0.2">
      <c r="A94">
        <v>91</v>
      </c>
      <c r="B94" t="s">
        <v>57</v>
      </c>
      <c r="C94">
        <v>2003</v>
      </c>
      <c r="D94">
        <v>18</v>
      </c>
      <c r="E94">
        <v>22.2</v>
      </c>
      <c r="F94">
        <v>48.7</v>
      </c>
      <c r="G94">
        <v>3</v>
      </c>
      <c r="H94">
        <v>33</v>
      </c>
      <c r="I94">
        <v>270</v>
      </c>
      <c r="J94">
        <v>3</v>
      </c>
      <c r="K94">
        <v>1</v>
      </c>
      <c r="L94">
        <v>0</v>
      </c>
      <c r="M94">
        <v>1</v>
      </c>
      <c r="N94">
        <v>0</v>
      </c>
      <c r="O94">
        <v>0</v>
      </c>
      <c r="R94">
        <v>0.33</v>
      </c>
      <c r="S94">
        <v>0</v>
      </c>
      <c r="T94">
        <v>0.33</v>
      </c>
      <c r="U94">
        <v>0.33</v>
      </c>
      <c r="V94">
        <v>0.33</v>
      </c>
    </row>
    <row r="95" spans="1:22" x14ac:dyDescent="0.2">
      <c r="A95">
        <v>92</v>
      </c>
      <c r="B95" t="s">
        <v>60</v>
      </c>
      <c r="C95">
        <v>2003</v>
      </c>
      <c r="D95">
        <v>16</v>
      </c>
      <c r="E95">
        <v>24.7</v>
      </c>
      <c r="F95">
        <v>51.3</v>
      </c>
      <c r="G95">
        <v>3</v>
      </c>
      <c r="H95">
        <v>33</v>
      </c>
      <c r="I95">
        <v>270</v>
      </c>
      <c r="J95">
        <v>3</v>
      </c>
      <c r="K95">
        <v>0</v>
      </c>
      <c r="L95">
        <v>0</v>
      </c>
      <c r="M95">
        <v>0</v>
      </c>
      <c r="N95">
        <v>0</v>
      </c>
      <c r="O95">
        <v>0</v>
      </c>
      <c r="R95">
        <v>0</v>
      </c>
      <c r="S95">
        <v>0</v>
      </c>
      <c r="T95">
        <v>0</v>
      </c>
      <c r="U95">
        <v>0</v>
      </c>
      <c r="V95">
        <v>0</v>
      </c>
    </row>
    <row r="96" spans="1:22" x14ac:dyDescent="0.2">
      <c r="A96">
        <v>93</v>
      </c>
      <c r="B96" t="s">
        <v>61</v>
      </c>
      <c r="C96">
        <v>2003</v>
      </c>
      <c r="D96">
        <v>16</v>
      </c>
      <c r="E96">
        <v>25.3</v>
      </c>
      <c r="F96">
        <v>48</v>
      </c>
      <c r="G96">
        <v>4</v>
      </c>
      <c r="H96">
        <v>44</v>
      </c>
      <c r="I96">
        <v>360</v>
      </c>
      <c r="J96">
        <v>4</v>
      </c>
      <c r="K96">
        <v>10</v>
      </c>
      <c r="L96">
        <v>1</v>
      </c>
      <c r="M96">
        <v>10</v>
      </c>
      <c r="N96">
        <v>0</v>
      </c>
      <c r="O96">
        <v>0</v>
      </c>
      <c r="R96">
        <v>2.5</v>
      </c>
      <c r="S96">
        <v>0.25</v>
      </c>
      <c r="T96">
        <v>2.75</v>
      </c>
      <c r="U96">
        <v>2.5</v>
      </c>
      <c r="V96">
        <v>2.75</v>
      </c>
    </row>
    <row r="97" spans="1:22" x14ac:dyDescent="0.2">
      <c r="A97">
        <v>94</v>
      </c>
      <c r="B97" t="s">
        <v>78</v>
      </c>
      <c r="C97">
        <v>2003</v>
      </c>
      <c r="D97">
        <v>17</v>
      </c>
      <c r="E97">
        <v>28.1</v>
      </c>
      <c r="F97">
        <v>45</v>
      </c>
      <c r="G97">
        <v>4</v>
      </c>
      <c r="H97">
        <v>44</v>
      </c>
      <c r="I97">
        <v>360</v>
      </c>
      <c r="J97">
        <v>4</v>
      </c>
      <c r="K97">
        <v>5</v>
      </c>
      <c r="L97">
        <v>1</v>
      </c>
      <c r="M97">
        <v>5</v>
      </c>
      <c r="N97">
        <v>0</v>
      </c>
      <c r="O97">
        <v>0</v>
      </c>
      <c r="R97">
        <v>1.25</v>
      </c>
      <c r="S97">
        <v>0.25</v>
      </c>
      <c r="T97">
        <v>1.5</v>
      </c>
      <c r="U97">
        <v>1.25</v>
      </c>
      <c r="V97">
        <v>1.5</v>
      </c>
    </row>
    <row r="98" spans="1:22" x14ac:dyDescent="0.2">
      <c r="A98">
        <v>95</v>
      </c>
      <c r="B98" t="s">
        <v>65</v>
      </c>
      <c r="C98">
        <v>2003</v>
      </c>
      <c r="D98">
        <v>18</v>
      </c>
      <c r="E98">
        <v>25.9</v>
      </c>
      <c r="F98">
        <v>48.2</v>
      </c>
      <c r="G98">
        <v>6</v>
      </c>
      <c r="H98">
        <v>66</v>
      </c>
      <c r="I98">
        <v>570</v>
      </c>
      <c r="J98">
        <v>6.3</v>
      </c>
      <c r="K98">
        <v>10</v>
      </c>
      <c r="L98">
        <v>0</v>
      </c>
      <c r="M98">
        <v>10</v>
      </c>
      <c r="N98">
        <v>0</v>
      </c>
      <c r="O98">
        <v>0</v>
      </c>
      <c r="R98">
        <v>1.58</v>
      </c>
      <c r="S98">
        <v>0</v>
      </c>
      <c r="T98">
        <v>1.58</v>
      </c>
      <c r="U98">
        <v>1.58</v>
      </c>
      <c r="V98">
        <v>1.58</v>
      </c>
    </row>
    <row r="99" spans="1:22" x14ac:dyDescent="0.2">
      <c r="A99">
        <v>96</v>
      </c>
      <c r="B99" t="s">
        <v>67</v>
      </c>
      <c r="C99">
        <v>2003</v>
      </c>
      <c r="D99">
        <v>18</v>
      </c>
      <c r="E99">
        <v>28.1</v>
      </c>
      <c r="F99">
        <v>52.8</v>
      </c>
      <c r="G99">
        <v>6</v>
      </c>
      <c r="H99">
        <v>66</v>
      </c>
      <c r="I99">
        <v>540</v>
      </c>
      <c r="J99">
        <v>6</v>
      </c>
      <c r="K99">
        <v>15</v>
      </c>
      <c r="L99">
        <v>4</v>
      </c>
      <c r="M99">
        <v>15</v>
      </c>
      <c r="N99">
        <v>0</v>
      </c>
      <c r="O99">
        <v>0</v>
      </c>
      <c r="R99">
        <v>2.5</v>
      </c>
      <c r="S99">
        <v>0.67</v>
      </c>
      <c r="T99">
        <v>3.17</v>
      </c>
      <c r="U99">
        <v>2.5</v>
      </c>
      <c r="V99">
        <v>3.17</v>
      </c>
    </row>
    <row r="100" spans="1:22" x14ac:dyDescent="0.2">
      <c r="A100">
        <v>97</v>
      </c>
      <c r="B100" t="s">
        <v>45</v>
      </c>
      <c r="C100">
        <v>1999</v>
      </c>
      <c r="D100">
        <v>17</v>
      </c>
      <c r="E100">
        <v>25</v>
      </c>
      <c r="G100">
        <v>3</v>
      </c>
      <c r="H100">
        <v>33</v>
      </c>
      <c r="I100">
        <v>270</v>
      </c>
      <c r="J100">
        <v>3</v>
      </c>
      <c r="K100">
        <v>3</v>
      </c>
      <c r="L100">
        <v>1</v>
      </c>
      <c r="M100">
        <v>3</v>
      </c>
      <c r="N100">
        <v>0</v>
      </c>
      <c r="O100">
        <v>0</v>
      </c>
      <c r="R100">
        <v>1</v>
      </c>
      <c r="S100">
        <v>0.33</v>
      </c>
      <c r="T100">
        <v>1.33</v>
      </c>
      <c r="U100">
        <v>1</v>
      </c>
      <c r="V100">
        <v>1.33</v>
      </c>
    </row>
    <row r="101" spans="1:22" x14ac:dyDescent="0.2">
      <c r="A101">
        <v>98</v>
      </c>
      <c r="B101" t="s">
        <v>46</v>
      </c>
      <c r="C101">
        <v>1999</v>
      </c>
      <c r="D101">
        <v>15</v>
      </c>
      <c r="E101">
        <v>25</v>
      </c>
      <c r="G101">
        <v>6</v>
      </c>
      <c r="H101">
        <v>66</v>
      </c>
      <c r="I101">
        <v>554</v>
      </c>
      <c r="J101">
        <v>6.2</v>
      </c>
      <c r="K101">
        <v>16</v>
      </c>
      <c r="L101">
        <v>10</v>
      </c>
      <c r="M101">
        <v>16</v>
      </c>
      <c r="N101">
        <v>0</v>
      </c>
      <c r="O101">
        <v>0</v>
      </c>
      <c r="R101">
        <v>2.6</v>
      </c>
      <c r="S101">
        <v>1.62</v>
      </c>
      <c r="T101">
        <v>4.22</v>
      </c>
      <c r="U101">
        <v>2.6</v>
      </c>
      <c r="V101">
        <v>4.22</v>
      </c>
    </row>
    <row r="102" spans="1:22" x14ac:dyDescent="0.2">
      <c r="A102">
        <v>99</v>
      </c>
      <c r="B102" t="s">
        <v>48</v>
      </c>
      <c r="C102">
        <v>1999</v>
      </c>
      <c r="D102">
        <v>15</v>
      </c>
      <c r="E102">
        <v>25.9</v>
      </c>
      <c r="G102">
        <v>3</v>
      </c>
      <c r="H102">
        <v>33</v>
      </c>
      <c r="I102">
        <v>270</v>
      </c>
      <c r="J102">
        <v>3</v>
      </c>
      <c r="K102">
        <v>3</v>
      </c>
      <c r="L102">
        <v>3</v>
      </c>
      <c r="M102">
        <v>3</v>
      </c>
      <c r="N102">
        <v>0</v>
      </c>
      <c r="O102">
        <v>0</v>
      </c>
      <c r="R102">
        <v>1</v>
      </c>
      <c r="S102">
        <v>1</v>
      </c>
      <c r="T102">
        <v>2</v>
      </c>
      <c r="U102">
        <v>1</v>
      </c>
      <c r="V102">
        <v>2</v>
      </c>
    </row>
    <row r="103" spans="1:22" x14ac:dyDescent="0.2">
      <c r="A103">
        <v>100</v>
      </c>
      <c r="B103" t="s">
        <v>50</v>
      </c>
      <c r="C103">
        <v>1999</v>
      </c>
      <c r="D103">
        <v>14</v>
      </c>
      <c r="E103">
        <v>26.6</v>
      </c>
      <c r="G103">
        <v>6</v>
      </c>
      <c r="H103">
        <v>66</v>
      </c>
      <c r="I103">
        <v>570</v>
      </c>
      <c r="J103">
        <v>6.3</v>
      </c>
      <c r="K103">
        <v>19</v>
      </c>
      <c r="L103">
        <v>9</v>
      </c>
      <c r="M103">
        <v>18</v>
      </c>
      <c r="N103">
        <v>1</v>
      </c>
      <c r="O103">
        <v>1</v>
      </c>
      <c r="R103">
        <v>3</v>
      </c>
      <c r="S103">
        <v>1.42</v>
      </c>
      <c r="T103">
        <v>4.42</v>
      </c>
      <c r="U103">
        <v>2.84</v>
      </c>
      <c r="V103">
        <v>4.26</v>
      </c>
    </row>
    <row r="104" spans="1:22" x14ac:dyDescent="0.2">
      <c r="A104">
        <v>101</v>
      </c>
      <c r="B104" t="s">
        <v>76</v>
      </c>
      <c r="C104">
        <v>1999</v>
      </c>
      <c r="D104">
        <v>17</v>
      </c>
      <c r="E104">
        <v>25.5</v>
      </c>
      <c r="G104">
        <v>3</v>
      </c>
      <c r="H104">
        <v>33</v>
      </c>
      <c r="I104">
        <v>270</v>
      </c>
      <c r="J104">
        <v>3</v>
      </c>
      <c r="K104">
        <v>1</v>
      </c>
      <c r="L104">
        <v>0</v>
      </c>
      <c r="M104">
        <v>1</v>
      </c>
      <c r="N104">
        <v>0</v>
      </c>
      <c r="O104">
        <v>0</v>
      </c>
      <c r="R104">
        <v>0.33</v>
      </c>
      <c r="S104">
        <v>0</v>
      </c>
      <c r="T104">
        <v>0.33</v>
      </c>
      <c r="U104">
        <v>0.33</v>
      </c>
      <c r="V104">
        <v>0.33</v>
      </c>
    </row>
    <row r="105" spans="1:22" x14ac:dyDescent="0.2">
      <c r="A105">
        <v>102</v>
      </c>
      <c r="B105" t="s">
        <v>53</v>
      </c>
      <c r="C105">
        <v>1999</v>
      </c>
      <c r="D105">
        <v>18</v>
      </c>
      <c r="E105">
        <v>24.4</v>
      </c>
      <c r="G105">
        <v>4</v>
      </c>
      <c r="H105">
        <v>44</v>
      </c>
      <c r="I105">
        <v>360</v>
      </c>
      <c r="J105">
        <v>4</v>
      </c>
      <c r="K105">
        <v>11</v>
      </c>
      <c r="L105">
        <v>4</v>
      </c>
      <c r="M105">
        <v>11</v>
      </c>
      <c r="N105">
        <v>0</v>
      </c>
      <c r="O105">
        <v>0</v>
      </c>
      <c r="R105">
        <v>2.75</v>
      </c>
      <c r="S105">
        <v>1</v>
      </c>
      <c r="T105">
        <v>3.75</v>
      </c>
      <c r="U105">
        <v>2.75</v>
      </c>
      <c r="V105">
        <v>3.75</v>
      </c>
    </row>
    <row r="106" spans="1:22" x14ac:dyDescent="0.2">
      <c r="A106">
        <v>103</v>
      </c>
      <c r="B106" t="s">
        <v>77</v>
      </c>
      <c r="C106">
        <v>1999</v>
      </c>
      <c r="D106">
        <v>16</v>
      </c>
      <c r="E106">
        <v>23.6</v>
      </c>
      <c r="G106">
        <v>3</v>
      </c>
      <c r="H106">
        <v>33</v>
      </c>
      <c r="I106">
        <v>270</v>
      </c>
      <c r="J106">
        <v>3</v>
      </c>
      <c r="K106">
        <v>1</v>
      </c>
      <c r="L106">
        <v>0</v>
      </c>
      <c r="M106">
        <v>1</v>
      </c>
      <c r="N106">
        <v>0</v>
      </c>
      <c r="O106">
        <v>0</v>
      </c>
      <c r="R106">
        <v>0.33</v>
      </c>
      <c r="S106">
        <v>0</v>
      </c>
      <c r="T106">
        <v>0.33</v>
      </c>
      <c r="U106">
        <v>0.33</v>
      </c>
      <c r="V106">
        <v>0.33</v>
      </c>
    </row>
    <row r="107" spans="1:22" x14ac:dyDescent="0.2">
      <c r="A107">
        <v>104</v>
      </c>
      <c r="B107" t="s">
        <v>54</v>
      </c>
      <c r="C107">
        <v>1999</v>
      </c>
      <c r="D107">
        <v>17</v>
      </c>
      <c r="E107">
        <v>26.7</v>
      </c>
      <c r="G107">
        <v>3</v>
      </c>
      <c r="H107">
        <v>33</v>
      </c>
      <c r="I107">
        <v>270</v>
      </c>
      <c r="J107">
        <v>3</v>
      </c>
      <c r="K107">
        <v>3</v>
      </c>
      <c r="L107">
        <v>1</v>
      </c>
      <c r="M107">
        <v>3</v>
      </c>
      <c r="N107">
        <v>0</v>
      </c>
      <c r="O107">
        <v>0</v>
      </c>
      <c r="R107">
        <v>1</v>
      </c>
      <c r="S107">
        <v>0.33</v>
      </c>
      <c r="T107">
        <v>1.33</v>
      </c>
      <c r="U107">
        <v>1</v>
      </c>
      <c r="V107">
        <v>1.33</v>
      </c>
    </row>
    <row r="108" spans="1:22" x14ac:dyDescent="0.2">
      <c r="A108">
        <v>105</v>
      </c>
      <c r="B108" t="s">
        <v>56</v>
      </c>
      <c r="C108">
        <v>1999</v>
      </c>
      <c r="D108">
        <v>15</v>
      </c>
      <c r="E108">
        <v>23</v>
      </c>
      <c r="G108">
        <v>3</v>
      </c>
      <c r="H108">
        <v>33</v>
      </c>
      <c r="I108">
        <v>270</v>
      </c>
      <c r="J108">
        <v>3</v>
      </c>
      <c r="K108">
        <v>1</v>
      </c>
      <c r="L108">
        <v>1</v>
      </c>
      <c r="M108">
        <v>1</v>
      </c>
      <c r="N108">
        <v>0</v>
      </c>
      <c r="O108">
        <v>0</v>
      </c>
      <c r="R108">
        <v>0.33</v>
      </c>
      <c r="S108">
        <v>0.33</v>
      </c>
      <c r="T108">
        <v>0.67</v>
      </c>
      <c r="U108">
        <v>0.33</v>
      </c>
      <c r="V108">
        <v>0.67</v>
      </c>
    </row>
    <row r="109" spans="1:22" x14ac:dyDescent="0.2">
      <c r="A109">
        <v>106</v>
      </c>
      <c r="B109" t="s">
        <v>75</v>
      </c>
      <c r="C109">
        <v>1999</v>
      </c>
      <c r="D109">
        <v>16</v>
      </c>
      <c r="E109">
        <v>24.5</v>
      </c>
      <c r="G109">
        <v>3</v>
      </c>
      <c r="H109">
        <v>33</v>
      </c>
      <c r="I109">
        <v>270</v>
      </c>
      <c r="J109">
        <v>3</v>
      </c>
      <c r="K109">
        <v>4</v>
      </c>
      <c r="L109">
        <v>2</v>
      </c>
      <c r="M109">
        <v>4</v>
      </c>
      <c r="N109">
        <v>0</v>
      </c>
      <c r="O109">
        <v>0</v>
      </c>
      <c r="R109">
        <v>1.33</v>
      </c>
      <c r="S109">
        <v>0.67</v>
      </c>
      <c r="T109">
        <v>2</v>
      </c>
      <c r="U109">
        <v>1.33</v>
      </c>
      <c r="V109">
        <v>2</v>
      </c>
    </row>
    <row r="110" spans="1:22" x14ac:dyDescent="0.2">
      <c r="A110">
        <v>107</v>
      </c>
      <c r="B110" t="s">
        <v>72</v>
      </c>
      <c r="C110">
        <v>1999</v>
      </c>
      <c r="D110">
        <v>15</v>
      </c>
      <c r="E110">
        <v>21.5</v>
      </c>
      <c r="G110">
        <v>3</v>
      </c>
      <c r="H110">
        <v>33</v>
      </c>
      <c r="I110">
        <v>270</v>
      </c>
      <c r="J110">
        <v>3</v>
      </c>
      <c r="K110">
        <v>1</v>
      </c>
      <c r="L110">
        <v>0</v>
      </c>
      <c r="M110">
        <v>1</v>
      </c>
      <c r="N110">
        <v>0</v>
      </c>
      <c r="O110">
        <v>0</v>
      </c>
      <c r="R110">
        <v>0.33</v>
      </c>
      <c r="S110">
        <v>0</v>
      </c>
      <c r="T110">
        <v>0.33</v>
      </c>
      <c r="U110">
        <v>0.33</v>
      </c>
      <c r="V110">
        <v>0.33</v>
      </c>
    </row>
    <row r="111" spans="1:22" x14ac:dyDescent="0.2">
      <c r="A111">
        <v>108</v>
      </c>
      <c r="B111" t="s">
        <v>60</v>
      </c>
      <c r="C111">
        <v>1999</v>
      </c>
      <c r="D111">
        <v>16</v>
      </c>
      <c r="E111">
        <v>23.5</v>
      </c>
      <c r="G111">
        <v>4</v>
      </c>
      <c r="H111">
        <v>44</v>
      </c>
      <c r="I111">
        <v>374</v>
      </c>
      <c r="J111">
        <v>4.2</v>
      </c>
      <c r="K111">
        <v>8</v>
      </c>
      <c r="L111">
        <v>3</v>
      </c>
      <c r="M111">
        <v>8</v>
      </c>
      <c r="N111">
        <v>0</v>
      </c>
      <c r="O111">
        <v>0</v>
      </c>
      <c r="R111">
        <v>1.93</v>
      </c>
      <c r="S111">
        <v>0.72</v>
      </c>
      <c r="T111">
        <v>2.65</v>
      </c>
      <c r="U111">
        <v>1.93</v>
      </c>
      <c r="V111">
        <v>2.65</v>
      </c>
    </row>
    <row r="112" spans="1:22" x14ac:dyDescent="0.2">
      <c r="A112">
        <v>109</v>
      </c>
      <c r="B112" t="s">
        <v>61</v>
      </c>
      <c r="C112">
        <v>1999</v>
      </c>
      <c r="D112">
        <v>19</v>
      </c>
      <c r="E112">
        <v>25.1</v>
      </c>
      <c r="G112">
        <v>6</v>
      </c>
      <c r="H112">
        <v>66</v>
      </c>
      <c r="I112">
        <v>540</v>
      </c>
      <c r="J112">
        <v>6</v>
      </c>
      <c r="K112">
        <v>15</v>
      </c>
      <c r="L112">
        <v>10</v>
      </c>
      <c r="M112">
        <v>15</v>
      </c>
      <c r="N112">
        <v>0</v>
      </c>
      <c r="O112">
        <v>0</v>
      </c>
      <c r="R112">
        <v>2.5</v>
      </c>
      <c r="S112">
        <v>1.67</v>
      </c>
      <c r="T112">
        <v>4.17</v>
      </c>
      <c r="U112">
        <v>2.5</v>
      </c>
      <c r="V112">
        <v>4.17</v>
      </c>
    </row>
    <row r="113" spans="1:22" x14ac:dyDescent="0.2">
      <c r="A113">
        <v>110</v>
      </c>
      <c r="B113" t="s">
        <v>78</v>
      </c>
      <c r="C113">
        <v>1999</v>
      </c>
      <c r="D113">
        <v>15</v>
      </c>
      <c r="E113">
        <v>25.6</v>
      </c>
      <c r="G113">
        <v>4</v>
      </c>
      <c r="H113">
        <v>44</v>
      </c>
      <c r="I113">
        <v>360</v>
      </c>
      <c r="J113">
        <v>4</v>
      </c>
      <c r="K113">
        <v>10</v>
      </c>
      <c r="L113">
        <v>9</v>
      </c>
      <c r="M113">
        <v>10</v>
      </c>
      <c r="N113">
        <v>0</v>
      </c>
      <c r="O113">
        <v>0</v>
      </c>
      <c r="R113">
        <v>2.5</v>
      </c>
      <c r="S113">
        <v>2.25</v>
      </c>
      <c r="T113">
        <v>4.75</v>
      </c>
      <c r="U113">
        <v>2.5</v>
      </c>
      <c r="V113">
        <v>4.75</v>
      </c>
    </row>
    <row r="114" spans="1:22" x14ac:dyDescent="0.2">
      <c r="A114">
        <v>111</v>
      </c>
      <c r="B114" t="s">
        <v>65</v>
      </c>
      <c r="C114">
        <v>1999</v>
      </c>
      <c r="D114">
        <v>17</v>
      </c>
      <c r="E114">
        <v>24.6</v>
      </c>
      <c r="G114">
        <v>4</v>
      </c>
      <c r="H114">
        <v>44</v>
      </c>
      <c r="I114">
        <v>360</v>
      </c>
      <c r="J114">
        <v>4</v>
      </c>
      <c r="K114">
        <v>7</v>
      </c>
      <c r="L114">
        <v>5</v>
      </c>
      <c r="M114">
        <v>7</v>
      </c>
      <c r="N114">
        <v>0</v>
      </c>
      <c r="O114">
        <v>0</v>
      </c>
      <c r="R114">
        <v>1.75</v>
      </c>
      <c r="S114">
        <v>1.25</v>
      </c>
      <c r="T114">
        <v>3</v>
      </c>
      <c r="U114">
        <v>1.75</v>
      </c>
      <c r="V114">
        <v>3</v>
      </c>
    </row>
    <row r="115" spans="1:22" x14ac:dyDescent="0.2">
      <c r="A115">
        <v>112</v>
      </c>
      <c r="B115" t="s">
        <v>67</v>
      </c>
      <c r="C115">
        <v>1999</v>
      </c>
      <c r="D115">
        <v>18</v>
      </c>
      <c r="E115">
        <v>27.4</v>
      </c>
      <c r="G115">
        <v>6</v>
      </c>
      <c r="H115">
        <v>66</v>
      </c>
      <c r="I115">
        <v>570</v>
      </c>
      <c r="J115">
        <v>6.3</v>
      </c>
      <c r="K115">
        <v>17</v>
      </c>
      <c r="L115">
        <v>15</v>
      </c>
      <c r="M115">
        <v>16</v>
      </c>
      <c r="N115">
        <v>1</v>
      </c>
      <c r="O115">
        <v>1</v>
      </c>
      <c r="R115">
        <v>2.68</v>
      </c>
      <c r="S115">
        <v>2.37</v>
      </c>
      <c r="T115">
        <v>5.05</v>
      </c>
      <c r="U115">
        <v>2.5299999999999998</v>
      </c>
      <c r="V115">
        <v>4.8899999999999997</v>
      </c>
    </row>
    <row r="116" spans="1:22" x14ac:dyDescent="0.2">
      <c r="A116">
        <v>113</v>
      </c>
      <c r="B116" t="s">
        <v>45</v>
      </c>
      <c r="C116">
        <v>1995</v>
      </c>
      <c r="D116">
        <v>17</v>
      </c>
      <c r="E116">
        <v>25</v>
      </c>
      <c r="G116">
        <v>3</v>
      </c>
      <c r="H116">
        <v>33</v>
      </c>
      <c r="I116">
        <v>270</v>
      </c>
      <c r="J116">
        <v>3</v>
      </c>
      <c r="K116">
        <v>3</v>
      </c>
      <c r="L116">
        <v>0</v>
      </c>
      <c r="M116">
        <v>3</v>
      </c>
      <c r="N116">
        <v>0</v>
      </c>
      <c r="O116">
        <v>0</v>
      </c>
      <c r="R116">
        <v>1</v>
      </c>
      <c r="S116">
        <v>0</v>
      </c>
      <c r="T116">
        <v>1</v>
      </c>
      <c r="U116">
        <v>1</v>
      </c>
      <c r="V116">
        <v>1</v>
      </c>
    </row>
    <row r="117" spans="1:22" x14ac:dyDescent="0.2">
      <c r="A117">
        <v>114</v>
      </c>
      <c r="B117" t="s">
        <v>46</v>
      </c>
      <c r="C117">
        <v>1995</v>
      </c>
      <c r="D117">
        <v>16</v>
      </c>
      <c r="E117">
        <v>27.9</v>
      </c>
      <c r="G117">
        <v>3</v>
      </c>
      <c r="H117">
        <v>33</v>
      </c>
      <c r="I117">
        <v>270</v>
      </c>
      <c r="J117">
        <v>3</v>
      </c>
      <c r="K117">
        <v>3</v>
      </c>
      <c r="L117">
        <v>1</v>
      </c>
      <c r="M117">
        <v>3</v>
      </c>
      <c r="N117">
        <v>0</v>
      </c>
      <c r="O117">
        <v>0</v>
      </c>
      <c r="R117">
        <v>1</v>
      </c>
      <c r="S117">
        <v>0.33</v>
      </c>
      <c r="T117">
        <v>1.33</v>
      </c>
      <c r="U117">
        <v>1</v>
      </c>
      <c r="V117">
        <v>1.33</v>
      </c>
    </row>
    <row r="118" spans="1:22" x14ac:dyDescent="0.2">
      <c r="A118">
        <v>115</v>
      </c>
      <c r="B118" t="s">
        <v>48</v>
      </c>
      <c r="C118">
        <v>1995</v>
      </c>
      <c r="D118">
        <v>15</v>
      </c>
      <c r="E118">
        <v>26.2</v>
      </c>
      <c r="G118">
        <v>3</v>
      </c>
      <c r="H118">
        <v>33</v>
      </c>
      <c r="I118">
        <v>270</v>
      </c>
      <c r="J118">
        <v>3</v>
      </c>
      <c r="K118">
        <v>5</v>
      </c>
      <c r="L118">
        <v>0</v>
      </c>
      <c r="M118">
        <v>5</v>
      </c>
      <c r="N118">
        <v>0</v>
      </c>
      <c r="O118">
        <v>0</v>
      </c>
      <c r="R118">
        <v>1.67</v>
      </c>
      <c r="S118">
        <v>0</v>
      </c>
      <c r="T118">
        <v>1.67</v>
      </c>
      <c r="U118">
        <v>1.67</v>
      </c>
      <c r="V118">
        <v>1.67</v>
      </c>
    </row>
    <row r="119" spans="1:22" x14ac:dyDescent="0.2">
      <c r="A119">
        <v>116</v>
      </c>
      <c r="B119" t="s">
        <v>50</v>
      </c>
      <c r="C119">
        <v>1995</v>
      </c>
      <c r="D119">
        <v>16</v>
      </c>
      <c r="E119">
        <v>24.3</v>
      </c>
      <c r="G119">
        <v>6</v>
      </c>
      <c r="H119">
        <v>66</v>
      </c>
      <c r="I119">
        <v>570</v>
      </c>
      <c r="J119">
        <v>6.3</v>
      </c>
      <c r="K119">
        <v>11</v>
      </c>
      <c r="L119">
        <v>0</v>
      </c>
      <c r="M119">
        <v>11</v>
      </c>
      <c r="N119">
        <v>0</v>
      </c>
      <c r="O119">
        <v>0</v>
      </c>
      <c r="R119">
        <v>1.74</v>
      </c>
      <c r="S119">
        <v>0</v>
      </c>
      <c r="T119">
        <v>1.74</v>
      </c>
      <c r="U119">
        <v>1.74</v>
      </c>
      <c r="V119">
        <v>1.74</v>
      </c>
    </row>
    <row r="120" spans="1:22" x14ac:dyDescent="0.2">
      <c r="A120">
        <v>117</v>
      </c>
      <c r="B120" t="s">
        <v>76</v>
      </c>
      <c r="C120">
        <v>1995</v>
      </c>
      <c r="D120">
        <v>17</v>
      </c>
      <c r="E120">
        <v>21.3</v>
      </c>
      <c r="G120">
        <v>4</v>
      </c>
      <c r="H120">
        <v>44</v>
      </c>
      <c r="I120">
        <v>360</v>
      </c>
      <c r="J120">
        <v>4</v>
      </c>
      <c r="K120">
        <v>7</v>
      </c>
      <c r="L120">
        <v>0</v>
      </c>
      <c r="M120">
        <v>7</v>
      </c>
      <c r="N120">
        <v>0</v>
      </c>
      <c r="O120">
        <v>0</v>
      </c>
      <c r="R120">
        <v>1.75</v>
      </c>
      <c r="S120">
        <v>0</v>
      </c>
      <c r="T120">
        <v>1.75</v>
      </c>
      <c r="U120">
        <v>1.75</v>
      </c>
      <c r="V120">
        <v>1.75</v>
      </c>
    </row>
    <row r="121" spans="1:22" x14ac:dyDescent="0.2">
      <c r="A121">
        <v>118</v>
      </c>
      <c r="B121" t="s">
        <v>51</v>
      </c>
      <c r="C121">
        <v>1995</v>
      </c>
      <c r="D121">
        <v>16</v>
      </c>
      <c r="E121">
        <v>27.8</v>
      </c>
      <c r="G121">
        <v>4</v>
      </c>
      <c r="H121">
        <v>44</v>
      </c>
      <c r="I121">
        <v>360</v>
      </c>
      <c r="J121">
        <v>4</v>
      </c>
      <c r="K121">
        <v>6</v>
      </c>
      <c r="L121">
        <v>0</v>
      </c>
      <c r="M121">
        <v>6</v>
      </c>
      <c r="N121">
        <v>0</v>
      </c>
      <c r="O121">
        <v>0</v>
      </c>
      <c r="R121">
        <v>1.5</v>
      </c>
      <c r="S121">
        <v>0</v>
      </c>
      <c r="T121">
        <v>1.5</v>
      </c>
      <c r="U121">
        <v>1.5</v>
      </c>
      <c r="V121">
        <v>1.5</v>
      </c>
    </row>
    <row r="122" spans="1:22" x14ac:dyDescent="0.2">
      <c r="A122">
        <v>119</v>
      </c>
      <c r="B122" t="s">
        <v>53</v>
      </c>
      <c r="C122">
        <v>1995</v>
      </c>
      <c r="D122">
        <v>17</v>
      </c>
      <c r="E122">
        <v>25.3</v>
      </c>
      <c r="G122">
        <v>6</v>
      </c>
      <c r="H122">
        <v>66</v>
      </c>
      <c r="I122">
        <v>540</v>
      </c>
      <c r="J122">
        <v>6</v>
      </c>
      <c r="K122">
        <v>13</v>
      </c>
      <c r="L122">
        <v>0</v>
      </c>
      <c r="M122">
        <v>13</v>
      </c>
      <c r="N122">
        <v>0</v>
      </c>
      <c r="O122">
        <v>0</v>
      </c>
      <c r="R122">
        <v>2.17</v>
      </c>
      <c r="S122">
        <v>0</v>
      </c>
      <c r="T122">
        <v>2.17</v>
      </c>
      <c r="U122">
        <v>2.17</v>
      </c>
      <c r="V122">
        <v>2.17</v>
      </c>
    </row>
    <row r="123" spans="1:22" x14ac:dyDescent="0.2">
      <c r="A123">
        <v>120</v>
      </c>
      <c r="B123" t="s">
        <v>56</v>
      </c>
      <c r="C123">
        <v>1995</v>
      </c>
      <c r="D123">
        <v>14</v>
      </c>
      <c r="E123">
        <v>22.6</v>
      </c>
      <c r="G123">
        <v>4</v>
      </c>
      <c r="H123">
        <v>44</v>
      </c>
      <c r="I123">
        <v>360</v>
      </c>
      <c r="J123">
        <v>4</v>
      </c>
      <c r="K123">
        <v>2</v>
      </c>
      <c r="L123">
        <v>0</v>
      </c>
      <c r="M123">
        <v>2</v>
      </c>
      <c r="N123">
        <v>0</v>
      </c>
      <c r="O123">
        <v>0</v>
      </c>
      <c r="R123">
        <v>0.5</v>
      </c>
      <c r="S123">
        <v>0</v>
      </c>
      <c r="T123">
        <v>0.5</v>
      </c>
      <c r="U123">
        <v>0.5</v>
      </c>
      <c r="V123">
        <v>0.5</v>
      </c>
    </row>
    <row r="124" spans="1:22" x14ac:dyDescent="0.2">
      <c r="A124">
        <v>121</v>
      </c>
      <c r="B124" t="s">
        <v>60</v>
      </c>
      <c r="C124">
        <v>1995</v>
      </c>
      <c r="D124">
        <v>16</v>
      </c>
      <c r="E124">
        <v>20.6</v>
      </c>
      <c r="G124">
        <v>3</v>
      </c>
      <c r="H124">
        <v>33</v>
      </c>
      <c r="I124">
        <v>270</v>
      </c>
      <c r="J124">
        <v>3</v>
      </c>
      <c r="K124">
        <v>5</v>
      </c>
      <c r="L124">
        <v>0</v>
      </c>
      <c r="M124">
        <v>5</v>
      </c>
      <c r="N124">
        <v>0</v>
      </c>
      <c r="O124">
        <v>0</v>
      </c>
      <c r="R124">
        <v>1.67</v>
      </c>
      <c r="S124">
        <v>0</v>
      </c>
      <c r="T124">
        <v>1.67</v>
      </c>
      <c r="U124">
        <v>1.67</v>
      </c>
      <c r="V124">
        <v>1.67</v>
      </c>
    </row>
    <row r="125" spans="1:22" x14ac:dyDescent="0.2">
      <c r="A125">
        <v>122</v>
      </c>
      <c r="B125" t="s">
        <v>61</v>
      </c>
      <c r="C125">
        <v>1995</v>
      </c>
      <c r="D125">
        <v>17</v>
      </c>
      <c r="E125">
        <v>24.6</v>
      </c>
      <c r="G125">
        <v>6</v>
      </c>
      <c r="H125">
        <v>66</v>
      </c>
      <c r="I125">
        <v>540</v>
      </c>
      <c r="J125">
        <v>6</v>
      </c>
      <c r="K125">
        <v>23</v>
      </c>
      <c r="L125">
        <v>0</v>
      </c>
      <c r="M125">
        <v>23</v>
      </c>
      <c r="N125">
        <v>0</v>
      </c>
      <c r="O125">
        <v>0</v>
      </c>
      <c r="R125">
        <v>3.83</v>
      </c>
      <c r="S125">
        <v>0</v>
      </c>
      <c r="T125">
        <v>3.83</v>
      </c>
      <c r="U125">
        <v>3.83</v>
      </c>
      <c r="V125">
        <v>3.83</v>
      </c>
    </row>
    <row r="126" spans="1:22" x14ac:dyDescent="0.2">
      <c r="A126">
        <v>123</v>
      </c>
      <c r="B126" t="s">
        <v>65</v>
      </c>
      <c r="C126">
        <v>1995</v>
      </c>
      <c r="D126">
        <v>18</v>
      </c>
      <c r="E126">
        <v>27.5</v>
      </c>
      <c r="G126">
        <v>4</v>
      </c>
      <c r="H126">
        <v>44</v>
      </c>
      <c r="I126">
        <v>390</v>
      </c>
      <c r="J126">
        <v>4.3</v>
      </c>
      <c r="K126">
        <v>6</v>
      </c>
      <c r="L126">
        <v>0</v>
      </c>
      <c r="M126">
        <v>6</v>
      </c>
      <c r="N126">
        <v>0</v>
      </c>
      <c r="O126">
        <v>0</v>
      </c>
      <c r="R126">
        <v>1.38</v>
      </c>
      <c r="S126">
        <v>0</v>
      </c>
      <c r="T126">
        <v>1.38</v>
      </c>
      <c r="U126">
        <v>1.38</v>
      </c>
      <c r="V126">
        <v>1.38</v>
      </c>
    </row>
    <row r="127" spans="1:22" x14ac:dyDescent="0.2">
      <c r="A127">
        <v>124</v>
      </c>
      <c r="B127" t="s">
        <v>67</v>
      </c>
      <c r="C127">
        <v>1995</v>
      </c>
      <c r="D127">
        <v>18</v>
      </c>
      <c r="E127">
        <v>24.1</v>
      </c>
      <c r="G127">
        <v>6</v>
      </c>
      <c r="H127">
        <v>66</v>
      </c>
      <c r="I127">
        <v>540</v>
      </c>
      <c r="J127">
        <v>6</v>
      </c>
      <c r="K127">
        <v>15</v>
      </c>
      <c r="L127">
        <v>4</v>
      </c>
      <c r="M127">
        <v>15</v>
      </c>
      <c r="N127">
        <v>0</v>
      </c>
      <c r="O127">
        <v>0</v>
      </c>
      <c r="R127">
        <v>2.5</v>
      </c>
      <c r="S127">
        <v>0.67</v>
      </c>
      <c r="T127">
        <v>3.17</v>
      </c>
      <c r="U127">
        <v>2.5</v>
      </c>
      <c r="V127">
        <v>3.17</v>
      </c>
    </row>
    <row r="128" spans="1:22" x14ac:dyDescent="0.2">
      <c r="A128">
        <v>125</v>
      </c>
      <c r="B128" t="s">
        <v>46</v>
      </c>
      <c r="C128">
        <v>1991</v>
      </c>
      <c r="D128">
        <v>17</v>
      </c>
      <c r="E128">
        <v>25.7</v>
      </c>
      <c r="G128">
        <v>3</v>
      </c>
      <c r="H128">
        <v>33</v>
      </c>
      <c r="I128">
        <v>240</v>
      </c>
      <c r="J128">
        <v>2.7</v>
      </c>
      <c r="K128">
        <v>1</v>
      </c>
      <c r="L128">
        <v>0</v>
      </c>
      <c r="M128">
        <v>1</v>
      </c>
      <c r="N128">
        <v>0</v>
      </c>
      <c r="O128">
        <v>0</v>
      </c>
      <c r="R128">
        <v>0.37</v>
      </c>
      <c r="S128">
        <v>0</v>
      </c>
      <c r="T128">
        <v>0.37</v>
      </c>
      <c r="U128">
        <v>0.37</v>
      </c>
      <c r="V128">
        <v>0.37</v>
      </c>
    </row>
    <row r="129" spans="1:22" x14ac:dyDescent="0.2">
      <c r="A129">
        <v>126</v>
      </c>
      <c r="B129" t="s">
        <v>50</v>
      </c>
      <c r="C129">
        <v>1991</v>
      </c>
      <c r="D129">
        <v>15</v>
      </c>
      <c r="E129">
        <v>22.1</v>
      </c>
      <c r="G129">
        <v>4</v>
      </c>
      <c r="H129">
        <v>44</v>
      </c>
      <c r="I129">
        <v>320</v>
      </c>
      <c r="J129">
        <v>3.6</v>
      </c>
      <c r="K129">
        <v>10</v>
      </c>
      <c r="L129">
        <v>3</v>
      </c>
      <c r="M129">
        <v>10</v>
      </c>
      <c r="N129">
        <v>0</v>
      </c>
      <c r="O129">
        <v>0</v>
      </c>
      <c r="R129">
        <v>2.81</v>
      </c>
      <c r="S129">
        <v>0.84</v>
      </c>
      <c r="T129">
        <v>3.66</v>
      </c>
      <c r="U129">
        <v>2.81</v>
      </c>
      <c r="V129">
        <v>3.66</v>
      </c>
    </row>
    <row r="130" spans="1:22" x14ac:dyDescent="0.2">
      <c r="A130">
        <v>127</v>
      </c>
      <c r="B130" t="s">
        <v>79</v>
      </c>
      <c r="C130">
        <v>1991</v>
      </c>
      <c r="D130">
        <v>16</v>
      </c>
      <c r="E130">
        <v>21.2</v>
      </c>
      <c r="G130">
        <v>4</v>
      </c>
      <c r="H130">
        <v>44</v>
      </c>
      <c r="I130">
        <v>320</v>
      </c>
      <c r="J130">
        <v>3.6</v>
      </c>
      <c r="K130">
        <v>2</v>
      </c>
      <c r="L130">
        <v>1</v>
      </c>
      <c r="M130">
        <v>2</v>
      </c>
      <c r="N130">
        <v>0</v>
      </c>
      <c r="O130">
        <v>0</v>
      </c>
      <c r="R130">
        <v>0.56000000000000005</v>
      </c>
      <c r="S130">
        <v>0.28000000000000003</v>
      </c>
      <c r="T130">
        <v>0.84</v>
      </c>
      <c r="U130">
        <v>0.56000000000000005</v>
      </c>
      <c r="V130">
        <v>0.84</v>
      </c>
    </row>
    <row r="131" spans="1:22" x14ac:dyDescent="0.2">
      <c r="A131">
        <v>128</v>
      </c>
      <c r="B131" t="s">
        <v>76</v>
      </c>
      <c r="C131">
        <v>1991</v>
      </c>
      <c r="D131">
        <v>15</v>
      </c>
      <c r="E131">
        <v>23.8</v>
      </c>
      <c r="G131">
        <v>4</v>
      </c>
      <c r="H131">
        <v>44</v>
      </c>
      <c r="I131">
        <v>340</v>
      </c>
      <c r="J131">
        <v>3.8</v>
      </c>
      <c r="K131">
        <v>7</v>
      </c>
      <c r="L131">
        <v>5</v>
      </c>
      <c r="M131">
        <v>5</v>
      </c>
      <c r="N131">
        <v>2</v>
      </c>
      <c r="O131">
        <v>2</v>
      </c>
      <c r="R131">
        <v>1.85</v>
      </c>
      <c r="S131">
        <v>1.32</v>
      </c>
      <c r="T131">
        <v>3.18</v>
      </c>
      <c r="U131">
        <v>1.32</v>
      </c>
      <c r="V131">
        <v>2.65</v>
      </c>
    </row>
    <row r="132" spans="1:22" x14ac:dyDescent="0.2">
      <c r="A132">
        <v>129</v>
      </c>
      <c r="B132" t="s">
        <v>53</v>
      </c>
      <c r="C132">
        <v>1991</v>
      </c>
      <c r="D132">
        <v>18</v>
      </c>
      <c r="E132">
        <v>23.8</v>
      </c>
      <c r="G132">
        <v>6</v>
      </c>
      <c r="H132">
        <v>66</v>
      </c>
      <c r="I132">
        <v>500</v>
      </c>
      <c r="J132">
        <v>5.6</v>
      </c>
      <c r="K132">
        <v>13</v>
      </c>
      <c r="L132">
        <v>9</v>
      </c>
      <c r="M132">
        <v>12</v>
      </c>
      <c r="N132">
        <v>1</v>
      </c>
      <c r="O132">
        <v>1</v>
      </c>
      <c r="R132">
        <v>2.34</v>
      </c>
      <c r="S132">
        <v>1.62</v>
      </c>
      <c r="T132">
        <v>3.96</v>
      </c>
      <c r="U132">
        <v>2.16</v>
      </c>
      <c r="V132">
        <v>3.78</v>
      </c>
    </row>
    <row r="133" spans="1:22" x14ac:dyDescent="0.2">
      <c r="A133">
        <v>130</v>
      </c>
      <c r="B133" t="s">
        <v>54</v>
      </c>
      <c r="C133">
        <v>1991</v>
      </c>
      <c r="D133">
        <v>17</v>
      </c>
      <c r="E133">
        <v>24.2</v>
      </c>
      <c r="G133">
        <v>4</v>
      </c>
      <c r="H133">
        <v>44</v>
      </c>
      <c r="I133">
        <v>340</v>
      </c>
      <c r="J133">
        <v>3.8</v>
      </c>
      <c r="K133">
        <v>8</v>
      </c>
      <c r="L133">
        <v>5</v>
      </c>
      <c r="M133">
        <v>8</v>
      </c>
      <c r="N133">
        <v>0</v>
      </c>
      <c r="O133">
        <v>0</v>
      </c>
      <c r="R133">
        <v>2.12</v>
      </c>
      <c r="S133">
        <v>1.32</v>
      </c>
      <c r="T133">
        <v>3.44</v>
      </c>
      <c r="U133">
        <v>2.12</v>
      </c>
      <c r="V133">
        <v>3.44</v>
      </c>
    </row>
    <row r="134" spans="1:22" x14ac:dyDescent="0.2">
      <c r="A134">
        <v>131</v>
      </c>
      <c r="B134" t="s">
        <v>56</v>
      </c>
      <c r="C134">
        <v>1991</v>
      </c>
      <c r="D134">
        <v>13</v>
      </c>
      <c r="E134">
        <v>24.3</v>
      </c>
      <c r="G134">
        <v>3</v>
      </c>
      <c r="H134">
        <v>33</v>
      </c>
      <c r="I134">
        <v>240</v>
      </c>
      <c r="J134">
        <v>2.7</v>
      </c>
      <c r="K134">
        <v>0</v>
      </c>
      <c r="L134">
        <v>0</v>
      </c>
      <c r="M134">
        <v>0</v>
      </c>
      <c r="N134">
        <v>0</v>
      </c>
      <c r="O134">
        <v>0</v>
      </c>
      <c r="R134">
        <v>0</v>
      </c>
      <c r="S134">
        <v>0</v>
      </c>
      <c r="T134">
        <v>0</v>
      </c>
      <c r="U134">
        <v>0</v>
      </c>
      <c r="V134">
        <v>0</v>
      </c>
    </row>
    <row r="135" spans="1:22" x14ac:dyDescent="0.2">
      <c r="A135">
        <v>132</v>
      </c>
      <c r="B135" t="s">
        <v>59</v>
      </c>
      <c r="C135">
        <v>1991</v>
      </c>
      <c r="D135">
        <v>15</v>
      </c>
      <c r="E135">
        <v>25.5</v>
      </c>
      <c r="G135">
        <v>3</v>
      </c>
      <c r="H135">
        <v>33</v>
      </c>
      <c r="I135">
        <v>240</v>
      </c>
      <c r="J135">
        <v>2.7</v>
      </c>
      <c r="K135">
        <v>1</v>
      </c>
      <c r="L135">
        <v>1</v>
      </c>
      <c r="M135">
        <v>1</v>
      </c>
      <c r="N135">
        <v>0</v>
      </c>
      <c r="O135">
        <v>0</v>
      </c>
      <c r="R135">
        <v>0.37</v>
      </c>
      <c r="S135">
        <v>0.37</v>
      </c>
      <c r="T135">
        <v>0.75</v>
      </c>
      <c r="U135">
        <v>0.37</v>
      </c>
      <c r="V135">
        <v>0.75</v>
      </c>
    </row>
    <row r="136" spans="1:22" x14ac:dyDescent="0.2">
      <c r="A136">
        <v>133</v>
      </c>
      <c r="B136" t="s">
        <v>60</v>
      </c>
      <c r="C136">
        <v>1991</v>
      </c>
      <c r="D136">
        <v>17</v>
      </c>
      <c r="E136">
        <v>18.2</v>
      </c>
      <c r="G136">
        <v>3</v>
      </c>
      <c r="H136">
        <v>33</v>
      </c>
      <c r="I136">
        <v>240</v>
      </c>
      <c r="J136">
        <v>2.7</v>
      </c>
      <c r="K136">
        <v>0</v>
      </c>
      <c r="L136">
        <v>0</v>
      </c>
      <c r="M136">
        <v>0</v>
      </c>
      <c r="N136">
        <v>0</v>
      </c>
      <c r="O136">
        <v>0</v>
      </c>
      <c r="R136">
        <v>0</v>
      </c>
      <c r="S136">
        <v>0</v>
      </c>
      <c r="T136">
        <v>0</v>
      </c>
      <c r="U136">
        <v>0</v>
      </c>
      <c r="V136">
        <v>0</v>
      </c>
    </row>
    <row r="137" spans="1:22" x14ac:dyDescent="0.2">
      <c r="A137">
        <v>134</v>
      </c>
      <c r="B137" t="s">
        <v>61</v>
      </c>
      <c r="C137">
        <v>1991</v>
      </c>
      <c r="D137">
        <v>15</v>
      </c>
      <c r="E137">
        <v>24.1</v>
      </c>
      <c r="G137">
        <v>6</v>
      </c>
      <c r="H137">
        <v>66</v>
      </c>
      <c r="I137">
        <v>500</v>
      </c>
      <c r="J137">
        <v>5.6</v>
      </c>
      <c r="K137">
        <v>13</v>
      </c>
      <c r="L137">
        <v>6</v>
      </c>
      <c r="M137">
        <v>12</v>
      </c>
      <c r="N137">
        <v>1</v>
      </c>
      <c r="O137">
        <v>1</v>
      </c>
      <c r="R137">
        <v>2.34</v>
      </c>
      <c r="S137">
        <v>1.08</v>
      </c>
      <c r="T137">
        <v>3.42</v>
      </c>
      <c r="U137">
        <v>2.16</v>
      </c>
      <c r="V137">
        <v>3.24</v>
      </c>
    </row>
    <row r="138" spans="1:22" x14ac:dyDescent="0.2">
      <c r="A138">
        <v>135</v>
      </c>
      <c r="B138" t="s">
        <v>65</v>
      </c>
      <c r="C138">
        <v>1991</v>
      </c>
      <c r="D138">
        <v>18</v>
      </c>
      <c r="E138">
        <v>25.4</v>
      </c>
      <c r="G138">
        <v>6</v>
      </c>
      <c r="H138">
        <v>66</v>
      </c>
      <c r="I138">
        <v>480</v>
      </c>
      <c r="J138">
        <v>5.3</v>
      </c>
      <c r="K138">
        <v>17</v>
      </c>
      <c r="L138">
        <v>11</v>
      </c>
      <c r="M138">
        <v>16</v>
      </c>
      <c r="N138">
        <v>1</v>
      </c>
      <c r="O138">
        <v>1</v>
      </c>
      <c r="R138">
        <v>3.19</v>
      </c>
      <c r="S138">
        <v>2.06</v>
      </c>
      <c r="T138">
        <v>5.25</v>
      </c>
      <c r="U138">
        <v>3</v>
      </c>
      <c r="V138">
        <v>5.0599999999999996</v>
      </c>
    </row>
    <row r="139" spans="1:22" x14ac:dyDescent="0.2">
      <c r="A139">
        <v>136</v>
      </c>
      <c r="B139" t="s">
        <v>67</v>
      </c>
      <c r="C139">
        <v>1991</v>
      </c>
      <c r="D139">
        <v>16</v>
      </c>
      <c r="E139">
        <v>23</v>
      </c>
      <c r="G139">
        <v>6</v>
      </c>
      <c r="H139">
        <v>66</v>
      </c>
      <c r="I139">
        <v>480</v>
      </c>
      <c r="J139">
        <v>5.3</v>
      </c>
      <c r="K139">
        <v>25</v>
      </c>
      <c r="L139">
        <v>11</v>
      </c>
      <c r="M139">
        <v>24</v>
      </c>
      <c r="N139">
        <v>1</v>
      </c>
      <c r="O139">
        <v>1</v>
      </c>
      <c r="R139">
        <v>4.6900000000000004</v>
      </c>
      <c r="S139">
        <v>2.06</v>
      </c>
      <c r="T139">
        <v>6.75</v>
      </c>
      <c r="U139">
        <v>4.5</v>
      </c>
      <c r="V139">
        <v>6.56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0406-2CE0-974B-A965-9344DF73EFE8}">
  <sheetPr codeName="Sheet3"/>
  <dimension ref="A1:P162"/>
  <sheetViews>
    <sheetView zoomScale="140" zoomScaleNormal="140" workbookViewId="0">
      <selection activeCell="G23" sqref="G23"/>
    </sheetView>
  </sheetViews>
  <sheetFormatPr baseColWidth="10" defaultColWidth="11" defaultRowHeight="16" x14ac:dyDescent="0.2"/>
  <sheetData>
    <row r="1" spans="1:16" x14ac:dyDescent="0.2">
      <c r="A1" s="12" t="s">
        <v>80</v>
      </c>
    </row>
    <row r="2" spans="1:16" ht="17" thickBot="1" x14ac:dyDescent="0.25"/>
    <row r="3" spans="1:16" x14ac:dyDescent="0.2">
      <c r="B3" s="3">
        <v>1</v>
      </c>
      <c r="C3" s="4">
        <v>2</v>
      </c>
      <c r="D3" s="5">
        <v>3</v>
      </c>
    </row>
    <row r="4" spans="1:16" x14ac:dyDescent="0.2">
      <c r="B4" s="6">
        <v>4</v>
      </c>
      <c r="C4">
        <v>5</v>
      </c>
      <c r="D4" s="7">
        <v>6</v>
      </c>
    </row>
    <row r="5" spans="1:16" ht="17" thickBot="1" x14ac:dyDescent="0.25">
      <c r="B5" s="8">
        <v>7</v>
      </c>
      <c r="C5" s="9">
        <v>8</v>
      </c>
      <c r="D5" s="10">
        <v>9</v>
      </c>
    </row>
    <row r="7" spans="1:16" x14ac:dyDescent="0.2">
      <c r="A7" s="11" t="s">
        <v>81</v>
      </c>
    </row>
    <row r="9" spans="1:16" x14ac:dyDescent="0.2">
      <c r="B9" s="2">
        <f>B3</f>
        <v>1</v>
      </c>
      <c r="C9" s="2"/>
      <c r="D9" s="2"/>
      <c r="F9" s="2">
        <f>B$3</f>
        <v>1</v>
      </c>
      <c r="G9" s="2"/>
      <c r="H9" s="2"/>
      <c r="J9" s="2">
        <f>$B3</f>
        <v>1</v>
      </c>
      <c r="K9" s="2"/>
      <c r="L9" s="2"/>
      <c r="N9" s="2">
        <f>$B$3</f>
        <v>1</v>
      </c>
      <c r="O9" s="2"/>
      <c r="P9" s="2"/>
    </row>
    <row r="10" spans="1:16" x14ac:dyDescent="0.2">
      <c r="B10" s="2"/>
      <c r="C10" s="2"/>
      <c r="D10" s="2"/>
      <c r="F10" s="2"/>
      <c r="G10" s="2"/>
      <c r="H10" s="2"/>
      <c r="J10" s="2"/>
      <c r="K10" s="2"/>
      <c r="L10" s="2"/>
      <c r="N10" s="2"/>
      <c r="O10" s="2"/>
      <c r="P10" s="2"/>
    </row>
    <row r="11" spans="1:16" x14ac:dyDescent="0.2">
      <c r="B11" s="2"/>
      <c r="C11" s="2"/>
      <c r="D11" s="2"/>
      <c r="F11" s="2"/>
      <c r="G11" s="2"/>
      <c r="H11" s="2"/>
      <c r="J11" s="2"/>
      <c r="K11" s="2"/>
      <c r="L11" s="2"/>
      <c r="N11" s="2"/>
      <c r="O11" s="2"/>
      <c r="P11" s="2"/>
    </row>
    <row r="13" spans="1:16" s="1" customFormat="1" x14ac:dyDescent="0.2"/>
    <row r="14" spans="1:16" x14ac:dyDescent="0.2">
      <c r="A14" s="12" t="s">
        <v>82</v>
      </c>
    </row>
    <row r="16" spans="1:16" x14ac:dyDescent="0.2">
      <c r="A16" s="11" t="s">
        <v>83</v>
      </c>
      <c r="C16" s="11" t="s">
        <v>84</v>
      </c>
      <c r="E16" s="11" t="s">
        <v>84</v>
      </c>
      <c r="G16" s="11" t="s">
        <v>85</v>
      </c>
      <c r="I16" s="11" t="s">
        <v>86</v>
      </c>
    </row>
    <row r="18" spans="1:9" x14ac:dyDescent="0.2">
      <c r="A18" s="2" t="str" cm="1">
        <f t="array" ref="A18:A153">IF(matches_played&gt;6,squad,"")</f>
        <v/>
      </c>
      <c r="C18" s="2" t="str" cm="1">
        <f t="array" ref="C18:C153">_xlfn.IFS(matches_played&gt;6,squad,year=2019,"bla")</f>
        <v>bla</v>
      </c>
      <c r="E18" s="2" t="str" cm="1">
        <f t="array" ref="E18:E153">_xlfn.IFS(matches_played&gt;6,squad,year=2019,"bla",TRUE,"")</f>
        <v>bla</v>
      </c>
      <c r="G18" s="2">
        <f>_xlfn.MAXIFS(matches_played,squad,"Australia")</f>
        <v>5</v>
      </c>
      <c r="I18" s="117">
        <f>_xlfn.MINIFS(matches_played,squad,"Australia",year,"&gt;2010")</f>
        <v>4</v>
      </c>
    </row>
    <row r="19" spans="1:9" x14ac:dyDescent="0.2">
      <c r="A19" s="2" t="str">
        <v/>
      </c>
      <c r="C19" s="2" t="str">
        <v>bla</v>
      </c>
      <c r="E19" s="2" t="str">
        <v>bla</v>
      </c>
    </row>
    <row r="20" spans="1:9" x14ac:dyDescent="0.2">
      <c r="A20" s="2" t="str">
        <v/>
      </c>
      <c r="C20" s="2" t="str">
        <v>bla</v>
      </c>
      <c r="E20" s="2" t="str">
        <v>bla</v>
      </c>
    </row>
    <row r="21" spans="1:9" x14ac:dyDescent="0.2">
      <c r="A21" s="2" t="str">
        <v/>
      </c>
      <c r="C21" s="2" t="str">
        <v>bla</v>
      </c>
      <c r="E21" s="2" t="str">
        <v>bla</v>
      </c>
    </row>
    <row r="22" spans="1:9" x14ac:dyDescent="0.2">
      <c r="A22" s="2" t="str">
        <v/>
      </c>
      <c r="C22" s="2" t="str">
        <v>bla</v>
      </c>
      <c r="E22" s="2" t="str">
        <v>bla</v>
      </c>
    </row>
    <row r="23" spans="1:9" x14ac:dyDescent="0.2">
      <c r="A23" s="2" t="str">
        <v/>
      </c>
      <c r="C23" s="2" t="str">
        <v>bla</v>
      </c>
      <c r="E23" s="2" t="str">
        <v>bla</v>
      </c>
    </row>
    <row r="24" spans="1:9" x14ac:dyDescent="0.2">
      <c r="A24" s="2" t="str">
        <v/>
      </c>
      <c r="C24" s="2" t="str">
        <v>bla</v>
      </c>
      <c r="E24" s="2" t="str">
        <v>bla</v>
      </c>
    </row>
    <row r="25" spans="1:9" x14ac:dyDescent="0.2">
      <c r="A25" s="2" t="str">
        <v>England</v>
      </c>
      <c r="C25" s="2" t="str">
        <v>England</v>
      </c>
      <c r="E25" s="2" t="str">
        <v>England</v>
      </c>
    </row>
    <row r="26" spans="1:9" x14ac:dyDescent="0.2">
      <c r="A26" s="2" t="str">
        <v/>
      </c>
      <c r="C26" s="2" t="str">
        <v>bla</v>
      </c>
      <c r="E26" s="2" t="str">
        <v>bla</v>
      </c>
    </row>
    <row r="27" spans="1:9" x14ac:dyDescent="0.2">
      <c r="A27" s="2" t="str">
        <v/>
      </c>
      <c r="C27" s="2" t="str">
        <v>bla</v>
      </c>
      <c r="E27" s="2" t="str">
        <v>bla</v>
      </c>
    </row>
    <row r="28" spans="1:9" x14ac:dyDescent="0.2">
      <c r="A28" s="2" t="str">
        <v/>
      </c>
      <c r="C28" s="2" t="str">
        <v>bla</v>
      </c>
      <c r="E28" s="2" t="str">
        <v>bla</v>
      </c>
    </row>
    <row r="29" spans="1:9" x14ac:dyDescent="0.2">
      <c r="A29" s="2" t="str">
        <v/>
      </c>
      <c r="C29" s="2" t="str">
        <v>bla</v>
      </c>
      <c r="E29" s="2" t="str">
        <v>bla</v>
      </c>
    </row>
    <row r="30" spans="1:9" x14ac:dyDescent="0.2">
      <c r="A30" s="2" t="str">
        <v/>
      </c>
      <c r="C30" s="2" t="str">
        <v>bla</v>
      </c>
      <c r="E30" s="2" t="str">
        <v>bla</v>
      </c>
    </row>
    <row r="31" spans="1:9" x14ac:dyDescent="0.2">
      <c r="A31" s="2" t="str">
        <v/>
      </c>
      <c r="C31" s="2" t="str">
        <v>bla</v>
      </c>
      <c r="E31" s="2" t="str">
        <v>bla</v>
      </c>
    </row>
    <row r="32" spans="1:9" x14ac:dyDescent="0.2">
      <c r="A32" s="2" t="str">
        <v>Netherlands</v>
      </c>
      <c r="C32" s="2" t="str">
        <v>Netherlands</v>
      </c>
      <c r="E32" s="2" t="str">
        <v>Netherlands</v>
      </c>
    </row>
    <row r="33" spans="1:5" x14ac:dyDescent="0.2">
      <c r="A33" s="2" t="str">
        <v/>
      </c>
      <c r="C33" s="2" t="str">
        <v>bla</v>
      </c>
      <c r="E33" s="2" t="str">
        <v>bla</v>
      </c>
    </row>
    <row r="34" spans="1:5" x14ac:dyDescent="0.2">
      <c r="A34" s="2" t="str">
        <v/>
      </c>
      <c r="C34" s="2" t="str">
        <v>bla</v>
      </c>
      <c r="E34" s="2" t="str">
        <v>bla</v>
      </c>
    </row>
    <row r="35" spans="1:5" x14ac:dyDescent="0.2">
      <c r="A35" s="2" t="str">
        <v/>
      </c>
      <c r="C35" s="2" t="str">
        <v>bla</v>
      </c>
      <c r="E35" s="2" t="str">
        <v>bla</v>
      </c>
    </row>
    <row r="36" spans="1:5" x14ac:dyDescent="0.2">
      <c r="A36" s="2" t="str">
        <v/>
      </c>
      <c r="C36" s="2" t="str">
        <v>bla</v>
      </c>
      <c r="E36" s="2" t="str">
        <v>bla</v>
      </c>
    </row>
    <row r="37" spans="1:5" x14ac:dyDescent="0.2">
      <c r="A37" s="2" t="str">
        <v/>
      </c>
      <c r="C37" s="2" t="str">
        <v>bla</v>
      </c>
      <c r="E37" s="2" t="str">
        <v>bla</v>
      </c>
    </row>
    <row r="38" spans="1:5" x14ac:dyDescent="0.2">
      <c r="A38" s="2" t="str">
        <v/>
      </c>
      <c r="C38" s="2" t="str">
        <v>bla</v>
      </c>
      <c r="E38" s="2" t="str">
        <v>bla</v>
      </c>
    </row>
    <row r="39" spans="1:5" x14ac:dyDescent="0.2">
      <c r="A39" s="2" t="str">
        <v>Sweden</v>
      </c>
      <c r="C39" s="2" t="str">
        <v>Sweden</v>
      </c>
      <c r="E39" s="2" t="str">
        <v>Sweden</v>
      </c>
    </row>
    <row r="40" spans="1:5" x14ac:dyDescent="0.2">
      <c r="A40" s="2" t="str">
        <v/>
      </c>
      <c r="C40" s="2" t="str">
        <v>bla</v>
      </c>
      <c r="E40" s="2" t="str">
        <v>bla</v>
      </c>
    </row>
    <row r="41" spans="1:5" x14ac:dyDescent="0.2">
      <c r="A41" s="2" t="str">
        <v>USA</v>
      </c>
      <c r="C41" s="2" t="str">
        <v>USA</v>
      </c>
      <c r="E41" s="2" t="str">
        <v>USA</v>
      </c>
    </row>
    <row r="42" spans="1:5" x14ac:dyDescent="0.2">
      <c r="A42" s="2" t="str">
        <v/>
      </c>
      <c r="C42" s="2" t="e">
        <v>#N/A</v>
      </c>
      <c r="E42" s="2" t="str">
        <v/>
      </c>
    </row>
    <row r="43" spans="1:5" x14ac:dyDescent="0.2">
      <c r="A43" s="2" t="str">
        <v/>
      </c>
      <c r="C43" s="2" t="e">
        <v>#N/A</v>
      </c>
      <c r="E43" s="2" t="str">
        <v/>
      </c>
    </row>
    <row r="44" spans="1:5" x14ac:dyDescent="0.2">
      <c r="A44" s="2" t="str">
        <v/>
      </c>
      <c r="C44" s="2" t="e">
        <v>#N/A</v>
      </c>
      <c r="E44" s="2" t="str">
        <v/>
      </c>
    </row>
    <row r="45" spans="1:5" x14ac:dyDescent="0.2">
      <c r="A45" s="2" t="str">
        <v/>
      </c>
      <c r="C45" s="2" t="e">
        <v>#N/A</v>
      </c>
      <c r="E45" s="2" t="str">
        <v/>
      </c>
    </row>
    <row r="46" spans="1:5" x14ac:dyDescent="0.2">
      <c r="A46" s="2" t="str">
        <v/>
      </c>
      <c r="C46" s="2" t="e">
        <v>#N/A</v>
      </c>
      <c r="E46" s="2" t="str">
        <v/>
      </c>
    </row>
    <row r="47" spans="1:5" x14ac:dyDescent="0.2">
      <c r="A47" s="2" t="str">
        <v/>
      </c>
      <c r="C47" s="2" t="e">
        <v>#N/A</v>
      </c>
      <c r="E47" s="2" t="str">
        <v/>
      </c>
    </row>
    <row r="48" spans="1:5" x14ac:dyDescent="0.2">
      <c r="A48" s="2" t="str">
        <v/>
      </c>
      <c r="C48" s="2" t="e">
        <v>#N/A</v>
      </c>
      <c r="E48" s="2" t="str">
        <v/>
      </c>
    </row>
    <row r="49" spans="1:5" x14ac:dyDescent="0.2">
      <c r="A49" s="2" t="str">
        <v/>
      </c>
      <c r="C49" s="2" t="e">
        <v>#N/A</v>
      </c>
      <c r="E49" s="2" t="str">
        <v/>
      </c>
    </row>
    <row r="50" spans="1:5" x14ac:dyDescent="0.2">
      <c r="A50" s="2" t="str">
        <v/>
      </c>
      <c r="C50" s="2" t="e">
        <v>#N/A</v>
      </c>
      <c r="E50" s="2" t="str">
        <v/>
      </c>
    </row>
    <row r="51" spans="1:5" x14ac:dyDescent="0.2">
      <c r="A51" s="2" t="str">
        <v>England</v>
      </c>
      <c r="C51" s="2" t="str">
        <v>England</v>
      </c>
      <c r="E51" s="2" t="str">
        <v>England</v>
      </c>
    </row>
    <row r="52" spans="1:5" x14ac:dyDescent="0.2">
      <c r="A52" s="2" t="str">
        <v/>
      </c>
      <c r="C52" s="2" t="e">
        <v>#N/A</v>
      </c>
      <c r="E52" s="2" t="str">
        <v/>
      </c>
    </row>
    <row r="53" spans="1:5" x14ac:dyDescent="0.2">
      <c r="A53" s="2" t="str">
        <v>Germany</v>
      </c>
      <c r="C53" s="2" t="str">
        <v>Germany</v>
      </c>
      <c r="E53" s="2" t="str">
        <v>Germany</v>
      </c>
    </row>
    <row r="54" spans="1:5" x14ac:dyDescent="0.2">
      <c r="A54" s="2" t="str">
        <v>Japan</v>
      </c>
      <c r="C54" s="2" t="str">
        <v>Japan</v>
      </c>
      <c r="E54" s="2" t="str">
        <v>Japan</v>
      </c>
    </row>
    <row r="55" spans="1:5" x14ac:dyDescent="0.2">
      <c r="A55" s="2" t="str">
        <v/>
      </c>
      <c r="C55" s="2" t="e">
        <v>#N/A</v>
      </c>
      <c r="E55" s="2" t="str">
        <v/>
      </c>
    </row>
    <row r="56" spans="1:5" x14ac:dyDescent="0.2">
      <c r="A56" s="2" t="str">
        <v/>
      </c>
      <c r="C56" s="2" t="e">
        <v>#N/A</v>
      </c>
      <c r="E56" s="2" t="str">
        <v/>
      </c>
    </row>
    <row r="57" spans="1:5" hidden="1" x14ac:dyDescent="0.2">
      <c r="A57" s="2" t="str">
        <v/>
      </c>
      <c r="C57" s="2" t="e">
        <v>#N/A</v>
      </c>
      <c r="E57" s="2" t="str">
        <v/>
      </c>
    </row>
    <row r="58" spans="1:5" hidden="1" x14ac:dyDescent="0.2">
      <c r="A58" s="2" t="str">
        <v/>
      </c>
      <c r="C58" s="2" t="e">
        <v>#N/A</v>
      </c>
      <c r="E58" s="2" t="str">
        <v/>
      </c>
    </row>
    <row r="59" spans="1:5" hidden="1" x14ac:dyDescent="0.2">
      <c r="A59" s="2" t="str">
        <v/>
      </c>
      <c r="C59" s="2" t="e">
        <v>#N/A</v>
      </c>
      <c r="E59" s="2" t="str">
        <v/>
      </c>
    </row>
    <row r="60" spans="1:5" hidden="1" x14ac:dyDescent="0.2">
      <c r="A60" s="2" t="str">
        <v/>
      </c>
      <c r="C60" s="2" t="e">
        <v>#N/A</v>
      </c>
      <c r="E60" s="2" t="str">
        <v/>
      </c>
    </row>
    <row r="61" spans="1:5" hidden="1" x14ac:dyDescent="0.2">
      <c r="A61" s="2" t="str">
        <v/>
      </c>
      <c r="C61" s="2" t="e">
        <v>#N/A</v>
      </c>
      <c r="E61" s="2" t="str">
        <v/>
      </c>
    </row>
    <row r="62" spans="1:5" hidden="1" x14ac:dyDescent="0.2">
      <c r="A62" s="2" t="str">
        <v/>
      </c>
      <c r="C62" s="2" t="e">
        <v>#N/A</v>
      </c>
      <c r="E62" s="2" t="str">
        <v/>
      </c>
    </row>
    <row r="63" spans="1:5" hidden="1" x14ac:dyDescent="0.2">
      <c r="A63" s="2" t="str">
        <v/>
      </c>
      <c r="C63" s="2" t="e">
        <v>#N/A</v>
      </c>
      <c r="E63" s="2" t="str">
        <v/>
      </c>
    </row>
    <row r="64" spans="1:5" hidden="1" x14ac:dyDescent="0.2">
      <c r="A64" s="2" t="str">
        <v/>
      </c>
      <c r="C64" s="2" t="e">
        <v>#N/A</v>
      </c>
      <c r="E64" s="2" t="str">
        <v/>
      </c>
    </row>
    <row r="65" spans="1:5" hidden="1" x14ac:dyDescent="0.2">
      <c r="A65" s="2" t="str">
        <v>USA</v>
      </c>
      <c r="C65" s="2" t="str">
        <v>USA</v>
      </c>
      <c r="E65" s="2" t="str">
        <v>USA</v>
      </c>
    </row>
    <row r="66" spans="1:5" hidden="1" x14ac:dyDescent="0.2">
      <c r="A66" s="2" t="str">
        <v/>
      </c>
      <c r="C66" s="2" t="e">
        <v>#N/A</v>
      </c>
      <c r="E66" s="2" t="str">
        <v/>
      </c>
    </row>
    <row r="67" spans="1:5" hidden="1" x14ac:dyDescent="0.2">
      <c r="A67" s="2" t="str">
        <v/>
      </c>
      <c r="C67" s="2" t="e">
        <v>#N/A</v>
      </c>
      <c r="E67" s="2" t="str">
        <v/>
      </c>
    </row>
    <row r="68" spans="1:5" hidden="1" x14ac:dyDescent="0.2">
      <c r="A68" s="2" t="str">
        <v/>
      </c>
      <c r="C68" s="2" t="e">
        <v>#N/A</v>
      </c>
      <c r="E68" s="2" t="str">
        <v/>
      </c>
    </row>
    <row r="69" spans="1:5" hidden="1" x14ac:dyDescent="0.2">
      <c r="A69" s="2" t="str">
        <v/>
      </c>
      <c r="C69" s="2" t="e">
        <v>#N/A</v>
      </c>
      <c r="E69" s="2" t="str">
        <v/>
      </c>
    </row>
    <row r="70" spans="1:5" hidden="1" x14ac:dyDescent="0.2">
      <c r="A70" s="2" t="str">
        <v/>
      </c>
      <c r="C70" s="2" t="e">
        <v>#N/A</v>
      </c>
      <c r="E70" s="2" t="str">
        <v/>
      </c>
    </row>
    <row r="71" spans="1:5" hidden="1" x14ac:dyDescent="0.2">
      <c r="A71" s="2" t="str">
        <v/>
      </c>
      <c r="C71" s="2" t="e">
        <v>#N/A</v>
      </c>
      <c r="E71" s="2" t="str">
        <v/>
      </c>
    </row>
    <row r="72" spans="1:5" hidden="1" x14ac:dyDescent="0.2">
      <c r="A72" s="2" t="str">
        <v/>
      </c>
      <c r="C72" s="2" t="e">
        <v>#N/A</v>
      </c>
      <c r="E72" s="2" t="str">
        <v/>
      </c>
    </row>
    <row r="73" spans="1:5" hidden="1" x14ac:dyDescent="0.2">
      <c r="A73" s="2" t="str">
        <v/>
      </c>
      <c r="C73" s="2" t="e">
        <v>#N/A</v>
      </c>
      <c r="E73" s="2" t="str">
        <v/>
      </c>
    </row>
    <row r="74" spans="1:5" hidden="1" x14ac:dyDescent="0.2">
      <c r="A74" s="2" t="str">
        <v/>
      </c>
      <c r="C74" s="2" t="e">
        <v>#N/A</v>
      </c>
      <c r="E74" s="2" t="str">
        <v/>
      </c>
    </row>
    <row r="75" spans="1:5" hidden="1" x14ac:dyDescent="0.2">
      <c r="A75" s="2" t="str">
        <v/>
      </c>
      <c r="C75" s="2" t="e">
        <v>#N/A</v>
      </c>
      <c r="E75" s="2" t="str">
        <v/>
      </c>
    </row>
    <row r="76" spans="1:5" hidden="1" x14ac:dyDescent="0.2">
      <c r="A76" s="2" t="str">
        <v/>
      </c>
      <c r="C76" s="2" t="e">
        <v>#N/A</v>
      </c>
      <c r="E76" s="2" t="str">
        <v/>
      </c>
    </row>
    <row r="77" spans="1:5" hidden="1" x14ac:dyDescent="0.2">
      <c r="A77" s="2" t="str">
        <v/>
      </c>
      <c r="C77" s="2" t="e">
        <v>#N/A</v>
      </c>
      <c r="E77" s="2" t="str">
        <v/>
      </c>
    </row>
    <row r="78" spans="1:5" hidden="1" x14ac:dyDescent="0.2">
      <c r="A78" s="2" t="str">
        <v/>
      </c>
      <c r="C78" s="2" t="e">
        <v>#N/A</v>
      </c>
      <c r="E78" s="2" t="str">
        <v/>
      </c>
    </row>
    <row r="79" spans="1:5" hidden="1" x14ac:dyDescent="0.2">
      <c r="A79" s="2" t="str">
        <v/>
      </c>
      <c r="C79" s="2" t="e">
        <v>#N/A</v>
      </c>
      <c r="E79" s="2" t="str">
        <v/>
      </c>
    </row>
    <row r="80" spans="1:5" hidden="1" x14ac:dyDescent="0.2">
      <c r="A80" s="2" t="str">
        <v/>
      </c>
      <c r="C80" s="2" t="e">
        <v>#N/A</v>
      </c>
      <c r="E80" s="2" t="str">
        <v/>
      </c>
    </row>
    <row r="81" spans="1:5" hidden="1" x14ac:dyDescent="0.2">
      <c r="A81" s="2" t="str">
        <v/>
      </c>
      <c r="C81" s="2" t="e">
        <v>#N/A</v>
      </c>
      <c r="E81" s="2" t="str">
        <v/>
      </c>
    </row>
    <row r="82" spans="1:5" hidden="1" x14ac:dyDescent="0.2">
      <c r="A82" s="2" t="str">
        <v/>
      </c>
      <c r="C82" s="2" t="e">
        <v>#N/A</v>
      </c>
      <c r="E82" s="2" t="str">
        <v/>
      </c>
    </row>
    <row r="83" spans="1:5" hidden="1" x14ac:dyDescent="0.2">
      <c r="A83" s="2" t="str">
        <v/>
      </c>
      <c r="C83" s="2" t="e">
        <v>#N/A</v>
      </c>
      <c r="E83" s="2" t="str">
        <v/>
      </c>
    </row>
    <row r="84" spans="1:5" hidden="1" x14ac:dyDescent="0.2">
      <c r="A84" s="2" t="str">
        <v/>
      </c>
      <c r="C84" s="2" t="e">
        <v>#N/A</v>
      </c>
      <c r="E84" s="2" t="str">
        <v/>
      </c>
    </row>
    <row r="85" spans="1:5" hidden="1" x14ac:dyDescent="0.2">
      <c r="A85" s="2" t="str">
        <v/>
      </c>
      <c r="C85" s="2" t="e">
        <v>#N/A</v>
      </c>
      <c r="E85" s="2" t="str">
        <v/>
      </c>
    </row>
    <row r="86" spans="1:5" hidden="1" x14ac:dyDescent="0.2">
      <c r="A86" s="2" t="str">
        <v/>
      </c>
      <c r="C86" s="2" t="e">
        <v>#N/A</v>
      </c>
      <c r="E86" s="2" t="str">
        <v/>
      </c>
    </row>
    <row r="87" spans="1:5" hidden="1" x14ac:dyDescent="0.2">
      <c r="A87" s="2" t="str">
        <v/>
      </c>
      <c r="C87" s="2" t="e">
        <v>#N/A</v>
      </c>
      <c r="E87" s="2" t="str">
        <v/>
      </c>
    </row>
    <row r="88" spans="1:5" hidden="1" x14ac:dyDescent="0.2">
      <c r="A88" s="2" t="str">
        <v/>
      </c>
      <c r="C88" s="2" t="e">
        <v>#N/A</v>
      </c>
      <c r="E88" s="2" t="str">
        <v/>
      </c>
    </row>
    <row r="89" spans="1:5" hidden="1" x14ac:dyDescent="0.2">
      <c r="A89" s="2" t="str">
        <v/>
      </c>
      <c r="C89" s="2" t="e">
        <v>#N/A</v>
      </c>
      <c r="E89" s="2" t="str">
        <v/>
      </c>
    </row>
    <row r="90" spans="1:5" hidden="1" x14ac:dyDescent="0.2">
      <c r="A90" s="2" t="str">
        <v/>
      </c>
      <c r="C90" s="2" t="e">
        <v>#N/A</v>
      </c>
      <c r="E90" s="2" t="str">
        <v/>
      </c>
    </row>
    <row r="91" spans="1:5" hidden="1" x14ac:dyDescent="0.2">
      <c r="A91" s="2" t="str">
        <v/>
      </c>
      <c r="C91" s="2" t="e">
        <v>#N/A</v>
      </c>
      <c r="E91" s="2" t="str">
        <v/>
      </c>
    </row>
    <row r="92" spans="1:5" hidden="1" x14ac:dyDescent="0.2">
      <c r="A92" s="2" t="str">
        <v/>
      </c>
      <c r="C92" s="2" t="e">
        <v>#N/A</v>
      </c>
      <c r="E92" s="2" t="str">
        <v/>
      </c>
    </row>
    <row r="93" spans="1:5" hidden="1" x14ac:dyDescent="0.2">
      <c r="A93" s="2" t="str">
        <v/>
      </c>
      <c r="C93" s="2" t="e">
        <v>#N/A</v>
      </c>
      <c r="E93" s="2" t="str">
        <v/>
      </c>
    </row>
    <row r="94" spans="1:5" hidden="1" x14ac:dyDescent="0.2">
      <c r="A94" s="2" t="str">
        <v/>
      </c>
      <c r="C94" s="2" t="e">
        <v>#N/A</v>
      </c>
      <c r="E94" s="2" t="str">
        <v/>
      </c>
    </row>
    <row r="95" spans="1:5" hidden="1" x14ac:dyDescent="0.2">
      <c r="A95" s="2" t="str">
        <v/>
      </c>
      <c r="C95" s="2" t="e">
        <v>#N/A</v>
      </c>
      <c r="E95" s="2" t="str">
        <v/>
      </c>
    </row>
    <row r="96" spans="1:5" hidden="1" x14ac:dyDescent="0.2">
      <c r="A96" s="2" t="str">
        <v/>
      </c>
      <c r="C96" s="2" t="e">
        <v>#N/A</v>
      </c>
      <c r="E96" s="2" t="str">
        <v/>
      </c>
    </row>
    <row r="97" spans="1:5" hidden="1" x14ac:dyDescent="0.2">
      <c r="A97" s="2" t="str">
        <v/>
      </c>
      <c r="C97" s="2" t="e">
        <v>#N/A</v>
      </c>
      <c r="E97" s="2" t="str">
        <v/>
      </c>
    </row>
    <row r="98" spans="1:5" hidden="1" x14ac:dyDescent="0.2">
      <c r="A98" s="2" t="str">
        <v/>
      </c>
      <c r="C98" s="2" t="e">
        <v>#N/A</v>
      </c>
      <c r="E98" s="2" t="str">
        <v/>
      </c>
    </row>
    <row r="99" spans="1:5" hidden="1" x14ac:dyDescent="0.2">
      <c r="A99" s="2" t="str">
        <v/>
      </c>
      <c r="C99" s="2" t="e">
        <v>#N/A</v>
      </c>
      <c r="E99" s="2" t="str">
        <v/>
      </c>
    </row>
    <row r="100" spans="1:5" hidden="1" x14ac:dyDescent="0.2">
      <c r="A100" s="2" t="str">
        <v/>
      </c>
      <c r="C100" s="2" t="e">
        <v>#N/A</v>
      </c>
      <c r="E100" s="2" t="str">
        <v/>
      </c>
    </row>
    <row r="101" spans="1:5" hidden="1" x14ac:dyDescent="0.2">
      <c r="A101" s="2" t="str">
        <v/>
      </c>
      <c r="C101" s="2" t="e">
        <v>#N/A</v>
      </c>
      <c r="E101" s="2" t="str">
        <v/>
      </c>
    </row>
    <row r="102" spans="1:5" hidden="1" x14ac:dyDescent="0.2">
      <c r="A102" s="2" t="str">
        <v/>
      </c>
      <c r="C102" s="2" t="e">
        <v>#N/A</v>
      </c>
      <c r="E102" s="2" t="str">
        <v/>
      </c>
    </row>
    <row r="103" spans="1:5" hidden="1" x14ac:dyDescent="0.2">
      <c r="A103" s="2" t="str">
        <v/>
      </c>
      <c r="C103" s="2" t="e">
        <v>#N/A</v>
      </c>
      <c r="E103" s="2" t="str">
        <v/>
      </c>
    </row>
    <row r="104" spans="1:5" hidden="1" x14ac:dyDescent="0.2">
      <c r="A104" s="2" t="str">
        <v/>
      </c>
      <c r="C104" s="2" t="e">
        <v>#N/A</v>
      </c>
      <c r="E104" s="2" t="str">
        <v/>
      </c>
    </row>
    <row r="105" spans="1:5" hidden="1" x14ac:dyDescent="0.2">
      <c r="A105" s="2" t="str">
        <v/>
      </c>
      <c r="C105" s="2" t="e">
        <v>#N/A</v>
      </c>
      <c r="E105" s="2" t="str">
        <v/>
      </c>
    </row>
    <row r="106" spans="1:5" hidden="1" x14ac:dyDescent="0.2">
      <c r="A106" s="2" t="str">
        <v/>
      </c>
      <c r="C106" s="2" t="e">
        <v>#N/A</v>
      </c>
      <c r="E106" s="2" t="str">
        <v/>
      </c>
    </row>
    <row r="107" spans="1:5" hidden="1" x14ac:dyDescent="0.2">
      <c r="A107" s="2" t="str">
        <v/>
      </c>
      <c r="C107" s="2" t="e">
        <v>#N/A</v>
      </c>
      <c r="E107" s="2" t="str">
        <v/>
      </c>
    </row>
    <row r="108" spans="1:5" hidden="1" x14ac:dyDescent="0.2">
      <c r="A108" s="2" t="str">
        <v/>
      </c>
      <c r="C108" s="2" t="e">
        <v>#N/A</v>
      </c>
      <c r="E108" s="2" t="str">
        <v/>
      </c>
    </row>
    <row r="109" spans="1:5" hidden="1" x14ac:dyDescent="0.2">
      <c r="A109" s="2" t="str">
        <v/>
      </c>
      <c r="C109" s="2" t="e">
        <v>#N/A</v>
      </c>
      <c r="E109" s="2" t="str">
        <v/>
      </c>
    </row>
    <row r="110" spans="1:5" hidden="1" x14ac:dyDescent="0.2">
      <c r="A110" s="2" t="str">
        <v/>
      </c>
      <c r="C110" s="2" t="e">
        <v>#N/A</v>
      </c>
      <c r="E110" s="2" t="str">
        <v/>
      </c>
    </row>
    <row r="111" spans="1:5" hidden="1" x14ac:dyDescent="0.2">
      <c r="A111" s="2" t="str">
        <v/>
      </c>
      <c r="C111" s="2" t="e">
        <v>#N/A</v>
      </c>
      <c r="E111" s="2" t="str">
        <v/>
      </c>
    </row>
    <row r="112" spans="1:5" hidden="1" x14ac:dyDescent="0.2">
      <c r="A112" s="2" t="str">
        <v/>
      </c>
      <c r="C112" s="2" t="e">
        <v>#N/A</v>
      </c>
      <c r="E112" s="2" t="str">
        <v/>
      </c>
    </row>
    <row r="113" spans="1:5" hidden="1" x14ac:dyDescent="0.2">
      <c r="A113" s="2" t="str">
        <v/>
      </c>
      <c r="C113" s="2" t="e">
        <v>#N/A</v>
      </c>
      <c r="E113" s="2" t="str">
        <v/>
      </c>
    </row>
    <row r="114" spans="1:5" hidden="1" x14ac:dyDescent="0.2">
      <c r="A114" s="2" t="str">
        <v/>
      </c>
      <c r="C114" s="2" t="e">
        <v>#N/A</v>
      </c>
      <c r="E114" s="2" t="str">
        <v/>
      </c>
    </row>
    <row r="115" spans="1:5" hidden="1" x14ac:dyDescent="0.2">
      <c r="A115" s="2" t="str">
        <v/>
      </c>
      <c r="C115" s="2" t="e">
        <v>#N/A</v>
      </c>
      <c r="E115" s="2" t="str">
        <v/>
      </c>
    </row>
    <row r="116" spans="1:5" hidden="1" x14ac:dyDescent="0.2">
      <c r="A116" s="2" t="str">
        <v/>
      </c>
      <c r="C116" s="2" t="e">
        <v>#N/A</v>
      </c>
      <c r="E116" s="2" t="str">
        <v/>
      </c>
    </row>
    <row r="117" spans="1:5" hidden="1" x14ac:dyDescent="0.2">
      <c r="A117" s="2" t="str">
        <v/>
      </c>
      <c r="C117" s="2" t="e">
        <v>#N/A</v>
      </c>
      <c r="E117" s="2" t="str">
        <v/>
      </c>
    </row>
    <row r="118" spans="1:5" hidden="1" x14ac:dyDescent="0.2">
      <c r="A118" s="2" t="str">
        <v/>
      </c>
      <c r="C118" s="2" t="e">
        <v>#N/A</v>
      </c>
      <c r="E118" s="2" t="str">
        <v/>
      </c>
    </row>
    <row r="119" spans="1:5" hidden="1" x14ac:dyDescent="0.2">
      <c r="A119" s="2" t="str">
        <v/>
      </c>
      <c r="C119" s="2" t="e">
        <v>#N/A</v>
      </c>
      <c r="E119" s="2" t="str">
        <v/>
      </c>
    </row>
    <row r="120" spans="1:5" hidden="1" x14ac:dyDescent="0.2">
      <c r="A120" s="2" t="str">
        <v/>
      </c>
      <c r="C120" s="2" t="e">
        <v>#N/A</v>
      </c>
      <c r="E120" s="2" t="str">
        <v/>
      </c>
    </row>
    <row r="121" spans="1:5" hidden="1" x14ac:dyDescent="0.2">
      <c r="A121" s="2" t="str">
        <v/>
      </c>
      <c r="C121" s="2" t="e">
        <v>#N/A</v>
      </c>
      <c r="E121" s="2" t="str">
        <v/>
      </c>
    </row>
    <row r="122" spans="1:5" hidden="1" x14ac:dyDescent="0.2">
      <c r="A122" s="2" t="str">
        <v/>
      </c>
      <c r="C122" s="2" t="e">
        <v>#N/A</v>
      </c>
      <c r="E122" s="2" t="str">
        <v/>
      </c>
    </row>
    <row r="123" spans="1:5" hidden="1" x14ac:dyDescent="0.2">
      <c r="A123" s="2" t="str">
        <v/>
      </c>
      <c r="C123" s="2" t="e">
        <v>#N/A</v>
      </c>
      <c r="E123" s="2" t="str">
        <v/>
      </c>
    </row>
    <row r="124" spans="1:5" hidden="1" x14ac:dyDescent="0.2">
      <c r="A124" s="2" t="str">
        <v/>
      </c>
      <c r="C124" s="2" t="e">
        <v>#N/A</v>
      </c>
      <c r="E124" s="2" t="str">
        <v/>
      </c>
    </row>
    <row r="125" spans="1:5" hidden="1" x14ac:dyDescent="0.2">
      <c r="A125" s="2" t="str">
        <v/>
      </c>
      <c r="C125" s="2" t="e">
        <v>#N/A</v>
      </c>
      <c r="E125" s="2" t="str">
        <v/>
      </c>
    </row>
    <row r="126" spans="1:5" hidden="1" x14ac:dyDescent="0.2">
      <c r="A126" s="2" t="str">
        <v/>
      </c>
      <c r="C126" s="2" t="e">
        <v>#N/A</v>
      </c>
      <c r="E126" s="2" t="str">
        <v/>
      </c>
    </row>
    <row r="127" spans="1:5" hidden="1" x14ac:dyDescent="0.2">
      <c r="A127" s="2" t="str">
        <v/>
      </c>
      <c r="C127" s="2" t="e">
        <v>#N/A</v>
      </c>
      <c r="E127" s="2" t="str">
        <v/>
      </c>
    </row>
    <row r="128" spans="1:5" hidden="1" x14ac:dyDescent="0.2">
      <c r="A128" s="2" t="str">
        <v/>
      </c>
      <c r="C128" s="2" t="e">
        <v>#N/A</v>
      </c>
      <c r="E128" s="2" t="str">
        <v/>
      </c>
    </row>
    <row r="129" spans="1:5" hidden="1" x14ac:dyDescent="0.2">
      <c r="A129" s="2" t="str">
        <v/>
      </c>
      <c r="C129" s="2" t="e">
        <v>#N/A</v>
      </c>
      <c r="E129" s="2" t="str">
        <v/>
      </c>
    </row>
    <row r="130" spans="1:5" hidden="1" x14ac:dyDescent="0.2">
      <c r="A130" s="2" t="str">
        <v/>
      </c>
      <c r="C130" s="2" t="e">
        <v>#N/A</v>
      </c>
      <c r="E130" s="2" t="str">
        <v/>
      </c>
    </row>
    <row r="131" spans="1:5" hidden="1" x14ac:dyDescent="0.2">
      <c r="A131" s="2" t="str">
        <v/>
      </c>
      <c r="C131" s="2" t="e">
        <v>#N/A</v>
      </c>
      <c r="E131" s="2" t="str">
        <v/>
      </c>
    </row>
    <row r="132" spans="1:5" hidden="1" x14ac:dyDescent="0.2">
      <c r="A132" s="2" t="str">
        <v/>
      </c>
      <c r="C132" s="2" t="e">
        <v>#N/A</v>
      </c>
      <c r="E132" s="2" t="str">
        <v/>
      </c>
    </row>
    <row r="133" spans="1:5" hidden="1" x14ac:dyDescent="0.2">
      <c r="A133" s="2" t="str">
        <v/>
      </c>
      <c r="C133" s="2" t="e">
        <v>#N/A</v>
      </c>
      <c r="E133" s="2" t="str">
        <v/>
      </c>
    </row>
    <row r="134" spans="1:5" hidden="1" x14ac:dyDescent="0.2">
      <c r="A134" s="2" t="str">
        <v/>
      </c>
      <c r="C134" s="2" t="e">
        <v>#N/A</v>
      </c>
      <c r="E134" s="2" t="str">
        <v/>
      </c>
    </row>
    <row r="135" spans="1:5" hidden="1" x14ac:dyDescent="0.2">
      <c r="A135" s="2" t="str">
        <v/>
      </c>
      <c r="C135" s="2" t="e">
        <v>#N/A</v>
      </c>
      <c r="E135" s="2" t="str">
        <v/>
      </c>
    </row>
    <row r="136" spans="1:5" hidden="1" x14ac:dyDescent="0.2">
      <c r="A136" s="2" t="str">
        <v/>
      </c>
      <c r="C136" s="2" t="e">
        <v>#N/A</v>
      </c>
      <c r="E136" s="2" t="str">
        <v/>
      </c>
    </row>
    <row r="137" spans="1:5" hidden="1" x14ac:dyDescent="0.2">
      <c r="A137" s="2" t="str">
        <v/>
      </c>
      <c r="C137" s="2" t="e">
        <v>#N/A</v>
      </c>
      <c r="E137" s="2" t="str">
        <v/>
      </c>
    </row>
    <row r="138" spans="1:5" hidden="1" x14ac:dyDescent="0.2">
      <c r="A138" s="2" t="str">
        <v/>
      </c>
      <c r="C138" s="2" t="e">
        <v>#N/A</v>
      </c>
      <c r="E138" s="2" t="str">
        <v/>
      </c>
    </row>
    <row r="139" spans="1:5" hidden="1" x14ac:dyDescent="0.2">
      <c r="A139" s="2" t="str">
        <v/>
      </c>
      <c r="C139" s="2" t="e">
        <v>#N/A</v>
      </c>
      <c r="E139" s="2" t="str">
        <v/>
      </c>
    </row>
    <row r="140" spans="1:5" hidden="1" x14ac:dyDescent="0.2">
      <c r="A140" s="2" t="str">
        <v/>
      </c>
      <c r="C140" s="2" t="e">
        <v>#N/A</v>
      </c>
      <c r="E140" s="2" t="str">
        <v/>
      </c>
    </row>
    <row r="141" spans="1:5" hidden="1" x14ac:dyDescent="0.2">
      <c r="A141" s="2" t="str">
        <v/>
      </c>
      <c r="C141" s="2" t="e">
        <v>#N/A</v>
      </c>
      <c r="E141" s="2" t="str">
        <v/>
      </c>
    </row>
    <row r="142" spans="1:5" hidden="1" x14ac:dyDescent="0.2">
      <c r="A142" s="2" t="str">
        <v/>
      </c>
      <c r="C142" s="2" t="e">
        <v>#N/A</v>
      </c>
      <c r="E142" s="2" t="str">
        <v/>
      </c>
    </row>
    <row r="143" spans="1:5" hidden="1" x14ac:dyDescent="0.2">
      <c r="A143" s="2" t="str">
        <v/>
      </c>
      <c r="C143" s="2" t="e">
        <v>#N/A</v>
      </c>
      <c r="E143" s="2" t="str">
        <v/>
      </c>
    </row>
    <row r="144" spans="1:5" hidden="1" x14ac:dyDescent="0.2">
      <c r="A144" s="2" t="str">
        <v/>
      </c>
      <c r="C144" s="2" t="e">
        <v>#N/A</v>
      </c>
      <c r="E144" s="2" t="str">
        <v/>
      </c>
    </row>
    <row r="145" spans="1:9" hidden="1" x14ac:dyDescent="0.2">
      <c r="A145" s="2" t="str">
        <v/>
      </c>
      <c r="C145" s="2" t="e">
        <v>#N/A</v>
      </c>
      <c r="E145" s="2" t="str">
        <v/>
      </c>
    </row>
    <row r="146" spans="1:9" hidden="1" x14ac:dyDescent="0.2">
      <c r="A146" s="2" t="str">
        <v/>
      </c>
      <c r="C146" s="2" t="e">
        <v>#N/A</v>
      </c>
      <c r="E146" s="2" t="str">
        <v/>
      </c>
    </row>
    <row r="147" spans="1:9" hidden="1" x14ac:dyDescent="0.2">
      <c r="A147" s="2" t="str">
        <v/>
      </c>
      <c r="C147" s="2" t="e">
        <v>#N/A</v>
      </c>
      <c r="E147" s="2" t="str">
        <v/>
      </c>
    </row>
    <row r="148" spans="1:9" hidden="1" x14ac:dyDescent="0.2">
      <c r="A148" s="2" t="str">
        <v/>
      </c>
      <c r="C148" s="2" t="e">
        <v>#N/A</v>
      </c>
      <c r="E148" s="2" t="str">
        <v/>
      </c>
    </row>
    <row r="149" spans="1:9" hidden="1" x14ac:dyDescent="0.2">
      <c r="A149" s="2" t="str">
        <v/>
      </c>
      <c r="C149" s="2" t="e">
        <v>#N/A</v>
      </c>
      <c r="E149" s="2" t="str">
        <v/>
      </c>
    </row>
    <row r="150" spans="1:9" hidden="1" x14ac:dyDescent="0.2">
      <c r="A150" s="2" t="str">
        <v/>
      </c>
      <c r="C150" s="2" t="e">
        <v>#N/A</v>
      </c>
      <c r="E150" s="2" t="str">
        <v/>
      </c>
    </row>
    <row r="151" spans="1:9" hidden="1" x14ac:dyDescent="0.2">
      <c r="A151" s="2" t="str">
        <v/>
      </c>
      <c r="C151" s="2" t="e">
        <v>#N/A</v>
      </c>
      <c r="E151" s="2" t="str">
        <v/>
      </c>
    </row>
    <row r="152" spans="1:9" hidden="1" x14ac:dyDescent="0.2">
      <c r="A152" s="2" t="str">
        <v/>
      </c>
      <c r="C152" s="2" t="e">
        <v>#N/A</v>
      </c>
      <c r="E152" s="2" t="str">
        <v/>
      </c>
    </row>
    <row r="153" spans="1:9" hidden="1" x14ac:dyDescent="0.2">
      <c r="A153" s="2" t="str">
        <v/>
      </c>
      <c r="C153" s="2" t="e">
        <v>#N/A</v>
      </c>
      <c r="E153" s="2" t="str">
        <v/>
      </c>
    </row>
    <row r="155" spans="1:9" s="1" customFormat="1" x14ac:dyDescent="0.2"/>
    <row r="156" spans="1:9" x14ac:dyDescent="0.2">
      <c r="A156" s="12" t="s">
        <v>307</v>
      </c>
    </row>
    <row r="158" spans="1:9" x14ac:dyDescent="0.2">
      <c r="A158" t="s">
        <v>87</v>
      </c>
    </row>
    <row r="160" spans="1:9" x14ac:dyDescent="0.2">
      <c r="A160" s="2" cm="1">
        <f t="array" ref="A160:C162">TRANSPOSE(B3:D5)</f>
        <v>1</v>
      </c>
      <c r="B160" s="2">
        <v>4</v>
      </c>
      <c r="C160" s="2">
        <v>7</v>
      </c>
      <c r="E160" s="2" cm="1">
        <f t="array" ref="E160:E162">TRANSPOSE(B3:D3)</f>
        <v>1</v>
      </c>
      <c r="G160" s="2" cm="1">
        <f t="array" ref="G160:I160">TRANSPOSE(B3:B5)</f>
        <v>1</v>
      </c>
      <c r="H160" s="2">
        <v>4</v>
      </c>
      <c r="I160" s="2">
        <v>7</v>
      </c>
    </row>
    <row r="161" spans="1:5" x14ac:dyDescent="0.2">
      <c r="A161" s="2">
        <v>2</v>
      </c>
      <c r="B161" s="2">
        <v>5</v>
      </c>
      <c r="C161" s="2">
        <v>8</v>
      </c>
      <c r="E161" s="2">
        <v>2</v>
      </c>
    </row>
    <row r="162" spans="1:5" x14ac:dyDescent="0.2">
      <c r="A162" s="2">
        <v>3</v>
      </c>
      <c r="B162" s="2">
        <v>6</v>
      </c>
      <c r="C162" s="2">
        <v>9</v>
      </c>
      <c r="E162" s="2">
        <v>3</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EDE5D-C871-8D4D-9790-B15AEBF21742}">
  <sheetPr codeName="Sheet4"/>
  <dimension ref="A1:C40"/>
  <sheetViews>
    <sheetView topLeftCell="B4" workbookViewId="0">
      <selection activeCell="B4" sqref="B4"/>
    </sheetView>
  </sheetViews>
  <sheetFormatPr baseColWidth="10" defaultColWidth="11" defaultRowHeight="16" x14ac:dyDescent="0.2"/>
  <cols>
    <col min="1" max="1" width="13" bestFit="1" customWidth="1"/>
    <col min="2" max="2" width="21.1640625" bestFit="1" customWidth="1"/>
    <col min="3" max="3" width="11.83203125" bestFit="1" customWidth="1"/>
    <col min="4" max="4" width="11.1640625" bestFit="1" customWidth="1"/>
  </cols>
  <sheetData>
    <row r="1" spans="1:3" x14ac:dyDescent="0.2">
      <c r="A1" s="62" t="s">
        <v>24</v>
      </c>
      <c r="B1" t="s">
        <v>88</v>
      </c>
    </row>
    <row r="3" spans="1:3" x14ac:dyDescent="0.2">
      <c r="A3" s="62" t="s">
        <v>89</v>
      </c>
      <c r="B3" t="s">
        <v>90</v>
      </c>
      <c r="C3" t="s">
        <v>91</v>
      </c>
    </row>
    <row r="4" spans="1:3" x14ac:dyDescent="0.2">
      <c r="A4" s="63" t="s">
        <v>44</v>
      </c>
      <c r="B4">
        <v>9</v>
      </c>
      <c r="C4">
        <v>4</v>
      </c>
    </row>
    <row r="5" spans="1:3" x14ac:dyDescent="0.2">
      <c r="A5" s="63" t="s">
        <v>45</v>
      </c>
      <c r="B5">
        <v>26</v>
      </c>
      <c r="C5">
        <v>37</v>
      </c>
    </row>
    <row r="6" spans="1:3" x14ac:dyDescent="0.2">
      <c r="A6" s="63" t="s">
        <v>46</v>
      </c>
      <c r="B6">
        <v>34</v>
      </c>
      <c r="C6">
        <v>65</v>
      </c>
    </row>
    <row r="7" spans="1:3" x14ac:dyDescent="0.2">
      <c r="A7" s="63" t="s">
        <v>70</v>
      </c>
      <c r="B7">
        <v>3</v>
      </c>
      <c r="C7">
        <v>3</v>
      </c>
    </row>
    <row r="8" spans="1:3" x14ac:dyDescent="0.2">
      <c r="A8" s="63" t="s">
        <v>47</v>
      </c>
      <c r="B8">
        <v>8</v>
      </c>
      <c r="C8">
        <v>12</v>
      </c>
    </row>
    <row r="9" spans="1:3" x14ac:dyDescent="0.2">
      <c r="A9" s="63" t="s">
        <v>48</v>
      </c>
      <c r="B9">
        <v>27</v>
      </c>
      <c r="C9">
        <v>34</v>
      </c>
    </row>
    <row r="10" spans="1:3" x14ac:dyDescent="0.2">
      <c r="A10" s="63" t="s">
        <v>49</v>
      </c>
      <c r="B10">
        <v>3</v>
      </c>
      <c r="C10">
        <v>1</v>
      </c>
    </row>
    <row r="11" spans="1:3" x14ac:dyDescent="0.2">
      <c r="A11" s="63" t="s">
        <v>50</v>
      </c>
      <c r="B11">
        <v>33</v>
      </c>
      <c r="C11">
        <v>53</v>
      </c>
    </row>
    <row r="12" spans="1:3" x14ac:dyDescent="0.2">
      <c r="A12" s="63" t="s">
        <v>79</v>
      </c>
      <c r="B12">
        <v>4</v>
      </c>
      <c r="C12">
        <v>2</v>
      </c>
    </row>
    <row r="13" spans="1:3" x14ac:dyDescent="0.2">
      <c r="A13" s="63" t="s">
        <v>68</v>
      </c>
      <c r="B13">
        <v>7</v>
      </c>
      <c r="C13">
        <v>4</v>
      </c>
    </row>
    <row r="14" spans="1:3" x14ac:dyDescent="0.2">
      <c r="A14" s="63" t="s">
        <v>69</v>
      </c>
      <c r="B14">
        <v>3</v>
      </c>
      <c r="C14">
        <v>3</v>
      </c>
    </row>
    <row r="15" spans="1:3" x14ac:dyDescent="0.2">
      <c r="A15" s="63" t="s">
        <v>76</v>
      </c>
      <c r="B15">
        <v>14</v>
      </c>
      <c r="C15">
        <v>19</v>
      </c>
    </row>
    <row r="16" spans="1:3" x14ac:dyDescent="0.2">
      <c r="A16" s="63" t="s">
        <v>71</v>
      </c>
      <c r="B16">
        <v>3</v>
      </c>
      <c r="C16">
        <v>1</v>
      </c>
    </row>
    <row r="17" spans="1:3" x14ac:dyDescent="0.2">
      <c r="A17" s="63" t="s">
        <v>51</v>
      </c>
      <c r="B17">
        <v>26</v>
      </c>
      <c r="C17">
        <v>42</v>
      </c>
    </row>
    <row r="18" spans="1:3" x14ac:dyDescent="0.2">
      <c r="A18" s="63" t="s">
        <v>74</v>
      </c>
      <c r="B18">
        <v>3</v>
      </c>
      <c r="C18">
        <v>2</v>
      </c>
    </row>
    <row r="19" spans="1:3" x14ac:dyDescent="0.2">
      <c r="A19" s="63" t="s">
        <v>52</v>
      </c>
      <c r="B19">
        <v>19</v>
      </c>
      <c r="C19">
        <v>31</v>
      </c>
    </row>
    <row r="20" spans="1:3" x14ac:dyDescent="0.2">
      <c r="A20" s="63" t="s">
        <v>53</v>
      </c>
      <c r="B20">
        <v>44</v>
      </c>
      <c r="C20">
        <v>119</v>
      </c>
    </row>
    <row r="21" spans="1:3" x14ac:dyDescent="0.2">
      <c r="A21" s="63" t="s">
        <v>77</v>
      </c>
      <c r="B21">
        <v>9</v>
      </c>
      <c r="C21">
        <v>6</v>
      </c>
    </row>
    <row r="22" spans="1:3" x14ac:dyDescent="0.2">
      <c r="A22" s="63" t="s">
        <v>54</v>
      </c>
      <c r="B22">
        <v>12</v>
      </c>
      <c r="C22">
        <v>20</v>
      </c>
    </row>
    <row r="23" spans="1:3" x14ac:dyDescent="0.2">
      <c r="A23" s="63" t="s">
        <v>55</v>
      </c>
      <c r="B23">
        <v>3</v>
      </c>
      <c r="C23">
        <v>1</v>
      </c>
    </row>
    <row r="24" spans="1:3" x14ac:dyDescent="0.2">
      <c r="A24" s="63" t="s">
        <v>56</v>
      </c>
      <c r="B24">
        <v>33</v>
      </c>
      <c r="C24">
        <v>37</v>
      </c>
    </row>
    <row r="25" spans="1:3" x14ac:dyDescent="0.2">
      <c r="A25" s="63" t="s">
        <v>75</v>
      </c>
      <c r="B25">
        <v>13</v>
      </c>
      <c r="C25">
        <v>12</v>
      </c>
    </row>
    <row r="26" spans="1:3" x14ac:dyDescent="0.2">
      <c r="A26" s="63" t="s">
        <v>57</v>
      </c>
      <c r="B26">
        <v>10</v>
      </c>
      <c r="C26">
        <v>6</v>
      </c>
    </row>
    <row r="27" spans="1:3" x14ac:dyDescent="0.2">
      <c r="A27" s="63" t="s">
        <v>72</v>
      </c>
      <c r="B27">
        <v>9</v>
      </c>
      <c r="C27">
        <v>6</v>
      </c>
    </row>
    <row r="28" spans="1:3" x14ac:dyDescent="0.2">
      <c r="A28" s="63" t="s">
        <v>58</v>
      </c>
      <c r="B28">
        <v>11</v>
      </c>
      <c r="C28">
        <v>14</v>
      </c>
    </row>
    <row r="29" spans="1:3" x14ac:dyDescent="0.2">
      <c r="A29" s="63" t="s">
        <v>59</v>
      </c>
      <c r="B29">
        <v>15</v>
      </c>
      <c r="C29">
        <v>7</v>
      </c>
    </row>
    <row r="30" spans="1:3" x14ac:dyDescent="0.2">
      <c r="A30" s="63" t="s">
        <v>60</v>
      </c>
      <c r="B30">
        <v>26</v>
      </c>
      <c r="C30">
        <v>19</v>
      </c>
    </row>
    <row r="31" spans="1:3" x14ac:dyDescent="0.2">
      <c r="A31" s="63" t="s">
        <v>61</v>
      </c>
      <c r="B31">
        <v>40</v>
      </c>
      <c r="C31">
        <v>89</v>
      </c>
    </row>
    <row r="32" spans="1:3" x14ac:dyDescent="0.2">
      <c r="A32" s="63" t="s">
        <v>78</v>
      </c>
      <c r="B32">
        <v>8</v>
      </c>
      <c r="C32">
        <v>15</v>
      </c>
    </row>
    <row r="33" spans="1:3" x14ac:dyDescent="0.2">
      <c r="A33" s="63" t="s">
        <v>62</v>
      </c>
      <c r="B33">
        <v>3</v>
      </c>
      <c r="C33">
        <v>5</v>
      </c>
    </row>
    <row r="34" spans="1:3" x14ac:dyDescent="0.2">
      <c r="A34" s="63" t="s">
        <v>63</v>
      </c>
      <c r="B34">
        <v>3</v>
      </c>
      <c r="C34">
        <v>1</v>
      </c>
    </row>
    <row r="35" spans="1:3" x14ac:dyDescent="0.2">
      <c r="A35" s="63" t="s">
        <v>64</v>
      </c>
      <c r="B35">
        <v>7</v>
      </c>
      <c r="C35">
        <v>6</v>
      </c>
    </row>
    <row r="36" spans="1:3" x14ac:dyDescent="0.2">
      <c r="A36" s="63" t="s">
        <v>65</v>
      </c>
      <c r="B36">
        <v>40</v>
      </c>
      <c r="C36">
        <v>69</v>
      </c>
    </row>
    <row r="37" spans="1:3" x14ac:dyDescent="0.2">
      <c r="A37" s="63" t="s">
        <v>73</v>
      </c>
      <c r="B37">
        <v>4</v>
      </c>
      <c r="C37">
        <v>9</v>
      </c>
    </row>
    <row r="38" spans="1:3" x14ac:dyDescent="0.2">
      <c r="A38" s="63" t="s">
        <v>66</v>
      </c>
      <c r="B38">
        <v>6</v>
      </c>
      <c r="C38">
        <v>4</v>
      </c>
    </row>
    <row r="39" spans="1:3" x14ac:dyDescent="0.2">
      <c r="A39" s="63" t="s">
        <v>67</v>
      </c>
      <c r="B39">
        <v>50</v>
      </c>
      <c r="C39">
        <v>135</v>
      </c>
    </row>
    <row r="40" spans="1:3" x14ac:dyDescent="0.2">
      <c r="A40" s="63" t="s">
        <v>92</v>
      </c>
      <c r="B40">
        <v>568</v>
      </c>
      <c r="C40">
        <v>893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2A8B6-DC99-EA49-B083-2DA33E72998A}">
  <sheetPr codeName="Sheet5"/>
  <dimension ref="A1:D11"/>
  <sheetViews>
    <sheetView workbookViewId="0">
      <selection activeCell="C9" sqref="C9"/>
    </sheetView>
  </sheetViews>
  <sheetFormatPr baseColWidth="10" defaultColWidth="11" defaultRowHeight="16" x14ac:dyDescent="0.2"/>
  <cols>
    <col min="1" max="1" width="13" bestFit="1" customWidth="1"/>
    <col min="2" max="2" width="21.1640625" bestFit="1" customWidth="1"/>
    <col min="3" max="3" width="11.83203125" bestFit="1" customWidth="1"/>
    <col min="4" max="4" width="18.83203125" bestFit="1" customWidth="1"/>
  </cols>
  <sheetData>
    <row r="1" spans="1:4" x14ac:dyDescent="0.2">
      <c r="A1" s="62" t="s">
        <v>23</v>
      </c>
      <c r="B1" t="s">
        <v>45</v>
      </c>
    </row>
    <row r="3" spans="1:4" x14ac:dyDescent="0.2">
      <c r="A3" s="62" t="s">
        <v>89</v>
      </c>
      <c r="B3" t="s">
        <v>90</v>
      </c>
      <c r="C3" t="s">
        <v>91</v>
      </c>
      <c r="D3" t="s">
        <v>93</v>
      </c>
    </row>
    <row r="4" spans="1:4" x14ac:dyDescent="0.2">
      <c r="A4" s="63">
        <v>1995</v>
      </c>
      <c r="B4">
        <v>3</v>
      </c>
      <c r="C4">
        <v>3</v>
      </c>
    </row>
    <row r="5" spans="1:4" x14ac:dyDescent="0.2">
      <c r="A5" s="63">
        <v>1999</v>
      </c>
      <c r="B5">
        <v>3</v>
      </c>
      <c r="C5">
        <v>3</v>
      </c>
    </row>
    <row r="6" spans="1:4" x14ac:dyDescent="0.2">
      <c r="A6" s="63">
        <v>2003</v>
      </c>
      <c r="B6">
        <v>3</v>
      </c>
      <c r="C6">
        <v>3</v>
      </c>
      <c r="D6">
        <v>49</v>
      </c>
    </row>
    <row r="7" spans="1:4" x14ac:dyDescent="0.2">
      <c r="A7" s="63">
        <v>2007</v>
      </c>
      <c r="B7">
        <v>4</v>
      </c>
      <c r="C7">
        <v>9</v>
      </c>
      <c r="D7">
        <v>48.3</v>
      </c>
    </row>
    <row r="8" spans="1:4" x14ac:dyDescent="0.2">
      <c r="A8" s="63">
        <v>2011</v>
      </c>
      <c r="B8">
        <v>4</v>
      </c>
      <c r="C8">
        <v>6</v>
      </c>
      <c r="D8">
        <v>53.5</v>
      </c>
    </row>
    <row r="9" spans="1:4" x14ac:dyDescent="0.2">
      <c r="A9" s="63">
        <v>2015</v>
      </c>
      <c r="B9">
        <v>5</v>
      </c>
      <c r="C9">
        <v>5</v>
      </c>
      <c r="D9">
        <v>46.2</v>
      </c>
    </row>
    <row r="10" spans="1:4" x14ac:dyDescent="0.2">
      <c r="A10" s="63">
        <v>2019</v>
      </c>
      <c r="B10">
        <v>4</v>
      </c>
      <c r="C10">
        <v>8</v>
      </c>
      <c r="D10">
        <v>61.3</v>
      </c>
    </row>
    <row r="11" spans="1:4" x14ac:dyDescent="0.2">
      <c r="A11" s="63" t="s">
        <v>92</v>
      </c>
      <c r="B11">
        <v>26</v>
      </c>
      <c r="C11">
        <v>37</v>
      </c>
      <c r="D11">
        <v>51.660000000000004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98F99-263A-E34D-8128-C80B9EDEAD11}">
  <sheetPr codeName="Sheet6"/>
  <dimension ref="A1:T210"/>
  <sheetViews>
    <sheetView topLeftCell="A176" workbookViewId="0">
      <selection activeCell="I206" sqref="I206"/>
    </sheetView>
  </sheetViews>
  <sheetFormatPr baseColWidth="10" defaultColWidth="11" defaultRowHeight="16" x14ac:dyDescent="0.2"/>
  <cols>
    <col min="2" max="2" width="15.33203125" customWidth="1"/>
    <col min="9" max="9" width="11.5" customWidth="1"/>
    <col min="15" max="15" width="11.5" customWidth="1"/>
  </cols>
  <sheetData>
    <row r="1" spans="1:12" x14ac:dyDescent="0.2">
      <c r="A1" s="12" t="s">
        <v>94</v>
      </c>
    </row>
    <row r="3" spans="1:12" x14ac:dyDescent="0.2">
      <c r="A3" t="s">
        <v>95</v>
      </c>
      <c r="B3" s="2" cm="1">
        <f t="array" ref="B3:B6">LEN(A3:A6)</f>
        <v>5</v>
      </c>
      <c r="C3" s="64" t="s">
        <v>96</v>
      </c>
    </row>
    <row r="4" spans="1:12" x14ac:dyDescent="0.2">
      <c r="A4" t="s">
        <v>97</v>
      </c>
      <c r="B4" s="2">
        <v>6</v>
      </c>
    </row>
    <row r="5" spans="1:12" x14ac:dyDescent="0.2">
      <c r="A5" t="s">
        <v>98</v>
      </c>
      <c r="B5" s="2">
        <v>2</v>
      </c>
    </row>
    <row r="6" spans="1:12" x14ac:dyDescent="0.2">
      <c r="A6" t="s">
        <v>99</v>
      </c>
      <c r="B6" s="2">
        <v>9</v>
      </c>
    </row>
    <row r="7" spans="1:12" ht="17" thickBot="1" x14ac:dyDescent="0.25">
      <c r="B7" s="65" cm="1">
        <f t="array" ref="B7">SUM(LEN(_xlfn.ANCHORARRAY(B3)))</f>
        <v>4</v>
      </c>
      <c r="C7">
        <f>SUM(_xlfn.ANCHORARRAY(B3))</f>
        <v>22</v>
      </c>
    </row>
    <row r="8" spans="1:12" s="66" customFormat="1" ht="17" thickTop="1" x14ac:dyDescent="0.2">
      <c r="B8" s="118" t="s">
        <v>308</v>
      </c>
      <c r="C8" s="118" t="s">
        <v>309</v>
      </c>
    </row>
    <row r="10" spans="1:12" x14ac:dyDescent="0.2">
      <c r="A10" s="12" t="s">
        <v>100</v>
      </c>
    </row>
    <row r="11" spans="1:12" x14ac:dyDescent="0.2">
      <c r="H11" s="67" t="s">
        <v>101</v>
      </c>
      <c r="K11" s="67" t="s">
        <v>102</v>
      </c>
    </row>
    <row r="12" spans="1:12" x14ac:dyDescent="0.2">
      <c r="A12" s="2" cm="1">
        <f t="array" ref="A12:A147">IF(matches_played=7,1,0)</f>
        <v>0</v>
      </c>
      <c r="B12" t="str">
        <f ca="1">_xlfn.FORMULATEXT(A12)</f>
        <v>=IF(matches_played=7,1,0)</v>
      </c>
      <c r="H12" s="2" cm="1">
        <f t="array" ref="H12:H29">IF(Fire&gt;Water,1,0)</f>
        <v>0</v>
      </c>
      <c r="I12" t="str">
        <f ca="1">_xlfn.FORMULATEXT(H12)</f>
        <v>=IF(Fire&gt;Water,1,0)</v>
      </c>
      <c r="K12" s="2" t="str" cm="1">
        <f t="array" ref="K12:K29">IF(Fire&gt;Water,Attacking,"")</f>
        <v/>
      </c>
      <c r="L12" t="str">
        <f ca="1">_xlfn.FORMULATEXT(K12)</f>
        <v>=IF(Fire&gt;Water,Attacking,"")</v>
      </c>
    </row>
    <row r="13" spans="1:12" x14ac:dyDescent="0.2">
      <c r="A13" s="2">
        <v>0</v>
      </c>
      <c r="H13" s="2">
        <v>0</v>
      </c>
      <c r="K13" s="2" t="str">
        <v/>
      </c>
    </row>
    <row r="14" spans="1:12" x14ac:dyDescent="0.2">
      <c r="A14" s="2">
        <v>0</v>
      </c>
      <c r="B14">
        <v>1</v>
      </c>
      <c r="C14" s="2" cm="1">
        <f t="array" ref="C14">SUM(IF(matches_played=B14,1,0))</f>
        <v>0</v>
      </c>
      <c r="D14" t="str" cm="1">
        <f t="array" aca="1" ref="D14:D20" ca="1">_xlfn.FORMULATEXT(C14:C20)</f>
        <v>=SUM(IF(matches_played=B14,1,0))</v>
      </c>
      <c r="H14" s="2">
        <v>1</v>
      </c>
      <c r="K14" s="2" t="str">
        <v>Water</v>
      </c>
    </row>
    <row r="15" spans="1:12" x14ac:dyDescent="0.2">
      <c r="A15" s="2">
        <v>0</v>
      </c>
      <c r="B15">
        <v>2</v>
      </c>
      <c r="C15" s="2" cm="1">
        <f t="array" ref="C15">SUM(IF(matches_played=B15,1,0))</f>
        <v>0</v>
      </c>
      <c r="D15" t="str">
        <f ca="1"/>
        <v>=SUM(IF(matches_played=B15,1,0))</v>
      </c>
      <c r="H15" s="2">
        <v>0</v>
      </c>
      <c r="K15" s="2" t="str">
        <v/>
      </c>
    </row>
    <row r="16" spans="1:12" x14ac:dyDescent="0.2">
      <c r="A16" s="2">
        <v>0</v>
      </c>
      <c r="B16">
        <v>3</v>
      </c>
      <c r="C16" s="2" cm="1">
        <f t="array" ref="C16">SUM(IF(matches_played=B16,1,0))</f>
        <v>56</v>
      </c>
      <c r="D16" t="str">
        <f ca="1"/>
        <v>=SUM(IF(matches_played=B16,1,0))</v>
      </c>
      <c r="H16" s="2">
        <v>0</v>
      </c>
      <c r="K16" s="2" t="str">
        <v/>
      </c>
    </row>
    <row r="17" spans="1:13" x14ac:dyDescent="0.2">
      <c r="A17" s="2">
        <v>0</v>
      </c>
      <c r="B17">
        <v>4</v>
      </c>
      <c r="C17" s="2" cm="1">
        <f t="array" ref="C17">SUM(IF(matches_played=B17,1,0))</f>
        <v>40</v>
      </c>
      <c r="D17" t="str">
        <f ca="1"/>
        <v>=SUM(IF(matches_played=B17,1,0))</v>
      </c>
      <c r="H17" s="2">
        <v>0</v>
      </c>
      <c r="K17" s="2" t="str">
        <v/>
      </c>
    </row>
    <row r="18" spans="1:13" x14ac:dyDescent="0.2">
      <c r="A18" s="2">
        <v>0</v>
      </c>
      <c r="B18">
        <v>5</v>
      </c>
      <c r="C18" s="2" cm="1">
        <f t="array" ref="C18">SUM(IF(matches_played=B18,1,0))</f>
        <v>8</v>
      </c>
      <c r="D18" t="str">
        <f ca="1"/>
        <v>=SUM(IF(matches_played=B18,1,0))</v>
      </c>
      <c r="H18" s="2">
        <v>0</v>
      </c>
      <c r="K18" s="2" t="str">
        <v/>
      </c>
    </row>
    <row r="19" spans="1:13" x14ac:dyDescent="0.2">
      <c r="A19" s="2">
        <v>1</v>
      </c>
      <c r="B19">
        <v>6</v>
      </c>
      <c r="C19" s="2" cm="1">
        <f t="array" ref="C19">SUM(IF(matches_played=B19,1,0))</f>
        <v>24</v>
      </c>
      <c r="D19" t="str">
        <f ca="1"/>
        <v>=SUM(IF(matches_played=B19,1,0))</v>
      </c>
      <c r="H19" s="2">
        <v>0</v>
      </c>
      <c r="K19" s="2" t="str">
        <v/>
      </c>
    </row>
    <row r="20" spans="1:13" x14ac:dyDescent="0.2">
      <c r="A20" s="2">
        <v>0</v>
      </c>
      <c r="B20">
        <v>7</v>
      </c>
      <c r="C20" s="2" cm="1">
        <f t="array" ref="C20">SUM(IF(matches_played=B20,1,0))</f>
        <v>8</v>
      </c>
      <c r="D20" t="str">
        <f ca="1"/>
        <v>=SUM(IF(matches_played=B20,1,0))</v>
      </c>
      <c r="H20" s="2">
        <v>1</v>
      </c>
      <c r="K20" s="2" t="str">
        <v>Ground</v>
      </c>
    </row>
    <row r="21" spans="1:13" x14ac:dyDescent="0.2">
      <c r="A21" s="2">
        <v>0</v>
      </c>
      <c r="H21" s="2">
        <v>0</v>
      </c>
      <c r="K21" s="2" t="str">
        <v/>
      </c>
    </row>
    <row r="22" spans="1:13" x14ac:dyDescent="0.2">
      <c r="A22" s="2">
        <v>0</v>
      </c>
      <c r="H22" s="2">
        <v>0</v>
      </c>
      <c r="K22" s="2" t="str">
        <v/>
      </c>
    </row>
    <row r="23" spans="1:13" x14ac:dyDescent="0.2">
      <c r="A23" s="2">
        <v>0</v>
      </c>
      <c r="H23" s="2">
        <v>0</v>
      </c>
      <c r="K23" s="2" t="str">
        <v/>
      </c>
    </row>
    <row r="24" spans="1:13" x14ac:dyDescent="0.2">
      <c r="A24" s="2">
        <v>0</v>
      </c>
      <c r="H24" s="2">
        <v>1</v>
      </c>
      <c r="K24" s="2" t="str">
        <v>Rock</v>
      </c>
    </row>
    <row r="25" spans="1:13" x14ac:dyDescent="0.2">
      <c r="A25" s="2">
        <v>0</v>
      </c>
      <c r="H25" s="2">
        <v>0</v>
      </c>
      <c r="K25" s="2" t="str">
        <v/>
      </c>
    </row>
    <row r="26" spans="1:13" x14ac:dyDescent="0.2">
      <c r="A26" s="2">
        <v>1</v>
      </c>
      <c r="H26" s="2">
        <v>0</v>
      </c>
      <c r="K26" s="2" t="str">
        <v/>
      </c>
    </row>
    <row r="27" spans="1:13" x14ac:dyDescent="0.2">
      <c r="A27" s="2">
        <v>0</v>
      </c>
      <c r="H27" s="2">
        <v>0</v>
      </c>
      <c r="K27" s="2" t="str">
        <v/>
      </c>
    </row>
    <row r="28" spans="1:13" x14ac:dyDescent="0.2">
      <c r="A28" s="2">
        <v>0</v>
      </c>
      <c r="H28" s="2">
        <v>0</v>
      </c>
      <c r="K28" s="2" t="str">
        <v/>
      </c>
    </row>
    <row r="29" spans="1:13" x14ac:dyDescent="0.2">
      <c r="A29" s="2">
        <v>0</v>
      </c>
      <c r="H29" s="2">
        <v>0</v>
      </c>
      <c r="K29" s="2" t="str">
        <v/>
      </c>
    </row>
    <row r="30" spans="1:13" ht="17" thickBot="1" x14ac:dyDescent="0.25">
      <c r="A30" s="2">
        <v>0</v>
      </c>
    </row>
    <row r="31" spans="1:13" x14ac:dyDescent="0.2">
      <c r="A31" s="2">
        <v>0</v>
      </c>
      <c r="C31" s="3" t="s">
        <v>103</v>
      </c>
      <c r="D31" s="4" t="s">
        <v>104</v>
      </c>
      <c r="E31" s="4" t="s">
        <v>105</v>
      </c>
      <c r="F31" s="5" t="s">
        <v>106</v>
      </c>
      <c r="I31" t="str">
        <f ca="1">_xlfn.FORMULATEXT(I32)</f>
        <v>=VLOOKUP(H32,lossratios,{2,4},FALSE)</v>
      </c>
      <c r="M31" t="str">
        <f ca="1">_xlfn.FORMULATEXT(M32)</f>
        <v>=AVERAGE(VLOOKUP(H32,lossratios,{2,4},FALSE))</v>
      </c>
    </row>
    <row r="32" spans="1:13" x14ac:dyDescent="0.2">
      <c r="A32" s="2">
        <v>0</v>
      </c>
      <c r="C32" s="6" t="s">
        <v>107</v>
      </c>
      <c r="D32" s="68">
        <v>0.92900000000000005</v>
      </c>
      <c r="E32" s="68">
        <v>0.76500000000000001</v>
      </c>
      <c r="F32" s="69">
        <v>0.94099999999999995</v>
      </c>
      <c r="H32" t="str" cm="1">
        <f t="array" ref="H32:H35">C32:C35</f>
        <v>Motor</v>
      </c>
      <c r="I32" s="2" cm="1">
        <f t="array" ref="I32:J32">VLOOKUP(H32,lossratios,{2,4},FALSE)</f>
        <v>0.92900000000000005</v>
      </c>
      <c r="J32" s="2">
        <v>0.94099999999999995</v>
      </c>
      <c r="M32" s="2" cm="1">
        <f t="array" ref="M32">AVERAGE(VLOOKUP(H32,lossratios,{2,4},FALSE))</f>
        <v>0.93500000000000005</v>
      </c>
    </row>
    <row r="33" spans="1:13" x14ac:dyDescent="0.2">
      <c r="A33" s="2">
        <v>1</v>
      </c>
      <c r="C33" s="6" t="s">
        <v>108</v>
      </c>
      <c r="D33" s="68">
        <v>0.61199999999999999</v>
      </c>
      <c r="E33" s="68">
        <v>0.76100000000000001</v>
      </c>
      <c r="F33" s="69">
        <v>1.093</v>
      </c>
      <c r="H33" t="str">
        <v>Liability</v>
      </c>
      <c r="I33" s="2" cm="1">
        <f t="array" ref="I33:J33">VLOOKUP(H33,lossratios,{2,4},FALSE)</f>
        <v>0.61199999999999999</v>
      </c>
      <c r="J33" s="2">
        <v>1.093</v>
      </c>
      <c r="M33" s="2" cm="1">
        <f t="array" ref="M33">AVERAGE(VLOOKUP(H33,lossratios,{2,4},FALSE))</f>
        <v>0.85250000000000004</v>
      </c>
    </row>
    <row r="34" spans="1:13" x14ac:dyDescent="0.2">
      <c r="A34" s="2">
        <v>0</v>
      </c>
      <c r="C34" s="6" t="s">
        <v>109</v>
      </c>
      <c r="D34" s="68">
        <v>0.871</v>
      </c>
      <c r="E34" s="68">
        <v>0.92800000000000005</v>
      </c>
      <c r="F34" s="69">
        <v>0.65900000000000003</v>
      </c>
      <c r="H34" t="str">
        <v>Life</v>
      </c>
      <c r="I34" s="2" cm="1">
        <f t="array" ref="I34:J34">VLOOKUP(H34,lossratios,{2,4},FALSE)</f>
        <v>0.871</v>
      </c>
      <c r="J34" s="2">
        <v>0.65900000000000003</v>
      </c>
      <c r="M34" s="2" cm="1">
        <f t="array" ref="M34">AVERAGE(VLOOKUP(H34,lossratios,{2,4},FALSE))</f>
        <v>0.76500000000000001</v>
      </c>
    </row>
    <row r="35" spans="1:13" ht="17" thickBot="1" x14ac:dyDescent="0.25">
      <c r="A35" s="2">
        <v>1</v>
      </c>
      <c r="C35" s="8" t="s">
        <v>110</v>
      </c>
      <c r="D35" s="70">
        <v>1.0489999999999999</v>
      </c>
      <c r="E35" s="70">
        <v>0.67500000000000004</v>
      </c>
      <c r="F35" s="71">
        <v>0.96699999999999997</v>
      </c>
      <c r="H35" t="str">
        <v>Property</v>
      </c>
      <c r="I35" s="2" cm="1">
        <f t="array" ref="I35:J35">VLOOKUP(H35,lossratios,{2,4},FALSE)</f>
        <v>1.0489999999999999</v>
      </c>
      <c r="J35" s="2">
        <v>0.96699999999999997</v>
      </c>
      <c r="M35" s="2" cm="1">
        <f t="array" ref="M35">AVERAGE(VLOOKUP(H35,lossratios,{2,4},FALSE))</f>
        <v>1.008</v>
      </c>
    </row>
    <row r="36" spans="1:13" x14ac:dyDescent="0.2">
      <c r="A36" s="2">
        <v>0</v>
      </c>
    </row>
    <row r="37" spans="1:13" x14ac:dyDescent="0.2">
      <c r="A37" s="2">
        <v>0</v>
      </c>
      <c r="H37" t="str">
        <f>C32</f>
        <v>Motor</v>
      </c>
      <c r="I37" s="2" cm="1">
        <f t="array" ref="I37:I38">VLOOKUP(H37,lossratios,{2;4},FALSE)</f>
        <v>0.92900000000000005</v>
      </c>
      <c r="J37" t="str">
        <f ca="1">_xlfn.FORMULATEXT(I37)</f>
        <v>=VLOOKUP(H37,lossratios,{2;4},FALSE)</v>
      </c>
    </row>
    <row r="38" spans="1:13" x14ac:dyDescent="0.2">
      <c r="A38" s="2">
        <v>0</v>
      </c>
      <c r="I38" s="2">
        <v>0.94099999999999995</v>
      </c>
    </row>
    <row r="39" spans="1:13" x14ac:dyDescent="0.2">
      <c r="A39" s="2">
        <v>0</v>
      </c>
    </row>
    <row r="40" spans="1:13" x14ac:dyDescent="0.2">
      <c r="A40" s="2">
        <v>0</v>
      </c>
    </row>
    <row r="41" spans="1:13" hidden="1" x14ac:dyDescent="0.2">
      <c r="A41" s="2">
        <v>0</v>
      </c>
    </row>
    <row r="42" spans="1:13" hidden="1" x14ac:dyDescent="0.2">
      <c r="A42" s="2">
        <v>0</v>
      </c>
    </row>
    <row r="43" spans="1:13" hidden="1" x14ac:dyDescent="0.2">
      <c r="A43" s="2">
        <v>0</v>
      </c>
    </row>
    <row r="44" spans="1:13" hidden="1" x14ac:dyDescent="0.2">
      <c r="A44" s="2">
        <v>0</v>
      </c>
    </row>
    <row r="45" spans="1:13" hidden="1" x14ac:dyDescent="0.2">
      <c r="A45" s="2">
        <v>1</v>
      </c>
    </row>
    <row r="46" spans="1:13" hidden="1" x14ac:dyDescent="0.2">
      <c r="A46" s="2">
        <v>0</v>
      </c>
    </row>
    <row r="47" spans="1:13" hidden="1" x14ac:dyDescent="0.2">
      <c r="A47" s="2">
        <v>1</v>
      </c>
    </row>
    <row r="48" spans="1:13" hidden="1" x14ac:dyDescent="0.2">
      <c r="A48" s="2">
        <v>1</v>
      </c>
    </row>
    <row r="49" spans="1:1" hidden="1" x14ac:dyDescent="0.2">
      <c r="A49" s="2">
        <v>0</v>
      </c>
    </row>
    <row r="50" spans="1:1" hidden="1" x14ac:dyDescent="0.2">
      <c r="A50" s="2">
        <v>0</v>
      </c>
    </row>
    <row r="51" spans="1:1" hidden="1" x14ac:dyDescent="0.2">
      <c r="A51" s="2">
        <v>0</v>
      </c>
    </row>
    <row r="52" spans="1:1" hidden="1" x14ac:dyDescent="0.2">
      <c r="A52" s="2">
        <v>0</v>
      </c>
    </row>
    <row r="53" spans="1:1" hidden="1" x14ac:dyDescent="0.2">
      <c r="A53" s="2">
        <v>0</v>
      </c>
    </row>
    <row r="54" spans="1:1" hidden="1" x14ac:dyDescent="0.2">
      <c r="A54" s="2">
        <v>0</v>
      </c>
    </row>
    <row r="55" spans="1:1" hidden="1" x14ac:dyDescent="0.2">
      <c r="A55" s="2">
        <v>0</v>
      </c>
    </row>
    <row r="56" spans="1:1" hidden="1" x14ac:dyDescent="0.2">
      <c r="A56" s="2">
        <v>0</v>
      </c>
    </row>
    <row r="57" spans="1:1" hidden="1" x14ac:dyDescent="0.2">
      <c r="A57" s="2">
        <v>0</v>
      </c>
    </row>
    <row r="58" spans="1:1" hidden="1" x14ac:dyDescent="0.2">
      <c r="A58" s="2">
        <v>0</v>
      </c>
    </row>
    <row r="59" spans="1:1" hidden="1" x14ac:dyDescent="0.2">
      <c r="A59" s="2">
        <v>1</v>
      </c>
    </row>
    <row r="60" spans="1:1" hidden="1" x14ac:dyDescent="0.2">
      <c r="A60" s="2">
        <v>0</v>
      </c>
    </row>
    <row r="61" spans="1:1" hidden="1" x14ac:dyDescent="0.2">
      <c r="A61" s="2">
        <v>0</v>
      </c>
    </row>
    <row r="62" spans="1:1" hidden="1" x14ac:dyDescent="0.2">
      <c r="A62" s="2">
        <v>0</v>
      </c>
    </row>
    <row r="63" spans="1:1" hidden="1" x14ac:dyDescent="0.2">
      <c r="A63" s="2">
        <v>0</v>
      </c>
    </row>
    <row r="64" spans="1:1" hidden="1" x14ac:dyDescent="0.2">
      <c r="A64" s="2">
        <v>0</v>
      </c>
    </row>
    <row r="65" spans="1:1" hidden="1" x14ac:dyDescent="0.2">
      <c r="A65" s="2">
        <v>0</v>
      </c>
    </row>
    <row r="66" spans="1:1" hidden="1" x14ac:dyDescent="0.2">
      <c r="A66" s="2">
        <v>0</v>
      </c>
    </row>
    <row r="67" spans="1:1" hidden="1" x14ac:dyDescent="0.2">
      <c r="A67" s="2">
        <v>0</v>
      </c>
    </row>
    <row r="68" spans="1:1" hidden="1" x14ac:dyDescent="0.2">
      <c r="A68" s="2">
        <v>0</v>
      </c>
    </row>
    <row r="69" spans="1:1" hidden="1" x14ac:dyDescent="0.2">
      <c r="A69" s="2">
        <v>0</v>
      </c>
    </row>
    <row r="70" spans="1:1" hidden="1" x14ac:dyDescent="0.2">
      <c r="A70" s="2">
        <v>0</v>
      </c>
    </row>
    <row r="71" spans="1:1" hidden="1" x14ac:dyDescent="0.2">
      <c r="A71" s="2">
        <v>0</v>
      </c>
    </row>
    <row r="72" spans="1:1" hidden="1" x14ac:dyDescent="0.2">
      <c r="A72" s="2">
        <v>0</v>
      </c>
    </row>
    <row r="73" spans="1:1" hidden="1" x14ac:dyDescent="0.2">
      <c r="A73" s="2">
        <v>0</v>
      </c>
    </row>
    <row r="74" spans="1:1" hidden="1" x14ac:dyDescent="0.2">
      <c r="A74" s="2">
        <v>0</v>
      </c>
    </row>
    <row r="75" spans="1:1" hidden="1" x14ac:dyDescent="0.2">
      <c r="A75" s="2">
        <v>0</v>
      </c>
    </row>
    <row r="76" spans="1:1" hidden="1" x14ac:dyDescent="0.2">
      <c r="A76" s="2">
        <v>0</v>
      </c>
    </row>
    <row r="77" spans="1:1" hidden="1" x14ac:dyDescent="0.2">
      <c r="A77" s="2">
        <v>0</v>
      </c>
    </row>
    <row r="78" spans="1:1" hidden="1" x14ac:dyDescent="0.2">
      <c r="A78" s="2">
        <v>0</v>
      </c>
    </row>
    <row r="79" spans="1:1" hidden="1" x14ac:dyDescent="0.2">
      <c r="A79" s="2">
        <v>0</v>
      </c>
    </row>
    <row r="80" spans="1:1" hidden="1" x14ac:dyDescent="0.2">
      <c r="A80" s="2">
        <v>0</v>
      </c>
    </row>
    <row r="81" spans="1:1" hidden="1" x14ac:dyDescent="0.2">
      <c r="A81" s="2">
        <v>0</v>
      </c>
    </row>
    <row r="82" spans="1:1" hidden="1" x14ac:dyDescent="0.2">
      <c r="A82" s="2">
        <v>0</v>
      </c>
    </row>
    <row r="83" spans="1:1" hidden="1" x14ac:dyDescent="0.2">
      <c r="A83" s="2">
        <v>0</v>
      </c>
    </row>
    <row r="84" spans="1:1" hidden="1" x14ac:dyDescent="0.2">
      <c r="A84" s="2">
        <v>0</v>
      </c>
    </row>
    <row r="85" spans="1:1" hidden="1" x14ac:dyDescent="0.2">
      <c r="A85" s="2">
        <v>0</v>
      </c>
    </row>
    <row r="86" spans="1:1" hidden="1" x14ac:dyDescent="0.2">
      <c r="A86" s="2">
        <v>0</v>
      </c>
    </row>
    <row r="87" spans="1:1" hidden="1" x14ac:dyDescent="0.2">
      <c r="A87" s="2">
        <v>0</v>
      </c>
    </row>
    <row r="88" spans="1:1" hidden="1" x14ac:dyDescent="0.2">
      <c r="A88" s="2">
        <v>0</v>
      </c>
    </row>
    <row r="89" spans="1:1" hidden="1" x14ac:dyDescent="0.2">
      <c r="A89" s="2">
        <v>0</v>
      </c>
    </row>
    <row r="90" spans="1:1" hidden="1" x14ac:dyDescent="0.2">
      <c r="A90" s="2">
        <v>0</v>
      </c>
    </row>
    <row r="91" spans="1:1" hidden="1" x14ac:dyDescent="0.2">
      <c r="A91" s="2">
        <v>0</v>
      </c>
    </row>
    <row r="92" spans="1:1" hidden="1" x14ac:dyDescent="0.2">
      <c r="A92" s="2">
        <v>0</v>
      </c>
    </row>
    <row r="93" spans="1:1" hidden="1" x14ac:dyDescent="0.2">
      <c r="A93" s="2">
        <v>0</v>
      </c>
    </row>
    <row r="94" spans="1:1" hidden="1" x14ac:dyDescent="0.2">
      <c r="A94" s="2">
        <v>0</v>
      </c>
    </row>
    <row r="95" spans="1:1" hidden="1" x14ac:dyDescent="0.2">
      <c r="A95" s="2">
        <v>0</v>
      </c>
    </row>
    <row r="96" spans="1:1" hidden="1" x14ac:dyDescent="0.2">
      <c r="A96" s="2">
        <v>0</v>
      </c>
    </row>
    <row r="97" spans="1:1" hidden="1" x14ac:dyDescent="0.2">
      <c r="A97" s="2">
        <v>0</v>
      </c>
    </row>
    <row r="98" spans="1:1" hidden="1" x14ac:dyDescent="0.2">
      <c r="A98" s="2">
        <v>0</v>
      </c>
    </row>
    <row r="99" spans="1:1" hidden="1" x14ac:dyDescent="0.2">
      <c r="A99" s="2">
        <v>0</v>
      </c>
    </row>
    <row r="100" spans="1:1" hidden="1" x14ac:dyDescent="0.2">
      <c r="A100" s="2">
        <v>0</v>
      </c>
    </row>
    <row r="101" spans="1:1" hidden="1" x14ac:dyDescent="0.2">
      <c r="A101" s="2">
        <v>0</v>
      </c>
    </row>
    <row r="102" spans="1:1" hidden="1" x14ac:dyDescent="0.2">
      <c r="A102" s="2">
        <v>0</v>
      </c>
    </row>
    <row r="103" spans="1:1" hidden="1" x14ac:dyDescent="0.2">
      <c r="A103" s="2">
        <v>0</v>
      </c>
    </row>
    <row r="104" spans="1:1" hidden="1" x14ac:dyDescent="0.2">
      <c r="A104" s="2">
        <v>0</v>
      </c>
    </row>
    <row r="105" spans="1:1" hidden="1" x14ac:dyDescent="0.2">
      <c r="A105" s="2">
        <v>0</v>
      </c>
    </row>
    <row r="106" spans="1:1" hidden="1" x14ac:dyDescent="0.2">
      <c r="A106" s="2">
        <v>0</v>
      </c>
    </row>
    <row r="107" spans="1:1" hidden="1" x14ac:dyDescent="0.2">
      <c r="A107" s="2">
        <v>0</v>
      </c>
    </row>
    <row r="108" spans="1:1" hidden="1" x14ac:dyDescent="0.2">
      <c r="A108" s="2">
        <v>0</v>
      </c>
    </row>
    <row r="109" spans="1:1" hidden="1" x14ac:dyDescent="0.2">
      <c r="A109" s="2">
        <v>0</v>
      </c>
    </row>
    <row r="110" spans="1:1" hidden="1" x14ac:dyDescent="0.2">
      <c r="A110" s="2">
        <v>0</v>
      </c>
    </row>
    <row r="111" spans="1:1" hidden="1" x14ac:dyDescent="0.2">
      <c r="A111" s="2">
        <v>0</v>
      </c>
    </row>
    <row r="112" spans="1:1" hidden="1" x14ac:dyDescent="0.2">
      <c r="A112" s="2">
        <v>0</v>
      </c>
    </row>
    <row r="113" spans="1:1" hidden="1" x14ac:dyDescent="0.2">
      <c r="A113" s="2">
        <v>0</v>
      </c>
    </row>
    <row r="114" spans="1:1" hidden="1" x14ac:dyDescent="0.2">
      <c r="A114" s="2">
        <v>0</v>
      </c>
    </row>
    <row r="115" spans="1:1" hidden="1" x14ac:dyDescent="0.2">
      <c r="A115" s="2">
        <v>0</v>
      </c>
    </row>
    <row r="116" spans="1:1" hidden="1" x14ac:dyDescent="0.2">
      <c r="A116" s="2">
        <v>0</v>
      </c>
    </row>
    <row r="117" spans="1:1" hidden="1" x14ac:dyDescent="0.2">
      <c r="A117" s="2">
        <v>0</v>
      </c>
    </row>
    <row r="118" spans="1:1" hidden="1" x14ac:dyDescent="0.2">
      <c r="A118" s="2">
        <v>0</v>
      </c>
    </row>
    <row r="119" spans="1:1" hidden="1" x14ac:dyDescent="0.2">
      <c r="A119" s="2">
        <v>0</v>
      </c>
    </row>
    <row r="120" spans="1:1" hidden="1" x14ac:dyDescent="0.2">
      <c r="A120" s="2">
        <v>0</v>
      </c>
    </row>
    <row r="121" spans="1:1" hidden="1" x14ac:dyDescent="0.2">
      <c r="A121" s="2">
        <v>0</v>
      </c>
    </row>
    <row r="122" spans="1:1" hidden="1" x14ac:dyDescent="0.2">
      <c r="A122" s="2">
        <v>0</v>
      </c>
    </row>
    <row r="123" spans="1:1" hidden="1" x14ac:dyDescent="0.2">
      <c r="A123" s="2">
        <v>0</v>
      </c>
    </row>
    <row r="124" spans="1:1" hidden="1" x14ac:dyDescent="0.2">
      <c r="A124" s="2">
        <v>0</v>
      </c>
    </row>
    <row r="125" spans="1:1" hidden="1" x14ac:dyDescent="0.2">
      <c r="A125" s="2">
        <v>0</v>
      </c>
    </row>
    <row r="126" spans="1:1" hidden="1" x14ac:dyDescent="0.2">
      <c r="A126" s="2">
        <v>0</v>
      </c>
    </row>
    <row r="127" spans="1:1" hidden="1" x14ac:dyDescent="0.2">
      <c r="A127" s="2">
        <v>0</v>
      </c>
    </row>
    <row r="128" spans="1:1" hidden="1" x14ac:dyDescent="0.2">
      <c r="A128" s="2">
        <v>0</v>
      </c>
    </row>
    <row r="129" spans="1:1" hidden="1" x14ac:dyDescent="0.2">
      <c r="A129" s="2">
        <v>0</v>
      </c>
    </row>
    <row r="130" spans="1:1" hidden="1" x14ac:dyDescent="0.2">
      <c r="A130" s="2">
        <v>0</v>
      </c>
    </row>
    <row r="131" spans="1:1" hidden="1" x14ac:dyDescent="0.2">
      <c r="A131" s="2">
        <v>0</v>
      </c>
    </row>
    <row r="132" spans="1:1" hidden="1" x14ac:dyDescent="0.2">
      <c r="A132" s="2">
        <v>0</v>
      </c>
    </row>
    <row r="133" spans="1:1" hidden="1" x14ac:dyDescent="0.2">
      <c r="A133" s="2">
        <v>0</v>
      </c>
    </row>
    <row r="134" spans="1:1" hidden="1" x14ac:dyDescent="0.2">
      <c r="A134" s="2">
        <v>0</v>
      </c>
    </row>
    <row r="135" spans="1:1" hidden="1" x14ac:dyDescent="0.2">
      <c r="A135" s="2">
        <v>0</v>
      </c>
    </row>
    <row r="136" spans="1:1" hidden="1" x14ac:dyDescent="0.2">
      <c r="A136" s="2">
        <v>0</v>
      </c>
    </row>
    <row r="137" spans="1:1" hidden="1" x14ac:dyDescent="0.2">
      <c r="A137" s="2">
        <v>0</v>
      </c>
    </row>
    <row r="138" spans="1:1" hidden="1" x14ac:dyDescent="0.2">
      <c r="A138" s="2">
        <v>0</v>
      </c>
    </row>
    <row r="139" spans="1:1" hidden="1" x14ac:dyDescent="0.2">
      <c r="A139" s="2">
        <v>0</v>
      </c>
    </row>
    <row r="140" spans="1:1" hidden="1" x14ac:dyDescent="0.2">
      <c r="A140" s="2">
        <v>0</v>
      </c>
    </row>
    <row r="141" spans="1:1" hidden="1" x14ac:dyDescent="0.2">
      <c r="A141" s="2">
        <v>0</v>
      </c>
    </row>
    <row r="142" spans="1:1" hidden="1" x14ac:dyDescent="0.2">
      <c r="A142" s="2">
        <v>0</v>
      </c>
    </row>
    <row r="143" spans="1:1" hidden="1" x14ac:dyDescent="0.2">
      <c r="A143" s="2">
        <v>0</v>
      </c>
    </row>
    <row r="144" spans="1:1" x14ac:dyDescent="0.2">
      <c r="A144" s="2">
        <v>0</v>
      </c>
    </row>
    <row r="145" spans="1:12" x14ac:dyDescent="0.2">
      <c r="A145" s="2">
        <v>0</v>
      </c>
    </row>
    <row r="146" spans="1:12" x14ac:dyDescent="0.2">
      <c r="A146" s="2">
        <v>0</v>
      </c>
    </row>
    <row r="147" spans="1:12" x14ac:dyDescent="0.2">
      <c r="A147" s="2">
        <v>0</v>
      </c>
    </row>
    <row r="149" spans="1:12" s="1" customFormat="1" x14ac:dyDescent="0.2"/>
    <row r="150" spans="1:12" x14ac:dyDescent="0.2">
      <c r="A150" s="12" t="s">
        <v>111</v>
      </c>
    </row>
    <row r="152" spans="1:12" x14ac:dyDescent="0.2">
      <c r="A152" s="2">
        <f>H12</f>
        <v>0</v>
      </c>
      <c r="B152" t="str">
        <f ca="1">_xlfn.FORMULATEXT(A152)</f>
        <v>=H12</v>
      </c>
      <c r="C152" s="2" cm="1">
        <f t="array" ref="C152:C169">_xlfn.ANCHORARRAY(H12)</f>
        <v>0</v>
      </c>
      <c r="D152" t="str">
        <f ca="1">_xlfn.FORMULATEXT(C152)</f>
        <v>=H12#</v>
      </c>
      <c r="E152" s="2">
        <f>SUM(H12)</f>
        <v>0</v>
      </c>
      <c r="F152" t="str">
        <f ca="1">_xlfn.FORMULATEXT(E152)</f>
        <v>=SUM(H12)</v>
      </c>
      <c r="H152" s="2" cm="1">
        <f t="array" ref="H152:H156">_xlfn.SEQUENCE(5)</f>
        <v>1</v>
      </c>
      <c r="I152" t="str">
        <f ca="1">_xlfn.FORMULATEXT(H152)</f>
        <v>=SEQUENCE(5)</v>
      </c>
      <c r="K152" s="2">
        <f>SUM(H152:H156)</f>
        <v>15</v>
      </c>
      <c r="L152" t="str">
        <f ca="1">_xlfn.FORMULATEXT(K152)</f>
        <v>=SUM(H152:H156)</v>
      </c>
    </row>
    <row r="153" spans="1:12" x14ac:dyDescent="0.2">
      <c r="C153" s="2">
        <v>0</v>
      </c>
      <c r="E153" s="2">
        <f>SUM(_xlfn.ANCHORARRAY(H12))</f>
        <v>3</v>
      </c>
      <c r="F153" t="str">
        <f ca="1">_xlfn.FORMULATEXT(E153)</f>
        <v>=SUM(H12#)</v>
      </c>
      <c r="H153" s="2">
        <v>2</v>
      </c>
      <c r="K153" s="2">
        <f>SUM(_xlfn.ANCHORARRAY(H152))</f>
        <v>15</v>
      </c>
      <c r="L153" t="str">
        <f ca="1">_xlfn.FORMULATEXT(K153)</f>
        <v>=SUM(H152#)</v>
      </c>
    </row>
    <row r="154" spans="1:12" x14ac:dyDescent="0.2">
      <c r="C154" s="2">
        <v>1</v>
      </c>
      <c r="H154" s="2">
        <v>3</v>
      </c>
    </row>
    <row r="155" spans="1:12" x14ac:dyDescent="0.2">
      <c r="C155" s="2">
        <v>0</v>
      </c>
      <c r="H155" s="2">
        <v>4</v>
      </c>
      <c r="J155" s="12" t="s">
        <v>112</v>
      </c>
    </row>
    <row r="156" spans="1:12" x14ac:dyDescent="0.2">
      <c r="C156" s="2">
        <v>0</v>
      </c>
      <c r="H156" s="2">
        <v>5</v>
      </c>
    </row>
    <row r="157" spans="1:12" x14ac:dyDescent="0.2">
      <c r="C157" s="2">
        <v>0</v>
      </c>
    </row>
    <row r="158" spans="1:12" x14ac:dyDescent="0.2">
      <c r="C158" s="2">
        <v>0</v>
      </c>
    </row>
    <row r="159" spans="1:12" x14ac:dyDescent="0.2">
      <c r="C159" s="2">
        <v>0</v>
      </c>
    </row>
    <row r="160" spans="1:12" x14ac:dyDescent="0.2">
      <c r="C160" s="2">
        <v>1</v>
      </c>
    </row>
    <row r="161" spans="1:7" x14ac:dyDescent="0.2">
      <c r="C161" s="2">
        <v>0</v>
      </c>
    </row>
    <row r="162" spans="1:7" x14ac:dyDescent="0.2">
      <c r="C162" s="2">
        <v>0</v>
      </c>
    </row>
    <row r="163" spans="1:7" x14ac:dyDescent="0.2">
      <c r="C163" s="2">
        <v>0</v>
      </c>
    </row>
    <row r="164" spans="1:7" x14ac:dyDescent="0.2">
      <c r="C164" s="2">
        <v>1</v>
      </c>
    </row>
    <row r="165" spans="1:7" x14ac:dyDescent="0.2">
      <c r="C165" s="2">
        <v>0</v>
      </c>
    </row>
    <row r="166" spans="1:7" x14ac:dyDescent="0.2">
      <c r="C166" s="2">
        <v>0</v>
      </c>
    </row>
    <row r="167" spans="1:7" x14ac:dyDescent="0.2">
      <c r="C167" s="2">
        <v>0</v>
      </c>
    </row>
    <row r="168" spans="1:7" x14ac:dyDescent="0.2">
      <c r="C168" s="2">
        <v>0</v>
      </c>
    </row>
    <row r="169" spans="1:7" x14ac:dyDescent="0.2">
      <c r="C169" s="2">
        <v>0</v>
      </c>
    </row>
    <row r="171" spans="1:7" s="1" customFormat="1" x14ac:dyDescent="0.2"/>
    <row r="172" spans="1:7" x14ac:dyDescent="0.2">
      <c r="A172" s="12" t="s">
        <v>113</v>
      </c>
    </row>
    <row r="174" spans="1:7" x14ac:dyDescent="0.2">
      <c r="A174" s="67" t="s">
        <v>114</v>
      </c>
    </row>
    <row r="176" spans="1:7" x14ac:dyDescent="0.2">
      <c r="A176" s="2" t="str" cm="1">
        <f t="array" ref="A176:A182">_xlfn.UNIQUE(IF(matches_played=7,squad,""))</f>
        <v/>
      </c>
      <c r="B176" t="str">
        <f ca="1">_xlfn.FORMULATEXT(A176)</f>
        <v>=UNIQUE(IF(matches_played=7,squad,""))</v>
      </c>
      <c r="F176" s="2" t="str" cm="1">
        <f t="array" ref="F176:F181">_xlfn.UNIQUE(_xlfn._xlws.FILTER(squad,matches_played=7))</f>
        <v>England</v>
      </c>
      <c r="G176" t="str">
        <f ca="1">_xlfn.FORMULATEXT(F176)</f>
        <v>=UNIQUE(FILTER(squad,matches_played=7))</v>
      </c>
    </row>
    <row r="177" spans="1:18" x14ac:dyDescent="0.2">
      <c r="A177" s="2" t="str">
        <v>England</v>
      </c>
      <c r="F177" s="2" t="str">
        <v>Netherlands</v>
      </c>
    </row>
    <row r="178" spans="1:18" x14ac:dyDescent="0.2">
      <c r="A178" s="2" t="str">
        <v>Netherlands</v>
      </c>
      <c r="F178" s="2" t="str">
        <v>Sweden</v>
      </c>
    </row>
    <row r="179" spans="1:18" x14ac:dyDescent="0.2">
      <c r="A179" s="2" t="str">
        <v>Sweden</v>
      </c>
      <c r="F179" s="2" t="str">
        <v>USA</v>
      </c>
    </row>
    <row r="180" spans="1:18" x14ac:dyDescent="0.2">
      <c r="A180" s="2" t="str">
        <v>USA</v>
      </c>
      <c r="F180" s="2" t="str">
        <v>Germany</v>
      </c>
    </row>
    <row r="181" spans="1:18" x14ac:dyDescent="0.2">
      <c r="A181" s="2" t="str">
        <v>Germany</v>
      </c>
      <c r="F181" s="2" t="str">
        <v>Japan</v>
      </c>
    </row>
    <row r="182" spans="1:18" x14ac:dyDescent="0.2">
      <c r="A182" s="2" t="str">
        <v>Japan</v>
      </c>
    </row>
    <row r="183" spans="1:18" s="72" customFormat="1" x14ac:dyDescent="0.2"/>
    <row r="185" spans="1:18" x14ac:dyDescent="0.2">
      <c r="A185" s="12" t="s">
        <v>115</v>
      </c>
      <c r="H185" s="12" t="s">
        <v>116</v>
      </c>
    </row>
    <row r="186" spans="1:18" x14ac:dyDescent="0.2">
      <c r="H186" s="67" t="s">
        <v>117</v>
      </c>
    </row>
    <row r="187" spans="1:18" x14ac:dyDescent="0.2">
      <c r="B187" s="73" t="str" cm="1">
        <f t="array" ref="B187:E191">lossratios</f>
        <v>Loss ratios</v>
      </c>
      <c r="C187" s="74" t="str">
        <v>NSW</v>
      </c>
      <c r="D187" s="74" t="str">
        <v>VIC</v>
      </c>
      <c r="E187" s="75" t="str">
        <v>ACT</v>
      </c>
      <c r="H187" t="str">
        <f ca="1">_xlfn.FORMULATEXT(H188)</f>
        <v>=VLOOKUP(products,B188:E191,4, FALSE)</v>
      </c>
      <c r="M187" s="67" t="s">
        <v>118</v>
      </c>
    </row>
    <row r="188" spans="1:18" x14ac:dyDescent="0.2">
      <c r="B188" s="76" t="str">
        <v>Motor</v>
      </c>
      <c r="C188">
        <v>0.92900000000000005</v>
      </c>
      <c r="D188">
        <v>0.76500000000000001</v>
      </c>
      <c r="E188" s="77">
        <v>0.94099999999999995</v>
      </c>
      <c r="H188" s="2" cm="1">
        <f t="array" ref="H188:H192">VLOOKUP(products,B188:E191,4, FALSE)</f>
        <v>0.94099999999999995</v>
      </c>
      <c r="M188" s="67" t="s">
        <v>119</v>
      </c>
    </row>
    <row r="189" spans="1:18" x14ac:dyDescent="0.2">
      <c r="B189" s="76" t="str">
        <v>Liability</v>
      </c>
      <c r="C189">
        <v>0.61199999999999999</v>
      </c>
      <c r="D189">
        <v>0.76100000000000001</v>
      </c>
      <c r="E189" s="77">
        <v>1.093</v>
      </c>
      <c r="H189" s="2">
        <v>0.65900000000000003</v>
      </c>
      <c r="I189" t="s">
        <v>120</v>
      </c>
      <c r="M189" t="str">
        <f ca="1">_xlfn.FORMULATEXT(M190)</f>
        <v>=VLOOKUP(E197,B188:E191,{2,4;1,3;4,2},FALSE)</v>
      </c>
    </row>
    <row r="190" spans="1:18" x14ac:dyDescent="0.2">
      <c r="B190" s="76" t="str">
        <v>Life</v>
      </c>
      <c r="C190">
        <v>0.871</v>
      </c>
      <c r="D190">
        <v>0.92800000000000005</v>
      </c>
      <c r="E190" s="77">
        <v>0.65900000000000003</v>
      </c>
      <c r="H190" s="2">
        <v>1.093</v>
      </c>
      <c r="I190" t="s">
        <v>121</v>
      </c>
      <c r="M190" s="2" cm="1">
        <f t="array" ref="M190:N192">VLOOKUP(E197,B188:E191,{2,4;1,3;4,2},FALSE)</f>
        <v>0.92900000000000005</v>
      </c>
      <c r="N190" s="2">
        <v>0.94099999999999995</v>
      </c>
      <c r="O190" t="s">
        <v>122</v>
      </c>
      <c r="P190" s="67"/>
      <c r="Q190" s="67"/>
      <c r="R190" s="67"/>
    </row>
    <row r="191" spans="1:18" x14ac:dyDescent="0.2">
      <c r="B191" s="78" t="str">
        <v>Property</v>
      </c>
      <c r="C191" s="72">
        <v>1.0489999999999999</v>
      </c>
      <c r="D191" s="72">
        <v>0.67500000000000004</v>
      </c>
      <c r="E191" s="79">
        <v>0.96699999999999997</v>
      </c>
      <c r="H191" s="2">
        <v>0.96699999999999997</v>
      </c>
      <c r="I191" t="s">
        <v>123</v>
      </c>
      <c r="M191" s="2" t="str">
        <v>Motor</v>
      </c>
      <c r="N191" s="2">
        <v>0.76500000000000001</v>
      </c>
      <c r="O191" t="s">
        <v>124</v>
      </c>
      <c r="P191" s="67"/>
      <c r="Q191" s="67"/>
      <c r="R191" s="67"/>
    </row>
    <row r="192" spans="1:18" x14ac:dyDescent="0.2">
      <c r="H192" t="e">
        <v>#N/A</v>
      </c>
      <c r="I192" t="s">
        <v>125</v>
      </c>
      <c r="M192" s="2">
        <v>0.94099999999999995</v>
      </c>
      <c r="N192" s="2">
        <v>0.92900000000000005</v>
      </c>
      <c r="O192" t="s">
        <v>126</v>
      </c>
      <c r="P192" s="67"/>
      <c r="Q192" s="67"/>
      <c r="R192" s="67"/>
    </row>
    <row r="195" spans="5:20" x14ac:dyDescent="0.2">
      <c r="H195" s="83" t="s">
        <v>127</v>
      </c>
    </row>
    <row r="196" spans="5:20" x14ac:dyDescent="0.2">
      <c r="E196" s="80" t="s">
        <v>128</v>
      </c>
      <c r="H196" s="67" t="s">
        <v>129</v>
      </c>
      <c r="N196" s="84" t="s">
        <v>130</v>
      </c>
      <c r="R196" s="67" t="s">
        <v>131</v>
      </c>
    </row>
    <row r="197" spans="5:20" x14ac:dyDescent="0.2">
      <c r="E197" s="81" t="s">
        <v>107</v>
      </c>
      <c r="H197" t="str">
        <f ca="1">_xlfn.FORMULATEXT(H198)</f>
        <v>=XLOOKUP(products,loss_ratios,E188:E191,"No such product")</v>
      </c>
      <c r="N197" s="86" t="str">
        <f ca="1">_xlfn.FORMULATEXT(N198)</f>
        <v>=MATCH(B188,products,0)</v>
      </c>
      <c r="T197" s="86" t="str">
        <f ca="1">_xlfn.FORMULATEXT(T198)</f>
        <v>=INDEX(C$188:C$191,MATCH(B188,loss_ratios,0))</v>
      </c>
    </row>
    <row r="198" spans="5:20" x14ac:dyDescent="0.2">
      <c r="E198" s="81" t="s">
        <v>109</v>
      </c>
      <c r="H198" s="2" cm="1">
        <f t="array" ref="H198:H202">_xlfn.XLOOKUP(products,loss_ratios,E188:E191,"No such product")</f>
        <v>0.94099999999999995</v>
      </c>
      <c r="N198" s="2">
        <f>MATCH(B188,products,0)</f>
        <v>1</v>
      </c>
      <c r="T198" s="2">
        <f>INDEX(C$188:C$191,MATCH(B188,loss_ratios,0))</f>
        <v>0.92900000000000005</v>
      </c>
    </row>
    <row r="199" spans="5:20" x14ac:dyDescent="0.2">
      <c r="E199" s="81" t="s">
        <v>108</v>
      </c>
      <c r="H199" s="2">
        <v>0.65900000000000003</v>
      </c>
      <c r="I199" t="s">
        <v>132</v>
      </c>
      <c r="N199" s="2">
        <f>MATCH(B189,products,0)</f>
        <v>3</v>
      </c>
      <c r="T199" s="2">
        <f>INDEX(C$188:C$191,MATCH(B189,B$188:B$191,0))</f>
        <v>0.61199999999999999</v>
      </c>
    </row>
    <row r="200" spans="5:20" x14ac:dyDescent="0.2">
      <c r="E200" s="81" t="s">
        <v>110</v>
      </c>
      <c r="H200" s="2">
        <v>1.093</v>
      </c>
      <c r="I200" t="s">
        <v>133</v>
      </c>
      <c r="N200" s="2">
        <f>MATCH(B190,products,0)</f>
        <v>2</v>
      </c>
      <c r="T200" s="2">
        <f>INDEX(C$188:C$191,MATCH(B190,B$188:B$191,0))</f>
        <v>0.871</v>
      </c>
    </row>
    <row r="201" spans="5:20" x14ac:dyDescent="0.2">
      <c r="E201" s="82" t="s">
        <v>134</v>
      </c>
      <c r="H201" s="2">
        <v>0.96699999999999997</v>
      </c>
      <c r="N201" s="2">
        <f>MATCH(B191,products,0)</f>
        <v>4</v>
      </c>
      <c r="T201" s="2">
        <f>INDEX(C$188:C$191,MATCH(B191,B$188:B$191,0))</f>
        <v>1.0489999999999999</v>
      </c>
    </row>
    <row r="202" spans="5:20" x14ac:dyDescent="0.2">
      <c r="H202" s="2" t="str">
        <v>No such product</v>
      </c>
    </row>
    <row r="203" spans="5:20" x14ac:dyDescent="0.2">
      <c r="N203" s="12" t="s">
        <v>135</v>
      </c>
      <c r="O203" s="67" t="s">
        <v>136</v>
      </c>
    </row>
    <row r="204" spans="5:20" x14ac:dyDescent="0.2">
      <c r="H204" t="s">
        <v>137</v>
      </c>
      <c r="N204" t="str">
        <f ca="1">_xlfn.FORMULATEXT(N205)</f>
        <v>=INDEX(products,2)</v>
      </c>
    </row>
    <row r="205" spans="5:20" x14ac:dyDescent="0.2">
      <c r="H205" s="67" t="s">
        <v>138</v>
      </c>
      <c r="J205" s="67" t="s">
        <v>139</v>
      </c>
      <c r="N205" s="2" t="str">
        <f>INDEX(products,2)</f>
        <v>Life</v>
      </c>
    </row>
    <row r="206" spans="5:20" x14ac:dyDescent="0.2">
      <c r="H206" s="2">
        <f>_xlfn.XLOOKUP("Argentina",squad, goals,,0,1)</f>
        <v>2</v>
      </c>
      <c r="I206" t="str">
        <f ca="1">_xlfn.FORMULATEXT(H206)</f>
        <v>=XLOOKUP("Argentina",squad, goals,,0,1)</v>
      </c>
    </row>
    <row r="207" spans="5:20" x14ac:dyDescent="0.2">
      <c r="H207" s="2">
        <f>_xlfn.XLOOKUP("Argentina",squad, goals,,0,-1)</f>
        <v>1</v>
      </c>
      <c r="I207" t="str">
        <f ca="1">_xlfn.FORMULATEXT(H207)</f>
        <v>=XLOOKUP("Argentina",squad, goals,,0,-1)</v>
      </c>
    </row>
    <row r="208" spans="5:20" x14ac:dyDescent="0.2">
      <c r="N208" s="85" t="s">
        <v>140</v>
      </c>
      <c r="R208" s="67" t="s">
        <v>141</v>
      </c>
    </row>
    <row r="209" spans="8:18" x14ac:dyDescent="0.2">
      <c r="H209" t="s">
        <v>142</v>
      </c>
      <c r="N209" s="2">
        <f>_xlfn.XMATCH("Argentina",squad,0,1)</f>
        <v>1</v>
      </c>
      <c r="O209" s="86" t="str">
        <f ca="1">_xlfn.FORMULATEXT(N209)</f>
        <v>=XMATCH("Argentina",squad,0,1)</v>
      </c>
      <c r="R209" t="str">
        <f ca="1">_xlfn.FORMULATEXT(R210)</f>
        <v>=INDEX(goals, XMATCH("Argentina",squad,0,-1))</v>
      </c>
    </row>
    <row r="210" spans="8:18" x14ac:dyDescent="0.2">
      <c r="H210" t="s">
        <v>143</v>
      </c>
      <c r="N210" s="2">
        <f>_xlfn.XMATCH("Argentina",squad,0,-1)</f>
        <v>81</v>
      </c>
      <c r="O210" s="86" t="str">
        <f ca="1">_xlfn.FORMULATEXT(N210)</f>
        <v>=XMATCH("Argentina",squad,0,-1)</v>
      </c>
      <c r="R210" s="2" cm="1">
        <f t="array" ref="R210">INDEX(goals, _xlfn.XMATCH("Argentina",squad,0,-1))</f>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A466A-6204-486C-B2AF-D5C5F6CCDC89}">
  <sheetPr codeName="Sheet7"/>
  <dimension ref="A2:U70"/>
  <sheetViews>
    <sheetView topLeftCell="A29" workbookViewId="0">
      <selection activeCell="K66" sqref="K66"/>
    </sheetView>
  </sheetViews>
  <sheetFormatPr baseColWidth="10" defaultColWidth="8.83203125" defaultRowHeight="16" x14ac:dyDescent="0.2"/>
  <cols>
    <col min="10" max="10" width="11.1640625" customWidth="1"/>
    <col min="11" max="11" width="9.83203125" customWidth="1"/>
    <col min="13" max="13" width="9" customWidth="1"/>
    <col min="14" max="14" width="12.6640625" customWidth="1"/>
  </cols>
  <sheetData>
    <row r="2" spans="1:12" x14ac:dyDescent="0.2">
      <c r="A2" s="12" t="s">
        <v>144</v>
      </c>
    </row>
    <row r="3" spans="1:12" x14ac:dyDescent="0.2">
      <c r="F3" s="12" t="s">
        <v>145</v>
      </c>
    </row>
    <row r="4" spans="1:12" x14ac:dyDescent="0.2">
      <c r="B4" s="73" t="s">
        <v>146</v>
      </c>
      <c r="C4" s="75" t="s">
        <v>147</v>
      </c>
      <c r="F4" t="s">
        <v>148</v>
      </c>
    </row>
    <row r="5" spans="1:12" x14ac:dyDescent="0.2">
      <c r="B5" s="76" t="s">
        <v>149</v>
      </c>
      <c r="C5" s="77">
        <v>624</v>
      </c>
      <c r="F5" s="98">
        <v>5</v>
      </c>
    </row>
    <row r="6" spans="1:12" x14ac:dyDescent="0.2">
      <c r="B6" s="76" t="s">
        <v>150</v>
      </c>
      <c r="C6" s="77">
        <v>390</v>
      </c>
      <c r="F6" s="2" t="str" cm="1">
        <f t="array" aca="1" ref="F6:G6" ca="1">OFFSET(monthly_profit, F5,0,1,2)</f>
        <v>May</v>
      </c>
      <c r="G6" s="2">
        <f ca="1"/>
        <v>439</v>
      </c>
      <c r="H6" t="str">
        <f ca="1">_xlfn.FORMULATEXT(F6)</f>
        <v>=OFFSET(monthly_profit, F5,0,1,2)</v>
      </c>
    </row>
    <row r="7" spans="1:12" x14ac:dyDescent="0.2">
      <c r="B7" s="76" t="s">
        <v>151</v>
      </c>
      <c r="C7" s="77">
        <v>1000</v>
      </c>
    </row>
    <row r="8" spans="1:12" x14ac:dyDescent="0.2">
      <c r="B8" s="76" t="s">
        <v>152</v>
      </c>
      <c r="C8" s="77">
        <v>250</v>
      </c>
    </row>
    <row r="9" spans="1:12" x14ac:dyDescent="0.2">
      <c r="B9" s="76" t="s">
        <v>153</v>
      </c>
      <c r="C9" s="77">
        <v>439</v>
      </c>
      <c r="F9" t="s">
        <v>154</v>
      </c>
      <c r="G9" t="s">
        <v>155</v>
      </c>
    </row>
    <row r="10" spans="1:12" x14ac:dyDescent="0.2">
      <c r="B10" s="76" t="s">
        <v>156</v>
      </c>
      <c r="C10" s="77">
        <v>109</v>
      </c>
      <c r="F10" s="98">
        <v>3</v>
      </c>
      <c r="G10" s="98">
        <v>7</v>
      </c>
      <c r="H10" s="67" t="s">
        <v>157</v>
      </c>
    </row>
    <row r="11" spans="1:12" x14ac:dyDescent="0.2">
      <c r="B11" s="76" t="s">
        <v>158</v>
      </c>
      <c r="C11" s="77">
        <v>530</v>
      </c>
      <c r="F11" s="2" t="str" cm="1">
        <f t="array" aca="1" ref="F11:G15" ca="1">OFFSET(monthly_profit, F10, 0,G10-F10+1,2)</f>
        <v>Mar</v>
      </c>
      <c r="G11" s="2">
        <f ca="1"/>
        <v>1000</v>
      </c>
      <c r="H11" t="str">
        <f ca="1">_xlfn.FORMULATEXT(F11)</f>
        <v>=OFFSET(monthly_profit, F10, 0,G10-F10+1,2)</v>
      </c>
      <c r="L11" s="67" t="s">
        <v>159</v>
      </c>
    </row>
    <row r="12" spans="1:12" x14ac:dyDescent="0.2">
      <c r="B12" s="76" t="s">
        <v>160</v>
      </c>
      <c r="C12" s="77">
        <v>123</v>
      </c>
      <c r="F12" s="2" t="str">
        <f ca="1"/>
        <v>Apr</v>
      </c>
      <c r="G12" s="2">
        <f ca="1"/>
        <v>250</v>
      </c>
    </row>
    <row r="13" spans="1:12" x14ac:dyDescent="0.2">
      <c r="B13" s="76" t="s">
        <v>161</v>
      </c>
      <c r="C13" s="77">
        <v>5345</v>
      </c>
      <c r="F13" s="2" t="str">
        <f ca="1"/>
        <v>May</v>
      </c>
      <c r="G13" s="2">
        <f ca="1"/>
        <v>439</v>
      </c>
      <c r="I13" t="s">
        <v>162</v>
      </c>
    </row>
    <row r="14" spans="1:12" x14ac:dyDescent="0.2">
      <c r="B14" s="76" t="s">
        <v>163</v>
      </c>
      <c r="C14" s="77">
        <v>312</v>
      </c>
      <c r="F14" s="2" t="str">
        <f ca="1"/>
        <v>Jun</v>
      </c>
      <c r="G14" s="2">
        <f ca="1"/>
        <v>109</v>
      </c>
      <c r="I14" t="s">
        <v>164</v>
      </c>
    </row>
    <row r="15" spans="1:12" x14ac:dyDescent="0.2">
      <c r="B15" s="76" t="s">
        <v>165</v>
      </c>
      <c r="C15" s="77">
        <v>98</v>
      </c>
      <c r="F15" s="2" t="str">
        <f ca="1"/>
        <v>Jul</v>
      </c>
      <c r="G15" s="2">
        <f ca="1"/>
        <v>530</v>
      </c>
      <c r="I15" t="s">
        <v>311</v>
      </c>
    </row>
    <row r="16" spans="1:12" x14ac:dyDescent="0.2">
      <c r="B16" s="78" t="s">
        <v>166</v>
      </c>
      <c r="C16" s="79">
        <v>672</v>
      </c>
      <c r="F16" s="2"/>
      <c r="G16" s="2"/>
      <c r="I16" t="s">
        <v>310</v>
      </c>
    </row>
    <row r="17" spans="6:14" x14ac:dyDescent="0.2">
      <c r="F17" s="2"/>
      <c r="G17" s="2"/>
      <c r="I17" t="s">
        <v>167</v>
      </c>
    </row>
    <row r="18" spans="6:14" x14ac:dyDescent="0.2">
      <c r="F18" s="2"/>
      <c r="G18" s="2"/>
    </row>
    <row r="19" spans="6:14" x14ac:dyDescent="0.2">
      <c r="F19" s="2"/>
      <c r="G19" s="2"/>
    </row>
    <row r="20" spans="6:14" x14ac:dyDescent="0.2">
      <c r="F20" s="2"/>
      <c r="G20" s="2"/>
    </row>
    <row r="21" spans="6:14" x14ac:dyDescent="0.2">
      <c r="F21" s="2"/>
      <c r="G21" s="2"/>
    </row>
    <row r="22" spans="6:14" x14ac:dyDescent="0.2">
      <c r="F22" s="2"/>
      <c r="G22" s="2"/>
    </row>
    <row r="23" spans="6:14" s="72" customFormat="1" x14ac:dyDescent="0.2"/>
    <row r="27" spans="6:14" x14ac:dyDescent="0.2">
      <c r="I27" s="12" t="s">
        <v>168</v>
      </c>
      <c r="J27" s="67" t="s">
        <v>312</v>
      </c>
    </row>
    <row r="28" spans="6:14" x14ac:dyDescent="0.2">
      <c r="I28" s="86" t="s">
        <v>169</v>
      </c>
    </row>
    <row r="29" spans="6:14" x14ac:dyDescent="0.2">
      <c r="I29" s="2" t="str">
        <f>ADDRESS(26,2)</f>
        <v>$B$26</v>
      </c>
      <c r="J29" t="str">
        <f ca="1">_xlfn.FORMULATEXT(I29)</f>
        <v>=ADDRESS(26,2)</v>
      </c>
      <c r="L29" s="11" t="s">
        <v>170</v>
      </c>
    </row>
    <row r="30" spans="6:14" x14ac:dyDescent="0.2">
      <c r="N30" s="11"/>
    </row>
    <row r="31" spans="6:14" x14ac:dyDescent="0.2">
      <c r="I31" s="12" t="s">
        <v>171</v>
      </c>
      <c r="J31" s="67" t="s">
        <v>172</v>
      </c>
    </row>
    <row r="32" spans="6:14" x14ac:dyDescent="0.2">
      <c r="I32" t="s">
        <v>173</v>
      </c>
    </row>
    <row r="33" spans="1:21" x14ac:dyDescent="0.2">
      <c r="I33" s="2" cm="1">
        <f t="array" aca="1" ref="I33" ca="1">INDIRECT(I29)</f>
        <v>0</v>
      </c>
      <c r="J33" t="str">
        <f ca="1">_xlfn.FORMULATEXT(I33)</f>
        <v>=INDIRECT(I29)</v>
      </c>
    </row>
    <row r="35" spans="1:21" x14ac:dyDescent="0.2">
      <c r="I35" s="12" t="s">
        <v>174</v>
      </c>
      <c r="K35" s="67" t="s">
        <v>175</v>
      </c>
      <c r="P35" s="12" t="s">
        <v>176</v>
      </c>
    </row>
    <row r="36" spans="1:21" x14ac:dyDescent="0.2">
      <c r="I36" s="72" t="s">
        <v>154</v>
      </c>
      <c r="J36" s="72" t="s">
        <v>177</v>
      </c>
      <c r="K36" s="72" t="s">
        <v>178</v>
      </c>
      <c r="L36" s="72" t="s">
        <v>179</v>
      </c>
      <c r="M36" s="72"/>
      <c r="P36" s="72" t="s">
        <v>154</v>
      </c>
      <c r="Q36" s="72" t="s">
        <v>177</v>
      </c>
      <c r="R36" s="72" t="s">
        <v>178</v>
      </c>
      <c r="S36" s="72" t="s">
        <v>179</v>
      </c>
      <c r="T36" s="72"/>
    </row>
    <row r="37" spans="1:21" x14ac:dyDescent="0.2">
      <c r="I37" s="98" t="s">
        <v>150</v>
      </c>
      <c r="J37" s="98" t="s">
        <v>153</v>
      </c>
      <c r="K37" s="98">
        <v>1</v>
      </c>
      <c r="L37" s="98">
        <v>3</v>
      </c>
      <c r="M37" s="67" t="s">
        <v>180</v>
      </c>
      <c r="N37" s="96" t="s">
        <v>181</v>
      </c>
      <c r="O37" s="97" t="s">
        <v>182</v>
      </c>
      <c r="P37" s="98" t="s">
        <v>151</v>
      </c>
      <c r="Q37" s="98" t="s">
        <v>156</v>
      </c>
      <c r="R37" s="98">
        <v>2</v>
      </c>
      <c r="S37" s="98">
        <v>4</v>
      </c>
    </row>
    <row r="38" spans="1:21" x14ac:dyDescent="0.2">
      <c r="A38" s="73"/>
      <c r="B38" s="74" t="s">
        <v>149</v>
      </c>
      <c r="C38" s="74" t="s">
        <v>150</v>
      </c>
      <c r="D38" s="74" t="s">
        <v>151</v>
      </c>
      <c r="E38" s="74" t="s">
        <v>152</v>
      </c>
      <c r="F38" s="74" t="s">
        <v>153</v>
      </c>
      <c r="G38" s="75" t="s">
        <v>156</v>
      </c>
      <c r="I38" s="87" t="str" cm="1">
        <f t="array" aca="1" ref="I38:L38" ca="1">INDIRECT(ADDRESS(38,MATCH(I37,A38:G38,0))):INDIRECT(ADDRESS(38,MATCH(J37,A38:G38,0)))</f>
        <v>Feb</v>
      </c>
      <c r="J38" s="87" t="str">
        <f ca="1"/>
        <v>Mar</v>
      </c>
      <c r="K38" s="87" t="str">
        <f ca="1"/>
        <v>Apr</v>
      </c>
      <c r="L38" s="87" t="str">
        <f ca="1"/>
        <v>May</v>
      </c>
      <c r="M38" s="93"/>
      <c r="N38" s="88"/>
      <c r="P38" s="87" t="str" cm="1">
        <f t="array" aca="1" ref="P38:S38" ca="1">OFFSET(B38:G38,0,MATCH(P37,B38:G38,0)-1,1,MATCH(Q37,B38:G38,0)-MATCH(P37,B38:G38,0)+1)</f>
        <v>Mar</v>
      </c>
      <c r="Q38" s="87" t="str">
        <f ca="1"/>
        <v>Apr</v>
      </c>
      <c r="R38" s="87" t="str">
        <f ca="1"/>
        <v>May</v>
      </c>
      <c r="S38" s="87" t="str">
        <f ca="1"/>
        <v>Jun</v>
      </c>
      <c r="T38" s="93"/>
      <c r="U38" s="88"/>
    </row>
    <row r="39" spans="1:21" x14ac:dyDescent="0.2">
      <c r="A39" s="76" t="s">
        <v>183</v>
      </c>
      <c r="B39">
        <v>3</v>
      </c>
      <c r="C39">
        <v>2</v>
      </c>
      <c r="D39">
        <v>7</v>
      </c>
      <c r="E39">
        <v>8</v>
      </c>
      <c r="F39">
        <v>6</v>
      </c>
      <c r="G39" s="77">
        <v>8</v>
      </c>
      <c r="I39" s="87" cm="1">
        <f t="array" aca="1" ref="I39:L41" ca="1">INDIRECT(ADDRESS(38+K37,MATCH(I37,A38:G38,0))):INDIRECT(ADDRESS(38+L37,MATCH(J37,A38:G38,0)))</f>
        <v>2</v>
      </c>
      <c r="J39" s="87">
        <f ca="1"/>
        <v>7</v>
      </c>
      <c r="K39" s="87">
        <f ca="1"/>
        <v>8</v>
      </c>
      <c r="L39" s="87">
        <f ca="1"/>
        <v>6</v>
      </c>
      <c r="M39" s="93"/>
      <c r="N39" s="88"/>
      <c r="P39" s="87" cm="1">
        <f t="array" aca="1" ref="P39:S41" ca="1">OFFSET(B39:G42,R37-1,MATCH(P37,B38:G38,0)-1,S37-R37+1,MATCH(Q37,B38:G38,0)-MATCH(P37,B38:G38,0)+1)</f>
        <v>9</v>
      </c>
      <c r="Q39" s="87">
        <f ca="1"/>
        <v>4</v>
      </c>
      <c r="R39" s="87">
        <f ca="1"/>
        <v>5</v>
      </c>
      <c r="S39" s="87">
        <f ca="1"/>
        <v>9</v>
      </c>
      <c r="T39" s="93"/>
      <c r="U39" s="88"/>
    </row>
    <row r="40" spans="1:21" x14ac:dyDescent="0.2">
      <c r="A40" s="76" t="s">
        <v>184</v>
      </c>
      <c r="B40">
        <v>2</v>
      </c>
      <c r="C40">
        <v>3</v>
      </c>
      <c r="D40">
        <v>9</v>
      </c>
      <c r="E40">
        <v>4</v>
      </c>
      <c r="F40">
        <v>5</v>
      </c>
      <c r="G40" s="77">
        <v>9</v>
      </c>
      <c r="I40" s="89">
        <f ca="1"/>
        <v>3</v>
      </c>
      <c r="J40" s="89">
        <f ca="1"/>
        <v>9</v>
      </c>
      <c r="K40" s="89">
        <f ca="1"/>
        <v>4</v>
      </c>
      <c r="L40" s="89">
        <f ca="1"/>
        <v>5</v>
      </c>
      <c r="M40" s="94"/>
      <c r="N40" s="90"/>
      <c r="P40" s="89">
        <f ca="1"/>
        <v>0</v>
      </c>
      <c r="Q40" s="89">
        <f ca="1"/>
        <v>23</v>
      </c>
      <c r="R40" s="89">
        <f ca="1"/>
        <v>10</v>
      </c>
      <c r="S40" s="89">
        <f ca="1"/>
        <v>7</v>
      </c>
      <c r="T40" s="94"/>
      <c r="U40" s="90"/>
    </row>
    <row r="41" spans="1:21" x14ac:dyDescent="0.2">
      <c r="A41" s="76" t="s">
        <v>185</v>
      </c>
      <c r="B41">
        <v>1</v>
      </c>
      <c r="C41">
        <v>7</v>
      </c>
      <c r="D41">
        <v>0</v>
      </c>
      <c r="E41">
        <v>23</v>
      </c>
      <c r="F41">
        <v>10</v>
      </c>
      <c r="G41" s="77">
        <v>7</v>
      </c>
      <c r="I41" s="89">
        <f ca="1"/>
        <v>7</v>
      </c>
      <c r="J41" s="89">
        <f ca="1"/>
        <v>0</v>
      </c>
      <c r="K41" s="89">
        <f ca="1"/>
        <v>23</v>
      </c>
      <c r="L41" s="89">
        <f ca="1"/>
        <v>10</v>
      </c>
      <c r="M41" s="94"/>
      <c r="N41" s="90"/>
      <c r="P41" s="89">
        <f ca="1"/>
        <v>2</v>
      </c>
      <c r="Q41" s="89">
        <f ca="1"/>
        <v>1</v>
      </c>
      <c r="R41" s="89">
        <f ca="1"/>
        <v>2</v>
      </c>
      <c r="S41" s="89">
        <f ca="1"/>
        <v>4</v>
      </c>
      <c r="T41" s="94"/>
      <c r="U41" s="90"/>
    </row>
    <row r="42" spans="1:21" x14ac:dyDescent="0.2">
      <c r="A42" s="78" t="s">
        <v>186</v>
      </c>
      <c r="B42" s="72">
        <v>4</v>
      </c>
      <c r="C42" s="72">
        <v>6</v>
      </c>
      <c r="D42" s="72">
        <v>2</v>
      </c>
      <c r="E42" s="72">
        <v>1</v>
      </c>
      <c r="F42" s="72">
        <v>2</v>
      </c>
      <c r="G42" s="79">
        <v>4</v>
      </c>
      <c r="I42" s="91"/>
      <c r="J42" s="91"/>
      <c r="K42" s="91"/>
      <c r="L42" s="91"/>
      <c r="M42" s="95"/>
      <c r="N42" s="92"/>
      <c r="P42" s="91"/>
      <c r="Q42" s="91"/>
      <c r="R42" s="91"/>
      <c r="S42" s="91"/>
      <c r="T42" s="95"/>
      <c r="U42" s="92"/>
    </row>
    <row r="44" spans="1:21" x14ac:dyDescent="0.2">
      <c r="D44" t="s">
        <v>187</v>
      </c>
      <c r="F44" t="str">
        <f ca="1">_xlfn.FORMULATEXT(I38)</f>
        <v>=INDIRECT(ADDRESS(38,MATCH(I37,A38:G38,0))):INDIRECT(ADDRESS(38,MATCH(J37,A38:G38,0)))</v>
      </c>
      <c r="P44" t="str">
        <f ca="1">_xlfn.FORMULATEXT(P38)</f>
        <v>=OFFSET(B38:G38,0,MATCH(P37,B38:G38,0)-1,1,MATCH(Q37,B38:G38,0)-MATCH(P37,B38:G38,0)+1)</v>
      </c>
    </row>
    <row r="45" spans="1:21" x14ac:dyDescent="0.2">
      <c r="D45" t="s">
        <v>188</v>
      </c>
      <c r="F45" t="str">
        <f ca="1">_xlfn.FORMULATEXT(I39)</f>
        <v>=INDIRECT(ADDRESS(38+K37,MATCH(I37,A38:G38,0))):INDIRECT(ADDRESS(38+L37,MATCH(J37,A38:G38,0)))</v>
      </c>
      <c r="P45" t="str">
        <f ca="1">_xlfn.FORMULATEXT(P39)</f>
        <v>=OFFSET(B39:G42,R37-1,MATCH(P37,B38:G38,0)-1,S37-R37+1,MATCH(Q37,B38:G38,0)-MATCH(P37,B38:G38,0)+1)</v>
      </c>
    </row>
    <row r="46" spans="1:21" x14ac:dyDescent="0.2">
      <c r="F46" s="67"/>
    </row>
    <row r="47" spans="1:21" x14ac:dyDescent="0.2">
      <c r="F47" s="67"/>
      <c r="P47" s="67" t="s">
        <v>189</v>
      </c>
    </row>
    <row r="48" spans="1:21" x14ac:dyDescent="0.2">
      <c r="B48" s="100" t="s">
        <v>190</v>
      </c>
      <c r="C48" s="74"/>
      <c r="D48" s="74"/>
      <c r="E48" s="74"/>
      <c r="F48" s="99"/>
      <c r="G48" s="74"/>
      <c r="H48" s="74"/>
      <c r="I48" s="74"/>
      <c r="J48" s="74"/>
      <c r="K48" s="74"/>
      <c r="L48" s="74"/>
      <c r="M48" s="74"/>
      <c r="N48" s="74"/>
      <c r="O48" s="74"/>
      <c r="P48" s="75"/>
    </row>
    <row r="49" spans="2:16" x14ac:dyDescent="0.2">
      <c r="B49" s="76" t="s">
        <v>191</v>
      </c>
      <c r="D49" t="s">
        <v>192</v>
      </c>
      <c r="H49" t="s">
        <v>193</v>
      </c>
      <c r="P49" s="77"/>
    </row>
    <row r="50" spans="2:16" x14ac:dyDescent="0.2">
      <c r="B50" s="76"/>
      <c r="D50" t="s">
        <v>194</v>
      </c>
      <c r="H50" t="s">
        <v>195</v>
      </c>
      <c r="P50" s="77"/>
    </row>
    <row r="51" spans="2:16" x14ac:dyDescent="0.2">
      <c r="B51" s="76"/>
      <c r="D51" t="s">
        <v>196</v>
      </c>
      <c r="H51" t="s">
        <v>197</v>
      </c>
      <c r="P51" s="77"/>
    </row>
    <row r="52" spans="2:16" x14ac:dyDescent="0.2">
      <c r="B52" s="76"/>
      <c r="P52" s="77"/>
    </row>
    <row r="53" spans="2:16" x14ac:dyDescent="0.2">
      <c r="B53" s="76"/>
      <c r="H53" t="s">
        <v>198</v>
      </c>
      <c r="P53" s="77"/>
    </row>
    <row r="54" spans="2:16" x14ac:dyDescent="0.2">
      <c r="B54" s="76"/>
      <c r="H54" t="s">
        <v>199</v>
      </c>
      <c r="P54" s="77"/>
    </row>
    <row r="55" spans="2:16" x14ac:dyDescent="0.2">
      <c r="B55" s="76"/>
      <c r="P55" s="77"/>
    </row>
    <row r="56" spans="2:16" x14ac:dyDescent="0.2">
      <c r="B56" s="76" t="s">
        <v>200</v>
      </c>
      <c r="D56" t="s">
        <v>192</v>
      </c>
      <c r="H56" t="s">
        <v>201</v>
      </c>
      <c r="P56" s="77"/>
    </row>
    <row r="57" spans="2:16" x14ac:dyDescent="0.2">
      <c r="B57" s="76"/>
      <c r="D57" t="s">
        <v>202</v>
      </c>
      <c r="H57" t="s">
        <v>203</v>
      </c>
      <c r="P57" s="77"/>
    </row>
    <row r="58" spans="2:16" x14ac:dyDescent="0.2">
      <c r="B58" s="76"/>
      <c r="D58" t="s">
        <v>196</v>
      </c>
      <c r="H58" t="s">
        <v>204</v>
      </c>
      <c r="P58" s="77"/>
    </row>
    <row r="59" spans="2:16" x14ac:dyDescent="0.2">
      <c r="B59" s="76"/>
      <c r="P59" s="77"/>
    </row>
    <row r="60" spans="2:16" x14ac:dyDescent="0.2">
      <c r="B60" s="78"/>
      <c r="C60" s="72"/>
      <c r="D60" s="72"/>
      <c r="E60" s="72"/>
      <c r="F60" s="72"/>
      <c r="G60" s="72"/>
      <c r="H60" s="72" t="s">
        <v>205</v>
      </c>
      <c r="I60" s="72"/>
      <c r="J60" s="72"/>
      <c r="K60" s="72"/>
      <c r="L60" s="72"/>
      <c r="M60" s="72"/>
      <c r="N60" s="72"/>
      <c r="O60" s="72"/>
      <c r="P60" s="79"/>
    </row>
    <row r="62" spans="2:16" x14ac:dyDescent="0.2">
      <c r="B62" s="100" t="s">
        <v>206</v>
      </c>
      <c r="C62" s="74"/>
      <c r="D62" s="74"/>
      <c r="E62" s="74"/>
      <c r="F62" s="74"/>
      <c r="G62" s="74"/>
      <c r="H62" s="74"/>
      <c r="I62" s="74"/>
      <c r="J62" s="74"/>
      <c r="K62" s="74"/>
      <c r="L62" s="74"/>
      <c r="M62" s="74"/>
      <c r="N62" s="74"/>
      <c r="O62" s="74"/>
      <c r="P62" s="75"/>
    </row>
    <row r="63" spans="2:16" x14ac:dyDescent="0.2">
      <c r="B63" s="76"/>
      <c r="P63" s="77"/>
    </row>
    <row r="64" spans="2:16" x14ac:dyDescent="0.2">
      <c r="B64" s="73">
        <v>1</v>
      </c>
      <c r="C64" s="74">
        <v>4</v>
      </c>
      <c r="D64" s="75">
        <v>7</v>
      </c>
      <c r="F64" t="s">
        <v>207</v>
      </c>
      <c r="G64" t="s">
        <v>313</v>
      </c>
      <c r="I64" s="2" t="e" cm="1">
        <f t="array" aca="1" ref="I64:I65" ca="1">INDIRECT(G64:G65)</f>
        <v>#VALUE!</v>
      </c>
      <c r="J64" t="str">
        <f ca="1">_xlfn.FORMULATEXT(I64)</f>
        <v>=INDIRECT(G64:G65)</v>
      </c>
      <c r="P64" s="77"/>
    </row>
    <row r="65" spans="2:16" x14ac:dyDescent="0.2">
      <c r="B65" s="76">
        <v>2</v>
      </c>
      <c r="C65">
        <v>5</v>
      </c>
      <c r="D65" s="77">
        <v>8</v>
      </c>
      <c r="F65" t="s">
        <v>208</v>
      </c>
      <c r="G65" t="s">
        <v>314</v>
      </c>
      <c r="I65" s="2" t="e">
        <f ca="1"/>
        <v>#VALUE!</v>
      </c>
      <c r="P65" s="77"/>
    </row>
    <row r="66" spans="2:16" x14ac:dyDescent="0.2">
      <c r="B66" s="78">
        <v>3</v>
      </c>
      <c r="C66" s="72">
        <v>6</v>
      </c>
      <c r="D66" s="79">
        <v>9</v>
      </c>
      <c r="P66" s="77"/>
    </row>
    <row r="67" spans="2:16" x14ac:dyDescent="0.2">
      <c r="B67" s="76"/>
      <c r="I67" s="2" cm="1">
        <f t="array" aca="1" ref="I67:K69" ca="1">INDIRECT(G64):INDIRECT(G65)</f>
        <v>1</v>
      </c>
      <c r="J67" s="2">
        <f ca="1"/>
        <v>4</v>
      </c>
      <c r="K67" s="2">
        <f ca="1"/>
        <v>7</v>
      </c>
      <c r="L67" t="str">
        <f ca="1">_xlfn.FORMULATEXT(I67)</f>
        <v>=INDIRECT(G64):INDIRECT(G65)</v>
      </c>
      <c r="P67" s="77"/>
    </row>
    <row r="68" spans="2:16" x14ac:dyDescent="0.2">
      <c r="B68" s="76"/>
      <c r="I68" s="2">
        <f ca="1"/>
        <v>2</v>
      </c>
      <c r="J68" s="2">
        <f ca="1"/>
        <v>5</v>
      </c>
      <c r="K68" s="2">
        <f ca="1"/>
        <v>8</v>
      </c>
      <c r="P68" s="77"/>
    </row>
    <row r="69" spans="2:16" x14ac:dyDescent="0.2">
      <c r="B69" s="76"/>
      <c r="I69" s="2">
        <f ca="1"/>
        <v>3</v>
      </c>
      <c r="J69" s="2">
        <f ca="1"/>
        <v>6</v>
      </c>
      <c r="K69" s="2">
        <f ca="1"/>
        <v>9</v>
      </c>
      <c r="P69" s="77"/>
    </row>
    <row r="70" spans="2:16" x14ac:dyDescent="0.2">
      <c r="B70" s="78"/>
      <c r="C70" s="72"/>
      <c r="D70" s="72"/>
      <c r="E70" s="72"/>
      <c r="F70" s="72"/>
      <c r="G70" s="72"/>
      <c r="H70" s="72"/>
      <c r="I70" s="72"/>
      <c r="J70" s="72"/>
      <c r="K70" s="72"/>
      <c r="L70" s="72"/>
      <c r="M70" s="72"/>
      <c r="N70" s="72"/>
      <c r="O70" s="72"/>
      <c r="P70" s="7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4AF6-7209-AE46-8F0B-1636B36F7A00}">
  <sheetPr codeName="Sheet8"/>
  <dimension ref="A1:W201"/>
  <sheetViews>
    <sheetView tabSelected="1" workbookViewId="0">
      <selection activeCell="G179" sqref="G179"/>
    </sheetView>
  </sheetViews>
  <sheetFormatPr baseColWidth="10" defaultColWidth="10.83203125" defaultRowHeight="16" x14ac:dyDescent="0.2"/>
  <cols>
    <col min="1" max="3" width="11" style="17" bestFit="1" customWidth="1"/>
    <col min="4" max="6" width="11.6640625" style="17" bestFit="1" customWidth="1"/>
    <col min="7" max="20" width="11" style="17" bestFit="1" customWidth="1"/>
    <col min="21" max="16384" width="10.83203125" style="17"/>
  </cols>
  <sheetData>
    <row r="1" spans="1:20" x14ac:dyDescent="0.2">
      <c r="A1" s="16" t="s">
        <v>209</v>
      </c>
      <c r="C1" s="18"/>
      <c r="D1" s="18"/>
      <c r="E1" s="18"/>
      <c r="F1" s="18"/>
      <c r="G1" s="18"/>
      <c r="H1" s="18"/>
      <c r="I1" s="18"/>
      <c r="J1" s="18"/>
      <c r="K1" s="18"/>
      <c r="L1" s="18"/>
      <c r="M1" s="18"/>
      <c r="N1" s="18"/>
      <c r="O1" s="18"/>
      <c r="P1" s="18"/>
      <c r="Q1" s="18"/>
      <c r="R1" s="18"/>
      <c r="S1" s="18"/>
    </row>
    <row r="2" spans="1:20" x14ac:dyDescent="0.2">
      <c r="A2" s="16" t="s">
        <v>210</v>
      </c>
      <c r="C2" s="18"/>
      <c r="D2" s="18"/>
      <c r="E2" s="18"/>
      <c r="F2" s="18"/>
      <c r="G2" s="18"/>
      <c r="H2" s="18"/>
      <c r="I2" s="18"/>
      <c r="J2" s="18"/>
      <c r="K2" s="18"/>
      <c r="L2" s="18"/>
      <c r="M2" s="18"/>
      <c r="N2" s="18"/>
      <c r="O2" s="18"/>
      <c r="P2" s="18"/>
      <c r="Q2" s="18"/>
      <c r="R2" s="18"/>
      <c r="S2" s="18"/>
    </row>
    <row r="3" spans="1:20" hidden="1" x14ac:dyDescent="0.2"/>
    <row r="4" spans="1:20" s="22" customFormat="1" hidden="1" x14ac:dyDescent="0.2">
      <c r="A4" s="19" t="s">
        <v>211</v>
      </c>
      <c r="B4" s="20"/>
      <c r="C4" s="16" t="s">
        <v>212</v>
      </c>
      <c r="D4" s="21"/>
      <c r="E4" s="21"/>
      <c r="F4" s="21"/>
      <c r="G4" s="21"/>
      <c r="H4" s="21"/>
      <c r="I4" s="21"/>
      <c r="J4" s="21"/>
      <c r="K4" s="21"/>
      <c r="L4" s="21"/>
      <c r="M4" s="21"/>
      <c r="N4" s="21"/>
      <c r="O4" s="21"/>
      <c r="P4" s="21"/>
      <c r="Q4" s="21"/>
      <c r="R4" s="21"/>
      <c r="S4" s="21"/>
      <c r="T4" s="21"/>
    </row>
    <row r="5" spans="1:20" s="22" customFormat="1" hidden="1" x14ac:dyDescent="0.2">
      <c r="A5" s="23" t="s">
        <v>213</v>
      </c>
      <c r="B5" s="24"/>
      <c r="C5" s="21">
        <v>0</v>
      </c>
      <c r="D5" s="21">
        <f t="shared" ref="D5:T5" si="0">C5+1</f>
        <v>1</v>
      </c>
      <c r="E5" s="21">
        <f t="shared" si="0"/>
        <v>2</v>
      </c>
      <c r="F5" s="21">
        <f t="shared" si="0"/>
        <v>3</v>
      </c>
      <c r="G5" s="21">
        <f t="shared" si="0"/>
        <v>4</v>
      </c>
      <c r="H5" s="21">
        <f t="shared" si="0"/>
        <v>5</v>
      </c>
      <c r="I5" s="21">
        <f t="shared" si="0"/>
        <v>6</v>
      </c>
      <c r="J5" s="21">
        <f t="shared" si="0"/>
        <v>7</v>
      </c>
      <c r="K5" s="21">
        <f t="shared" si="0"/>
        <v>8</v>
      </c>
      <c r="L5" s="21">
        <f t="shared" si="0"/>
        <v>9</v>
      </c>
      <c r="M5" s="21">
        <f t="shared" si="0"/>
        <v>10</v>
      </c>
      <c r="N5" s="21">
        <f t="shared" si="0"/>
        <v>11</v>
      </c>
      <c r="O5" s="21">
        <f t="shared" si="0"/>
        <v>12</v>
      </c>
      <c r="P5" s="21">
        <f t="shared" si="0"/>
        <v>13</v>
      </c>
      <c r="Q5" s="21">
        <f t="shared" si="0"/>
        <v>14</v>
      </c>
      <c r="R5" s="21">
        <f t="shared" si="0"/>
        <v>15</v>
      </c>
      <c r="S5" s="21">
        <f t="shared" si="0"/>
        <v>16</v>
      </c>
      <c r="T5" s="21">
        <f t="shared" si="0"/>
        <v>17</v>
      </c>
    </row>
    <row r="6" spans="1:20" hidden="1" x14ac:dyDescent="0.2">
      <c r="C6" s="25" t="s">
        <v>214</v>
      </c>
      <c r="D6" s="25" t="s">
        <v>214</v>
      </c>
      <c r="E6" s="25" t="s">
        <v>214</v>
      </c>
      <c r="F6" s="25" t="s">
        <v>214</v>
      </c>
      <c r="G6" s="25" t="s">
        <v>214</v>
      </c>
      <c r="H6" s="25" t="s">
        <v>214</v>
      </c>
      <c r="I6" s="25" t="s">
        <v>214</v>
      </c>
      <c r="J6" s="25" t="s">
        <v>214</v>
      </c>
      <c r="K6" s="25" t="s">
        <v>214</v>
      </c>
      <c r="L6" s="25" t="s">
        <v>214</v>
      </c>
      <c r="M6" s="25" t="s">
        <v>214</v>
      </c>
      <c r="N6" s="25" t="s">
        <v>214</v>
      </c>
      <c r="O6" s="25" t="s">
        <v>214</v>
      </c>
      <c r="P6" s="25" t="s">
        <v>214</v>
      </c>
      <c r="Q6" s="25" t="s">
        <v>214</v>
      </c>
      <c r="R6" s="25" t="s">
        <v>214</v>
      </c>
      <c r="S6" s="25" t="s">
        <v>214</v>
      </c>
      <c r="T6" s="25" t="s">
        <v>214</v>
      </c>
    </row>
    <row r="7" spans="1:20" hidden="1" x14ac:dyDescent="0.2"/>
    <row r="8" spans="1:20" hidden="1" x14ac:dyDescent="0.2">
      <c r="A8" s="18">
        <v>1978</v>
      </c>
      <c r="B8" s="26"/>
      <c r="C8" s="26">
        <v>9268</v>
      </c>
      <c r="D8" s="26">
        <v>18263</v>
      </c>
      <c r="E8" s="26">
        <v>20182</v>
      </c>
      <c r="F8" s="26">
        <v>22383</v>
      </c>
      <c r="G8" s="26">
        <v>22782</v>
      </c>
      <c r="H8" s="26">
        <v>26348</v>
      </c>
      <c r="I8" s="26">
        <v>26172</v>
      </c>
      <c r="J8" s="26">
        <v>26184</v>
      </c>
      <c r="K8" s="26">
        <v>25455</v>
      </c>
      <c r="L8" s="26">
        <v>25740</v>
      </c>
      <c r="M8" s="26">
        <v>25711</v>
      </c>
      <c r="N8" s="26">
        <v>25452</v>
      </c>
      <c r="O8" s="26">
        <v>25460</v>
      </c>
      <c r="P8" s="26">
        <v>25422</v>
      </c>
      <c r="Q8" s="26">
        <v>25386</v>
      </c>
      <c r="R8" s="26">
        <v>25520</v>
      </c>
      <c r="S8" s="26">
        <v>25646</v>
      </c>
      <c r="T8" s="26">
        <v>25469</v>
      </c>
    </row>
    <row r="9" spans="1:20" hidden="1" x14ac:dyDescent="0.2">
      <c r="A9" s="18">
        <f>A8+1</f>
        <v>1979</v>
      </c>
      <c r="B9" s="26"/>
      <c r="C9" s="26">
        <v>9848</v>
      </c>
      <c r="D9" s="26">
        <v>16123</v>
      </c>
      <c r="E9" s="26">
        <v>17099</v>
      </c>
      <c r="F9" s="26">
        <v>18544</v>
      </c>
      <c r="G9" s="26">
        <v>20534</v>
      </c>
      <c r="H9" s="26">
        <v>21554</v>
      </c>
      <c r="I9" s="26">
        <v>23219</v>
      </c>
      <c r="J9" s="26">
        <v>22381</v>
      </c>
      <c r="K9" s="26">
        <v>21584</v>
      </c>
      <c r="L9" s="26">
        <v>21408</v>
      </c>
      <c r="M9" s="26">
        <v>20857</v>
      </c>
      <c r="N9" s="26">
        <v>21163</v>
      </c>
      <c r="O9" s="26">
        <v>20482</v>
      </c>
      <c r="P9" s="26">
        <v>19971</v>
      </c>
      <c r="Q9" s="26">
        <v>19958</v>
      </c>
      <c r="R9" s="26">
        <v>19947</v>
      </c>
      <c r="S9" s="26">
        <v>19991</v>
      </c>
      <c r="T9" s="26"/>
    </row>
    <row r="10" spans="1:20" hidden="1" x14ac:dyDescent="0.2">
      <c r="A10" s="18">
        <f t="shared" ref="A10:A25" si="1">A9+1</f>
        <v>1980</v>
      </c>
      <c r="B10" s="26"/>
      <c r="C10" s="26">
        <v>13990</v>
      </c>
      <c r="D10" s="26">
        <v>22484</v>
      </c>
      <c r="E10" s="26">
        <v>24950</v>
      </c>
      <c r="F10" s="26">
        <v>33255</v>
      </c>
      <c r="G10" s="26">
        <v>33295</v>
      </c>
      <c r="H10" s="26">
        <v>34308</v>
      </c>
      <c r="I10" s="26">
        <v>34022</v>
      </c>
      <c r="J10" s="26">
        <v>34023</v>
      </c>
      <c r="K10" s="26">
        <v>33842</v>
      </c>
      <c r="L10" s="26">
        <v>33933</v>
      </c>
      <c r="M10" s="26">
        <v>33570</v>
      </c>
      <c r="N10" s="26">
        <v>31881</v>
      </c>
      <c r="O10" s="26">
        <v>32203</v>
      </c>
      <c r="P10" s="26">
        <v>32345</v>
      </c>
      <c r="Q10" s="26">
        <v>32250</v>
      </c>
      <c r="R10" s="26">
        <v>32168</v>
      </c>
      <c r="S10" s="26"/>
      <c r="T10" s="26"/>
    </row>
    <row r="11" spans="1:20" hidden="1" x14ac:dyDescent="0.2">
      <c r="A11" s="18">
        <f t="shared" si="1"/>
        <v>1981</v>
      </c>
      <c r="B11" s="26"/>
      <c r="C11" s="26">
        <v>16550</v>
      </c>
      <c r="D11" s="26">
        <v>28056</v>
      </c>
      <c r="E11" s="26">
        <v>39995</v>
      </c>
      <c r="F11" s="26">
        <v>42459</v>
      </c>
      <c r="G11" s="26">
        <v>42797</v>
      </c>
      <c r="H11" s="26">
        <v>42755</v>
      </c>
      <c r="I11" s="26">
        <v>42435</v>
      </c>
      <c r="J11" s="26">
        <v>42302</v>
      </c>
      <c r="K11" s="26">
        <v>42095</v>
      </c>
      <c r="L11" s="26">
        <v>41606</v>
      </c>
      <c r="M11" s="26">
        <v>40440</v>
      </c>
      <c r="N11" s="26">
        <v>40432</v>
      </c>
      <c r="O11" s="26">
        <v>40326</v>
      </c>
      <c r="P11" s="26">
        <v>40337</v>
      </c>
      <c r="Q11" s="26">
        <v>40096</v>
      </c>
      <c r="R11" s="26"/>
      <c r="S11" s="26"/>
      <c r="T11" s="26"/>
    </row>
    <row r="12" spans="1:20" hidden="1" x14ac:dyDescent="0.2">
      <c r="A12" s="18">
        <f t="shared" si="1"/>
        <v>1982</v>
      </c>
      <c r="B12" s="26"/>
      <c r="C12" s="26">
        <v>11100</v>
      </c>
      <c r="D12" s="26">
        <v>31620</v>
      </c>
      <c r="E12" s="26">
        <v>40852</v>
      </c>
      <c r="F12" s="26">
        <v>38831</v>
      </c>
      <c r="G12" s="26">
        <v>39516</v>
      </c>
      <c r="H12" s="26">
        <v>39870</v>
      </c>
      <c r="I12" s="26">
        <v>40358</v>
      </c>
      <c r="J12" s="26">
        <v>40355</v>
      </c>
      <c r="K12" s="26">
        <v>40116</v>
      </c>
      <c r="L12" s="26">
        <v>39888</v>
      </c>
      <c r="M12" s="26">
        <v>39898</v>
      </c>
      <c r="N12" s="26">
        <v>40147</v>
      </c>
      <c r="O12" s="26">
        <v>39827</v>
      </c>
      <c r="P12" s="26">
        <v>40200</v>
      </c>
      <c r="Q12" s="26"/>
      <c r="R12" s="26"/>
      <c r="S12" s="26"/>
      <c r="T12" s="26"/>
    </row>
    <row r="13" spans="1:20" hidden="1" x14ac:dyDescent="0.2">
      <c r="A13" s="18">
        <f t="shared" si="1"/>
        <v>1983</v>
      </c>
      <c r="B13" s="26"/>
      <c r="C13" s="26">
        <v>15677</v>
      </c>
      <c r="D13" s="26">
        <v>33074</v>
      </c>
      <c r="E13" s="26">
        <v>35592</v>
      </c>
      <c r="F13" s="26">
        <v>35721</v>
      </c>
      <c r="G13" s="26">
        <v>38652</v>
      </c>
      <c r="H13" s="26">
        <v>39418</v>
      </c>
      <c r="I13" s="26">
        <v>39223</v>
      </c>
      <c r="J13" s="26">
        <v>39696</v>
      </c>
      <c r="K13" s="26">
        <v>37769</v>
      </c>
      <c r="L13" s="26">
        <v>37894</v>
      </c>
      <c r="M13" s="26">
        <v>37369</v>
      </c>
      <c r="N13" s="26">
        <v>37345</v>
      </c>
      <c r="O13" s="26">
        <v>37075</v>
      </c>
      <c r="P13" s="26"/>
      <c r="Q13" s="26"/>
      <c r="R13" s="26"/>
      <c r="S13" s="26"/>
      <c r="T13" s="26"/>
    </row>
    <row r="14" spans="1:20" hidden="1" x14ac:dyDescent="0.2">
      <c r="A14" s="18">
        <f t="shared" si="1"/>
        <v>1984</v>
      </c>
      <c r="B14" s="26"/>
      <c r="C14" s="26">
        <v>20375</v>
      </c>
      <c r="D14" s="26">
        <v>33555</v>
      </c>
      <c r="E14" s="26">
        <v>41756</v>
      </c>
      <c r="F14" s="26">
        <v>45125</v>
      </c>
      <c r="G14" s="26">
        <v>47284</v>
      </c>
      <c r="H14" s="26">
        <v>51710</v>
      </c>
      <c r="I14" s="26">
        <v>52147</v>
      </c>
      <c r="J14" s="26">
        <v>51187</v>
      </c>
      <c r="K14" s="26">
        <v>51950</v>
      </c>
      <c r="L14" s="26">
        <v>50967</v>
      </c>
      <c r="M14" s="26">
        <v>51461</v>
      </c>
      <c r="N14" s="26">
        <v>51382</v>
      </c>
      <c r="O14" s="26"/>
      <c r="P14" s="26"/>
      <c r="Q14" s="26"/>
      <c r="R14" s="26"/>
      <c r="S14" s="26"/>
      <c r="T14" s="26"/>
    </row>
    <row r="15" spans="1:20" hidden="1" x14ac:dyDescent="0.2">
      <c r="A15" s="18">
        <f t="shared" si="1"/>
        <v>1985</v>
      </c>
      <c r="B15" s="26"/>
      <c r="C15" s="26">
        <v>9800</v>
      </c>
      <c r="D15" s="26">
        <v>24663</v>
      </c>
      <c r="E15" s="26">
        <v>36061</v>
      </c>
      <c r="F15" s="26">
        <v>37927</v>
      </c>
      <c r="G15" s="26">
        <v>40042</v>
      </c>
      <c r="H15" s="26">
        <v>40562</v>
      </c>
      <c r="I15" s="26">
        <v>40362</v>
      </c>
      <c r="J15" s="26">
        <v>40884</v>
      </c>
      <c r="K15" s="26">
        <v>40597</v>
      </c>
      <c r="L15" s="26">
        <v>41304</v>
      </c>
      <c r="M15" s="26">
        <v>42378</v>
      </c>
      <c r="N15" s="26"/>
      <c r="O15" s="26"/>
      <c r="P15" s="26"/>
      <c r="Q15" s="26"/>
      <c r="R15" s="26"/>
      <c r="S15" s="26"/>
      <c r="T15" s="26"/>
    </row>
    <row r="16" spans="1:20" hidden="1" x14ac:dyDescent="0.2">
      <c r="A16" s="18">
        <f t="shared" si="1"/>
        <v>1986</v>
      </c>
      <c r="B16" s="26"/>
      <c r="C16" s="26">
        <v>11380</v>
      </c>
      <c r="D16" s="26">
        <v>26843</v>
      </c>
      <c r="E16" s="26">
        <v>34931</v>
      </c>
      <c r="F16" s="26">
        <v>37805</v>
      </c>
      <c r="G16" s="26">
        <v>41277</v>
      </c>
      <c r="H16" s="26">
        <v>44901</v>
      </c>
      <c r="I16" s="26">
        <v>45867</v>
      </c>
      <c r="J16" s="26">
        <v>45404</v>
      </c>
      <c r="K16" s="26">
        <v>45347</v>
      </c>
      <c r="L16" s="26">
        <v>44383</v>
      </c>
      <c r="M16" s="26"/>
      <c r="N16" s="26"/>
      <c r="O16" s="26"/>
      <c r="P16" s="26"/>
      <c r="Q16" s="26"/>
      <c r="R16" s="26"/>
      <c r="S16" s="26"/>
      <c r="T16" s="26"/>
    </row>
    <row r="17" spans="1:20" hidden="1" x14ac:dyDescent="0.2">
      <c r="A17" s="18">
        <f t="shared" si="1"/>
        <v>1987</v>
      </c>
      <c r="B17" s="26"/>
      <c r="C17" s="26">
        <v>10226</v>
      </c>
      <c r="D17" s="26">
        <v>20511</v>
      </c>
      <c r="E17" s="26">
        <v>26882</v>
      </c>
      <c r="F17" s="26">
        <v>32326</v>
      </c>
      <c r="G17" s="26">
        <v>35257</v>
      </c>
      <c r="H17" s="26">
        <v>40557</v>
      </c>
      <c r="I17" s="26">
        <v>43753</v>
      </c>
      <c r="J17" s="26">
        <v>44609</v>
      </c>
      <c r="K17" s="26">
        <v>44196</v>
      </c>
      <c r="L17" s="26"/>
      <c r="M17" s="26"/>
      <c r="N17" s="26"/>
      <c r="O17" s="26"/>
      <c r="P17" s="26"/>
      <c r="Q17" s="26"/>
      <c r="R17" s="26"/>
      <c r="S17" s="26"/>
      <c r="T17" s="26"/>
    </row>
    <row r="18" spans="1:20" hidden="1" x14ac:dyDescent="0.2">
      <c r="A18" s="18">
        <f t="shared" si="1"/>
        <v>1988</v>
      </c>
      <c r="B18" s="26"/>
      <c r="C18" s="26">
        <v>8170</v>
      </c>
      <c r="D18" s="26">
        <v>18567</v>
      </c>
      <c r="E18" s="26">
        <v>26472</v>
      </c>
      <c r="F18" s="26">
        <v>33002</v>
      </c>
      <c r="G18" s="26">
        <v>36321</v>
      </c>
      <c r="H18" s="26">
        <v>37047</v>
      </c>
      <c r="I18" s="26">
        <v>39675</v>
      </c>
      <c r="J18" s="26">
        <v>40398</v>
      </c>
      <c r="K18" s="26"/>
      <c r="L18" s="26"/>
      <c r="M18" s="26"/>
      <c r="N18" s="26"/>
      <c r="O18" s="26"/>
      <c r="P18" s="26"/>
      <c r="Q18" s="26"/>
      <c r="R18" s="26"/>
      <c r="S18" s="26"/>
      <c r="T18" s="26"/>
    </row>
    <row r="19" spans="1:20" hidden="1" x14ac:dyDescent="0.2">
      <c r="A19" s="18">
        <f t="shared" si="1"/>
        <v>1989</v>
      </c>
      <c r="B19" s="26"/>
      <c r="C19" s="26">
        <v>10433</v>
      </c>
      <c r="D19" s="26">
        <v>19484</v>
      </c>
      <c r="E19" s="26">
        <v>32103</v>
      </c>
      <c r="F19" s="26">
        <v>38936</v>
      </c>
      <c r="G19" s="26">
        <v>45851</v>
      </c>
      <c r="H19" s="26">
        <v>45133</v>
      </c>
      <c r="I19" s="26">
        <v>45501</v>
      </c>
      <c r="J19" s="26"/>
      <c r="K19" s="26"/>
      <c r="L19" s="26"/>
      <c r="M19" s="26"/>
      <c r="N19" s="26"/>
      <c r="O19" s="26"/>
      <c r="P19" s="26"/>
      <c r="Q19" s="26"/>
      <c r="R19" s="26"/>
      <c r="S19" s="26"/>
      <c r="T19" s="26"/>
    </row>
    <row r="20" spans="1:20" hidden="1" x14ac:dyDescent="0.2">
      <c r="A20" s="18">
        <f t="shared" si="1"/>
        <v>1990</v>
      </c>
      <c r="B20" s="26"/>
      <c r="C20" s="26">
        <v>9661</v>
      </c>
      <c r="D20" s="26">
        <v>23808</v>
      </c>
      <c r="E20" s="26">
        <v>32966</v>
      </c>
      <c r="F20" s="26">
        <v>42907</v>
      </c>
      <c r="G20" s="26">
        <v>46930</v>
      </c>
      <c r="H20" s="26">
        <v>49300</v>
      </c>
      <c r="I20" s="26"/>
      <c r="J20" s="26"/>
      <c r="K20" s="26"/>
      <c r="L20" s="26"/>
      <c r="M20" s="26"/>
      <c r="N20" s="26"/>
      <c r="O20" s="26"/>
      <c r="P20" s="26"/>
      <c r="Q20" s="26"/>
      <c r="R20" s="26"/>
      <c r="S20" s="26"/>
      <c r="T20" s="26"/>
    </row>
    <row r="21" spans="1:20" hidden="1" x14ac:dyDescent="0.2">
      <c r="A21" s="18">
        <f t="shared" si="1"/>
        <v>1991</v>
      </c>
      <c r="B21" s="26"/>
      <c r="C21" s="26">
        <v>14275</v>
      </c>
      <c r="D21" s="26">
        <v>25551</v>
      </c>
      <c r="E21" s="26">
        <v>33754</v>
      </c>
      <c r="F21" s="26">
        <v>38674</v>
      </c>
      <c r="G21" s="26">
        <v>41132</v>
      </c>
      <c r="H21" s="26"/>
      <c r="I21" s="26"/>
      <c r="J21" s="26"/>
      <c r="K21" s="26"/>
      <c r="L21" s="26"/>
      <c r="M21" s="26"/>
      <c r="N21" s="26"/>
      <c r="O21" s="26"/>
      <c r="P21" s="26"/>
      <c r="Q21" s="26"/>
      <c r="R21" s="26"/>
      <c r="S21" s="26"/>
      <c r="T21" s="26"/>
    </row>
    <row r="22" spans="1:20" hidden="1" x14ac:dyDescent="0.2">
      <c r="A22" s="18">
        <f t="shared" si="1"/>
        <v>1992</v>
      </c>
      <c r="B22" s="26"/>
      <c r="C22" s="26">
        <v>13245</v>
      </c>
      <c r="D22" s="26">
        <v>29206</v>
      </c>
      <c r="E22" s="26">
        <v>36987</v>
      </c>
      <c r="F22" s="26">
        <v>44075</v>
      </c>
      <c r="G22" s="26"/>
      <c r="H22" s="26"/>
      <c r="I22" s="26"/>
      <c r="J22" s="26"/>
      <c r="K22" s="26"/>
      <c r="L22" s="26"/>
      <c r="M22" s="26"/>
      <c r="N22" s="26"/>
      <c r="O22" s="26"/>
      <c r="P22" s="26"/>
      <c r="Q22" s="26"/>
      <c r="R22" s="26"/>
      <c r="S22" s="26"/>
      <c r="T22" s="26"/>
    </row>
    <row r="23" spans="1:20" hidden="1" x14ac:dyDescent="0.2">
      <c r="A23" s="18">
        <f t="shared" si="1"/>
        <v>1993</v>
      </c>
      <c r="B23" s="26"/>
      <c r="C23" s="26">
        <v>14711</v>
      </c>
      <c r="D23" s="26">
        <v>27082</v>
      </c>
      <c r="E23" s="26">
        <v>34230</v>
      </c>
      <c r="F23" s="26"/>
      <c r="G23" s="26"/>
      <c r="H23" s="26"/>
      <c r="I23" s="26"/>
      <c r="J23" s="26"/>
      <c r="K23" s="26"/>
      <c r="L23" s="26"/>
      <c r="M23" s="26"/>
      <c r="N23" s="26"/>
      <c r="O23" s="26"/>
      <c r="P23" s="26"/>
      <c r="Q23" s="26"/>
      <c r="R23" s="26"/>
      <c r="S23" s="26"/>
      <c r="T23" s="26"/>
    </row>
    <row r="24" spans="1:20" hidden="1" x14ac:dyDescent="0.2">
      <c r="A24" s="18">
        <f t="shared" si="1"/>
        <v>1994</v>
      </c>
      <c r="B24" s="26"/>
      <c r="C24" s="26">
        <v>12476</v>
      </c>
      <c r="D24" s="26">
        <v>23126</v>
      </c>
      <c r="E24" s="26"/>
      <c r="F24" s="26"/>
      <c r="G24" s="26"/>
      <c r="H24" s="26"/>
      <c r="I24" s="26"/>
      <c r="J24" s="26"/>
      <c r="K24" s="26"/>
      <c r="L24" s="26"/>
      <c r="M24" s="26"/>
      <c r="N24" s="26"/>
      <c r="O24" s="26"/>
      <c r="P24" s="26"/>
      <c r="Q24" s="26"/>
      <c r="R24" s="26"/>
      <c r="S24" s="26"/>
      <c r="T24" s="26"/>
    </row>
    <row r="25" spans="1:20" hidden="1" x14ac:dyDescent="0.2">
      <c r="A25" s="18">
        <f t="shared" si="1"/>
        <v>1995</v>
      </c>
      <c r="B25" s="26"/>
      <c r="C25" s="26">
        <v>9715</v>
      </c>
      <c r="D25" s="26"/>
      <c r="E25" s="26"/>
      <c r="F25" s="26"/>
      <c r="G25" s="26"/>
      <c r="H25" s="26"/>
      <c r="I25" s="26"/>
      <c r="J25" s="26"/>
      <c r="K25" s="26"/>
      <c r="L25" s="26"/>
      <c r="M25" s="26"/>
      <c r="N25" s="26"/>
      <c r="O25" s="26"/>
      <c r="P25" s="26"/>
      <c r="Q25" s="26"/>
      <c r="R25" s="26"/>
      <c r="S25" s="26"/>
      <c r="T25" s="26"/>
    </row>
    <row r="27" spans="1:20" x14ac:dyDescent="0.2">
      <c r="A27" s="19" t="s">
        <v>211</v>
      </c>
      <c r="B27" s="20" t="s">
        <v>215</v>
      </c>
      <c r="C27" s="16" t="s">
        <v>216</v>
      </c>
      <c r="D27" s="21"/>
      <c r="E27" s="21"/>
      <c r="F27" s="21"/>
      <c r="G27" s="21"/>
      <c r="H27" s="21"/>
      <c r="I27" s="21"/>
      <c r="J27" s="21"/>
      <c r="K27" s="21"/>
      <c r="L27" s="21"/>
      <c r="M27" s="21"/>
      <c r="N27" s="21"/>
      <c r="O27" s="21"/>
      <c r="P27" s="21"/>
      <c r="Q27" s="21"/>
      <c r="R27" s="21"/>
      <c r="S27" s="21"/>
      <c r="T27" s="21"/>
    </row>
    <row r="28" spans="1:20" x14ac:dyDescent="0.2">
      <c r="A28" s="23" t="s">
        <v>213</v>
      </c>
      <c r="B28" s="24" t="s">
        <v>217</v>
      </c>
      <c r="C28" s="21">
        <v>0</v>
      </c>
      <c r="D28" s="21">
        <f t="shared" ref="D28:T28" si="2">C28+1</f>
        <v>1</v>
      </c>
      <c r="E28" s="21">
        <f t="shared" si="2"/>
        <v>2</v>
      </c>
      <c r="F28" s="21">
        <f t="shared" si="2"/>
        <v>3</v>
      </c>
      <c r="G28" s="21">
        <f t="shared" si="2"/>
        <v>4</v>
      </c>
      <c r="H28" s="21">
        <f t="shared" si="2"/>
        <v>5</v>
      </c>
      <c r="I28" s="21">
        <f t="shared" si="2"/>
        <v>6</v>
      </c>
      <c r="J28" s="21">
        <f t="shared" si="2"/>
        <v>7</v>
      </c>
      <c r="K28" s="21">
        <f t="shared" si="2"/>
        <v>8</v>
      </c>
      <c r="L28" s="21">
        <f t="shared" si="2"/>
        <v>9</v>
      </c>
      <c r="M28" s="21">
        <f t="shared" si="2"/>
        <v>10</v>
      </c>
      <c r="N28" s="21">
        <f t="shared" si="2"/>
        <v>11</v>
      </c>
      <c r="O28" s="21">
        <f t="shared" si="2"/>
        <v>12</v>
      </c>
      <c r="P28" s="21">
        <f t="shared" si="2"/>
        <v>13</v>
      </c>
      <c r="Q28" s="21">
        <f t="shared" si="2"/>
        <v>14</v>
      </c>
      <c r="R28" s="21">
        <f t="shared" si="2"/>
        <v>15</v>
      </c>
      <c r="S28" s="21">
        <f t="shared" si="2"/>
        <v>16</v>
      </c>
      <c r="T28" s="21">
        <f t="shared" si="2"/>
        <v>17</v>
      </c>
    </row>
    <row r="29" spans="1:20" x14ac:dyDescent="0.2">
      <c r="C29" s="25" t="s">
        <v>214</v>
      </c>
      <c r="D29" s="25" t="s">
        <v>214</v>
      </c>
      <c r="E29" s="25" t="s">
        <v>214</v>
      </c>
      <c r="F29" s="25" t="s">
        <v>214</v>
      </c>
      <c r="G29" s="25" t="s">
        <v>214</v>
      </c>
      <c r="H29" s="25" t="s">
        <v>214</v>
      </c>
      <c r="I29" s="25" t="s">
        <v>214</v>
      </c>
      <c r="J29" s="25" t="s">
        <v>214</v>
      </c>
      <c r="K29" s="25" t="s">
        <v>214</v>
      </c>
      <c r="L29" s="25" t="s">
        <v>214</v>
      </c>
      <c r="M29" s="25" t="s">
        <v>214</v>
      </c>
      <c r="N29" s="25" t="s">
        <v>214</v>
      </c>
      <c r="O29" s="25" t="s">
        <v>214</v>
      </c>
      <c r="P29" s="25" t="s">
        <v>214</v>
      </c>
      <c r="Q29" s="25" t="s">
        <v>214</v>
      </c>
      <c r="R29" s="25" t="s">
        <v>214</v>
      </c>
      <c r="S29" s="25" t="s">
        <v>214</v>
      </c>
      <c r="T29" s="25" t="s">
        <v>214</v>
      </c>
    </row>
    <row r="31" spans="1:20" x14ac:dyDescent="0.2">
      <c r="A31" s="18">
        <f t="shared" ref="A31:A48" si="3">A8</f>
        <v>1978</v>
      </c>
      <c r="B31" s="27">
        <v>1</v>
      </c>
      <c r="C31" s="26">
        <f t="shared" ref="C31:C48" si="4">C8*B31</f>
        <v>9268</v>
      </c>
      <c r="D31" s="26">
        <f t="shared" ref="D31:D47" si="5">D8*B32</f>
        <v>18263</v>
      </c>
      <c r="E31" s="26">
        <f t="shared" ref="E31:E45" si="6">E8*B33</f>
        <v>20182</v>
      </c>
      <c r="F31" s="26">
        <f t="shared" ref="F31:F45" si="7">F8*B34</f>
        <v>22383</v>
      </c>
      <c r="G31" s="26">
        <f t="shared" ref="G31:G44" si="8">G8*B35</f>
        <v>22782</v>
      </c>
      <c r="H31" s="26">
        <f t="shared" ref="H31:H43" si="9">H8*B36</f>
        <v>26348</v>
      </c>
      <c r="I31" s="26">
        <f t="shared" ref="I31:I42" si="10">I8*B37</f>
        <v>26172</v>
      </c>
      <c r="J31" s="26">
        <f t="shared" ref="J31:J41" si="11">J8*B38</f>
        <v>26184</v>
      </c>
      <c r="K31" s="26">
        <f t="shared" ref="K31:K40" si="12">K8*B39</f>
        <v>25455</v>
      </c>
      <c r="L31" s="26">
        <f t="shared" ref="L31:L39" si="13">L8*B40</f>
        <v>25740</v>
      </c>
      <c r="M31" s="26">
        <f t="shared" ref="M31:M38" si="14">M8*B41</f>
        <v>25711</v>
      </c>
      <c r="N31" s="26">
        <f t="shared" ref="N31:N37" si="15">N8*B42</f>
        <v>25452</v>
      </c>
      <c r="O31" s="26">
        <f t="shared" ref="O31:O36" si="16">O8*B43</f>
        <v>25460</v>
      </c>
      <c r="P31" s="26">
        <f>P8*B44</f>
        <v>25422</v>
      </c>
      <c r="Q31" s="26">
        <f>Q8*B45</f>
        <v>25386</v>
      </c>
      <c r="R31" s="26">
        <f>R8*B46</f>
        <v>25520</v>
      </c>
      <c r="S31" s="26">
        <f>S8*B47</f>
        <v>25646</v>
      </c>
      <c r="T31" s="26">
        <f>T8*B48</f>
        <v>25469</v>
      </c>
    </row>
    <row r="32" spans="1:20" x14ac:dyDescent="0.2">
      <c r="A32" s="18">
        <f t="shared" si="3"/>
        <v>1979</v>
      </c>
      <c r="B32" s="27">
        <f>B31</f>
        <v>1</v>
      </c>
      <c r="C32" s="26">
        <f t="shared" si="4"/>
        <v>9848</v>
      </c>
      <c r="D32" s="26">
        <f t="shared" si="5"/>
        <v>16123</v>
      </c>
      <c r="E32" s="26">
        <f t="shared" si="6"/>
        <v>17099</v>
      </c>
      <c r="F32" s="26">
        <f t="shared" si="7"/>
        <v>18544</v>
      </c>
      <c r="G32" s="26">
        <f t="shared" si="8"/>
        <v>20534</v>
      </c>
      <c r="H32" s="26">
        <f t="shared" si="9"/>
        <v>21554</v>
      </c>
      <c r="I32" s="26">
        <f t="shared" si="10"/>
        <v>23219</v>
      </c>
      <c r="J32" s="26">
        <f t="shared" si="11"/>
        <v>22381</v>
      </c>
      <c r="K32" s="26">
        <f t="shared" si="12"/>
        <v>21584</v>
      </c>
      <c r="L32" s="26">
        <f t="shared" si="13"/>
        <v>21408</v>
      </c>
      <c r="M32" s="26">
        <f t="shared" si="14"/>
        <v>20857</v>
      </c>
      <c r="N32" s="26">
        <f t="shared" si="15"/>
        <v>21163</v>
      </c>
      <c r="O32" s="26">
        <f t="shared" si="16"/>
        <v>20482</v>
      </c>
      <c r="P32" s="26">
        <f>P9*B45</f>
        <v>19971</v>
      </c>
      <c r="Q32" s="26">
        <f>Q9*B46</f>
        <v>19958</v>
      </c>
      <c r="R32" s="26">
        <f>R9*B47</f>
        <v>19947</v>
      </c>
      <c r="S32" s="26">
        <f>S9*B48</f>
        <v>19991</v>
      </c>
      <c r="T32" s="26"/>
    </row>
    <row r="33" spans="1:20" x14ac:dyDescent="0.2">
      <c r="A33" s="18">
        <f t="shared" si="3"/>
        <v>1980</v>
      </c>
      <c r="B33" s="27">
        <f t="shared" ref="B33:B48" si="17">B32</f>
        <v>1</v>
      </c>
      <c r="C33" s="26">
        <f t="shared" si="4"/>
        <v>13990</v>
      </c>
      <c r="D33" s="26">
        <f t="shared" si="5"/>
        <v>22484</v>
      </c>
      <c r="E33" s="26">
        <f t="shared" si="6"/>
        <v>24950</v>
      </c>
      <c r="F33" s="26">
        <f t="shared" si="7"/>
        <v>33255</v>
      </c>
      <c r="G33" s="26">
        <f t="shared" si="8"/>
        <v>33295</v>
      </c>
      <c r="H33" s="26">
        <f t="shared" si="9"/>
        <v>34308</v>
      </c>
      <c r="I33" s="26">
        <f t="shared" si="10"/>
        <v>34022</v>
      </c>
      <c r="J33" s="26">
        <f t="shared" si="11"/>
        <v>34023</v>
      </c>
      <c r="K33" s="26">
        <f t="shared" si="12"/>
        <v>33842</v>
      </c>
      <c r="L33" s="26">
        <f t="shared" si="13"/>
        <v>33933</v>
      </c>
      <c r="M33" s="26">
        <f t="shared" si="14"/>
        <v>33570</v>
      </c>
      <c r="N33" s="26">
        <f t="shared" si="15"/>
        <v>31881</v>
      </c>
      <c r="O33" s="26">
        <f t="shared" si="16"/>
        <v>32203</v>
      </c>
      <c r="P33" s="26">
        <f>P10*B46</f>
        <v>32345</v>
      </c>
      <c r="Q33" s="26">
        <f>Q10*B47</f>
        <v>32250</v>
      </c>
      <c r="R33" s="26">
        <f>R10*B48</f>
        <v>32168</v>
      </c>
      <c r="S33" s="26"/>
      <c r="T33" s="26"/>
    </row>
    <row r="34" spans="1:20" x14ac:dyDescent="0.2">
      <c r="A34" s="18">
        <f t="shared" si="3"/>
        <v>1981</v>
      </c>
      <c r="B34" s="27">
        <f t="shared" si="17"/>
        <v>1</v>
      </c>
      <c r="C34" s="26">
        <f t="shared" si="4"/>
        <v>16550</v>
      </c>
      <c r="D34" s="26">
        <f t="shared" si="5"/>
        <v>28056</v>
      </c>
      <c r="E34" s="26">
        <f t="shared" si="6"/>
        <v>39995</v>
      </c>
      <c r="F34" s="26">
        <f t="shared" si="7"/>
        <v>42459</v>
      </c>
      <c r="G34" s="26">
        <f t="shared" si="8"/>
        <v>42797</v>
      </c>
      <c r="H34" s="26">
        <f t="shared" si="9"/>
        <v>42755</v>
      </c>
      <c r="I34" s="26">
        <f t="shared" si="10"/>
        <v>42435</v>
      </c>
      <c r="J34" s="26">
        <f t="shared" si="11"/>
        <v>42302</v>
      </c>
      <c r="K34" s="26">
        <f t="shared" si="12"/>
        <v>42095</v>
      </c>
      <c r="L34" s="26">
        <f t="shared" si="13"/>
        <v>41606</v>
      </c>
      <c r="M34" s="26">
        <f t="shared" si="14"/>
        <v>40440</v>
      </c>
      <c r="N34" s="26">
        <f t="shared" si="15"/>
        <v>40432</v>
      </c>
      <c r="O34" s="26">
        <f t="shared" si="16"/>
        <v>40326</v>
      </c>
      <c r="P34" s="26">
        <f>P11*B47</f>
        <v>40337</v>
      </c>
      <c r="Q34" s="26">
        <f>Q11*B48</f>
        <v>40096</v>
      </c>
      <c r="R34" s="26"/>
      <c r="S34" s="26"/>
      <c r="T34" s="26"/>
    </row>
    <row r="35" spans="1:20" x14ac:dyDescent="0.2">
      <c r="A35" s="18">
        <f t="shared" si="3"/>
        <v>1982</v>
      </c>
      <c r="B35" s="27">
        <f t="shared" si="17"/>
        <v>1</v>
      </c>
      <c r="C35" s="26">
        <f t="shared" si="4"/>
        <v>11100</v>
      </c>
      <c r="D35" s="26">
        <f t="shared" si="5"/>
        <v>31620</v>
      </c>
      <c r="E35" s="26">
        <f t="shared" si="6"/>
        <v>40852</v>
      </c>
      <c r="F35" s="26">
        <f t="shared" si="7"/>
        <v>38831</v>
      </c>
      <c r="G35" s="26">
        <f t="shared" si="8"/>
        <v>39516</v>
      </c>
      <c r="H35" s="26">
        <f t="shared" si="9"/>
        <v>39870</v>
      </c>
      <c r="I35" s="26">
        <f t="shared" si="10"/>
        <v>40358</v>
      </c>
      <c r="J35" s="26">
        <f t="shared" si="11"/>
        <v>40355</v>
      </c>
      <c r="K35" s="26">
        <f t="shared" si="12"/>
        <v>40116</v>
      </c>
      <c r="L35" s="26">
        <f t="shared" si="13"/>
        <v>39888</v>
      </c>
      <c r="M35" s="26">
        <f t="shared" si="14"/>
        <v>39898</v>
      </c>
      <c r="N35" s="26">
        <f t="shared" si="15"/>
        <v>40147</v>
      </c>
      <c r="O35" s="26">
        <f t="shared" si="16"/>
        <v>39827</v>
      </c>
      <c r="P35" s="26">
        <f>P12*B48</f>
        <v>40200</v>
      </c>
      <c r="Q35" s="26"/>
      <c r="R35" s="26"/>
      <c r="S35" s="26"/>
      <c r="T35" s="26"/>
    </row>
    <row r="36" spans="1:20" x14ac:dyDescent="0.2">
      <c r="A36" s="18">
        <f t="shared" si="3"/>
        <v>1983</v>
      </c>
      <c r="B36" s="27">
        <f t="shared" si="17"/>
        <v>1</v>
      </c>
      <c r="C36" s="26">
        <f t="shared" si="4"/>
        <v>15677</v>
      </c>
      <c r="D36" s="26">
        <f t="shared" si="5"/>
        <v>33074</v>
      </c>
      <c r="E36" s="26">
        <f t="shared" si="6"/>
        <v>35592</v>
      </c>
      <c r="F36" s="26">
        <f t="shared" si="7"/>
        <v>35721</v>
      </c>
      <c r="G36" s="26">
        <f t="shared" si="8"/>
        <v>38652</v>
      </c>
      <c r="H36" s="26">
        <f t="shared" si="9"/>
        <v>39418</v>
      </c>
      <c r="I36" s="26">
        <f t="shared" si="10"/>
        <v>39223</v>
      </c>
      <c r="J36" s="26">
        <f t="shared" si="11"/>
        <v>39696</v>
      </c>
      <c r="K36" s="26">
        <f t="shared" si="12"/>
        <v>37769</v>
      </c>
      <c r="L36" s="26">
        <f t="shared" si="13"/>
        <v>37894</v>
      </c>
      <c r="M36" s="26">
        <f t="shared" si="14"/>
        <v>37369</v>
      </c>
      <c r="N36" s="26">
        <f t="shared" si="15"/>
        <v>37345</v>
      </c>
      <c r="O36" s="26">
        <f t="shared" si="16"/>
        <v>37075</v>
      </c>
      <c r="P36" s="26"/>
      <c r="Q36" s="26"/>
      <c r="R36" s="26"/>
      <c r="S36" s="26"/>
      <c r="T36" s="26"/>
    </row>
    <row r="37" spans="1:20" x14ac:dyDescent="0.2">
      <c r="A37" s="18">
        <f t="shared" si="3"/>
        <v>1984</v>
      </c>
      <c r="B37" s="27">
        <f t="shared" si="17"/>
        <v>1</v>
      </c>
      <c r="C37" s="26">
        <f t="shared" si="4"/>
        <v>20375</v>
      </c>
      <c r="D37" s="26">
        <f t="shared" si="5"/>
        <v>33555</v>
      </c>
      <c r="E37" s="26">
        <f t="shared" si="6"/>
        <v>41756</v>
      </c>
      <c r="F37" s="26">
        <f t="shared" si="7"/>
        <v>45125</v>
      </c>
      <c r="G37" s="26">
        <f t="shared" si="8"/>
        <v>47284</v>
      </c>
      <c r="H37" s="26">
        <f t="shared" si="9"/>
        <v>51710</v>
      </c>
      <c r="I37" s="26">
        <f t="shared" si="10"/>
        <v>52147</v>
      </c>
      <c r="J37" s="26">
        <f t="shared" si="11"/>
        <v>51187</v>
      </c>
      <c r="K37" s="26">
        <f t="shared" si="12"/>
        <v>51950</v>
      </c>
      <c r="L37" s="26">
        <f t="shared" si="13"/>
        <v>50967</v>
      </c>
      <c r="M37" s="26">
        <f t="shared" si="14"/>
        <v>51461</v>
      </c>
      <c r="N37" s="26">
        <f t="shared" si="15"/>
        <v>51382</v>
      </c>
      <c r="O37" s="26"/>
      <c r="P37" s="26"/>
      <c r="Q37" s="26"/>
      <c r="R37" s="26"/>
      <c r="S37" s="26"/>
      <c r="T37" s="26"/>
    </row>
    <row r="38" spans="1:20" x14ac:dyDescent="0.2">
      <c r="A38" s="18">
        <f t="shared" si="3"/>
        <v>1985</v>
      </c>
      <c r="B38" s="27">
        <f t="shared" si="17"/>
        <v>1</v>
      </c>
      <c r="C38" s="26">
        <f t="shared" si="4"/>
        <v>9800</v>
      </c>
      <c r="D38" s="26">
        <f t="shared" si="5"/>
        <v>24663</v>
      </c>
      <c r="E38" s="26">
        <f t="shared" si="6"/>
        <v>36061</v>
      </c>
      <c r="F38" s="26">
        <f t="shared" si="7"/>
        <v>37927</v>
      </c>
      <c r="G38" s="26">
        <f t="shared" si="8"/>
        <v>40042</v>
      </c>
      <c r="H38" s="26">
        <f t="shared" si="9"/>
        <v>40562</v>
      </c>
      <c r="I38" s="26">
        <f t="shared" si="10"/>
        <v>40362</v>
      </c>
      <c r="J38" s="26">
        <f t="shared" si="11"/>
        <v>40884</v>
      </c>
      <c r="K38" s="26">
        <f t="shared" si="12"/>
        <v>40597</v>
      </c>
      <c r="L38" s="26">
        <f t="shared" si="13"/>
        <v>41304</v>
      </c>
      <c r="M38" s="26">
        <f t="shared" si="14"/>
        <v>42378</v>
      </c>
      <c r="N38" s="26"/>
      <c r="O38" s="26"/>
      <c r="P38" s="26"/>
      <c r="Q38" s="26"/>
      <c r="R38" s="26"/>
      <c r="S38" s="26"/>
      <c r="T38" s="26"/>
    </row>
    <row r="39" spans="1:20" x14ac:dyDescent="0.2">
      <c r="A39" s="18">
        <f t="shared" si="3"/>
        <v>1986</v>
      </c>
      <c r="B39" s="27">
        <f t="shared" si="17"/>
        <v>1</v>
      </c>
      <c r="C39" s="26">
        <f t="shared" si="4"/>
        <v>11380</v>
      </c>
      <c r="D39" s="26">
        <f t="shared" si="5"/>
        <v>26843</v>
      </c>
      <c r="E39" s="26">
        <f t="shared" si="6"/>
        <v>34931</v>
      </c>
      <c r="F39" s="26">
        <f t="shared" si="7"/>
        <v>37805</v>
      </c>
      <c r="G39" s="26">
        <f t="shared" si="8"/>
        <v>41277</v>
      </c>
      <c r="H39" s="26">
        <f t="shared" si="9"/>
        <v>44901</v>
      </c>
      <c r="I39" s="26">
        <f t="shared" si="10"/>
        <v>45867</v>
      </c>
      <c r="J39" s="26">
        <f t="shared" si="11"/>
        <v>45404</v>
      </c>
      <c r="K39" s="26">
        <f t="shared" si="12"/>
        <v>45347</v>
      </c>
      <c r="L39" s="26">
        <f t="shared" si="13"/>
        <v>44383</v>
      </c>
      <c r="M39" s="26"/>
      <c r="N39" s="26"/>
      <c r="O39" s="26"/>
      <c r="P39" s="26"/>
      <c r="Q39" s="26"/>
      <c r="R39" s="26"/>
      <c r="S39" s="26"/>
      <c r="T39" s="26"/>
    </row>
    <row r="40" spans="1:20" x14ac:dyDescent="0.2">
      <c r="A40" s="18">
        <f t="shared" si="3"/>
        <v>1987</v>
      </c>
      <c r="B40" s="27">
        <f t="shared" si="17"/>
        <v>1</v>
      </c>
      <c r="C40" s="26">
        <f t="shared" si="4"/>
        <v>10226</v>
      </c>
      <c r="D40" s="26">
        <f t="shared" si="5"/>
        <v>20511</v>
      </c>
      <c r="E40" s="26">
        <f>E17*B42</f>
        <v>26882</v>
      </c>
      <c r="F40" s="26">
        <f t="shared" si="7"/>
        <v>32326</v>
      </c>
      <c r="G40" s="26">
        <f t="shared" si="8"/>
        <v>35257</v>
      </c>
      <c r="H40" s="26">
        <f t="shared" si="9"/>
        <v>40557</v>
      </c>
      <c r="I40" s="26">
        <f t="shared" si="10"/>
        <v>43753</v>
      </c>
      <c r="J40" s="26">
        <f t="shared" si="11"/>
        <v>44609</v>
      </c>
      <c r="K40" s="26">
        <f t="shared" si="12"/>
        <v>44196</v>
      </c>
      <c r="L40" s="26"/>
      <c r="M40" s="26"/>
      <c r="N40" s="26"/>
      <c r="O40" s="26"/>
      <c r="P40" s="26"/>
      <c r="Q40" s="26"/>
      <c r="R40" s="26"/>
      <c r="S40" s="26"/>
      <c r="T40" s="26"/>
    </row>
    <row r="41" spans="1:20" x14ac:dyDescent="0.2">
      <c r="A41" s="18">
        <f t="shared" si="3"/>
        <v>1988</v>
      </c>
      <c r="B41" s="27">
        <f t="shared" si="17"/>
        <v>1</v>
      </c>
      <c r="C41" s="26">
        <f t="shared" si="4"/>
        <v>8170</v>
      </c>
      <c r="D41" s="26">
        <f t="shared" si="5"/>
        <v>18567</v>
      </c>
      <c r="E41" s="26">
        <f t="shared" si="6"/>
        <v>26472</v>
      </c>
      <c r="F41" s="26">
        <f t="shared" si="7"/>
        <v>33002</v>
      </c>
      <c r="G41" s="26">
        <f t="shared" si="8"/>
        <v>36321</v>
      </c>
      <c r="H41" s="26">
        <f t="shared" si="9"/>
        <v>37047</v>
      </c>
      <c r="I41" s="26">
        <f t="shared" si="10"/>
        <v>39675</v>
      </c>
      <c r="J41" s="26">
        <f t="shared" si="11"/>
        <v>40398</v>
      </c>
      <c r="K41" s="26"/>
      <c r="L41" s="26"/>
      <c r="M41" s="26"/>
      <c r="N41" s="26"/>
      <c r="O41" s="26"/>
      <c r="P41" s="26"/>
      <c r="Q41" s="26"/>
      <c r="R41" s="26"/>
      <c r="S41" s="26"/>
      <c r="T41" s="26"/>
    </row>
    <row r="42" spans="1:20" x14ac:dyDescent="0.2">
      <c r="A42" s="18">
        <f t="shared" si="3"/>
        <v>1989</v>
      </c>
      <c r="B42" s="27">
        <f t="shared" si="17"/>
        <v>1</v>
      </c>
      <c r="C42" s="26">
        <f t="shared" si="4"/>
        <v>10433</v>
      </c>
      <c r="D42" s="26">
        <f t="shared" si="5"/>
        <v>19484</v>
      </c>
      <c r="E42" s="26">
        <f t="shared" si="6"/>
        <v>32103</v>
      </c>
      <c r="F42" s="26">
        <f t="shared" si="7"/>
        <v>38936</v>
      </c>
      <c r="G42" s="26">
        <f t="shared" si="8"/>
        <v>45851</v>
      </c>
      <c r="H42" s="26">
        <f t="shared" si="9"/>
        <v>45133</v>
      </c>
      <c r="I42" s="26">
        <f t="shared" si="10"/>
        <v>45501</v>
      </c>
      <c r="J42" s="26"/>
      <c r="K42" s="26"/>
      <c r="L42" s="26"/>
      <c r="M42" s="26"/>
      <c r="N42" s="26"/>
      <c r="O42" s="26"/>
      <c r="P42" s="26"/>
      <c r="Q42" s="26"/>
      <c r="R42" s="26"/>
      <c r="S42" s="26"/>
      <c r="T42" s="26"/>
    </row>
    <row r="43" spans="1:20" x14ac:dyDescent="0.2">
      <c r="A43" s="18">
        <f t="shared" si="3"/>
        <v>1990</v>
      </c>
      <c r="B43" s="27">
        <f t="shared" si="17"/>
        <v>1</v>
      </c>
      <c r="C43" s="26">
        <f t="shared" si="4"/>
        <v>9661</v>
      </c>
      <c r="D43" s="26">
        <f t="shared" si="5"/>
        <v>23808</v>
      </c>
      <c r="E43" s="26">
        <f t="shared" si="6"/>
        <v>32966</v>
      </c>
      <c r="F43" s="26">
        <f t="shared" si="7"/>
        <v>42907</v>
      </c>
      <c r="G43" s="26">
        <f t="shared" si="8"/>
        <v>46930</v>
      </c>
      <c r="H43" s="26">
        <f t="shared" si="9"/>
        <v>49300</v>
      </c>
      <c r="I43" s="26"/>
      <c r="J43" s="26"/>
      <c r="K43" s="26"/>
      <c r="L43" s="26"/>
      <c r="M43" s="26"/>
      <c r="N43" s="26"/>
      <c r="O43" s="26"/>
      <c r="P43" s="26"/>
      <c r="Q43" s="26"/>
      <c r="R43" s="26"/>
      <c r="S43" s="26"/>
      <c r="T43" s="26"/>
    </row>
    <row r="44" spans="1:20" x14ac:dyDescent="0.2">
      <c r="A44" s="18">
        <f t="shared" si="3"/>
        <v>1991</v>
      </c>
      <c r="B44" s="27">
        <f t="shared" si="17"/>
        <v>1</v>
      </c>
      <c r="C44" s="26">
        <f t="shared" si="4"/>
        <v>14275</v>
      </c>
      <c r="D44" s="26">
        <f t="shared" si="5"/>
        <v>25551</v>
      </c>
      <c r="E44" s="26">
        <f t="shared" si="6"/>
        <v>33754</v>
      </c>
      <c r="F44" s="26">
        <f t="shared" si="7"/>
        <v>38674</v>
      </c>
      <c r="G44" s="26">
        <f t="shared" si="8"/>
        <v>41132</v>
      </c>
      <c r="H44" s="26"/>
      <c r="I44" s="26"/>
      <c r="J44" s="26"/>
      <c r="K44" s="26"/>
      <c r="L44" s="26"/>
      <c r="M44" s="26"/>
      <c r="N44" s="26"/>
      <c r="O44" s="26"/>
      <c r="P44" s="26"/>
      <c r="Q44" s="26"/>
      <c r="R44" s="26"/>
      <c r="S44" s="26"/>
      <c r="T44" s="26"/>
    </row>
    <row r="45" spans="1:20" x14ac:dyDescent="0.2">
      <c r="A45" s="18">
        <f t="shared" si="3"/>
        <v>1992</v>
      </c>
      <c r="B45" s="27">
        <f t="shared" si="17"/>
        <v>1</v>
      </c>
      <c r="C45" s="26">
        <f t="shared" si="4"/>
        <v>13245</v>
      </c>
      <c r="D45" s="26">
        <f t="shared" si="5"/>
        <v>29206</v>
      </c>
      <c r="E45" s="26">
        <f t="shared" si="6"/>
        <v>36987</v>
      </c>
      <c r="F45" s="26">
        <f t="shared" si="7"/>
        <v>44075</v>
      </c>
      <c r="G45" s="26"/>
      <c r="H45" s="26"/>
      <c r="I45" s="26"/>
      <c r="J45" s="26"/>
      <c r="K45" s="26"/>
      <c r="L45" s="26"/>
      <c r="M45" s="26"/>
      <c r="N45" s="26"/>
      <c r="O45" s="26"/>
      <c r="P45" s="26"/>
      <c r="Q45" s="26"/>
      <c r="R45" s="26"/>
      <c r="S45" s="26"/>
      <c r="T45" s="26"/>
    </row>
    <row r="46" spans="1:20" x14ac:dyDescent="0.2">
      <c r="A46" s="18">
        <f t="shared" si="3"/>
        <v>1993</v>
      </c>
      <c r="B46" s="27">
        <f t="shared" si="17"/>
        <v>1</v>
      </c>
      <c r="C46" s="26">
        <f t="shared" si="4"/>
        <v>14711</v>
      </c>
      <c r="D46" s="26">
        <f t="shared" si="5"/>
        <v>27082</v>
      </c>
      <c r="E46" s="26">
        <f>E23*B48</f>
        <v>34230</v>
      </c>
      <c r="F46" s="26"/>
      <c r="G46" s="26"/>
      <c r="H46" s="26"/>
      <c r="I46" s="26"/>
      <c r="J46" s="26"/>
      <c r="K46" s="26"/>
      <c r="L46" s="26"/>
      <c r="M46" s="26"/>
      <c r="N46" s="26"/>
      <c r="O46" s="26"/>
      <c r="P46" s="26"/>
      <c r="Q46" s="26"/>
      <c r="R46" s="26"/>
      <c r="S46" s="26"/>
      <c r="T46" s="26"/>
    </row>
    <row r="47" spans="1:20" x14ac:dyDescent="0.2">
      <c r="A47" s="18">
        <f t="shared" si="3"/>
        <v>1994</v>
      </c>
      <c r="B47" s="27">
        <f t="shared" si="17"/>
        <v>1</v>
      </c>
      <c r="C47" s="26">
        <f t="shared" si="4"/>
        <v>12476</v>
      </c>
      <c r="D47" s="26">
        <f t="shared" si="5"/>
        <v>23126</v>
      </c>
      <c r="E47" s="26"/>
      <c r="F47" s="26"/>
      <c r="G47" s="26"/>
      <c r="H47" s="26"/>
      <c r="I47" s="26"/>
      <c r="J47" s="26"/>
      <c r="K47" s="26"/>
      <c r="L47" s="26"/>
      <c r="M47" s="26"/>
      <c r="N47" s="26"/>
      <c r="O47" s="26"/>
      <c r="P47" s="26"/>
      <c r="Q47" s="26"/>
      <c r="R47" s="26"/>
      <c r="S47" s="26"/>
      <c r="T47" s="26"/>
    </row>
    <row r="48" spans="1:20" x14ac:dyDescent="0.2">
      <c r="A48" s="18">
        <f t="shared" si="3"/>
        <v>1995</v>
      </c>
      <c r="B48" s="27">
        <f t="shared" si="17"/>
        <v>1</v>
      </c>
      <c r="C48" s="26">
        <f t="shared" si="4"/>
        <v>9715</v>
      </c>
      <c r="D48" s="26"/>
      <c r="E48" s="26"/>
      <c r="F48" s="26"/>
      <c r="G48" s="26"/>
      <c r="H48" s="26"/>
      <c r="I48" s="26"/>
      <c r="J48" s="26"/>
      <c r="K48" s="26"/>
      <c r="L48" s="26"/>
      <c r="M48" s="26"/>
      <c r="N48" s="26"/>
      <c r="O48" s="26"/>
      <c r="P48" s="26"/>
      <c r="Q48" s="26"/>
      <c r="R48" s="26"/>
      <c r="S48" s="26"/>
      <c r="T48" s="26"/>
    </row>
    <row r="51" spans="1:16" x14ac:dyDescent="0.2">
      <c r="A51" s="22" t="s">
        <v>218</v>
      </c>
    </row>
    <row r="52" spans="1:16" x14ac:dyDescent="0.2">
      <c r="A52" s="22" t="s">
        <v>219</v>
      </c>
    </row>
    <row r="54" spans="1:16" x14ac:dyDescent="0.2">
      <c r="A54" s="19" t="s">
        <v>211</v>
      </c>
      <c r="B54" s="22" t="s">
        <v>220</v>
      </c>
      <c r="C54" s="22"/>
      <c r="D54" s="22"/>
      <c r="E54" s="22"/>
      <c r="F54" s="22"/>
      <c r="G54" s="22"/>
      <c r="H54" s="22"/>
      <c r="I54" s="22"/>
      <c r="J54" s="22"/>
      <c r="K54" s="22"/>
      <c r="L54" s="22"/>
      <c r="N54" s="28"/>
      <c r="O54" s="22" t="s">
        <v>221</v>
      </c>
      <c r="P54" s="22"/>
    </row>
    <row r="55" spans="1:16" x14ac:dyDescent="0.2">
      <c r="A55" s="19" t="s">
        <v>213</v>
      </c>
      <c r="B55" s="22">
        <v>0</v>
      </c>
      <c r="C55" s="22">
        <v>1</v>
      </c>
      <c r="D55" s="22">
        <v>2</v>
      </c>
      <c r="E55" s="22">
        <v>3</v>
      </c>
      <c r="F55" s="22">
        <v>4</v>
      </c>
      <c r="G55" s="22">
        <v>5</v>
      </c>
      <c r="H55" s="22">
        <v>6</v>
      </c>
      <c r="I55" s="22">
        <v>7</v>
      </c>
      <c r="J55" s="22">
        <v>8</v>
      </c>
      <c r="K55" s="22">
        <v>9</v>
      </c>
      <c r="L55" s="22">
        <v>10</v>
      </c>
      <c r="M55" s="29" t="s">
        <v>222</v>
      </c>
      <c r="N55" s="28" t="s">
        <v>223</v>
      </c>
      <c r="O55" s="22" t="s">
        <v>224</v>
      </c>
      <c r="P55" s="22" t="s">
        <v>225</v>
      </c>
    </row>
    <row r="56" spans="1:16" x14ac:dyDescent="0.2">
      <c r="A56" s="30"/>
      <c r="N56" s="31"/>
    </row>
    <row r="57" spans="1:16" x14ac:dyDescent="0.2">
      <c r="A57" s="18">
        <v>1978</v>
      </c>
      <c r="B57" s="32">
        <v>368</v>
      </c>
      <c r="C57" s="32">
        <v>191</v>
      </c>
      <c r="D57" s="32">
        <v>28</v>
      </c>
      <c r="E57" s="32">
        <v>8</v>
      </c>
      <c r="F57" s="32">
        <v>6</v>
      </c>
      <c r="G57" s="32">
        <v>5</v>
      </c>
      <c r="H57" s="32">
        <v>3</v>
      </c>
      <c r="I57" s="32">
        <v>1</v>
      </c>
      <c r="J57" s="32">
        <v>0</v>
      </c>
      <c r="K57" s="32">
        <v>0</v>
      </c>
      <c r="L57" s="32">
        <v>1</v>
      </c>
      <c r="M57" s="33">
        <v>0.14487865899107327</v>
      </c>
      <c r="N57" s="34">
        <f>SUM(B57:L57)</f>
        <v>611</v>
      </c>
      <c r="O57" s="33">
        <f>P57-N57</f>
        <v>0.1448786589910469</v>
      </c>
      <c r="P57" s="33">
        <f>SUM(B57:M57)</f>
        <v>611.14487865899105</v>
      </c>
    </row>
    <row r="58" spans="1:16" x14ac:dyDescent="0.2">
      <c r="A58" s="18">
        <v>1979</v>
      </c>
      <c r="B58" s="32">
        <v>393</v>
      </c>
      <c r="C58" s="32">
        <v>151</v>
      </c>
      <c r="D58" s="32">
        <v>25</v>
      </c>
      <c r="E58" s="32">
        <v>6</v>
      </c>
      <c r="F58" s="32">
        <v>4</v>
      </c>
      <c r="G58" s="32">
        <v>5</v>
      </c>
      <c r="H58" s="32">
        <v>4</v>
      </c>
      <c r="I58" s="32">
        <v>1</v>
      </c>
      <c r="J58" s="32">
        <v>2</v>
      </c>
      <c r="K58" s="32">
        <v>1</v>
      </c>
      <c r="L58" s="32">
        <v>0</v>
      </c>
      <c r="M58" s="33">
        <v>0.15325834520642714</v>
      </c>
      <c r="N58" s="34">
        <f t="shared" ref="N58:N64" si="18">SUM(B58:L58)</f>
        <v>592</v>
      </c>
      <c r="O58" s="33">
        <f t="shared" ref="O58:O74" si="19">P58-N58</f>
        <v>0.15325834520638182</v>
      </c>
      <c r="P58" s="33">
        <f t="shared" ref="P58:P73" si="20">SUM(B58:M58)</f>
        <v>592.15325834520638</v>
      </c>
    </row>
    <row r="59" spans="1:16" x14ac:dyDescent="0.2">
      <c r="A59" s="18">
        <v>1980</v>
      </c>
      <c r="B59" s="32">
        <v>517</v>
      </c>
      <c r="C59" s="32">
        <v>185</v>
      </c>
      <c r="D59" s="32">
        <v>29</v>
      </c>
      <c r="E59" s="32">
        <v>17</v>
      </c>
      <c r="F59" s="32">
        <v>11</v>
      </c>
      <c r="G59" s="32">
        <v>10</v>
      </c>
      <c r="H59" s="32">
        <v>8</v>
      </c>
      <c r="I59" s="32">
        <v>1</v>
      </c>
      <c r="J59" s="32">
        <v>0</v>
      </c>
      <c r="K59" s="32">
        <v>0</v>
      </c>
      <c r="L59" s="32">
        <v>1</v>
      </c>
      <c r="M59" s="33">
        <v>0.20039964907477475</v>
      </c>
      <c r="N59" s="34">
        <f t="shared" si="18"/>
        <v>779</v>
      </c>
      <c r="O59" s="33">
        <f t="shared" si="19"/>
        <v>0.20039964907482499</v>
      </c>
      <c r="P59" s="33">
        <f t="shared" si="20"/>
        <v>779.20039964907482</v>
      </c>
    </row>
    <row r="60" spans="1:16" x14ac:dyDescent="0.2">
      <c r="A60" s="18">
        <v>1981</v>
      </c>
      <c r="B60" s="32">
        <v>578</v>
      </c>
      <c r="C60" s="32">
        <v>254</v>
      </c>
      <c r="D60" s="32">
        <v>49</v>
      </c>
      <c r="E60" s="32">
        <v>22</v>
      </c>
      <c r="F60" s="32">
        <v>17</v>
      </c>
      <c r="G60" s="32">
        <v>6</v>
      </c>
      <c r="H60" s="32">
        <v>3</v>
      </c>
      <c r="I60" s="32">
        <v>0</v>
      </c>
      <c r="J60" s="32">
        <v>1</v>
      </c>
      <c r="K60" s="32">
        <v>0</v>
      </c>
      <c r="L60" s="32">
        <v>0</v>
      </c>
      <c r="M60" s="33">
        <v>0.20852822821165981</v>
      </c>
      <c r="N60" s="34">
        <f t="shared" si="18"/>
        <v>930</v>
      </c>
      <c r="O60" s="33">
        <f t="shared" si="19"/>
        <v>0.20852822821166228</v>
      </c>
      <c r="P60" s="33">
        <f t="shared" si="20"/>
        <v>930.20852822821166</v>
      </c>
    </row>
    <row r="61" spans="1:16" x14ac:dyDescent="0.2">
      <c r="A61" s="18">
        <v>1982</v>
      </c>
      <c r="B61" s="32">
        <v>622</v>
      </c>
      <c r="C61" s="32">
        <v>206</v>
      </c>
      <c r="D61" s="32">
        <v>39</v>
      </c>
      <c r="E61" s="32">
        <v>16</v>
      </c>
      <c r="F61" s="32">
        <v>3</v>
      </c>
      <c r="G61" s="32">
        <v>7</v>
      </c>
      <c r="H61" s="32">
        <v>0</v>
      </c>
      <c r="I61" s="32">
        <v>1</v>
      </c>
      <c r="J61" s="32">
        <v>0</v>
      </c>
      <c r="K61" s="32">
        <v>0</v>
      </c>
      <c r="L61" s="32">
        <v>0</v>
      </c>
      <c r="M61" s="33">
        <v>0.21629634718751709</v>
      </c>
      <c r="N61" s="34">
        <f t="shared" si="18"/>
        <v>894</v>
      </c>
      <c r="O61" s="33">
        <f t="shared" si="19"/>
        <v>0.21629634718749458</v>
      </c>
      <c r="P61" s="33">
        <f t="shared" si="20"/>
        <v>894.21629634718749</v>
      </c>
    </row>
    <row r="62" spans="1:16" x14ac:dyDescent="0.2">
      <c r="A62" s="18">
        <v>1983</v>
      </c>
      <c r="B62" s="32">
        <v>660</v>
      </c>
      <c r="C62" s="32">
        <v>243</v>
      </c>
      <c r="D62" s="32">
        <v>28</v>
      </c>
      <c r="E62" s="32">
        <v>12</v>
      </c>
      <c r="F62" s="32">
        <v>12</v>
      </c>
      <c r="G62" s="32">
        <v>4</v>
      </c>
      <c r="H62" s="32">
        <v>4</v>
      </c>
      <c r="I62" s="32">
        <v>1</v>
      </c>
      <c r="J62" s="32">
        <v>0</v>
      </c>
      <c r="K62" s="32">
        <v>0</v>
      </c>
      <c r="L62" s="32">
        <v>0</v>
      </c>
      <c r="M62" s="33">
        <v>0.22433379875560297</v>
      </c>
      <c r="N62" s="34">
        <f t="shared" si="18"/>
        <v>964</v>
      </c>
      <c r="O62" s="33">
        <f t="shared" si="19"/>
        <v>0.22433379875565151</v>
      </c>
      <c r="P62" s="33">
        <f t="shared" si="20"/>
        <v>964.22433379875565</v>
      </c>
    </row>
    <row r="63" spans="1:16" x14ac:dyDescent="0.2">
      <c r="A63" s="18">
        <v>1984</v>
      </c>
      <c r="B63" s="32">
        <v>666</v>
      </c>
      <c r="C63" s="32">
        <v>234</v>
      </c>
      <c r="D63" s="32">
        <v>53</v>
      </c>
      <c r="E63" s="32">
        <v>10</v>
      </c>
      <c r="F63" s="32">
        <v>8</v>
      </c>
      <c r="G63" s="32">
        <v>4</v>
      </c>
      <c r="H63" s="32">
        <v>6</v>
      </c>
      <c r="I63" s="32">
        <v>1</v>
      </c>
      <c r="J63" s="32">
        <v>0</v>
      </c>
      <c r="K63" s="32">
        <v>0</v>
      </c>
      <c r="L63" s="32">
        <v>0</v>
      </c>
      <c r="M63" s="33">
        <v>0.23147820014945716</v>
      </c>
      <c r="N63" s="34">
        <f t="shared" si="18"/>
        <v>982</v>
      </c>
      <c r="O63" s="33">
        <f t="shared" si="19"/>
        <v>0.23147820014946774</v>
      </c>
      <c r="P63" s="33">
        <f t="shared" si="20"/>
        <v>982.23147820014947</v>
      </c>
    </row>
    <row r="64" spans="1:16" x14ac:dyDescent="0.2">
      <c r="A64" s="18">
        <v>1985</v>
      </c>
      <c r="B64" s="32">
        <v>573</v>
      </c>
      <c r="C64" s="32">
        <v>266</v>
      </c>
      <c r="D64" s="32">
        <v>62</v>
      </c>
      <c r="E64" s="32">
        <v>12</v>
      </c>
      <c r="F64" s="32">
        <v>5</v>
      </c>
      <c r="G64" s="32">
        <v>7</v>
      </c>
      <c r="H64" s="32">
        <v>6</v>
      </c>
      <c r="I64" s="32">
        <v>5</v>
      </c>
      <c r="J64" s="32">
        <v>1</v>
      </c>
      <c r="K64" s="32">
        <v>0</v>
      </c>
      <c r="L64" s="32">
        <v>1</v>
      </c>
      <c r="M64" s="33">
        <v>0.23755134634565006</v>
      </c>
      <c r="N64" s="34">
        <f t="shared" si="18"/>
        <v>938</v>
      </c>
      <c r="O64" s="33">
        <f t="shared" si="19"/>
        <v>0.23755134634564001</v>
      </c>
      <c r="P64" s="33">
        <f t="shared" si="20"/>
        <v>938.23755134634564</v>
      </c>
    </row>
    <row r="65" spans="1:16" x14ac:dyDescent="0.2">
      <c r="A65" s="18">
        <v>1986</v>
      </c>
      <c r="B65" s="32">
        <v>582</v>
      </c>
      <c r="C65" s="32">
        <v>281</v>
      </c>
      <c r="D65" s="32">
        <v>32</v>
      </c>
      <c r="E65" s="32">
        <v>27</v>
      </c>
      <c r="F65" s="32">
        <v>12</v>
      </c>
      <c r="G65" s="32">
        <v>13</v>
      </c>
      <c r="H65" s="32">
        <v>6</v>
      </c>
      <c r="I65" s="32">
        <v>2</v>
      </c>
      <c r="J65" s="32">
        <v>1</v>
      </c>
      <c r="K65" s="32">
        <v>0</v>
      </c>
      <c r="L65" s="33">
        <v>0.21468404966480767</v>
      </c>
      <c r="M65" s="33">
        <v>0.24969763873803585</v>
      </c>
      <c r="N65" s="34">
        <f>SUM(B65:K65)</f>
        <v>956</v>
      </c>
      <c r="O65" s="33">
        <f t="shared" si="19"/>
        <v>0.46438168840279559</v>
      </c>
      <c r="P65" s="33">
        <f t="shared" si="20"/>
        <v>956.4643816884028</v>
      </c>
    </row>
    <row r="66" spans="1:16" x14ac:dyDescent="0.2">
      <c r="A66" s="18">
        <v>1987</v>
      </c>
      <c r="B66" s="32">
        <v>545</v>
      </c>
      <c r="C66" s="32">
        <v>220</v>
      </c>
      <c r="D66" s="32">
        <v>43</v>
      </c>
      <c r="E66" s="32">
        <v>18</v>
      </c>
      <c r="F66" s="32">
        <v>12</v>
      </c>
      <c r="G66" s="32">
        <v>9</v>
      </c>
      <c r="H66" s="32">
        <v>5</v>
      </c>
      <c r="I66" s="32">
        <v>2</v>
      </c>
      <c r="J66" s="32">
        <v>0</v>
      </c>
      <c r="K66" s="33">
        <v>0.40648186269287712</v>
      </c>
      <c r="L66" s="33">
        <v>0.21856495171748125</v>
      </c>
      <c r="M66" s="33">
        <v>0.25421149097922091</v>
      </c>
      <c r="N66" s="34">
        <f>SUM(B66:J66)</f>
        <v>854</v>
      </c>
      <c r="O66" s="33">
        <f t="shared" si="19"/>
        <v>0.87925830538949867</v>
      </c>
      <c r="P66" s="33">
        <f t="shared" si="20"/>
        <v>854.8792583053895</v>
      </c>
    </row>
    <row r="67" spans="1:16" x14ac:dyDescent="0.2">
      <c r="A67" s="18">
        <v>1988</v>
      </c>
      <c r="B67" s="32">
        <v>509</v>
      </c>
      <c r="C67" s="32">
        <v>266</v>
      </c>
      <c r="D67" s="32">
        <v>49</v>
      </c>
      <c r="E67" s="32">
        <v>22</v>
      </c>
      <c r="F67" s="32">
        <v>15</v>
      </c>
      <c r="G67" s="32">
        <v>4</v>
      </c>
      <c r="H67" s="32">
        <v>8</v>
      </c>
      <c r="I67" s="32">
        <v>0</v>
      </c>
      <c r="J67" s="33">
        <v>0.79048358868418134</v>
      </c>
      <c r="K67" s="33">
        <v>0.42504235305760646</v>
      </c>
      <c r="L67" s="33">
        <v>0.22854491159452234</v>
      </c>
      <c r="M67" s="33">
        <v>0.26581911818714943</v>
      </c>
      <c r="N67" s="34">
        <f>SUM(B67:I67)</f>
        <v>873</v>
      </c>
      <c r="O67" s="33">
        <f t="shared" si="19"/>
        <v>1.7098899715234666</v>
      </c>
      <c r="P67" s="33">
        <f t="shared" si="20"/>
        <v>874.70988997152347</v>
      </c>
    </row>
    <row r="68" spans="1:16" x14ac:dyDescent="0.2">
      <c r="A68" s="18">
        <v>1989</v>
      </c>
      <c r="B68" s="32">
        <v>589</v>
      </c>
      <c r="C68" s="32">
        <v>210</v>
      </c>
      <c r="D68" s="32">
        <v>29</v>
      </c>
      <c r="E68" s="32">
        <v>17</v>
      </c>
      <c r="F68" s="32">
        <v>12</v>
      </c>
      <c r="G68" s="32">
        <v>4</v>
      </c>
      <c r="H68" s="32">
        <v>9</v>
      </c>
      <c r="I68" s="33">
        <v>1.5641547328870478</v>
      </c>
      <c r="J68" s="33">
        <v>0.84104466902237041</v>
      </c>
      <c r="K68" s="33">
        <v>0.45222900293588064</v>
      </c>
      <c r="L68" s="33">
        <v>0.24316315010248418</v>
      </c>
      <c r="M68" s="33">
        <v>0.28282149746798829</v>
      </c>
      <c r="N68" s="34">
        <f>SUM(B68:H68)</f>
        <v>870</v>
      </c>
      <c r="O68" s="33">
        <f t="shared" si="19"/>
        <v>3.3834130524157899</v>
      </c>
      <c r="P68" s="33">
        <f t="shared" si="20"/>
        <v>873.38341305241579</v>
      </c>
    </row>
    <row r="69" spans="1:16" x14ac:dyDescent="0.2">
      <c r="A69" s="18">
        <v>1990</v>
      </c>
      <c r="B69" s="32">
        <v>564</v>
      </c>
      <c r="C69" s="32">
        <v>196</v>
      </c>
      <c r="D69" s="32">
        <v>23</v>
      </c>
      <c r="E69" s="32">
        <v>12</v>
      </c>
      <c r="F69" s="32">
        <v>9</v>
      </c>
      <c r="G69" s="32">
        <v>5</v>
      </c>
      <c r="H69" s="33">
        <v>3.1846264643077506</v>
      </c>
      <c r="I69" s="33">
        <v>1.7123709402393308</v>
      </c>
      <c r="J69" s="33">
        <v>0.92074039760688609</v>
      </c>
      <c r="K69" s="33">
        <v>0.49508132838717661</v>
      </c>
      <c r="L69" s="33">
        <v>0.26620480903702048</v>
      </c>
      <c r="M69" s="33">
        <v>0.30962110292327893</v>
      </c>
      <c r="N69" s="34">
        <f>SUM(B69:G69)</f>
        <v>809</v>
      </c>
      <c r="O69" s="33">
        <f t="shared" si="19"/>
        <v>6.88864504250148</v>
      </c>
      <c r="P69" s="33">
        <f t="shared" si="20"/>
        <v>815.88864504250148</v>
      </c>
    </row>
    <row r="70" spans="1:16" x14ac:dyDescent="0.2">
      <c r="A70" s="18">
        <v>1991</v>
      </c>
      <c r="B70" s="32">
        <v>607</v>
      </c>
      <c r="C70" s="32">
        <v>203</v>
      </c>
      <c r="D70" s="32">
        <v>29</v>
      </c>
      <c r="E70" s="32">
        <v>9</v>
      </c>
      <c r="F70" s="32">
        <v>7</v>
      </c>
      <c r="G70" s="33">
        <v>6.2107402830831058</v>
      </c>
      <c r="H70" s="33">
        <v>3.3395097658453574</v>
      </c>
      <c r="I70" s="33">
        <v>1.795651559694641</v>
      </c>
      <c r="J70" s="33">
        <v>0.96552031582922693</v>
      </c>
      <c r="K70" s="33">
        <v>0.5191594523146239</v>
      </c>
      <c r="L70" s="33">
        <v>0.27915159578609194</v>
      </c>
      <c r="M70" s="33">
        <v>0.32467942740306904</v>
      </c>
      <c r="N70" s="34">
        <f>SUM(B70:F70)</f>
        <v>855</v>
      </c>
      <c r="O70" s="33">
        <f t="shared" si="19"/>
        <v>13.434412399956159</v>
      </c>
      <c r="P70" s="33">
        <f t="shared" si="20"/>
        <v>868.43441239995616</v>
      </c>
    </row>
    <row r="71" spans="1:16" x14ac:dyDescent="0.2">
      <c r="A71" s="18">
        <v>1992</v>
      </c>
      <c r="B71" s="32">
        <v>674</v>
      </c>
      <c r="C71" s="32">
        <v>169</v>
      </c>
      <c r="D71" s="32">
        <v>20</v>
      </c>
      <c r="E71" s="32">
        <v>12</v>
      </c>
      <c r="F71" s="33">
        <v>10.071386460640293</v>
      </c>
      <c r="G71" s="33">
        <v>6.3102556094219953</v>
      </c>
      <c r="H71" s="33">
        <v>3.3930190721458029</v>
      </c>
      <c r="I71" s="33">
        <v>1.8244234681643414</v>
      </c>
      <c r="J71" s="33">
        <v>0.98099094653299146</v>
      </c>
      <c r="K71" s="33">
        <v>0.52747799728095146</v>
      </c>
      <c r="L71" s="33">
        <v>0.28362447033670579</v>
      </c>
      <c r="M71" s="33">
        <v>0.32988179905295889</v>
      </c>
      <c r="N71" s="34">
        <f>SUM(B71:E71)</f>
        <v>875</v>
      </c>
      <c r="O71" s="33">
        <f t="shared" si="19"/>
        <v>23.721059823575956</v>
      </c>
      <c r="P71" s="33">
        <f t="shared" si="20"/>
        <v>898.72105982357596</v>
      </c>
    </row>
    <row r="72" spans="1:16" x14ac:dyDescent="0.2">
      <c r="A72" s="18">
        <v>1993</v>
      </c>
      <c r="B72" s="32">
        <v>619</v>
      </c>
      <c r="C72" s="32">
        <v>190</v>
      </c>
      <c r="D72" s="32">
        <v>41</v>
      </c>
      <c r="E72" s="33">
        <v>11.785714285714286</v>
      </c>
      <c r="F72" s="33">
        <v>10.513130206872798</v>
      </c>
      <c r="G72" s="33">
        <v>6.5870314002711057</v>
      </c>
      <c r="H72" s="33">
        <v>3.5418411793924682</v>
      </c>
      <c r="I72" s="33">
        <v>1.9044449886065404</v>
      </c>
      <c r="J72" s="33">
        <v>1.024018449988966</v>
      </c>
      <c r="K72" s="33">
        <v>0.55061384927955426</v>
      </c>
      <c r="L72" s="33">
        <v>0.29606459827136367</v>
      </c>
      <c r="M72" s="33">
        <v>0.34435083192118099</v>
      </c>
      <c r="N72" s="34">
        <f>SUM(B72:D72)</f>
        <v>850</v>
      </c>
      <c r="O72" s="33">
        <f t="shared" si="19"/>
        <v>36.547209790318334</v>
      </c>
      <c r="P72" s="33">
        <f t="shared" si="20"/>
        <v>886.54720979031833</v>
      </c>
    </row>
    <row r="73" spans="1:16" x14ac:dyDescent="0.2">
      <c r="A73" s="18">
        <v>1994</v>
      </c>
      <c r="B73" s="32">
        <v>660</v>
      </c>
      <c r="C73" s="32">
        <v>161</v>
      </c>
      <c r="D73" s="33">
        <v>31.609727616993325</v>
      </c>
      <c r="E73" s="33">
        <v>12.007712244237869</v>
      </c>
      <c r="F73" s="33">
        <v>10.71115752936163</v>
      </c>
      <c r="G73" s="33">
        <v>6.7111059780303366</v>
      </c>
      <c r="H73" s="33">
        <v>3.60855597428555</v>
      </c>
      <c r="I73" s="33">
        <v>1.9403174770566964</v>
      </c>
      <c r="J73" s="33">
        <v>1.0433070565067386</v>
      </c>
      <c r="K73" s="33">
        <v>0.56098531659257378</v>
      </c>
      <c r="L73" s="33">
        <v>0.30164132742107802</v>
      </c>
      <c r="M73" s="33">
        <v>0.35083708976259681</v>
      </c>
      <c r="N73" s="34">
        <f>SUM(B73:C73)</f>
        <v>821</v>
      </c>
      <c r="O73" s="33">
        <f t="shared" si="19"/>
        <v>68.845347610248382</v>
      </c>
      <c r="P73" s="33">
        <f t="shared" si="20"/>
        <v>889.84534761024838</v>
      </c>
    </row>
    <row r="74" spans="1:16" x14ac:dyDescent="0.2">
      <c r="A74" s="18">
        <v>1995</v>
      </c>
      <c r="B74" s="32">
        <v>660</v>
      </c>
      <c r="C74" s="33">
        <v>180.73999442900237</v>
      </c>
      <c r="D74" s="33">
        <v>32.101075260097794</v>
      </c>
      <c r="E74" s="33">
        <v>12.194362416671217</v>
      </c>
      <c r="F74" s="33">
        <v>10.877653807682712</v>
      </c>
      <c r="G74" s="33">
        <v>6.8154246910823533</v>
      </c>
      <c r="H74" s="33">
        <v>3.6646480575347127</v>
      </c>
      <c r="I74" s="33">
        <v>1.9704781424941831</v>
      </c>
      <c r="J74" s="33">
        <v>1.059524420650467</v>
      </c>
      <c r="K74" s="33">
        <v>0.56970537949421651</v>
      </c>
      <c r="L74" s="33">
        <v>0.30633009782388188</v>
      </c>
      <c r="M74" s="33">
        <v>0.35629056849095542</v>
      </c>
      <c r="N74" s="34">
        <f>SUM(B74)</f>
        <v>660</v>
      </c>
      <c r="O74" s="33">
        <f t="shared" si="19"/>
        <v>250.65548727102475</v>
      </c>
      <c r="P74" s="33">
        <f>SUM(B74:M74)</f>
        <v>910.65548727102475</v>
      </c>
    </row>
    <row r="75" spans="1:16" x14ac:dyDescent="0.2">
      <c r="O75" s="22"/>
      <c r="P75" s="22"/>
    </row>
    <row r="76" spans="1:16" ht="17" thickBot="1" x14ac:dyDescent="0.25">
      <c r="O76" s="35">
        <f>SUM(O57:O74)</f>
        <v>408.14582952927879</v>
      </c>
      <c r="P76" s="22"/>
    </row>
    <row r="77" spans="1:16" ht="17" thickTop="1" x14ac:dyDescent="0.2"/>
    <row r="78" spans="1:16" x14ac:dyDescent="0.2">
      <c r="A78" s="22"/>
    </row>
    <row r="79" spans="1:16" x14ac:dyDescent="0.2">
      <c r="A79" s="22" t="s">
        <v>226</v>
      </c>
    </row>
    <row r="81" spans="1:19" x14ac:dyDescent="0.2">
      <c r="A81" s="19" t="s">
        <v>211</v>
      </c>
      <c r="B81" s="22" t="s">
        <v>220</v>
      </c>
      <c r="C81" s="22"/>
      <c r="D81" s="22"/>
      <c r="E81" s="22"/>
      <c r="F81" s="22"/>
      <c r="G81" s="22"/>
      <c r="H81" s="22"/>
      <c r="I81" s="22"/>
      <c r="J81" s="22"/>
      <c r="K81" s="22"/>
      <c r="L81" s="22"/>
    </row>
    <row r="82" spans="1:19" x14ac:dyDescent="0.2">
      <c r="A82" s="19" t="s">
        <v>213</v>
      </c>
      <c r="B82" s="22">
        <v>0</v>
      </c>
      <c r="C82" s="22">
        <v>1</v>
      </c>
      <c r="D82" s="22">
        <v>2</v>
      </c>
      <c r="E82" s="22">
        <v>3</v>
      </c>
      <c r="F82" s="22">
        <v>4</v>
      </c>
      <c r="G82" s="22">
        <v>5</v>
      </c>
      <c r="H82" s="22">
        <v>6</v>
      </c>
      <c r="I82" s="22">
        <v>7</v>
      </c>
      <c r="J82" s="22">
        <v>8</v>
      </c>
      <c r="K82" s="22">
        <v>9</v>
      </c>
      <c r="L82" s="22">
        <v>10</v>
      </c>
      <c r="M82" s="22">
        <v>11</v>
      </c>
      <c r="N82" s="22">
        <v>12</v>
      </c>
      <c r="O82" s="22">
        <v>13</v>
      </c>
      <c r="P82" s="22">
        <v>14</v>
      </c>
      <c r="Q82" s="22">
        <v>15</v>
      </c>
      <c r="R82" s="22">
        <v>16</v>
      </c>
      <c r="S82" s="22">
        <v>17</v>
      </c>
    </row>
    <row r="83" spans="1:19" x14ac:dyDescent="0.2">
      <c r="A83" s="30"/>
    </row>
    <row r="84" spans="1:19" x14ac:dyDescent="0.2">
      <c r="A84" s="18">
        <v>1978</v>
      </c>
      <c r="B84" s="32">
        <f>SUM($B57:B57)</f>
        <v>368</v>
      </c>
      <c r="C84" s="32">
        <f>SUM($B57:C57)</f>
        <v>559</v>
      </c>
      <c r="D84" s="32">
        <f>SUM($B57:D57)</f>
        <v>587</v>
      </c>
      <c r="E84" s="32">
        <f>SUM($B57:E57)</f>
        <v>595</v>
      </c>
      <c r="F84" s="32">
        <f>SUM($B57:F57)</f>
        <v>601</v>
      </c>
      <c r="G84" s="32">
        <f>SUM($B57:G57)</f>
        <v>606</v>
      </c>
      <c r="H84" s="32">
        <f>SUM($B57:H57)</f>
        <v>609</v>
      </c>
      <c r="I84" s="32">
        <f>SUM($B57:I57)</f>
        <v>610</v>
      </c>
      <c r="J84" s="32">
        <f>SUM($B57:J57)</f>
        <v>610</v>
      </c>
      <c r="K84" s="32">
        <f>SUM($B57:K57)</f>
        <v>610</v>
      </c>
      <c r="L84" s="32">
        <f>SUM($B57:L57)</f>
        <v>611</v>
      </c>
      <c r="M84" s="32">
        <f>SUM($B57:M57)</f>
        <v>611.14487865899105</v>
      </c>
      <c r="N84" s="32">
        <f>M84</f>
        <v>611.14487865899105</v>
      </c>
      <c r="O84" s="32">
        <f t="shared" ref="O84:S88" si="21">N84</f>
        <v>611.14487865899105</v>
      </c>
      <c r="P84" s="32">
        <f t="shared" si="21"/>
        <v>611.14487865899105</v>
      </c>
      <c r="Q84" s="32">
        <f t="shared" si="21"/>
        <v>611.14487865899105</v>
      </c>
      <c r="R84" s="32">
        <f t="shared" si="21"/>
        <v>611.14487865899105</v>
      </c>
      <c r="S84" s="32">
        <f t="shared" si="21"/>
        <v>611.14487865899105</v>
      </c>
    </row>
    <row r="85" spans="1:19" x14ac:dyDescent="0.2">
      <c r="A85" s="18">
        <v>1979</v>
      </c>
      <c r="B85" s="32">
        <v>393</v>
      </c>
      <c r="C85" s="32">
        <f>SUM($B58:C58)</f>
        <v>544</v>
      </c>
      <c r="D85" s="32">
        <f>SUM($B58:D58)</f>
        <v>569</v>
      </c>
      <c r="E85" s="32">
        <f>SUM($B58:E58)</f>
        <v>575</v>
      </c>
      <c r="F85" s="32">
        <f>SUM($B58:F58)</f>
        <v>579</v>
      </c>
      <c r="G85" s="32">
        <f>SUM($B58:G58)</f>
        <v>584</v>
      </c>
      <c r="H85" s="32">
        <f>SUM($B58:H58)</f>
        <v>588</v>
      </c>
      <c r="I85" s="32">
        <f>SUM($B58:I58)</f>
        <v>589</v>
      </c>
      <c r="J85" s="32">
        <f>SUM($B58:J58)</f>
        <v>591</v>
      </c>
      <c r="K85" s="32">
        <f>SUM($B58:K58)</f>
        <v>592</v>
      </c>
      <c r="L85" s="32">
        <f>SUM($B58:L58)</f>
        <v>592</v>
      </c>
      <c r="M85" s="32">
        <f>SUM($B58:M58)</f>
        <v>592.15325834520638</v>
      </c>
      <c r="N85" s="32">
        <f t="shared" ref="N85:N89" si="22">M85</f>
        <v>592.15325834520638</v>
      </c>
      <c r="O85" s="32">
        <f t="shared" si="21"/>
        <v>592.15325834520638</v>
      </c>
      <c r="P85" s="32">
        <f t="shared" si="21"/>
        <v>592.15325834520638</v>
      </c>
      <c r="Q85" s="32">
        <f t="shared" si="21"/>
        <v>592.15325834520638</v>
      </c>
      <c r="R85" s="32">
        <f t="shared" si="21"/>
        <v>592.15325834520638</v>
      </c>
    </row>
    <row r="86" spans="1:19" x14ac:dyDescent="0.2">
      <c r="A86" s="18">
        <v>1980</v>
      </c>
      <c r="B86" s="32">
        <v>517</v>
      </c>
      <c r="C86" s="32">
        <f>SUM($B59:C59)</f>
        <v>702</v>
      </c>
      <c r="D86" s="32">
        <f>SUM($B59:D59)</f>
        <v>731</v>
      </c>
      <c r="E86" s="32">
        <f>SUM($B59:E59)</f>
        <v>748</v>
      </c>
      <c r="F86" s="32">
        <f>SUM($B59:F59)</f>
        <v>759</v>
      </c>
      <c r="G86" s="32">
        <f>SUM($B59:G59)</f>
        <v>769</v>
      </c>
      <c r="H86" s="32">
        <f>SUM($B59:H59)</f>
        <v>777</v>
      </c>
      <c r="I86" s="32">
        <f>SUM($B59:I59)</f>
        <v>778</v>
      </c>
      <c r="J86" s="32">
        <f>SUM($B59:J59)</f>
        <v>778</v>
      </c>
      <c r="K86" s="32">
        <f>SUM($B59:K59)</f>
        <v>778</v>
      </c>
      <c r="L86" s="32">
        <f>SUM($B59:L59)</f>
        <v>779</v>
      </c>
      <c r="M86" s="32">
        <f>SUM($B59:M59)</f>
        <v>779.20039964907482</v>
      </c>
      <c r="N86" s="32">
        <f t="shared" si="22"/>
        <v>779.20039964907482</v>
      </c>
      <c r="O86" s="32">
        <f t="shared" si="21"/>
        <v>779.20039964907482</v>
      </c>
      <c r="P86" s="32">
        <f t="shared" si="21"/>
        <v>779.20039964907482</v>
      </c>
      <c r="Q86" s="32">
        <f t="shared" si="21"/>
        <v>779.20039964907482</v>
      </c>
    </row>
    <row r="87" spans="1:19" x14ac:dyDescent="0.2">
      <c r="A87" s="18">
        <v>1981</v>
      </c>
      <c r="B87" s="32">
        <v>578</v>
      </c>
      <c r="C87" s="32">
        <f>SUM($B60:C60)</f>
        <v>832</v>
      </c>
      <c r="D87" s="32">
        <f>SUM($B60:D60)</f>
        <v>881</v>
      </c>
      <c r="E87" s="32">
        <f>SUM($B60:E60)</f>
        <v>903</v>
      </c>
      <c r="F87" s="32">
        <f>SUM($B60:F60)</f>
        <v>920</v>
      </c>
      <c r="G87" s="32">
        <f>SUM($B60:G60)</f>
        <v>926</v>
      </c>
      <c r="H87" s="32">
        <f>SUM($B60:H60)</f>
        <v>929</v>
      </c>
      <c r="I87" s="32">
        <f>SUM($B60:I60)</f>
        <v>929</v>
      </c>
      <c r="J87" s="32">
        <f>SUM($B60:J60)</f>
        <v>930</v>
      </c>
      <c r="K87" s="32">
        <f>SUM($B60:K60)</f>
        <v>930</v>
      </c>
      <c r="L87" s="32">
        <f>SUM($B60:L60)</f>
        <v>930</v>
      </c>
      <c r="M87" s="32">
        <f>SUM($B60:M60)</f>
        <v>930.20852822821166</v>
      </c>
      <c r="N87" s="32">
        <f t="shared" si="22"/>
        <v>930.20852822821166</v>
      </c>
      <c r="O87" s="32">
        <f t="shared" si="21"/>
        <v>930.20852822821166</v>
      </c>
      <c r="P87" s="32">
        <f t="shared" si="21"/>
        <v>930.20852822821166</v>
      </c>
    </row>
    <row r="88" spans="1:19" x14ac:dyDescent="0.2">
      <c r="A88" s="18">
        <v>1982</v>
      </c>
      <c r="B88" s="32">
        <v>622</v>
      </c>
      <c r="C88" s="32">
        <f>SUM($B61:C61)</f>
        <v>828</v>
      </c>
      <c r="D88" s="32">
        <f>SUM($B61:D61)</f>
        <v>867</v>
      </c>
      <c r="E88" s="32">
        <f>SUM($B61:E61)</f>
        <v>883</v>
      </c>
      <c r="F88" s="32">
        <f>SUM($B61:F61)</f>
        <v>886</v>
      </c>
      <c r="G88" s="32">
        <f>SUM($B61:G61)</f>
        <v>893</v>
      </c>
      <c r="H88" s="32">
        <f>SUM($B61:H61)</f>
        <v>893</v>
      </c>
      <c r="I88" s="32">
        <f>SUM($B61:I61)</f>
        <v>894</v>
      </c>
      <c r="J88" s="32">
        <f>SUM($B61:J61)</f>
        <v>894</v>
      </c>
      <c r="K88" s="32">
        <f>SUM($B61:K61)</f>
        <v>894</v>
      </c>
      <c r="L88" s="32">
        <f>SUM($B61:L61)</f>
        <v>894</v>
      </c>
      <c r="M88" s="32">
        <f>SUM($B61:M61)</f>
        <v>894.21629634718749</v>
      </c>
      <c r="N88" s="32">
        <f t="shared" si="22"/>
        <v>894.21629634718749</v>
      </c>
      <c r="O88" s="32">
        <f t="shared" si="21"/>
        <v>894.21629634718749</v>
      </c>
    </row>
    <row r="89" spans="1:19" x14ac:dyDescent="0.2">
      <c r="A89" s="18">
        <v>1983</v>
      </c>
      <c r="B89" s="32">
        <v>660</v>
      </c>
      <c r="C89" s="32">
        <f>SUM($B62:C62)</f>
        <v>903</v>
      </c>
      <c r="D89" s="32">
        <f>SUM($B62:D62)</f>
        <v>931</v>
      </c>
      <c r="E89" s="32">
        <f>SUM($B62:E62)</f>
        <v>943</v>
      </c>
      <c r="F89" s="32">
        <f>SUM($B62:F62)</f>
        <v>955</v>
      </c>
      <c r="G89" s="32">
        <f>SUM($B62:G62)</f>
        <v>959</v>
      </c>
      <c r="H89" s="32">
        <f>SUM($B62:H62)</f>
        <v>963</v>
      </c>
      <c r="I89" s="32">
        <f>SUM($B62:I62)</f>
        <v>964</v>
      </c>
      <c r="J89" s="32">
        <f>SUM($B62:J62)</f>
        <v>964</v>
      </c>
      <c r="K89" s="32">
        <f>SUM($B62:K62)</f>
        <v>964</v>
      </c>
      <c r="L89" s="32">
        <f>SUM($B62:L62)</f>
        <v>964</v>
      </c>
      <c r="M89" s="32">
        <f>SUM($B62:M62)</f>
        <v>964.22433379875565</v>
      </c>
      <c r="N89" s="32">
        <f t="shared" si="22"/>
        <v>964.22433379875565</v>
      </c>
    </row>
    <row r="90" spans="1:19" x14ac:dyDescent="0.2">
      <c r="A90" s="18">
        <v>1984</v>
      </c>
      <c r="B90" s="32">
        <v>666</v>
      </c>
      <c r="C90" s="32">
        <f>SUM($B63:C63)</f>
        <v>900</v>
      </c>
      <c r="D90" s="32">
        <f>SUM($B63:D63)</f>
        <v>953</v>
      </c>
      <c r="E90" s="32">
        <f>SUM($B63:E63)</f>
        <v>963</v>
      </c>
      <c r="F90" s="32">
        <f>SUM($B63:F63)</f>
        <v>971</v>
      </c>
      <c r="G90" s="32">
        <f>SUM($B63:G63)</f>
        <v>975</v>
      </c>
      <c r="H90" s="32">
        <f>SUM($B63:H63)</f>
        <v>981</v>
      </c>
      <c r="I90" s="32">
        <f>SUM($B63:I63)</f>
        <v>982</v>
      </c>
      <c r="J90" s="32">
        <f>SUM($B63:J63)</f>
        <v>982</v>
      </c>
      <c r="K90" s="32">
        <f>SUM($B63:K63)</f>
        <v>982</v>
      </c>
      <c r="L90" s="32">
        <f>SUM($B63:L63)</f>
        <v>982</v>
      </c>
      <c r="M90" s="32">
        <f>SUM($B63:M63)</f>
        <v>982.23147820014947</v>
      </c>
    </row>
    <row r="91" spans="1:19" x14ac:dyDescent="0.2">
      <c r="A91" s="18">
        <v>1985</v>
      </c>
      <c r="B91" s="32">
        <v>573</v>
      </c>
      <c r="C91" s="32">
        <f>SUM($B64:C64)</f>
        <v>839</v>
      </c>
      <c r="D91" s="32">
        <f>SUM($B64:D64)</f>
        <v>901</v>
      </c>
      <c r="E91" s="32">
        <f>SUM($B64:E64)</f>
        <v>913</v>
      </c>
      <c r="F91" s="32">
        <f>SUM($B64:F64)</f>
        <v>918</v>
      </c>
      <c r="G91" s="32">
        <f>SUM($B64:G64)</f>
        <v>925</v>
      </c>
      <c r="H91" s="32">
        <f>SUM($B64:H64)</f>
        <v>931</v>
      </c>
      <c r="I91" s="32">
        <f>SUM($B64:I64)</f>
        <v>936</v>
      </c>
      <c r="J91" s="32">
        <f>SUM($B64:J64)</f>
        <v>937</v>
      </c>
      <c r="K91" s="32">
        <f>SUM($B64:K64)</f>
        <v>937</v>
      </c>
      <c r="L91" s="32">
        <f>SUM($B64:L64)</f>
        <v>938</v>
      </c>
    </row>
    <row r="92" spans="1:19" x14ac:dyDescent="0.2">
      <c r="A92" s="18">
        <v>1986</v>
      </c>
      <c r="B92" s="32">
        <v>582</v>
      </c>
      <c r="C92" s="32">
        <f>SUM($B65:C65)</f>
        <v>863</v>
      </c>
      <c r="D92" s="32">
        <f>SUM($B65:D65)</f>
        <v>895</v>
      </c>
      <c r="E92" s="32">
        <f>SUM($B65:E65)</f>
        <v>922</v>
      </c>
      <c r="F92" s="32">
        <f>SUM($B65:F65)</f>
        <v>934</v>
      </c>
      <c r="G92" s="32">
        <f>SUM($B65:G65)</f>
        <v>947</v>
      </c>
      <c r="H92" s="32">
        <f>SUM($B65:H65)</f>
        <v>953</v>
      </c>
      <c r="I92" s="32">
        <f>SUM($B65:I65)</f>
        <v>955</v>
      </c>
      <c r="J92" s="32">
        <f>SUM($B65:J65)</f>
        <v>956</v>
      </c>
      <c r="K92" s="32">
        <f>SUM($B65:K65)</f>
        <v>956</v>
      </c>
      <c r="L92" s="33"/>
    </row>
    <row r="93" spans="1:19" x14ac:dyDescent="0.2">
      <c r="A93" s="18">
        <v>1987</v>
      </c>
      <c r="B93" s="32">
        <v>545</v>
      </c>
      <c r="C93" s="32">
        <f>SUM($B66:C66)</f>
        <v>765</v>
      </c>
      <c r="D93" s="32">
        <f>SUM($B66:D66)</f>
        <v>808</v>
      </c>
      <c r="E93" s="32">
        <f>SUM($B66:E66)</f>
        <v>826</v>
      </c>
      <c r="F93" s="32">
        <f>SUM($B66:F66)</f>
        <v>838</v>
      </c>
      <c r="G93" s="32">
        <f>SUM($B66:G66)</f>
        <v>847</v>
      </c>
      <c r="H93" s="32">
        <f>SUM($B66:H66)</f>
        <v>852</v>
      </c>
      <c r="I93" s="32">
        <f>SUM($B66:I66)</f>
        <v>854</v>
      </c>
      <c r="J93" s="32">
        <f>SUM($B66:J66)</f>
        <v>854</v>
      </c>
      <c r="K93" s="33"/>
      <c r="L93" s="33"/>
    </row>
    <row r="94" spans="1:19" x14ac:dyDescent="0.2">
      <c r="A94" s="18">
        <v>1988</v>
      </c>
      <c r="B94" s="32">
        <v>509</v>
      </c>
      <c r="C94" s="32">
        <f>SUM($B67:C67)</f>
        <v>775</v>
      </c>
      <c r="D94" s="32">
        <f>SUM($B67:D67)</f>
        <v>824</v>
      </c>
      <c r="E94" s="32">
        <f>SUM($B67:E67)</f>
        <v>846</v>
      </c>
      <c r="F94" s="32">
        <f>SUM($B67:F67)</f>
        <v>861</v>
      </c>
      <c r="G94" s="32">
        <f>SUM($B67:G67)</f>
        <v>865</v>
      </c>
      <c r="H94" s="32">
        <f>SUM($B67:H67)</f>
        <v>873</v>
      </c>
      <c r="I94" s="32">
        <f>SUM($B67:I67)</f>
        <v>873</v>
      </c>
      <c r="J94" s="33"/>
      <c r="K94" s="33"/>
      <c r="L94" s="33"/>
    </row>
    <row r="95" spans="1:19" x14ac:dyDescent="0.2">
      <c r="A95" s="18">
        <v>1989</v>
      </c>
      <c r="B95" s="32">
        <v>589</v>
      </c>
      <c r="C95" s="32">
        <f>SUM($B68:C68)</f>
        <v>799</v>
      </c>
      <c r="D95" s="32">
        <f>SUM($B68:D68)</f>
        <v>828</v>
      </c>
      <c r="E95" s="32">
        <f>SUM($B68:E68)</f>
        <v>845</v>
      </c>
      <c r="F95" s="32">
        <f>SUM($B68:F68)</f>
        <v>857</v>
      </c>
      <c r="G95" s="32">
        <f>SUM($B68:G68)</f>
        <v>861</v>
      </c>
      <c r="H95" s="32">
        <f>SUM($B68:H68)</f>
        <v>870</v>
      </c>
      <c r="I95" s="33"/>
      <c r="J95" s="33"/>
      <c r="K95" s="33"/>
      <c r="L95" s="33"/>
    </row>
    <row r="96" spans="1:19" x14ac:dyDescent="0.2">
      <c r="A96" s="18">
        <v>1990</v>
      </c>
      <c r="B96" s="32">
        <v>564</v>
      </c>
      <c r="C96" s="32">
        <f>SUM($B69:C69)</f>
        <v>760</v>
      </c>
      <c r="D96" s="32">
        <f>SUM($B69:D69)</f>
        <v>783</v>
      </c>
      <c r="E96" s="32">
        <f>SUM($B69:E69)</f>
        <v>795</v>
      </c>
      <c r="F96" s="32">
        <f>SUM($B69:F69)</f>
        <v>804</v>
      </c>
      <c r="G96" s="32">
        <f>SUM($B69:G69)</f>
        <v>809</v>
      </c>
      <c r="H96" s="33"/>
      <c r="I96" s="33"/>
      <c r="J96" s="33"/>
      <c r="K96" s="33"/>
      <c r="L96" s="33"/>
    </row>
    <row r="97" spans="1:19" x14ac:dyDescent="0.2">
      <c r="A97" s="18">
        <v>1991</v>
      </c>
      <c r="B97" s="32">
        <v>607</v>
      </c>
      <c r="C97" s="32">
        <f>SUM($B70:C70)</f>
        <v>810</v>
      </c>
      <c r="D97" s="32">
        <f>SUM($B70:D70)</f>
        <v>839</v>
      </c>
      <c r="E97" s="32">
        <f>SUM($B70:E70)</f>
        <v>848</v>
      </c>
      <c r="F97" s="32">
        <f>SUM($B70:F70)</f>
        <v>855</v>
      </c>
      <c r="G97" s="33"/>
      <c r="H97" s="33"/>
      <c r="I97" s="33"/>
      <c r="J97" s="33"/>
      <c r="K97" s="33"/>
      <c r="L97" s="33"/>
    </row>
    <row r="98" spans="1:19" x14ac:dyDescent="0.2">
      <c r="A98" s="18">
        <v>1992</v>
      </c>
      <c r="B98" s="32">
        <v>674</v>
      </c>
      <c r="C98" s="32">
        <f>SUM($B71:C71)</f>
        <v>843</v>
      </c>
      <c r="D98" s="32">
        <f>SUM($B71:D71)</f>
        <v>863</v>
      </c>
      <c r="E98" s="32">
        <f>SUM($B71:E71)</f>
        <v>875</v>
      </c>
      <c r="F98" s="33"/>
      <c r="G98" s="33"/>
      <c r="H98" s="33"/>
      <c r="I98" s="33"/>
      <c r="J98" s="33"/>
      <c r="K98" s="33"/>
      <c r="L98" s="33"/>
    </row>
    <row r="99" spans="1:19" x14ac:dyDescent="0.2">
      <c r="A99" s="18">
        <v>1993</v>
      </c>
      <c r="B99" s="32">
        <v>619</v>
      </c>
      <c r="C99" s="32">
        <f>SUM($B72:C72)</f>
        <v>809</v>
      </c>
      <c r="D99" s="32">
        <f>SUM($B72:D72)</f>
        <v>850</v>
      </c>
      <c r="E99" s="33"/>
      <c r="F99" s="33"/>
      <c r="G99" s="33"/>
      <c r="H99" s="33"/>
      <c r="I99" s="33"/>
      <c r="J99" s="33"/>
      <c r="K99" s="33"/>
      <c r="L99" s="33"/>
    </row>
    <row r="100" spans="1:19" x14ac:dyDescent="0.2">
      <c r="A100" s="18">
        <v>1994</v>
      </c>
      <c r="B100" s="32">
        <v>660</v>
      </c>
      <c r="C100" s="32">
        <f>SUM($B73:C73)</f>
        <v>821</v>
      </c>
      <c r="D100" s="33"/>
      <c r="E100" s="33"/>
      <c r="F100" s="33"/>
      <c r="G100" s="33"/>
      <c r="H100" s="33"/>
      <c r="I100" s="33"/>
      <c r="J100" s="33"/>
      <c r="K100" s="33"/>
      <c r="L100" s="33"/>
    </row>
    <row r="101" spans="1:19" x14ac:dyDescent="0.2">
      <c r="A101" s="18">
        <v>1995</v>
      </c>
      <c r="B101" s="32">
        <v>660</v>
      </c>
      <c r="C101" s="33"/>
      <c r="D101" s="33"/>
      <c r="E101" s="33"/>
      <c r="F101" s="33"/>
      <c r="G101" s="33"/>
      <c r="H101" s="33"/>
      <c r="I101" s="33"/>
      <c r="J101" s="33"/>
      <c r="K101" s="33"/>
      <c r="L101" s="33"/>
    </row>
    <row r="103" spans="1:19" x14ac:dyDescent="0.2">
      <c r="A103" s="19" t="s">
        <v>211</v>
      </c>
      <c r="B103" s="16" t="s">
        <v>227</v>
      </c>
      <c r="C103" s="21"/>
      <c r="D103" s="21"/>
      <c r="E103" s="21"/>
      <c r="F103" s="21"/>
      <c r="G103" s="21"/>
      <c r="H103" s="21"/>
      <c r="I103" s="21"/>
      <c r="J103" s="21"/>
      <c r="K103" s="21"/>
      <c r="L103" s="21"/>
      <c r="M103" s="21"/>
      <c r="N103" s="21"/>
      <c r="O103" s="21"/>
      <c r="P103" s="21"/>
      <c r="Q103" s="21"/>
      <c r="R103" s="21"/>
      <c r="S103" s="21"/>
    </row>
    <row r="104" spans="1:19" x14ac:dyDescent="0.2">
      <c r="A104" s="23" t="s">
        <v>213</v>
      </c>
      <c r="B104" s="21">
        <v>0</v>
      </c>
      <c r="C104" s="21">
        <f t="shared" ref="C104:S104" si="23">B104+1</f>
        <v>1</v>
      </c>
      <c r="D104" s="21">
        <f t="shared" si="23"/>
        <v>2</v>
      </c>
      <c r="E104" s="21">
        <f t="shared" si="23"/>
        <v>3</v>
      </c>
      <c r="F104" s="21">
        <f t="shared" si="23"/>
        <v>4</v>
      </c>
      <c r="G104" s="21">
        <f t="shared" si="23"/>
        <v>5</v>
      </c>
      <c r="H104" s="21">
        <f t="shared" si="23"/>
        <v>6</v>
      </c>
      <c r="I104" s="21">
        <f t="shared" si="23"/>
        <v>7</v>
      </c>
      <c r="J104" s="21">
        <f t="shared" si="23"/>
        <v>8</v>
      </c>
      <c r="K104" s="21">
        <f t="shared" si="23"/>
        <v>9</v>
      </c>
      <c r="L104" s="21">
        <f t="shared" si="23"/>
        <v>10</v>
      </c>
      <c r="M104" s="21">
        <f t="shared" si="23"/>
        <v>11</v>
      </c>
      <c r="N104" s="21">
        <f t="shared" si="23"/>
        <v>12</v>
      </c>
      <c r="O104" s="21">
        <f t="shared" si="23"/>
        <v>13</v>
      </c>
      <c r="P104" s="21">
        <f t="shared" si="23"/>
        <v>14</v>
      </c>
      <c r="Q104" s="21">
        <f t="shared" si="23"/>
        <v>15</v>
      </c>
      <c r="R104" s="21">
        <f t="shared" si="23"/>
        <v>16</v>
      </c>
      <c r="S104" s="21">
        <f t="shared" si="23"/>
        <v>17</v>
      </c>
    </row>
    <row r="105" spans="1:19" x14ac:dyDescent="0.2">
      <c r="B105" s="25" t="s">
        <v>214</v>
      </c>
      <c r="C105" s="25" t="s">
        <v>214</v>
      </c>
      <c r="D105" s="25" t="s">
        <v>214</v>
      </c>
      <c r="E105" s="25" t="s">
        <v>214</v>
      </c>
      <c r="F105" s="25" t="s">
        <v>214</v>
      </c>
      <c r="G105" s="25" t="s">
        <v>214</v>
      </c>
      <c r="H105" s="25" t="s">
        <v>214</v>
      </c>
      <c r="I105" s="25" t="s">
        <v>214</v>
      </c>
      <c r="J105" s="25" t="s">
        <v>214</v>
      </c>
      <c r="K105" s="25" t="s">
        <v>214</v>
      </c>
      <c r="L105" s="25" t="s">
        <v>214</v>
      </c>
      <c r="M105" s="25" t="s">
        <v>214</v>
      </c>
      <c r="N105" s="25" t="s">
        <v>214</v>
      </c>
      <c r="O105" s="25" t="s">
        <v>214</v>
      </c>
      <c r="P105" s="25" t="s">
        <v>214</v>
      </c>
      <c r="Q105" s="25" t="s">
        <v>214</v>
      </c>
      <c r="R105" s="25" t="s">
        <v>214</v>
      </c>
      <c r="S105" s="25" t="s">
        <v>214</v>
      </c>
    </row>
    <row r="107" spans="1:19" x14ac:dyDescent="0.2">
      <c r="A107" s="18">
        <f>A84</f>
        <v>1978</v>
      </c>
      <c r="B107" s="26">
        <f t="shared" ref="B107:S119" si="24">C31/B84</f>
        <v>25.184782608695652</v>
      </c>
      <c r="C107" s="26">
        <f t="shared" si="24"/>
        <v>32.670840787119857</v>
      </c>
      <c r="D107" s="26">
        <f t="shared" si="24"/>
        <v>34.381601362862007</v>
      </c>
      <c r="E107" s="26">
        <f t="shared" si="24"/>
        <v>37.618487394957981</v>
      </c>
      <c r="F107" s="26">
        <f t="shared" si="24"/>
        <v>37.906821963394343</v>
      </c>
      <c r="G107" s="26">
        <f t="shared" si="24"/>
        <v>43.478547854785475</v>
      </c>
      <c r="H107" s="26">
        <f t="shared" si="24"/>
        <v>42.975369458128078</v>
      </c>
      <c r="I107" s="26">
        <f t="shared" si="24"/>
        <v>42.924590163934425</v>
      </c>
      <c r="J107" s="26">
        <f t="shared" si="24"/>
        <v>41.729508196721312</v>
      </c>
      <c r="K107" s="26">
        <f t="shared" si="24"/>
        <v>42.196721311475407</v>
      </c>
      <c r="L107" s="26">
        <f t="shared" si="24"/>
        <v>42.080196399345333</v>
      </c>
      <c r="M107" s="26">
        <f t="shared" si="24"/>
        <v>41.646426058332075</v>
      </c>
      <c r="N107" s="26">
        <f t="shared" si="24"/>
        <v>41.659516244111842</v>
      </c>
      <c r="O107" s="26">
        <f t="shared" si="24"/>
        <v>41.597337861657948</v>
      </c>
      <c r="P107" s="26">
        <f t="shared" si="24"/>
        <v>41.538432025648987</v>
      </c>
      <c r="Q107" s="26">
        <f t="shared" si="24"/>
        <v>41.757692637460103</v>
      </c>
      <c r="R107" s="26">
        <f t="shared" si="24"/>
        <v>41.963863063491452</v>
      </c>
      <c r="S107" s="26">
        <f t="shared" si="24"/>
        <v>41.674242703114082</v>
      </c>
    </row>
    <row r="108" spans="1:19" x14ac:dyDescent="0.2">
      <c r="A108" s="18">
        <f t="shared" ref="A108:A124" si="25">A85</f>
        <v>1979</v>
      </c>
      <c r="B108" s="26">
        <f t="shared" si="24"/>
        <v>25.05852417302799</v>
      </c>
      <c r="C108" s="26">
        <f t="shared" si="24"/>
        <v>29.637867647058822</v>
      </c>
      <c r="D108" s="26">
        <f t="shared" si="24"/>
        <v>30.050966608084359</v>
      </c>
      <c r="E108" s="26">
        <f t="shared" si="24"/>
        <v>32.250434782608693</v>
      </c>
      <c r="F108" s="26">
        <f t="shared" si="24"/>
        <v>35.464594127806564</v>
      </c>
      <c r="G108" s="26">
        <f t="shared" si="24"/>
        <v>36.907534246575345</v>
      </c>
      <c r="H108" s="26">
        <f t="shared" si="24"/>
        <v>39.488095238095241</v>
      </c>
      <c r="I108" s="26">
        <f t="shared" si="24"/>
        <v>37.998302207130727</v>
      </c>
      <c r="J108" s="26">
        <f t="shared" si="24"/>
        <v>36.521150592216586</v>
      </c>
      <c r="K108" s="26">
        <f t="shared" si="24"/>
        <v>36.162162162162161</v>
      </c>
      <c r="L108" s="26">
        <f t="shared" si="24"/>
        <v>35.231418918918919</v>
      </c>
      <c r="M108" s="26">
        <f t="shared" si="24"/>
        <v>35.739058599695568</v>
      </c>
      <c r="N108" s="26">
        <f t="shared" si="24"/>
        <v>34.589018486933071</v>
      </c>
      <c r="O108" s="26">
        <f t="shared" si="24"/>
        <v>33.72606621436092</v>
      </c>
      <c r="P108" s="26">
        <f t="shared" si="24"/>
        <v>33.704112438346364</v>
      </c>
      <c r="Q108" s="26">
        <f t="shared" si="24"/>
        <v>33.685536166334053</v>
      </c>
      <c r="R108" s="26">
        <f t="shared" si="24"/>
        <v>33.759841254383318</v>
      </c>
      <c r="S108" s="26"/>
    </row>
    <row r="109" spans="1:19" x14ac:dyDescent="0.2">
      <c r="A109" s="18">
        <f t="shared" si="25"/>
        <v>1980</v>
      </c>
      <c r="B109" s="26">
        <f t="shared" si="24"/>
        <v>27.059961315280464</v>
      </c>
      <c r="C109" s="26">
        <f t="shared" si="24"/>
        <v>32.028490028490026</v>
      </c>
      <c r="D109" s="26">
        <f t="shared" si="24"/>
        <v>34.131326949384402</v>
      </c>
      <c r="E109" s="26">
        <f t="shared" si="24"/>
        <v>44.458556149732622</v>
      </c>
      <c r="F109" s="26">
        <f t="shared" si="24"/>
        <v>43.866930171278</v>
      </c>
      <c r="G109" s="26">
        <f t="shared" si="24"/>
        <v>44.613784135240572</v>
      </c>
      <c r="H109" s="26">
        <f t="shared" si="24"/>
        <v>43.786357786357783</v>
      </c>
      <c r="I109" s="26">
        <f t="shared" si="24"/>
        <v>43.731362467866326</v>
      </c>
      <c r="J109" s="26">
        <f t="shared" si="24"/>
        <v>43.498714652956295</v>
      </c>
      <c r="K109" s="26">
        <f t="shared" si="24"/>
        <v>43.615681233933159</v>
      </c>
      <c r="L109" s="26">
        <f t="shared" si="24"/>
        <v>43.093709884467266</v>
      </c>
      <c r="M109" s="26">
        <f t="shared" si="24"/>
        <v>40.915020082584803</v>
      </c>
      <c r="N109" s="26">
        <f t="shared" si="24"/>
        <v>41.328264223816014</v>
      </c>
      <c r="O109" s="26">
        <f t="shared" si="24"/>
        <v>41.510502323365181</v>
      </c>
      <c r="P109" s="26">
        <f t="shared" si="24"/>
        <v>41.388582468032993</v>
      </c>
      <c r="Q109" s="26">
        <f t="shared" si="24"/>
        <v>41.283346382377843</v>
      </c>
      <c r="R109" s="26"/>
      <c r="S109" s="26"/>
    </row>
    <row r="110" spans="1:19" x14ac:dyDescent="0.2">
      <c r="A110" s="18">
        <f t="shared" si="25"/>
        <v>1981</v>
      </c>
      <c r="B110" s="26">
        <f t="shared" si="24"/>
        <v>28.633217993079583</v>
      </c>
      <c r="C110" s="26">
        <f t="shared" si="24"/>
        <v>33.721153846153847</v>
      </c>
      <c r="D110" s="26">
        <f t="shared" si="24"/>
        <v>45.397275822928492</v>
      </c>
      <c r="E110" s="26">
        <f t="shared" si="24"/>
        <v>47.019933554817278</v>
      </c>
      <c r="F110" s="26">
        <f t="shared" si="24"/>
        <v>46.518478260869564</v>
      </c>
      <c r="G110" s="26">
        <f t="shared" si="24"/>
        <v>46.171706263498919</v>
      </c>
      <c r="H110" s="26">
        <f t="shared" si="24"/>
        <v>45.678148546824545</v>
      </c>
      <c r="I110" s="26">
        <f t="shared" si="24"/>
        <v>45.534983853606029</v>
      </c>
      <c r="J110" s="26">
        <f t="shared" si="24"/>
        <v>45.263440860215056</v>
      </c>
      <c r="K110" s="26">
        <f t="shared" si="24"/>
        <v>44.737634408602148</v>
      </c>
      <c r="L110" s="26">
        <f t="shared" si="24"/>
        <v>43.483870967741936</v>
      </c>
      <c r="M110" s="26">
        <f t="shared" si="24"/>
        <v>43.465522808108098</v>
      </c>
      <c r="N110" s="26">
        <f t="shared" si="24"/>
        <v>43.351569864458035</v>
      </c>
      <c r="O110" s="26">
        <f t="shared" si="24"/>
        <v>43.363395169931152</v>
      </c>
      <c r="P110" s="26">
        <f t="shared" si="24"/>
        <v>43.104313477292798</v>
      </c>
      <c r="Q110" s="26"/>
      <c r="R110" s="26"/>
      <c r="S110" s="26"/>
    </row>
    <row r="111" spans="1:19" x14ac:dyDescent="0.2">
      <c r="A111" s="18">
        <f t="shared" si="25"/>
        <v>1982</v>
      </c>
      <c r="B111" s="26">
        <f t="shared" si="24"/>
        <v>17.84565916398714</v>
      </c>
      <c r="C111" s="26">
        <f t="shared" si="24"/>
        <v>38.188405797101453</v>
      </c>
      <c r="D111" s="26">
        <f t="shared" si="24"/>
        <v>47.118800461361012</v>
      </c>
      <c r="E111" s="26">
        <f t="shared" si="24"/>
        <v>43.9762174405436</v>
      </c>
      <c r="F111" s="26">
        <f t="shared" si="24"/>
        <v>44.60045146726862</v>
      </c>
      <c r="G111" s="26">
        <f t="shared" si="24"/>
        <v>44.647256438969762</v>
      </c>
      <c r="H111" s="26">
        <f t="shared" si="24"/>
        <v>45.193729003359465</v>
      </c>
      <c r="I111" s="26">
        <f t="shared" si="24"/>
        <v>45.139821029082775</v>
      </c>
      <c r="J111" s="26">
        <f t="shared" si="24"/>
        <v>44.872483221476507</v>
      </c>
      <c r="K111" s="26">
        <f t="shared" si="24"/>
        <v>44.617449664429529</v>
      </c>
      <c r="L111" s="26">
        <f t="shared" si="24"/>
        <v>44.628635346756155</v>
      </c>
      <c r="M111" s="26">
        <f t="shared" si="24"/>
        <v>44.896296526911613</v>
      </c>
      <c r="N111" s="26">
        <f t="shared" si="24"/>
        <v>44.538441272755342</v>
      </c>
      <c r="O111" s="26">
        <f t="shared" si="24"/>
        <v>44.955566303381246</v>
      </c>
      <c r="P111" s="26"/>
      <c r="Q111" s="26"/>
      <c r="R111" s="26"/>
      <c r="S111" s="26"/>
    </row>
    <row r="112" spans="1:19" x14ac:dyDescent="0.2">
      <c r="A112" s="18">
        <f t="shared" si="25"/>
        <v>1983</v>
      </c>
      <c r="B112" s="26">
        <f t="shared" si="24"/>
        <v>23.753030303030304</v>
      </c>
      <c r="C112" s="26">
        <f t="shared" si="24"/>
        <v>36.626799557032115</v>
      </c>
      <c r="D112" s="26">
        <f t="shared" si="24"/>
        <v>38.229860365198711</v>
      </c>
      <c r="E112" s="26">
        <f t="shared" si="24"/>
        <v>37.880169671261932</v>
      </c>
      <c r="F112" s="26">
        <f t="shared" si="24"/>
        <v>40.473298429319371</v>
      </c>
      <c r="G112" s="26">
        <f t="shared" si="24"/>
        <v>41.103232533889468</v>
      </c>
      <c r="H112" s="26">
        <f t="shared" si="24"/>
        <v>40.730010384215994</v>
      </c>
      <c r="I112" s="26">
        <f t="shared" si="24"/>
        <v>41.178423236514526</v>
      </c>
      <c r="J112" s="26">
        <f t="shared" si="24"/>
        <v>39.17946058091286</v>
      </c>
      <c r="K112" s="26">
        <f t="shared" si="24"/>
        <v>39.309128630705395</v>
      </c>
      <c r="L112" s="26">
        <f t="shared" si="24"/>
        <v>38.764522821576762</v>
      </c>
      <c r="M112" s="26">
        <f t="shared" si="24"/>
        <v>38.730613500358224</v>
      </c>
      <c r="N112" s="26">
        <f t="shared" si="24"/>
        <v>38.450595676148914</v>
      </c>
      <c r="O112" s="26"/>
      <c r="P112" s="26"/>
      <c r="Q112" s="26"/>
      <c r="R112" s="26"/>
      <c r="S112" s="26"/>
    </row>
    <row r="113" spans="1:19" x14ac:dyDescent="0.2">
      <c r="A113" s="18">
        <f t="shared" si="25"/>
        <v>1984</v>
      </c>
      <c r="B113" s="26">
        <f t="shared" si="24"/>
        <v>30.593093093093092</v>
      </c>
      <c r="C113" s="26">
        <f t="shared" si="24"/>
        <v>37.283333333333331</v>
      </c>
      <c r="D113" s="26">
        <f t="shared" si="24"/>
        <v>43.815320041972718</v>
      </c>
      <c r="E113" s="26">
        <f t="shared" si="24"/>
        <v>46.858774662512978</v>
      </c>
      <c r="F113" s="26">
        <f t="shared" si="24"/>
        <v>48.696189495365601</v>
      </c>
      <c r="G113" s="26">
        <f t="shared" si="24"/>
        <v>53.035897435897439</v>
      </c>
      <c r="H113" s="26">
        <f t="shared" si="24"/>
        <v>53.156982670744142</v>
      </c>
      <c r="I113" s="26">
        <f t="shared" si="24"/>
        <v>52.125254582484722</v>
      </c>
      <c r="J113" s="26">
        <f t="shared" si="24"/>
        <v>52.902240325865577</v>
      </c>
      <c r="K113" s="26">
        <f t="shared" si="24"/>
        <v>51.901221995926683</v>
      </c>
      <c r="L113" s="26">
        <f t="shared" si="24"/>
        <v>52.40427698574338</v>
      </c>
      <c r="M113" s="26">
        <f t="shared" si="24"/>
        <v>52.311497992461895</v>
      </c>
      <c r="N113" s="26"/>
      <c r="O113" s="26"/>
      <c r="P113" s="26"/>
      <c r="Q113" s="26"/>
      <c r="R113" s="26"/>
      <c r="S113" s="26"/>
    </row>
    <row r="114" spans="1:19" x14ac:dyDescent="0.2">
      <c r="A114" s="18">
        <f t="shared" si="25"/>
        <v>1985</v>
      </c>
      <c r="B114" s="26">
        <f t="shared" si="24"/>
        <v>17.102966841186735</v>
      </c>
      <c r="C114" s="26">
        <f t="shared" si="24"/>
        <v>29.395709177592373</v>
      </c>
      <c r="D114" s="26">
        <f t="shared" si="24"/>
        <v>40.023307436182023</v>
      </c>
      <c r="E114" s="26">
        <f t="shared" si="24"/>
        <v>41.541073384446875</v>
      </c>
      <c r="F114" s="26">
        <f t="shared" si="24"/>
        <v>43.618736383442268</v>
      </c>
      <c r="G114" s="26">
        <f t="shared" si="24"/>
        <v>43.850810810810813</v>
      </c>
      <c r="H114" s="26">
        <f t="shared" si="24"/>
        <v>43.353383458646618</v>
      </c>
      <c r="I114" s="26">
        <f t="shared" si="24"/>
        <v>43.679487179487182</v>
      </c>
      <c r="J114" s="26">
        <f t="shared" si="24"/>
        <v>43.326574172892208</v>
      </c>
      <c r="K114" s="26">
        <f t="shared" si="24"/>
        <v>44.081109925293489</v>
      </c>
      <c r="L114" s="26">
        <f t="shared" si="24"/>
        <v>45.179104477611943</v>
      </c>
      <c r="M114" s="26"/>
      <c r="N114" s="26"/>
      <c r="O114" s="26"/>
      <c r="P114" s="26"/>
      <c r="Q114" s="26"/>
      <c r="R114" s="26"/>
      <c r="S114" s="26"/>
    </row>
    <row r="115" spans="1:19" x14ac:dyDescent="0.2">
      <c r="A115" s="18">
        <f t="shared" si="25"/>
        <v>1986</v>
      </c>
      <c r="B115" s="26">
        <f t="shared" si="24"/>
        <v>19.553264604810998</v>
      </c>
      <c r="C115" s="26">
        <f t="shared" si="24"/>
        <v>31.104287369640787</v>
      </c>
      <c r="D115" s="26">
        <f t="shared" si="24"/>
        <v>39.02905027932961</v>
      </c>
      <c r="E115" s="26">
        <f t="shared" si="24"/>
        <v>41.003253796095443</v>
      </c>
      <c r="F115" s="26">
        <f t="shared" si="24"/>
        <v>44.193790149892934</v>
      </c>
      <c r="G115" s="26">
        <f t="shared" si="24"/>
        <v>47.413938753959876</v>
      </c>
      <c r="H115" s="26">
        <f t="shared" si="24"/>
        <v>48.129066107030432</v>
      </c>
      <c r="I115" s="26">
        <f t="shared" si="24"/>
        <v>47.543455497382197</v>
      </c>
      <c r="J115" s="26">
        <f t="shared" si="24"/>
        <v>47.43410041841004</v>
      </c>
      <c r="K115" s="26">
        <f t="shared" si="24"/>
        <v>46.42573221757322</v>
      </c>
      <c r="L115" s="26"/>
      <c r="M115" s="26"/>
      <c r="N115" s="26"/>
      <c r="O115" s="26"/>
      <c r="P115" s="26"/>
      <c r="Q115" s="26"/>
      <c r="R115" s="26"/>
      <c r="S115" s="26"/>
    </row>
    <row r="116" spans="1:19" x14ac:dyDescent="0.2">
      <c r="A116" s="18">
        <f t="shared" si="25"/>
        <v>1987</v>
      </c>
      <c r="B116" s="26">
        <f t="shared" si="24"/>
        <v>18.763302752293576</v>
      </c>
      <c r="C116" s="26">
        <f t="shared" si="24"/>
        <v>26.811764705882354</v>
      </c>
      <c r="D116" s="26">
        <f t="shared" si="24"/>
        <v>33.269801980198018</v>
      </c>
      <c r="E116" s="26">
        <f t="shared" si="24"/>
        <v>39.135593220338983</v>
      </c>
      <c r="F116" s="26">
        <f t="shared" si="24"/>
        <v>42.072792362768496</v>
      </c>
      <c r="G116" s="26">
        <f t="shared" si="24"/>
        <v>47.883116883116884</v>
      </c>
      <c r="H116" s="26">
        <f t="shared" si="24"/>
        <v>51.353286384976528</v>
      </c>
      <c r="I116" s="26">
        <f t="shared" si="24"/>
        <v>52.235362997658079</v>
      </c>
      <c r="J116" s="26">
        <f t="shared" si="24"/>
        <v>51.751756440281028</v>
      </c>
      <c r="K116" s="26"/>
      <c r="L116" s="26"/>
      <c r="M116" s="26"/>
      <c r="N116" s="26"/>
      <c r="O116" s="26"/>
      <c r="P116" s="26"/>
      <c r="Q116" s="26"/>
      <c r="R116" s="26"/>
      <c r="S116" s="26"/>
    </row>
    <row r="117" spans="1:19" x14ac:dyDescent="0.2">
      <c r="A117" s="18">
        <f t="shared" si="25"/>
        <v>1988</v>
      </c>
      <c r="B117" s="26">
        <f t="shared" si="24"/>
        <v>16.051080550098231</v>
      </c>
      <c r="C117" s="26">
        <f t="shared" si="24"/>
        <v>23.957419354838709</v>
      </c>
      <c r="D117" s="26">
        <f t="shared" si="24"/>
        <v>32.126213592233007</v>
      </c>
      <c r="E117" s="26">
        <f t="shared" si="24"/>
        <v>39.009456264775416</v>
      </c>
      <c r="F117" s="26">
        <f t="shared" si="24"/>
        <v>42.184668989547035</v>
      </c>
      <c r="G117" s="26">
        <f t="shared" si="24"/>
        <v>42.828901734104043</v>
      </c>
      <c r="H117" s="26">
        <f t="shared" si="24"/>
        <v>45.446735395189002</v>
      </c>
      <c r="I117" s="26">
        <f t="shared" si="24"/>
        <v>46.274914089347078</v>
      </c>
      <c r="J117" s="26"/>
      <c r="K117" s="26"/>
      <c r="L117" s="26"/>
      <c r="M117" s="26"/>
      <c r="N117" s="26"/>
      <c r="O117" s="26"/>
      <c r="P117" s="26"/>
      <c r="Q117" s="26"/>
      <c r="R117" s="26"/>
      <c r="S117" s="26"/>
    </row>
    <row r="118" spans="1:19" x14ac:dyDescent="0.2">
      <c r="A118" s="18">
        <f t="shared" si="25"/>
        <v>1989</v>
      </c>
      <c r="B118" s="26">
        <f t="shared" si="24"/>
        <v>17.713073005093378</v>
      </c>
      <c r="C118" s="26">
        <f t="shared" si="24"/>
        <v>24.385481852315394</v>
      </c>
      <c r="D118" s="26">
        <f t="shared" si="24"/>
        <v>38.771739130434781</v>
      </c>
      <c r="E118" s="26">
        <f t="shared" si="24"/>
        <v>46.078106508875742</v>
      </c>
      <c r="F118" s="26">
        <f t="shared" si="24"/>
        <v>53.501750291715283</v>
      </c>
      <c r="G118" s="26">
        <f t="shared" si="24"/>
        <v>52.419279907084785</v>
      </c>
      <c r="H118" s="26">
        <f t="shared" si="24"/>
        <v>52.3</v>
      </c>
      <c r="I118" s="26"/>
      <c r="J118" s="26"/>
      <c r="K118" s="26"/>
      <c r="L118" s="26"/>
      <c r="M118" s="26"/>
      <c r="N118" s="26"/>
      <c r="O118" s="26"/>
      <c r="P118" s="26"/>
      <c r="Q118" s="26"/>
      <c r="R118" s="26"/>
      <c r="S118" s="26"/>
    </row>
    <row r="119" spans="1:19" x14ac:dyDescent="0.2">
      <c r="A119" s="18">
        <f t="shared" si="25"/>
        <v>1990</v>
      </c>
      <c r="B119" s="26">
        <f t="shared" si="24"/>
        <v>17.129432624113477</v>
      </c>
      <c r="C119" s="26">
        <f t="shared" si="24"/>
        <v>31.326315789473686</v>
      </c>
      <c r="D119" s="26">
        <f t="shared" si="24"/>
        <v>42.102171136653894</v>
      </c>
      <c r="E119" s="26">
        <f t="shared" si="24"/>
        <v>53.97106918238994</v>
      </c>
      <c r="F119" s="26">
        <f t="shared" si="24"/>
        <v>58.370646766169152</v>
      </c>
      <c r="G119" s="26">
        <f t="shared" si="24"/>
        <v>60.939431396786155</v>
      </c>
      <c r="H119" s="26"/>
      <c r="I119" s="26"/>
      <c r="J119" s="26"/>
      <c r="K119" s="26"/>
      <c r="L119" s="26"/>
      <c r="M119" s="26"/>
      <c r="N119" s="26"/>
      <c r="O119" s="26"/>
      <c r="P119" s="26"/>
      <c r="Q119" s="26"/>
      <c r="R119" s="26"/>
      <c r="S119" s="26"/>
    </row>
    <row r="120" spans="1:19" x14ac:dyDescent="0.2">
      <c r="A120" s="18">
        <f t="shared" si="25"/>
        <v>1991</v>
      </c>
      <c r="B120" s="26">
        <f>C44/B97</f>
        <v>23.517298187808898</v>
      </c>
      <c r="C120" s="26">
        <f>D44/C97</f>
        <v>31.544444444444444</v>
      </c>
      <c r="D120" s="26">
        <f>E44/D97</f>
        <v>40.231227651966627</v>
      </c>
      <c r="E120" s="26">
        <f>F44/E97</f>
        <v>45.606132075471699</v>
      </c>
      <c r="F120" s="26">
        <f>G44/F97</f>
        <v>48.107602339181284</v>
      </c>
      <c r="G120" s="26"/>
      <c r="H120" s="26"/>
      <c r="I120" s="26"/>
      <c r="J120" s="26"/>
      <c r="K120" s="26"/>
      <c r="L120" s="26"/>
      <c r="M120" s="26"/>
      <c r="N120" s="26"/>
      <c r="O120" s="26"/>
      <c r="P120" s="26"/>
      <c r="Q120" s="26"/>
      <c r="R120" s="26"/>
      <c r="S120" s="26"/>
    </row>
    <row r="121" spans="1:19" x14ac:dyDescent="0.2">
      <c r="A121" s="18">
        <f t="shared" si="25"/>
        <v>1992</v>
      </c>
      <c r="B121" s="26">
        <f>C45/B98</f>
        <v>19.651335311572701</v>
      </c>
      <c r="C121" s="26">
        <f>D45/C98</f>
        <v>34.645314353499408</v>
      </c>
      <c r="D121" s="26">
        <f>E45/D98</f>
        <v>42.858632676709156</v>
      </c>
      <c r="E121" s="26">
        <f>F45/E98</f>
        <v>50.371428571428574</v>
      </c>
      <c r="F121" s="26"/>
      <c r="G121" s="26"/>
      <c r="H121" s="26"/>
      <c r="I121" s="26"/>
      <c r="J121" s="26"/>
      <c r="K121" s="26"/>
      <c r="L121" s="26"/>
      <c r="M121" s="26"/>
      <c r="N121" s="26"/>
      <c r="O121" s="26"/>
      <c r="P121" s="26"/>
      <c r="Q121" s="26"/>
      <c r="R121" s="26"/>
      <c r="S121" s="26"/>
    </row>
    <row r="122" spans="1:19" x14ac:dyDescent="0.2">
      <c r="A122" s="18">
        <f t="shared" si="25"/>
        <v>1993</v>
      </c>
      <c r="B122" s="26">
        <f>C46/B99</f>
        <v>23.765751211631663</v>
      </c>
      <c r="C122" s="26">
        <f>D46/C99</f>
        <v>33.475896168108775</v>
      </c>
      <c r="D122" s="26">
        <f>E46/D99</f>
        <v>40.27058823529412</v>
      </c>
      <c r="E122" s="26"/>
      <c r="F122" s="26"/>
      <c r="G122" s="26"/>
      <c r="H122" s="26"/>
      <c r="I122" s="26"/>
      <c r="J122" s="26"/>
      <c r="K122" s="26"/>
      <c r="L122" s="26"/>
      <c r="M122" s="26"/>
      <c r="N122" s="26"/>
      <c r="O122" s="26"/>
      <c r="P122" s="26"/>
      <c r="Q122" s="26"/>
      <c r="R122" s="26"/>
      <c r="S122" s="26"/>
    </row>
    <row r="123" spans="1:19" x14ac:dyDescent="0.2">
      <c r="A123" s="18">
        <f t="shared" si="25"/>
        <v>1994</v>
      </c>
      <c r="B123" s="26">
        <f>C47/B100</f>
        <v>18.903030303030302</v>
      </c>
      <c r="C123" s="26">
        <f>D47/C100</f>
        <v>28.168087697929355</v>
      </c>
      <c r="D123" s="26"/>
      <c r="E123" s="26"/>
      <c r="F123" s="26"/>
      <c r="G123" s="26"/>
      <c r="H123" s="26"/>
      <c r="I123" s="26"/>
      <c r="J123" s="26"/>
      <c r="K123" s="26"/>
      <c r="L123" s="26"/>
      <c r="M123" s="26"/>
      <c r="N123" s="26"/>
      <c r="O123" s="26"/>
      <c r="P123" s="26"/>
      <c r="Q123" s="26"/>
      <c r="R123" s="26"/>
      <c r="S123" s="26"/>
    </row>
    <row r="124" spans="1:19" x14ac:dyDescent="0.2">
      <c r="A124" s="18">
        <f t="shared" si="25"/>
        <v>1995</v>
      </c>
      <c r="B124" s="26">
        <f>C48/B101</f>
        <v>14.719696969696969</v>
      </c>
      <c r="C124" s="26"/>
      <c r="D124" s="26"/>
      <c r="E124" s="26"/>
      <c r="F124" s="26"/>
      <c r="G124" s="26"/>
      <c r="H124" s="26"/>
      <c r="I124" s="26"/>
      <c r="J124" s="26"/>
      <c r="K124" s="26"/>
      <c r="L124" s="26"/>
      <c r="M124" s="26"/>
      <c r="N124" s="26"/>
      <c r="O124" s="26"/>
      <c r="P124" s="26"/>
      <c r="Q124" s="26"/>
      <c r="R124" s="26"/>
      <c r="S124" s="26"/>
    </row>
    <row r="129" spans="1:18" x14ac:dyDescent="0.2">
      <c r="A129" s="16" t="s">
        <v>228</v>
      </c>
      <c r="C129" s="18"/>
      <c r="D129" s="18"/>
      <c r="E129" s="18"/>
      <c r="F129" s="18"/>
      <c r="G129" s="18"/>
      <c r="H129" s="18"/>
      <c r="I129" s="18"/>
      <c r="J129" s="18"/>
      <c r="K129" s="18"/>
      <c r="L129" s="18"/>
      <c r="M129" s="18"/>
      <c r="N129" s="18"/>
      <c r="O129" s="18"/>
      <c r="P129" s="18"/>
      <c r="Q129" s="18"/>
      <c r="R129" s="18"/>
    </row>
    <row r="131" spans="1:18" x14ac:dyDescent="0.2">
      <c r="A131" s="25" t="s">
        <v>211</v>
      </c>
      <c r="B131" s="36" t="s">
        <v>229</v>
      </c>
      <c r="C131" s="18"/>
      <c r="D131" s="18"/>
      <c r="E131" s="18"/>
      <c r="F131" s="18"/>
      <c r="G131" s="18"/>
      <c r="H131" s="18"/>
      <c r="I131" s="18"/>
      <c r="J131" s="18"/>
      <c r="K131" s="18"/>
      <c r="L131" s="18"/>
      <c r="M131" s="18"/>
      <c r="N131" s="18"/>
      <c r="O131" s="18"/>
      <c r="P131" s="18"/>
      <c r="Q131" s="18"/>
      <c r="R131" s="18"/>
    </row>
    <row r="132" spans="1:18" x14ac:dyDescent="0.2">
      <c r="A132" s="37" t="s">
        <v>213</v>
      </c>
      <c r="B132" s="38" t="s">
        <v>230</v>
      </c>
      <c r="C132" s="39"/>
      <c r="D132" s="39"/>
      <c r="E132" s="39"/>
      <c r="F132" s="39"/>
      <c r="G132" s="39"/>
      <c r="H132" s="39"/>
      <c r="I132" s="39"/>
      <c r="J132" s="39"/>
      <c r="K132" s="39"/>
      <c r="L132" s="39"/>
      <c r="M132" s="39"/>
      <c r="N132" s="39"/>
      <c r="O132" s="39"/>
      <c r="P132" s="39"/>
      <c r="Q132" s="39"/>
      <c r="R132" s="39"/>
    </row>
    <row r="133" spans="1:18" x14ac:dyDescent="0.2">
      <c r="B133" s="39">
        <v>0</v>
      </c>
      <c r="C133" s="39">
        <f t="shared" ref="C133:R133" si="26">B133+1</f>
        <v>1</v>
      </c>
      <c r="D133" s="39">
        <f t="shared" si="26"/>
        <v>2</v>
      </c>
      <c r="E133" s="39">
        <f t="shared" si="26"/>
        <v>3</v>
      </c>
      <c r="F133" s="39">
        <f t="shared" si="26"/>
        <v>4</v>
      </c>
      <c r="G133" s="39">
        <f t="shared" si="26"/>
        <v>5</v>
      </c>
      <c r="H133" s="39">
        <f t="shared" si="26"/>
        <v>6</v>
      </c>
      <c r="I133" s="39">
        <f t="shared" si="26"/>
        <v>7</v>
      </c>
      <c r="J133" s="39">
        <f t="shared" si="26"/>
        <v>8</v>
      </c>
      <c r="K133" s="39">
        <f t="shared" si="26"/>
        <v>9</v>
      </c>
      <c r="L133" s="39">
        <f t="shared" si="26"/>
        <v>10</v>
      </c>
      <c r="M133" s="39">
        <f t="shared" si="26"/>
        <v>11</v>
      </c>
      <c r="N133" s="39">
        <f t="shared" si="26"/>
        <v>12</v>
      </c>
      <c r="O133" s="39">
        <f t="shared" si="26"/>
        <v>13</v>
      </c>
      <c r="P133" s="39">
        <f t="shared" si="26"/>
        <v>14</v>
      </c>
      <c r="Q133" s="39">
        <f t="shared" si="26"/>
        <v>15</v>
      </c>
      <c r="R133" s="39">
        <f t="shared" si="26"/>
        <v>16</v>
      </c>
    </row>
    <row r="135" spans="1:18" x14ac:dyDescent="0.2">
      <c r="A135" s="18">
        <f>A107</f>
        <v>1978</v>
      </c>
      <c r="B135" s="40">
        <f t="shared" ref="B135:R146" si="27">C107/B107</f>
        <v>1.2972452966832226</v>
      </c>
      <c r="C135" s="40">
        <f t="shared" si="27"/>
        <v>1.0523635307364541</v>
      </c>
      <c r="D135" s="40">
        <f t="shared" si="27"/>
        <v>1.0941458775562549</v>
      </c>
      <c r="E135" s="40">
        <f t="shared" si="27"/>
        <v>1.0076647039369002</v>
      </c>
      <c r="F135" s="40">
        <f t="shared" si="27"/>
        <v>1.1469847801214148</v>
      </c>
      <c r="G135" s="40">
        <f t="shared" si="27"/>
        <v>0.98842697326649531</v>
      </c>
      <c r="H135" s="40">
        <f t="shared" si="27"/>
        <v>0.9988184093625273</v>
      </c>
      <c r="I135" s="40">
        <f t="shared" si="27"/>
        <v>0.97215857011915674</v>
      </c>
      <c r="J135" s="40">
        <f t="shared" si="27"/>
        <v>1.0111962286387743</v>
      </c>
      <c r="K135" s="40">
        <f t="shared" si="27"/>
        <v>0.99723853160841702</v>
      </c>
      <c r="L135" s="40">
        <f t="shared" si="27"/>
        <v>0.98969181757383606</v>
      </c>
      <c r="M135" s="40">
        <f t="shared" si="27"/>
        <v>1.0003143171460003</v>
      </c>
      <c r="N135" s="40">
        <f t="shared" si="27"/>
        <v>0.99850746268656732</v>
      </c>
      <c r="O135" s="40">
        <f t="shared" si="27"/>
        <v>0.9985839037054518</v>
      </c>
      <c r="P135" s="40">
        <f t="shared" si="27"/>
        <v>1.0052784999606081</v>
      </c>
      <c r="Q135" s="40">
        <f t="shared" si="27"/>
        <v>1.0049373040752352</v>
      </c>
      <c r="R135" s="40">
        <f t="shared" si="27"/>
        <v>0.99309833892224908</v>
      </c>
    </row>
    <row r="136" spans="1:18" x14ac:dyDescent="0.2">
      <c r="A136" s="18">
        <f t="shared" ref="A136:A151" si="28">A108</f>
        <v>1979</v>
      </c>
      <c r="B136" s="40">
        <f t="shared" si="27"/>
        <v>1.1827459367682898</v>
      </c>
      <c r="C136" s="40">
        <f t="shared" si="27"/>
        <v>1.0139382146497482</v>
      </c>
      <c r="D136" s="40">
        <f t="shared" si="27"/>
        <v>1.073191262138391</v>
      </c>
      <c r="E136" s="40">
        <f t="shared" si="27"/>
        <v>1.0996625120518106</v>
      </c>
      <c r="F136" s="40">
        <f t="shared" si="27"/>
        <v>1.0406867794276382</v>
      </c>
      <c r="G136" s="40">
        <f t="shared" si="27"/>
        <v>1.0699196260113026</v>
      </c>
      <c r="H136" s="40">
        <f t="shared" si="27"/>
        <v>0.9622723501353575</v>
      </c>
      <c r="I136" s="40">
        <f t="shared" si="27"/>
        <v>0.96112585223249947</v>
      </c>
      <c r="J136" s="40">
        <f t="shared" si="27"/>
        <v>0.99017039648989225</v>
      </c>
      <c r="K136" s="40">
        <f t="shared" si="27"/>
        <v>0.97426195814648731</v>
      </c>
      <c r="L136" s="40">
        <f t="shared" si="27"/>
        <v>1.01440872086205</v>
      </c>
      <c r="M136" s="40">
        <f t="shared" si="27"/>
        <v>0.96782119737277317</v>
      </c>
      <c r="N136" s="40">
        <f t="shared" si="27"/>
        <v>0.97505126452494872</v>
      </c>
      <c r="O136" s="40">
        <f t="shared" si="27"/>
        <v>0.99934905613139047</v>
      </c>
      <c r="P136" s="40">
        <f t="shared" si="27"/>
        <v>0.99944884256939592</v>
      </c>
      <c r="Q136" s="40">
        <f t="shared" si="27"/>
        <v>1.00220584549055</v>
      </c>
      <c r="R136" s="40"/>
    </row>
    <row r="137" spans="1:18" x14ac:dyDescent="0.2">
      <c r="A137" s="18">
        <f t="shared" si="28"/>
        <v>1980</v>
      </c>
      <c r="B137" s="40">
        <f t="shared" si="27"/>
        <v>1.1836118187797957</v>
      </c>
      <c r="C137" s="40">
        <f t="shared" si="27"/>
        <v>1.0656552000741795</v>
      </c>
      <c r="D137" s="40">
        <f t="shared" si="27"/>
        <v>1.3025733284751322</v>
      </c>
      <c r="E137" s="40">
        <f t="shared" si="27"/>
        <v>0.98669264074923901</v>
      </c>
      <c r="F137" s="40">
        <f t="shared" si="27"/>
        <v>1.0170254440200508</v>
      </c>
      <c r="G137" s="40">
        <f t="shared" si="27"/>
        <v>0.98145357169491476</v>
      </c>
      <c r="H137" s="40">
        <f t="shared" si="27"/>
        <v>0.99874400792228968</v>
      </c>
      <c r="I137" s="40">
        <f t="shared" si="27"/>
        <v>0.99468006936484132</v>
      </c>
      <c r="J137" s="40">
        <f t="shared" si="27"/>
        <v>1.0026889663731458</v>
      </c>
      <c r="K137" s="40">
        <f t="shared" si="27"/>
        <v>0.98803248431071622</v>
      </c>
      <c r="L137" s="40">
        <f t="shared" si="27"/>
        <v>0.94944297421309387</v>
      </c>
      <c r="M137" s="40">
        <f t="shared" si="27"/>
        <v>1.010100059596625</v>
      </c>
      <c r="N137" s="40">
        <f t="shared" si="27"/>
        <v>1.004409527062696</v>
      </c>
      <c r="O137" s="40">
        <f t="shared" si="27"/>
        <v>0.9970629154428815</v>
      </c>
      <c r="P137" s="40">
        <f t="shared" si="27"/>
        <v>0.99745736434108534</v>
      </c>
      <c r="Q137" s="40"/>
      <c r="R137" s="40"/>
    </row>
    <row r="138" spans="1:18" x14ac:dyDescent="0.2">
      <c r="A138" s="18">
        <f t="shared" si="28"/>
        <v>1981</v>
      </c>
      <c r="B138" s="40">
        <f t="shared" si="27"/>
        <v>1.1776934696723218</v>
      </c>
      <c r="C138" s="40">
        <f t="shared" si="27"/>
        <v>1.3462551142242838</v>
      </c>
      <c r="D138" s="40">
        <f t="shared" si="27"/>
        <v>1.0357435044829109</v>
      </c>
      <c r="E138" s="40">
        <f t="shared" si="27"/>
        <v>0.98933526153619289</v>
      </c>
      <c r="F138" s="40">
        <f t="shared" si="27"/>
        <v>0.9925454999747414</v>
      </c>
      <c r="G138" s="40">
        <f t="shared" si="27"/>
        <v>0.98931038602174082</v>
      </c>
      <c r="H138" s="40">
        <f t="shared" si="27"/>
        <v>0.99686579474490389</v>
      </c>
      <c r="I138" s="40">
        <f t="shared" si="27"/>
        <v>0.99403660723227705</v>
      </c>
      <c r="J138" s="40">
        <f t="shared" si="27"/>
        <v>0.98838341845824906</v>
      </c>
      <c r="K138" s="40">
        <f t="shared" si="27"/>
        <v>0.97197519588520898</v>
      </c>
      <c r="L138" s="40">
        <f t="shared" si="27"/>
        <v>0.99957804677399931</v>
      </c>
      <c r="M138" s="40">
        <f t="shared" si="27"/>
        <v>0.99737831420656908</v>
      </c>
      <c r="N138" s="40">
        <f t="shared" si="27"/>
        <v>1.0002727768685216</v>
      </c>
      <c r="O138" s="40">
        <f t="shared" si="27"/>
        <v>0.99402533653965353</v>
      </c>
    </row>
    <row r="139" spans="1:18" x14ac:dyDescent="0.2">
      <c r="A139" s="18">
        <f t="shared" si="28"/>
        <v>1982</v>
      </c>
      <c r="B139" s="40">
        <f t="shared" si="27"/>
        <v>2.1399268834051441</v>
      </c>
      <c r="C139" s="40">
        <f t="shared" si="27"/>
        <v>1.2338509418724515</v>
      </c>
      <c r="D139" s="40">
        <f t="shared" si="27"/>
        <v>0.93330511409358918</v>
      </c>
      <c r="E139" s="40">
        <f t="shared" si="27"/>
        <v>1.0141948094460147</v>
      </c>
      <c r="F139" s="40">
        <f t="shared" si="27"/>
        <v>1.0010494282044542</v>
      </c>
      <c r="G139" s="40">
        <f t="shared" si="27"/>
        <v>1.0122397792826687</v>
      </c>
      <c r="H139" s="40">
        <f t="shared" si="27"/>
        <v>0.99880718021138104</v>
      </c>
      <c r="I139" s="40">
        <f t="shared" si="27"/>
        <v>0.99407756164044103</v>
      </c>
      <c r="J139" s="40">
        <f t="shared" si="27"/>
        <v>0.99431648220161539</v>
      </c>
      <c r="K139" s="40">
        <f t="shared" si="27"/>
        <v>1.0002507019655036</v>
      </c>
      <c r="L139" s="40">
        <f t="shared" si="27"/>
        <v>1.005997521055165</v>
      </c>
      <c r="M139" s="40">
        <f t="shared" si="27"/>
        <v>0.99202929235061144</v>
      </c>
      <c r="N139" s="40">
        <f t="shared" si="27"/>
        <v>1.0093655058126398</v>
      </c>
      <c r="O139" s="40"/>
    </row>
    <row r="140" spans="1:18" x14ac:dyDescent="0.2">
      <c r="A140" s="18">
        <f t="shared" si="28"/>
        <v>1983</v>
      </c>
      <c r="B140" s="40">
        <f t="shared" si="27"/>
        <v>1.5419842895733364</v>
      </c>
      <c r="C140" s="40">
        <f t="shared" si="27"/>
        <v>1.0437674278821563</v>
      </c>
      <c r="D140" s="40">
        <f t="shared" si="27"/>
        <v>0.99085294346889352</v>
      </c>
      <c r="E140" s="40">
        <f t="shared" si="27"/>
        <v>1.0684561019805763</v>
      </c>
      <c r="F140" s="40">
        <f t="shared" si="27"/>
        <v>1.0155641899478538</v>
      </c>
      <c r="G140" s="40">
        <f t="shared" si="27"/>
        <v>0.99091988326305591</v>
      </c>
      <c r="H140" s="40">
        <f t="shared" si="27"/>
        <v>1.0110093969549367</v>
      </c>
      <c r="I140" s="40">
        <f t="shared" si="27"/>
        <v>0.95145606610237787</v>
      </c>
      <c r="J140" s="40">
        <f t="shared" si="27"/>
        <v>1.0033095925229687</v>
      </c>
      <c r="K140" s="40">
        <f t="shared" si="27"/>
        <v>0.98614556394152098</v>
      </c>
      <c r="L140" s="40">
        <f t="shared" si="27"/>
        <v>0.9991252485842631</v>
      </c>
      <c r="M140" s="40">
        <f t="shared" si="27"/>
        <v>0.99277011648145674</v>
      </c>
    </row>
    <row r="141" spans="1:18" x14ac:dyDescent="0.2">
      <c r="A141" s="18">
        <f t="shared" si="28"/>
        <v>1984</v>
      </c>
      <c r="B141" s="40">
        <f t="shared" si="27"/>
        <v>1.2186846625766872</v>
      </c>
      <c r="C141" s="40">
        <f t="shared" si="27"/>
        <v>1.1751985706385173</v>
      </c>
      <c r="D141" s="40">
        <f t="shared" si="27"/>
        <v>1.0694609697618274</v>
      </c>
      <c r="E141" s="40">
        <f t="shared" si="27"/>
        <v>1.039211755878938</v>
      </c>
      <c r="F141" s="40">
        <f t="shared" si="27"/>
        <v>1.089118018997048</v>
      </c>
      <c r="G141" s="40">
        <f t="shared" si="27"/>
        <v>1.0022830807189236</v>
      </c>
      <c r="H141" s="40">
        <f t="shared" si="27"/>
        <v>0.98059092077046639</v>
      </c>
      <c r="I141" s="40">
        <f t="shared" si="27"/>
        <v>1.0149061285091918</v>
      </c>
      <c r="J141" s="40">
        <f t="shared" si="27"/>
        <v>0.981077959576516</v>
      </c>
      <c r="K141" s="40">
        <f t="shared" si="27"/>
        <v>1.0096925461573174</v>
      </c>
      <c r="L141" s="40">
        <f t="shared" si="27"/>
        <v>0.99822955303234651</v>
      </c>
    </row>
    <row r="142" spans="1:18" x14ac:dyDescent="0.2">
      <c r="A142" s="18">
        <f t="shared" si="28"/>
        <v>1985</v>
      </c>
      <c r="B142" s="40">
        <f t="shared" si="27"/>
        <v>1.7187491182408603</v>
      </c>
      <c r="C142" s="40">
        <f t="shared" si="27"/>
        <v>1.3615356987777933</v>
      </c>
      <c r="D142" s="40">
        <f t="shared" si="27"/>
        <v>1.0379220520614134</v>
      </c>
      <c r="E142" s="40">
        <f t="shared" si="27"/>
        <v>1.0500146681277926</v>
      </c>
      <c r="F142" s="40">
        <f t="shared" si="27"/>
        <v>1.0053205215604697</v>
      </c>
      <c r="G142" s="40">
        <f t="shared" si="27"/>
        <v>0.98865637047601496</v>
      </c>
      <c r="H142" s="40">
        <f t="shared" si="27"/>
        <v>1.0075219900922294</v>
      </c>
      <c r="I142" s="40">
        <f t="shared" si="27"/>
        <v>0.99192039491799</v>
      </c>
      <c r="J142" s="40">
        <f t="shared" si="27"/>
        <v>1.0174150799320147</v>
      </c>
      <c r="K142" s="40">
        <f t="shared" si="27"/>
        <v>1.0249085051211115</v>
      </c>
      <c r="L142" s="41"/>
    </row>
    <row r="143" spans="1:18" x14ac:dyDescent="0.2">
      <c r="A143" s="18">
        <f t="shared" si="28"/>
        <v>1986</v>
      </c>
      <c r="B143" s="40">
        <f t="shared" si="27"/>
        <v>1.5907465069535094</v>
      </c>
      <c r="C143" s="40">
        <f t="shared" si="27"/>
        <v>1.2547804042417559</v>
      </c>
      <c r="D143" s="40">
        <f t="shared" si="27"/>
        <v>1.0505829248376921</v>
      </c>
      <c r="E143" s="40">
        <f t="shared" si="27"/>
        <v>1.0778117846369868</v>
      </c>
      <c r="F143" s="40">
        <f t="shared" si="27"/>
        <v>1.0728642778350783</v>
      </c>
      <c r="G143" s="40">
        <f t="shared" si="27"/>
        <v>1.0150826396596471</v>
      </c>
      <c r="H143" s="40">
        <f t="shared" si="27"/>
        <v>0.98783249589040556</v>
      </c>
      <c r="I143" s="40">
        <f t="shared" si="27"/>
        <v>0.99769989207077769</v>
      </c>
      <c r="J143" s="40">
        <f t="shared" si="27"/>
        <v>0.97874170286898798</v>
      </c>
      <c r="K143" s="41"/>
      <c r="L143" s="41"/>
    </row>
    <row r="144" spans="1:18" x14ac:dyDescent="0.2">
      <c r="A144" s="18">
        <f t="shared" si="28"/>
        <v>1987</v>
      </c>
      <c r="B144" s="40">
        <f t="shared" si="27"/>
        <v>1.4289469748392221</v>
      </c>
      <c r="C144" s="40">
        <f t="shared" si="27"/>
        <v>1.2408658044391538</v>
      </c>
      <c r="D144" s="40">
        <f t="shared" si="27"/>
        <v>1.1763097731580203</v>
      </c>
      <c r="E144" s="40">
        <f t="shared" si="27"/>
        <v>1.0750518620196368</v>
      </c>
      <c r="F144" s="40">
        <f t="shared" si="27"/>
        <v>1.1381017088252532</v>
      </c>
      <c r="G144" s="40">
        <f t="shared" si="27"/>
        <v>1.072471671180687</v>
      </c>
      <c r="H144" s="40">
        <f t="shared" si="27"/>
        <v>1.0171766341509081</v>
      </c>
      <c r="I144" s="40">
        <f t="shared" si="27"/>
        <v>0.99074177856486356</v>
      </c>
      <c r="J144" s="41"/>
      <c r="K144" s="41"/>
      <c r="L144" s="41"/>
    </row>
    <row r="145" spans="1:18" x14ac:dyDescent="0.2">
      <c r="A145" s="18">
        <f t="shared" si="28"/>
        <v>1988</v>
      </c>
      <c r="B145" s="40">
        <f t="shared" si="27"/>
        <v>1.4925736170884827</v>
      </c>
      <c r="C145" s="40">
        <f t="shared" si="27"/>
        <v>1.3409713757731772</v>
      </c>
      <c r="D145" s="40">
        <f t="shared" si="27"/>
        <v>1.2142562693477994</v>
      </c>
      <c r="E145" s="40">
        <f t="shared" si="27"/>
        <v>1.0813959749456636</v>
      </c>
      <c r="F145" s="40">
        <f t="shared" si="27"/>
        <v>1.0152717269090494</v>
      </c>
      <c r="G145" s="40">
        <f t="shared" si="27"/>
        <v>1.0611230630506785</v>
      </c>
      <c r="H145" s="40">
        <f t="shared" si="27"/>
        <v>1.0182230623818527</v>
      </c>
      <c r="I145" s="41"/>
      <c r="J145" s="41"/>
      <c r="K145" s="41"/>
      <c r="L145" s="41"/>
    </row>
    <row r="146" spans="1:18" x14ac:dyDescent="0.2">
      <c r="A146" s="18">
        <f t="shared" si="28"/>
        <v>1989</v>
      </c>
      <c r="B146" s="40">
        <f t="shared" si="27"/>
        <v>1.3766940296188792</v>
      </c>
      <c r="C146" s="40">
        <f t="shared" si="27"/>
        <v>1.5899517329715351</v>
      </c>
      <c r="D146" s="40">
        <f t="shared" si="27"/>
        <v>1.1884456963320909</v>
      </c>
      <c r="E146" s="40">
        <f t="shared" si="27"/>
        <v>1.1611100009374207</v>
      </c>
      <c r="F146" s="40">
        <f t="shared" si="27"/>
        <v>0.97976757061725295</v>
      </c>
      <c r="G146" s="40">
        <f t="shared" si="27"/>
        <v>0.99772450313517824</v>
      </c>
      <c r="H146" s="41"/>
      <c r="I146" s="41"/>
      <c r="J146" s="41"/>
      <c r="K146" s="41"/>
      <c r="L146" s="41"/>
    </row>
    <row r="147" spans="1:18" x14ac:dyDescent="0.2">
      <c r="A147" s="18">
        <f t="shared" si="28"/>
        <v>1990</v>
      </c>
      <c r="B147" s="40">
        <f>C119/B119</f>
        <v>1.8288005491422374</v>
      </c>
      <c r="C147" s="40">
        <f>D119/C119</f>
        <v>1.3439873178703359</v>
      </c>
      <c r="D147" s="40">
        <f>E119/D119</f>
        <v>1.2819070305712348</v>
      </c>
      <c r="E147" s="40">
        <f>F119/E119</f>
        <v>1.0815173323491383</v>
      </c>
      <c r="F147" s="40">
        <f>G119/F119</f>
        <v>1.044008157745921</v>
      </c>
      <c r="G147" s="41"/>
      <c r="H147" s="41"/>
      <c r="I147" s="41"/>
      <c r="J147" s="41"/>
      <c r="K147" s="41"/>
      <c r="L147" s="41"/>
    </row>
    <row r="148" spans="1:18" x14ac:dyDescent="0.2">
      <c r="A148" s="18">
        <f t="shared" si="28"/>
        <v>1991</v>
      </c>
      <c r="B148" s="40">
        <f>C120/B120</f>
        <v>1.3413294415255885</v>
      </c>
      <c r="C148" s="40">
        <f>D120/C120</f>
        <v>1.2753823489527991</v>
      </c>
      <c r="D148" s="40">
        <f>E120/D120</f>
        <v>1.1336003084470212</v>
      </c>
      <c r="E148" s="40">
        <f>F120/E120</f>
        <v>1.0548494281332608</v>
      </c>
      <c r="F148" s="41"/>
      <c r="G148" s="41"/>
      <c r="H148" s="41"/>
      <c r="I148" s="41"/>
      <c r="J148" s="41"/>
      <c r="K148" s="41"/>
      <c r="L148" s="41"/>
    </row>
    <row r="149" spans="1:18" x14ac:dyDescent="0.2">
      <c r="A149" s="18">
        <f t="shared" si="28"/>
        <v>1992</v>
      </c>
      <c r="B149" s="40">
        <f>C121/B121</f>
        <v>1.7630005190078217</v>
      </c>
      <c r="C149" s="40">
        <f>D121/C121</f>
        <v>1.2370686621401705</v>
      </c>
      <c r="D149" s="40">
        <f>E121/D121</f>
        <v>1.175292477279662</v>
      </c>
      <c r="E149" s="41"/>
      <c r="F149" s="41"/>
      <c r="G149" s="41"/>
      <c r="H149" s="41"/>
      <c r="I149" s="41"/>
      <c r="J149" s="41"/>
      <c r="K149" s="41"/>
      <c r="L149" s="41"/>
    </row>
    <row r="150" spans="1:18" x14ac:dyDescent="0.2">
      <c r="A150" s="18">
        <f t="shared" si="28"/>
        <v>1993</v>
      </c>
      <c r="B150" s="40">
        <f>C122/B122</f>
        <v>1.4085772366296876</v>
      </c>
      <c r="C150" s="40">
        <f>D122/C122</f>
        <v>1.2029726712337694</v>
      </c>
      <c r="D150" s="41"/>
      <c r="E150" s="41"/>
      <c r="F150" s="41"/>
      <c r="G150" s="41"/>
      <c r="H150" s="41"/>
      <c r="I150" s="41"/>
      <c r="J150" s="41"/>
      <c r="K150" s="41"/>
      <c r="L150" s="41"/>
    </row>
    <row r="151" spans="1:18" x14ac:dyDescent="0.2">
      <c r="A151" s="18">
        <f t="shared" si="28"/>
        <v>1994</v>
      </c>
      <c r="B151" s="40">
        <f>C123/B123</f>
        <v>1.4901360917468238</v>
      </c>
      <c r="C151" s="40"/>
      <c r="D151" s="41"/>
      <c r="E151" s="41"/>
      <c r="F151" s="41"/>
      <c r="G151" s="41"/>
      <c r="H151" s="41"/>
      <c r="I151" s="41"/>
      <c r="J151" s="41"/>
      <c r="K151" s="41"/>
      <c r="L151" s="41"/>
    </row>
    <row r="152" spans="1:18" x14ac:dyDescent="0.2">
      <c r="A152" s="18"/>
      <c r="B152" s="40"/>
      <c r="C152" s="40"/>
      <c r="D152" s="41"/>
      <c r="E152" s="41"/>
      <c r="F152" s="41"/>
      <c r="G152" s="41"/>
      <c r="H152" s="41"/>
      <c r="I152" s="41"/>
      <c r="J152" s="41"/>
      <c r="K152" s="41"/>
      <c r="L152" s="41"/>
    </row>
    <row r="153" spans="1:18" x14ac:dyDescent="0.2">
      <c r="A153" s="18"/>
    </row>
    <row r="154" spans="1:18" x14ac:dyDescent="0.2">
      <c r="A154" s="25" t="s">
        <v>231</v>
      </c>
    </row>
    <row r="155" spans="1:18" x14ac:dyDescent="0.2">
      <c r="A155" s="25" t="s">
        <v>232</v>
      </c>
    </row>
    <row r="157" spans="1:18" x14ac:dyDescent="0.2">
      <c r="A157" s="25" t="s">
        <v>233</v>
      </c>
      <c r="B157" s="42">
        <f>SUM(C107:C123)/SUM(B107:B123)</f>
        <v>1.4447805439319004</v>
      </c>
      <c r="C157" s="42">
        <f>SUM(D107:D122)/SUM(C107:C122)</f>
        <v>1.2269209940824739</v>
      </c>
      <c r="D157" s="42">
        <f>SUM(E107:E121)/SUM(D107:D121)</f>
        <v>1.1121878023475176</v>
      </c>
      <c r="E157" s="42">
        <f>SUM(F107:F120)/SUM(E107:E120)</f>
        <v>1.055615508797596</v>
      </c>
      <c r="F157" s="42">
        <f>SUM(G107:G119)/SUM(F107:F119)</f>
        <v>1.0409725771051459</v>
      </c>
      <c r="G157" s="42">
        <f>SUM(H107:H118)/SUM(G107:G118)</f>
        <v>1.0132949465652819</v>
      </c>
      <c r="H157" s="42">
        <f>SUM(I107:I117)/SUM(H107:H117)</f>
        <v>0.99814695873874826</v>
      </c>
      <c r="I157" s="42">
        <f>SUM(J107:J116)/SUM(I107:I116)</f>
        <v>0.98758742550329859</v>
      </c>
      <c r="J157" s="42">
        <f>SUM(K107:K115)/SUM(J107:J115)</f>
        <v>0.99574179469430579</v>
      </c>
      <c r="K157" s="42">
        <f>SUM(L107:L114)/SUM(K107:K114)</f>
        <v>0.99493575698910364</v>
      </c>
      <c r="L157" s="42">
        <f>SUM(M107:M113)/SUM(L107:L113)</f>
        <v>0.99338577183994992</v>
      </c>
      <c r="M157" s="42">
        <f>SUM(N107:N112)/SUM(M107:M112)</f>
        <v>0.99398706489949296</v>
      </c>
      <c r="N157" s="42">
        <f>SUM(O107:O111)/SUM(N107:N111)</f>
        <v>0.99847205386000215</v>
      </c>
      <c r="O157" s="42">
        <f>SUM(P107:P110)/SUM(O107:O110)</f>
        <v>0.99711692297267418</v>
      </c>
      <c r="P157" s="42">
        <f>SUM(Q107:Q109)/SUM(P107:P109)</f>
        <v>1.0008183771918733</v>
      </c>
      <c r="Q157" s="42">
        <f>SUM(R107:R108)/SUM(Q107:Q108)</f>
        <v>1.0037177029473385</v>
      </c>
      <c r="R157" s="42">
        <f>SUM(S107)/SUM(R107)</f>
        <v>0.99309833892224908</v>
      </c>
    </row>
    <row r="158" spans="1:18" x14ac:dyDescent="0.2">
      <c r="A158" s="18"/>
      <c r="B158" s="40"/>
    </row>
    <row r="159" spans="1:18" x14ac:dyDescent="0.2">
      <c r="A159" s="25" t="s">
        <v>234</v>
      </c>
    </row>
    <row r="160" spans="1:18" x14ac:dyDescent="0.2">
      <c r="A160" s="25" t="s">
        <v>235</v>
      </c>
      <c r="B160" s="43">
        <f>SUM(C118:C123)/SUM(B118:B123)</f>
        <v>1.5209285797291969</v>
      </c>
      <c r="C160" s="43">
        <f>SUM(D117:D122)/SUM(C117:C122)</f>
        <v>1.3179844490728956</v>
      </c>
      <c r="D160" s="43">
        <f>SUM(E116:E121)/SUM(D116:D121)</f>
        <v>1.1953786250141645</v>
      </c>
      <c r="E160" s="43">
        <f>SUM(F115:F120)/SUM(E115:E120)</f>
        <v>1.0892270303936633</v>
      </c>
      <c r="F160" s="43">
        <f>SUM(G114:G119)/SUM(F114:F119)</f>
        <v>1.0401246701671292</v>
      </c>
      <c r="G160" s="43">
        <f>SUM(H113:H118)/SUM(G113:G118)</f>
        <v>1.021944354445685</v>
      </c>
      <c r="H160" s="43">
        <f>SUM(I112:I117)/SUM(H112:H117)</f>
        <v>1.0030741568153487</v>
      </c>
      <c r="I160" s="43">
        <f>SUM(J111:J116)/SUM(I111:I116)</f>
        <v>0.99136156873172521</v>
      </c>
      <c r="J160" s="43">
        <f>SUM(K110:K115)/SUM(J110:J115)</f>
        <v>0.99301767671578323</v>
      </c>
      <c r="K160" s="43">
        <f>SUM(L109:L114)/SUM(K109:K114)</f>
        <v>0.99736039849544278</v>
      </c>
      <c r="L160" s="43">
        <f>SUM(M108:M113)/SUM(L108:L113)</f>
        <v>0.99398918192577845</v>
      </c>
      <c r="M160" s="43">
        <f>SUM(N107:N112)/SUM(M107:M112)</f>
        <v>0.99398706489949296</v>
      </c>
      <c r="N160" s="40"/>
      <c r="O160" s="40"/>
      <c r="P160" s="40"/>
      <c r="Q160" s="40"/>
      <c r="R160" s="40"/>
    </row>
    <row r="161" spans="1:23" x14ac:dyDescent="0.2">
      <c r="A161" s="25" t="s">
        <v>236</v>
      </c>
    </row>
    <row r="162" spans="1:23" x14ac:dyDescent="0.2">
      <c r="A162" s="18"/>
      <c r="B162" s="18"/>
      <c r="C162" s="18"/>
      <c r="D162" s="18"/>
      <c r="E162" s="18"/>
      <c r="F162" s="18"/>
      <c r="G162" s="18"/>
      <c r="H162" s="18"/>
      <c r="I162" s="18"/>
      <c r="J162" s="18"/>
      <c r="K162" s="18"/>
      <c r="L162" s="18"/>
      <c r="M162" s="18"/>
      <c r="N162" s="18"/>
      <c r="O162" s="18"/>
      <c r="P162" s="18"/>
      <c r="Q162" s="18"/>
      <c r="R162" s="18"/>
    </row>
    <row r="163" spans="1:23" x14ac:dyDescent="0.2">
      <c r="A163" s="25" t="s">
        <v>237</v>
      </c>
      <c r="B163" s="44">
        <f>SUM(C121:C123)/SUM(B121:B123)</f>
        <v>1.5450757014467438</v>
      </c>
      <c r="C163" s="44">
        <f>SUM(D120:D122)/SUM(C120:C122)</f>
        <v>1.2377428172823226</v>
      </c>
      <c r="D163" s="44">
        <f>SUM(E119:E121)/SUM(D119:D121)</f>
        <v>1.1977489946779605</v>
      </c>
      <c r="E163" s="44">
        <f>SUM(F118:F120)/SUM(E118:E120)</f>
        <v>1.0983465130791452</v>
      </c>
      <c r="F163" s="44">
        <f>SUM(G117:G119)/SUM(F117:F119)</f>
        <v>1.0138295960399994</v>
      </c>
      <c r="G163" s="44">
        <f>SUM(H116:H118)/SUM(G116:G118)</f>
        <v>1.0417010347659652</v>
      </c>
      <c r="H163" s="44">
        <f>SUM(I115:I117)/SUM(H115:H117)</f>
        <v>1.0077599653291598</v>
      </c>
      <c r="I163" s="44">
        <f>SUM(J114:J116)/SUM(I114:I116)</f>
        <v>0.99340662334957353</v>
      </c>
      <c r="J163" s="44">
        <f>SUM(K113:K115)/SUM(J113:J115)</f>
        <v>0.99126531172573007</v>
      </c>
      <c r="K163" s="44">
        <f>SUM(L112:L114)/SUM(K112:K114)</f>
        <v>1.0078086505142063</v>
      </c>
      <c r="L163" s="44">
        <f>SUM(M111:M113)/SUM(L111:L113)</f>
        <v>1.0010381114009663</v>
      </c>
      <c r="M163" s="44">
        <f>SUM(N110:N112)/SUM(M110:M112)</f>
        <v>0.99408441552936921</v>
      </c>
      <c r="N163" s="44">
        <f>SUM(O109:O111)/SUM(N109:N111)</f>
        <v>1.0047298916034948</v>
      </c>
      <c r="O163" s="44">
        <f>SUM(P108:P110)/SUM(O108:O110)</f>
        <v>0.99660239926397998</v>
      </c>
      <c r="P163" s="44">
        <f>SUM(Q107:Q109)/SUM(P107:P109)</f>
        <v>1.0008183771918733</v>
      </c>
      <c r="Q163" s="40"/>
      <c r="R163" s="40"/>
    </row>
    <row r="164" spans="1:23" x14ac:dyDescent="0.2">
      <c r="A164" s="18"/>
      <c r="B164" s="18"/>
      <c r="C164" s="18"/>
      <c r="D164" s="18"/>
      <c r="E164" s="18"/>
      <c r="F164" s="18"/>
      <c r="G164" s="18"/>
      <c r="H164" s="18"/>
      <c r="I164" s="18"/>
      <c r="J164" s="18"/>
      <c r="K164" s="18"/>
      <c r="L164" s="18"/>
      <c r="M164" s="18"/>
      <c r="N164" s="18"/>
      <c r="O164" s="18"/>
      <c r="P164" s="18"/>
      <c r="Q164" s="18"/>
      <c r="R164" s="18"/>
    </row>
    <row r="165" spans="1:23" x14ac:dyDescent="0.2">
      <c r="A165" s="25" t="s">
        <v>238</v>
      </c>
      <c r="B165" s="18"/>
      <c r="C165" s="18"/>
      <c r="D165" s="18"/>
      <c r="E165" s="18"/>
      <c r="F165" s="18"/>
      <c r="G165" s="18"/>
      <c r="H165" s="18"/>
      <c r="I165" s="18"/>
      <c r="J165" s="18"/>
      <c r="K165" s="18"/>
      <c r="L165" s="18"/>
      <c r="M165" s="18"/>
      <c r="N165" s="18"/>
      <c r="O165" s="18"/>
      <c r="P165" s="18"/>
      <c r="Q165" s="18"/>
      <c r="R165" s="18"/>
    </row>
    <row r="166" spans="1:23" x14ac:dyDescent="0.2">
      <c r="A166" s="25" t="s">
        <v>239</v>
      </c>
      <c r="B166" s="43">
        <f>B160</f>
        <v>1.5209285797291969</v>
      </c>
      <c r="C166" s="43">
        <f t="shared" ref="C166:H166" si="29">C160</f>
        <v>1.3179844490728956</v>
      </c>
      <c r="D166" s="43">
        <f t="shared" si="29"/>
        <v>1.1953786250141645</v>
      </c>
      <c r="E166" s="43">
        <f t="shared" si="29"/>
        <v>1.0892270303936633</v>
      </c>
      <c r="F166" s="43">
        <f t="shared" si="29"/>
        <v>1.0401246701671292</v>
      </c>
      <c r="G166" s="43">
        <f t="shared" si="29"/>
        <v>1.021944354445685</v>
      </c>
      <c r="H166" s="43">
        <f t="shared" si="29"/>
        <v>1.0030741568153487</v>
      </c>
      <c r="I166" s="44">
        <f>I163</f>
        <v>0.99340662334957353</v>
      </c>
      <c r="J166" s="44">
        <f t="shared" ref="J166:P166" si="30">J163</f>
        <v>0.99126531172573007</v>
      </c>
      <c r="K166" s="44">
        <f t="shared" si="30"/>
        <v>1.0078086505142063</v>
      </c>
      <c r="L166" s="44">
        <f t="shared" si="30"/>
        <v>1.0010381114009663</v>
      </c>
      <c r="M166" s="44">
        <f t="shared" si="30"/>
        <v>0.99408441552936921</v>
      </c>
      <c r="N166" s="44">
        <f t="shared" si="30"/>
        <v>1.0047298916034948</v>
      </c>
      <c r="O166" s="44">
        <f t="shared" si="30"/>
        <v>0.99660239926397998</v>
      </c>
      <c r="P166" s="44">
        <f t="shared" si="30"/>
        <v>1.0008183771918733</v>
      </c>
      <c r="Q166" s="42">
        <f t="shared" ref="Q166:R166" si="31">Q157</f>
        <v>1.0037177029473385</v>
      </c>
      <c r="R166" s="42">
        <f t="shared" si="31"/>
        <v>0.99309833892224908</v>
      </c>
      <c r="S166" s="45" t="s">
        <v>240</v>
      </c>
      <c r="T166" s="45"/>
      <c r="U166" s="45"/>
      <c r="V166" s="45"/>
      <c r="W166" s="45"/>
    </row>
    <row r="167" spans="1:23" x14ac:dyDescent="0.2">
      <c r="A167" s="18"/>
      <c r="B167" s="18"/>
      <c r="C167" s="18"/>
      <c r="D167" s="18"/>
      <c r="E167" s="18"/>
      <c r="F167" s="18"/>
      <c r="G167" s="18"/>
      <c r="H167" s="18"/>
      <c r="I167" s="18"/>
      <c r="J167" s="18"/>
      <c r="K167" s="18"/>
      <c r="L167" s="18"/>
      <c r="M167" s="18"/>
      <c r="N167" s="18"/>
      <c r="O167" s="18"/>
      <c r="P167" s="18"/>
      <c r="Q167" s="18"/>
      <c r="R167" s="18"/>
    </row>
    <row r="168" spans="1:23" x14ac:dyDescent="0.2">
      <c r="A168" s="25"/>
      <c r="B168" s="18"/>
      <c r="C168" s="18"/>
      <c r="D168" s="18"/>
      <c r="E168" s="18"/>
      <c r="F168" s="18"/>
      <c r="G168" s="18"/>
      <c r="H168" s="18"/>
      <c r="I168" s="18"/>
      <c r="J168" s="18"/>
      <c r="K168" s="18"/>
      <c r="L168" s="18"/>
      <c r="M168" s="18"/>
      <c r="N168" s="18"/>
      <c r="O168" s="18"/>
      <c r="P168" s="18"/>
      <c r="Q168" s="18"/>
      <c r="R168" s="18"/>
    </row>
    <row r="169" spans="1:23" x14ac:dyDescent="0.2">
      <c r="A169" s="25" t="s">
        <v>241</v>
      </c>
      <c r="B169" s="40">
        <f>PRODUCT(B166:$R166)</f>
        <v>2.7452883817814859</v>
      </c>
      <c r="C169" s="40">
        <f>PRODUCT(C166:$R166)</f>
        <v>1.8050080841207468</v>
      </c>
      <c r="D169" s="40">
        <f>PRODUCT(D166:$R166)</f>
        <v>1.3695215337255582</v>
      </c>
      <c r="E169" s="40">
        <f>PRODUCT(E166:$R166)</f>
        <v>1.1456801260013583</v>
      </c>
      <c r="F169" s="40">
        <f>PRODUCT(F166:$R166)</f>
        <v>1.0518285848885811</v>
      </c>
      <c r="G169" s="40">
        <f>PRODUCT(G166:$R166)</f>
        <v>1.011252415270153</v>
      </c>
      <c r="H169" s="40">
        <f>PRODUCT(H166:$R166)</f>
        <v>0.98953765033387642</v>
      </c>
      <c r="I169" s="40">
        <f>PRODUCT(I166:$R166)</f>
        <v>0.98650497932829873</v>
      </c>
      <c r="J169" s="40">
        <f>PRODUCT(J166:$R166)</f>
        <v>0.99305254881631067</v>
      </c>
      <c r="K169" s="40">
        <f>PRODUCT(K166:$R166)</f>
        <v>1.0018029856078281</v>
      </c>
      <c r="L169" s="40">
        <f>PRODUCT(L166:$R166)</f>
        <v>0.99404086787376367</v>
      </c>
      <c r="M169" s="40">
        <f>PRODUCT(M166:$R166)</f>
        <v>0.99301001285814183</v>
      </c>
      <c r="N169" s="40">
        <f>PRODUCT(N166:$R166)</f>
        <v>0.998919203787482</v>
      </c>
      <c r="O169" s="40">
        <f>PRODUCT(O166:$R166)</f>
        <v>0.99421666672349196</v>
      </c>
      <c r="P169" s="40">
        <f>PRODUCT(P166:$R166)</f>
        <v>0.99760613405882814</v>
      </c>
      <c r="Q169" s="40">
        <f>PRODUCT(Q166:$R166)</f>
        <v>0.99679038354385729</v>
      </c>
      <c r="R169" s="40">
        <f>PRODUCT(R166:$R166)</f>
        <v>0.99309833892224908</v>
      </c>
    </row>
    <row r="170" spans="1:23" x14ac:dyDescent="0.2">
      <c r="A170" s="46" t="s">
        <v>242</v>
      </c>
    </row>
    <row r="171" spans="1:23" x14ac:dyDescent="0.2">
      <c r="A171" s="17" t="s">
        <v>243</v>
      </c>
      <c r="B171" s="47">
        <f>1/B169</f>
        <v>0.36426045680165486</v>
      </c>
      <c r="C171" s="47">
        <f t="shared" ref="C171:R171" si="32">1/C169</f>
        <v>0.55401413921484943</v>
      </c>
      <c r="D171" s="47">
        <f t="shared" si="32"/>
        <v>0.73018202005167776</v>
      </c>
      <c r="E171" s="47">
        <f t="shared" si="32"/>
        <v>0.87284397913943956</v>
      </c>
      <c r="F171" s="47">
        <f t="shared" si="32"/>
        <v>0.95072525539504016</v>
      </c>
      <c r="G171" s="47">
        <f t="shared" si="32"/>
        <v>0.98887279268732631</v>
      </c>
      <c r="H171" s="47">
        <f t="shared" si="32"/>
        <v>1.010572967751751</v>
      </c>
      <c r="I171" s="47">
        <f t="shared" si="32"/>
        <v>1.0136796275279725</v>
      </c>
      <c r="J171" s="47">
        <f t="shared" si="32"/>
        <v>1.0069960559408164</v>
      </c>
      <c r="K171" s="47">
        <f t="shared" si="32"/>
        <v>0.99820025929875411</v>
      </c>
      <c r="L171" s="47">
        <f t="shared" si="32"/>
        <v>1.005994856266808</v>
      </c>
      <c r="M171" s="47">
        <f t="shared" si="32"/>
        <v>1.0070391909964123</v>
      </c>
      <c r="N171" s="47">
        <f t="shared" si="32"/>
        <v>1.001081965596837</v>
      </c>
      <c r="O171" s="47">
        <f t="shared" si="32"/>
        <v>1.0058169747803236</v>
      </c>
      <c r="P171" s="47">
        <f t="shared" si="32"/>
        <v>1.0023996102865089</v>
      </c>
      <c r="Q171" s="47">
        <f t="shared" si="32"/>
        <v>1.00321995126471</v>
      </c>
      <c r="R171" s="47">
        <f t="shared" si="32"/>
        <v>1.0069496250343555</v>
      </c>
    </row>
    <row r="174" spans="1:23" x14ac:dyDescent="0.2">
      <c r="E174" s="23" t="s">
        <v>244</v>
      </c>
      <c r="F174" s="21"/>
    </row>
    <row r="175" spans="1:23" x14ac:dyDescent="0.2">
      <c r="E175" s="19" t="s">
        <v>245</v>
      </c>
      <c r="F175" s="19" t="s">
        <v>246</v>
      </c>
      <c r="H175" s="22" t="s">
        <v>247</v>
      </c>
      <c r="I175" s="19" t="s">
        <v>248</v>
      </c>
      <c r="K175" s="19" t="s">
        <v>249</v>
      </c>
      <c r="L175" s="19" t="s">
        <v>249</v>
      </c>
      <c r="M175" s="19" t="s">
        <v>250</v>
      </c>
      <c r="N175" s="19"/>
      <c r="O175" s="19"/>
    </row>
    <row r="176" spans="1:23" x14ac:dyDescent="0.2">
      <c r="A176" s="19" t="s">
        <v>211</v>
      </c>
      <c r="B176" s="48" t="s">
        <v>251</v>
      </c>
      <c r="C176" s="48" t="s">
        <v>252</v>
      </c>
      <c r="D176" s="48" t="s">
        <v>253</v>
      </c>
      <c r="E176" s="23" t="s">
        <v>254</v>
      </c>
      <c r="F176" s="23" t="s">
        <v>255</v>
      </c>
      <c r="H176" s="19" t="s">
        <v>256</v>
      </c>
      <c r="I176" s="19" t="s">
        <v>257</v>
      </c>
      <c r="K176" s="23" t="s">
        <v>258</v>
      </c>
      <c r="L176" s="23" t="s">
        <v>259</v>
      </c>
      <c r="M176" s="23" t="s">
        <v>260</v>
      </c>
      <c r="N176" s="19"/>
      <c r="O176" s="19"/>
    </row>
    <row r="177" spans="1:15" x14ac:dyDescent="0.2">
      <c r="A177" s="23" t="s">
        <v>213</v>
      </c>
      <c r="B177" s="19" t="s">
        <v>261</v>
      </c>
      <c r="C177" s="19" t="s">
        <v>262</v>
      </c>
      <c r="D177" s="19" t="s">
        <v>214</v>
      </c>
      <c r="E177" s="19" t="s">
        <v>214</v>
      </c>
      <c r="F177" s="19" t="s">
        <v>214</v>
      </c>
      <c r="H177" s="49" t="s">
        <v>214</v>
      </c>
      <c r="I177" s="49"/>
      <c r="K177" s="19" t="s">
        <v>214</v>
      </c>
      <c r="L177" s="19" t="s">
        <v>214</v>
      </c>
      <c r="M177" s="19" t="s">
        <v>214</v>
      </c>
      <c r="N177" s="19"/>
    </row>
    <row r="178" spans="1:15" x14ac:dyDescent="0.2">
      <c r="L178" s="50"/>
    </row>
    <row r="179" spans="1:15" x14ac:dyDescent="0.2">
      <c r="A179" s="18">
        <f>A107</f>
        <v>1978</v>
      </c>
      <c r="B179" s="51">
        <f>S107</f>
        <v>41.674242703114082</v>
      </c>
      <c r="C179" s="32">
        <f>P57</f>
        <v>611.14487865899105</v>
      </c>
      <c r="D179" s="52">
        <f>B179*C179</f>
        <v>25469</v>
      </c>
      <c r="E179" s="53">
        <v>25469.405999999995</v>
      </c>
      <c r="F179" s="52">
        <f>D179-E179</f>
        <v>-0.40599999999540159</v>
      </c>
      <c r="H179" s="54">
        <v>-0.40599999999540159</v>
      </c>
      <c r="I179" s="55">
        <f>H179/F179</f>
        <v>1</v>
      </c>
      <c r="K179" s="54">
        <v>28.434239916292427</v>
      </c>
      <c r="L179" s="54">
        <v>18.26974680575222</v>
      </c>
      <c r="M179" s="54">
        <v>0</v>
      </c>
      <c r="N179" s="54"/>
      <c r="O179" s="55"/>
    </row>
    <row r="180" spans="1:15" x14ac:dyDescent="0.2">
      <c r="A180" s="18">
        <f t="shared" ref="A180:A196" si="33">A108</f>
        <v>1979</v>
      </c>
      <c r="B180" s="56">
        <f>R108/R171</f>
        <v>33.526842272006888</v>
      </c>
      <c r="C180" s="32">
        <f t="shared" ref="C180:C196" si="34">P58</f>
        <v>592.15325834520638</v>
      </c>
      <c r="D180" s="52">
        <f t="shared" ref="D180:D196" si="35">B180*C180</f>
        <v>19853.028893394679</v>
      </c>
      <c r="E180" s="53">
        <v>19836.829000000005</v>
      </c>
      <c r="F180" s="52">
        <f t="shared" ref="F180:F196" si="36">D180-E180</f>
        <v>16.199893394674291</v>
      </c>
      <c r="H180" s="54">
        <v>154.17099999999482</v>
      </c>
      <c r="I180" s="55">
        <f t="shared" ref="I180:I198" si="37">H180/F180</f>
        <v>9.5167910210247726</v>
      </c>
      <c r="K180" s="54">
        <v>37.405836345264106</v>
      </c>
      <c r="L180" s="54">
        <v>37.090036274461454</v>
      </c>
      <c r="M180" s="54">
        <v>13.892495537419666</v>
      </c>
      <c r="N180" s="54"/>
      <c r="O180" s="55"/>
    </row>
    <row r="181" spans="1:15" x14ac:dyDescent="0.2">
      <c r="A181" s="18">
        <f t="shared" si="33"/>
        <v>1980</v>
      </c>
      <c r="B181" s="56">
        <f>Q109/Q171</f>
        <v>41.150842674464322</v>
      </c>
      <c r="C181" s="32">
        <f t="shared" si="34"/>
        <v>779.20039964907482</v>
      </c>
      <c r="D181" s="52">
        <f t="shared" si="35"/>
        <v>32064.753057838803</v>
      </c>
      <c r="E181" s="53">
        <v>31992.917999999998</v>
      </c>
      <c r="F181" s="52">
        <f t="shared" si="36"/>
        <v>71.835057838805369</v>
      </c>
      <c r="H181" s="54">
        <v>182.4368118111488</v>
      </c>
      <c r="I181" s="55">
        <f t="shared" si="37"/>
        <v>2.5396626285250412</v>
      </c>
      <c r="K181" s="54">
        <v>101.91092869063505</v>
      </c>
      <c r="L181" s="54">
        <v>92.717548743104999</v>
      </c>
      <c r="M181" s="54">
        <v>70.107155537692407</v>
      </c>
      <c r="N181" s="54"/>
      <c r="O181" s="55"/>
    </row>
    <row r="182" spans="1:15" x14ac:dyDescent="0.2">
      <c r="A182" s="18">
        <f t="shared" si="33"/>
        <v>1981</v>
      </c>
      <c r="B182" s="56">
        <f>P110/P171</f>
        <v>43.001127529341908</v>
      </c>
      <c r="C182" s="32">
        <f t="shared" si="34"/>
        <v>930.20852822821166</v>
      </c>
      <c r="D182" s="52">
        <f t="shared" si="35"/>
        <v>40000.015551222772</v>
      </c>
      <c r="E182" s="53">
        <v>39118.252</v>
      </c>
      <c r="F182" s="52">
        <f t="shared" si="36"/>
        <v>881.76355122277164</v>
      </c>
      <c r="H182" s="54">
        <v>957.97618288319791</v>
      </c>
      <c r="I182" s="55">
        <f t="shared" si="37"/>
        <v>1.0864320503549274</v>
      </c>
      <c r="K182" s="54">
        <v>210.55842747081624</v>
      </c>
      <c r="L182" s="54">
        <v>186.63753983119386</v>
      </c>
      <c r="M182" s="54">
        <v>155.18736196278877</v>
      </c>
      <c r="N182" s="54"/>
      <c r="O182" s="55"/>
    </row>
    <row r="183" spans="1:15" x14ac:dyDescent="0.2">
      <c r="A183" s="18">
        <f t="shared" si="33"/>
        <v>1982</v>
      </c>
      <c r="B183" s="56">
        <f>O111/O171</f>
        <v>44.695573280814642</v>
      </c>
      <c r="C183" s="32">
        <f t="shared" si="34"/>
        <v>894.21629634718749</v>
      </c>
      <c r="D183" s="52">
        <f>B183*C183</f>
        <v>39967.510002284384</v>
      </c>
      <c r="E183" s="53">
        <v>39428.586000000003</v>
      </c>
      <c r="F183" s="52">
        <f t="shared" si="36"/>
        <v>538.92400228438055</v>
      </c>
      <c r="H183" s="54">
        <v>709.93129559835506</v>
      </c>
      <c r="I183" s="55">
        <f t="shared" si="37"/>
        <v>1.3173124458905376</v>
      </c>
      <c r="K183" s="54">
        <v>358.80928303716064</v>
      </c>
      <c r="L183" s="54">
        <v>314.85578943147993</v>
      </c>
      <c r="M183" s="54">
        <v>576.17338590803263</v>
      </c>
      <c r="N183" s="54"/>
      <c r="O183" s="55"/>
    </row>
    <row r="184" spans="1:15" x14ac:dyDescent="0.2">
      <c r="A184" s="18">
        <f t="shared" si="33"/>
        <v>1983</v>
      </c>
      <c r="B184" s="56">
        <f>N112/N171</f>
        <v>38.409038417973072</v>
      </c>
      <c r="C184" s="32">
        <f t="shared" si="34"/>
        <v>964.22433379875565</v>
      </c>
      <c r="D184" s="52">
        <f t="shared" si="35"/>
        <v>37034.929480420898</v>
      </c>
      <c r="E184" s="53">
        <v>36354.199000000001</v>
      </c>
      <c r="F184" s="52">
        <f t="shared" si="36"/>
        <v>680.73048042089795</v>
      </c>
      <c r="H184" s="54">
        <v>550.17552824519953</v>
      </c>
      <c r="I184" s="55">
        <f t="shared" si="37"/>
        <v>0.80821344727361721</v>
      </c>
      <c r="K184" s="54">
        <v>559.8493479511817</v>
      </c>
      <c r="L184" s="54">
        <v>490.34687011372444</v>
      </c>
      <c r="M184" s="54">
        <v>1080.7113492642491</v>
      </c>
      <c r="N184" s="54"/>
      <c r="O184" s="55"/>
    </row>
    <row r="185" spans="1:15" x14ac:dyDescent="0.2">
      <c r="A185" s="18">
        <f t="shared" si="33"/>
        <v>1984</v>
      </c>
      <c r="B185" s="56">
        <f>M113/M171</f>
        <v>51.945841294123241</v>
      </c>
      <c r="C185" s="32">
        <f t="shared" si="34"/>
        <v>982.23147820014947</v>
      </c>
      <c r="D185" s="52">
        <f t="shared" si="35"/>
        <v>51022.840480677034</v>
      </c>
      <c r="E185" s="53">
        <v>48560.689000000013</v>
      </c>
      <c r="F185" s="52">
        <f t="shared" si="36"/>
        <v>2462.151480677021</v>
      </c>
      <c r="H185" s="54">
        <v>2366.8896809483776</v>
      </c>
      <c r="I185" s="55">
        <f t="shared" si="37"/>
        <v>0.9613095292973407</v>
      </c>
      <c r="K185" s="54">
        <v>1267.5228116118815</v>
      </c>
      <c r="L185" s="54">
        <v>1084.8296604167263</v>
      </c>
      <c r="M185" s="54">
        <v>1664.2109927822423</v>
      </c>
      <c r="N185" s="54"/>
      <c r="O185" s="55"/>
    </row>
    <row r="186" spans="1:15" x14ac:dyDescent="0.2">
      <c r="A186" s="18">
        <f t="shared" si="33"/>
        <v>1985</v>
      </c>
      <c r="B186" s="56">
        <f>L114/L171</f>
        <v>44.909876224684822</v>
      </c>
      <c r="C186" s="32">
        <f t="shared" si="34"/>
        <v>938.23755134634564</v>
      </c>
      <c r="D186" s="52">
        <f t="shared" si="35"/>
        <v>42136.132300315752</v>
      </c>
      <c r="E186" s="53">
        <v>39959.231</v>
      </c>
      <c r="F186" s="52">
        <f t="shared" si="36"/>
        <v>2176.9013003157525</v>
      </c>
      <c r="H186" s="54">
        <v>1838.81630212452</v>
      </c>
      <c r="I186" s="55">
        <f t="shared" si="37"/>
        <v>0.844694383644222</v>
      </c>
      <c r="K186" s="54">
        <v>1772.602817073348</v>
      </c>
      <c r="L186" s="54">
        <v>1527.1619639316486</v>
      </c>
      <c r="M186" s="54">
        <v>2495.2562650240716</v>
      </c>
      <c r="N186" s="54"/>
      <c r="O186" s="55"/>
    </row>
    <row r="187" spans="1:15" x14ac:dyDescent="0.2">
      <c r="A187" s="18">
        <f t="shared" si="33"/>
        <v>1986</v>
      </c>
      <c r="B187" s="56">
        <f>K115/K171</f>
        <v>46.509437144594386</v>
      </c>
      <c r="C187" s="32">
        <f t="shared" si="34"/>
        <v>956.4643816884028</v>
      </c>
      <c r="D187" s="52">
        <f t="shared" si="35"/>
        <v>44484.620041180104</v>
      </c>
      <c r="E187" s="53">
        <v>41254.536</v>
      </c>
      <c r="F187" s="52">
        <f t="shared" si="36"/>
        <v>3230.0840411801037</v>
      </c>
      <c r="H187" s="54">
        <v>2312.7309729606786</v>
      </c>
      <c r="I187" s="55">
        <f t="shared" si="37"/>
        <v>0.71599715161458388</v>
      </c>
      <c r="K187" s="54">
        <v>3124.3847967215115</v>
      </c>
      <c r="L187" s="54">
        <v>2738.5206642419653</v>
      </c>
      <c r="M187" s="54">
        <v>4267.9234607698609</v>
      </c>
      <c r="N187" s="54"/>
      <c r="O187" s="55"/>
    </row>
    <row r="188" spans="1:15" x14ac:dyDescent="0.2">
      <c r="A188" s="18">
        <f t="shared" si="33"/>
        <v>1987</v>
      </c>
      <c r="B188" s="56">
        <f>J116/J171</f>
        <v>51.392213638742</v>
      </c>
      <c r="C188" s="32">
        <f t="shared" si="34"/>
        <v>854.8792583053895</v>
      </c>
      <c r="D188" s="52">
        <f t="shared" si="35"/>
        <v>43934.137478159886</v>
      </c>
      <c r="E188" s="53">
        <v>40205.614000000001</v>
      </c>
      <c r="F188" s="52">
        <f t="shared" si="36"/>
        <v>3728.5234781598847</v>
      </c>
      <c r="H188" s="54">
        <v>2890.0635634833379</v>
      </c>
      <c r="I188" s="55">
        <f t="shared" si="37"/>
        <v>0.77512280140171019</v>
      </c>
      <c r="K188" s="54">
        <v>4988.4323269274682</v>
      </c>
      <c r="L188" s="54">
        <v>4390.617238392595</v>
      </c>
      <c r="M188" s="54">
        <v>5933.6225262025864</v>
      </c>
      <c r="N188" s="54"/>
      <c r="O188" s="55"/>
    </row>
    <row r="189" spans="1:15" x14ac:dyDescent="0.2">
      <c r="A189" s="18">
        <f t="shared" si="33"/>
        <v>1988</v>
      </c>
      <c r="B189" s="56">
        <f>I117/I171</f>
        <v>45.650433167130139</v>
      </c>
      <c r="C189" s="32">
        <f t="shared" si="34"/>
        <v>874.70988997152347</v>
      </c>
      <c r="D189" s="52">
        <f t="shared" si="35"/>
        <v>39930.885372772791</v>
      </c>
      <c r="E189" s="53">
        <v>33364.098000000005</v>
      </c>
      <c r="F189" s="52">
        <f t="shared" si="36"/>
        <v>6566.7873727727856</v>
      </c>
      <c r="H189" s="54">
        <v>5839.6842253362774</v>
      </c>
      <c r="I189" s="55">
        <f t="shared" si="37"/>
        <v>0.88927566766494937</v>
      </c>
      <c r="K189" s="54">
        <v>6791.7694566274149</v>
      </c>
      <c r="L189" s="54">
        <v>6158.2560471590186</v>
      </c>
      <c r="M189" s="54">
        <v>9816.0509043225102</v>
      </c>
      <c r="N189" s="54"/>
      <c r="O189" s="55"/>
    </row>
    <row r="190" spans="1:15" x14ac:dyDescent="0.2">
      <c r="A190" s="18">
        <f t="shared" si="33"/>
        <v>1989</v>
      </c>
      <c r="B190" s="56">
        <f>H118/H171</f>
        <v>51.752819112461736</v>
      </c>
      <c r="C190" s="32">
        <f t="shared" si="34"/>
        <v>873.38341305241579</v>
      </c>
      <c r="D190" s="52">
        <f t="shared" si="35"/>
        <v>45200.05379152613</v>
      </c>
      <c r="E190" s="53">
        <v>37319.199000000001</v>
      </c>
      <c r="F190" s="52">
        <f t="shared" si="36"/>
        <v>7880.8547915261297</v>
      </c>
      <c r="H190" s="54">
        <v>7031.4376851106572</v>
      </c>
      <c r="I190" s="55">
        <f t="shared" si="37"/>
        <v>0.89221764277032412</v>
      </c>
      <c r="K190" s="54">
        <v>13152.312258232581</v>
      </c>
      <c r="L190" s="54">
        <v>12309.814739663809</v>
      </c>
      <c r="M190" s="54">
        <v>15060.469867494998</v>
      </c>
      <c r="N190" s="54"/>
      <c r="O190" s="55"/>
    </row>
    <row r="191" spans="1:15" x14ac:dyDescent="0.2">
      <c r="A191" s="18">
        <f t="shared" si="33"/>
        <v>1990</v>
      </c>
      <c r="B191" s="56">
        <f>G119/G171</f>
        <v>61.625147185189789</v>
      </c>
      <c r="C191" s="32">
        <f t="shared" si="34"/>
        <v>815.88864504250148</v>
      </c>
      <c r="D191" s="52">
        <f t="shared" si="35"/>
        <v>50279.257837469224</v>
      </c>
      <c r="E191" s="53">
        <v>35744.653000000006</v>
      </c>
      <c r="F191" s="52">
        <f t="shared" si="36"/>
        <v>14534.604837469218</v>
      </c>
      <c r="H191" s="54">
        <v>13676.165037476181</v>
      </c>
      <c r="I191" s="55">
        <f t="shared" si="37"/>
        <v>0.94093820853112997</v>
      </c>
      <c r="K191" s="54">
        <v>22409.830270913488</v>
      </c>
      <c r="L191" s="54">
        <v>21421.018307443781</v>
      </c>
      <c r="M191" s="54">
        <v>21631.212312376581</v>
      </c>
      <c r="N191" s="54"/>
      <c r="O191" s="55"/>
    </row>
    <row r="192" spans="1:15" x14ac:dyDescent="0.2">
      <c r="A192" s="18">
        <f t="shared" si="33"/>
        <v>1991</v>
      </c>
      <c r="B192" s="56">
        <f>F120/F171</f>
        <v>50.60095129080365</v>
      </c>
      <c r="C192" s="32">
        <f t="shared" si="34"/>
        <v>868.43441239995616</v>
      </c>
      <c r="D192" s="52">
        <f t="shared" si="35"/>
        <v>43943.607401107867</v>
      </c>
      <c r="E192" s="53">
        <v>29448.637999999999</v>
      </c>
      <c r="F192" s="52">
        <f t="shared" si="36"/>
        <v>14494.969401107868</v>
      </c>
      <c r="H192" s="54">
        <v>13768.28108998618</v>
      </c>
      <c r="I192" s="55">
        <f t="shared" si="37"/>
        <v>0.94986617142729901</v>
      </c>
      <c r="K192" s="54">
        <v>34842.093490836291</v>
      </c>
      <c r="L192" s="54">
        <v>34066.431031002016</v>
      </c>
      <c r="M192" s="54">
        <v>33309.216128706335</v>
      </c>
      <c r="N192" s="54"/>
      <c r="O192" s="55"/>
    </row>
    <row r="193" spans="1:15" x14ac:dyDescent="0.2">
      <c r="A193" s="18">
        <f t="shared" si="33"/>
        <v>1992</v>
      </c>
      <c r="B193" s="56">
        <f>E121/E171</f>
        <v>57.709544632582706</v>
      </c>
      <c r="C193" s="32">
        <f t="shared" si="34"/>
        <v>898.72105982357596</v>
      </c>
      <c r="D193" s="52">
        <f t="shared" si="35"/>
        <v>51864.783114130689</v>
      </c>
      <c r="E193" s="53">
        <v>28265.431</v>
      </c>
      <c r="F193" s="52">
        <f t="shared" si="36"/>
        <v>23599.352114130688</v>
      </c>
      <c r="H193" s="54">
        <v>22830.490462370039</v>
      </c>
      <c r="I193" s="55">
        <f t="shared" si="37"/>
        <v>0.96742022204498257</v>
      </c>
      <c r="K193" s="54">
        <v>68290.428950017478</v>
      </c>
      <c r="L193" s="54">
        <v>67048.881896215928</v>
      </c>
      <c r="M193" s="54">
        <v>47574.757586317428</v>
      </c>
      <c r="N193" s="54"/>
      <c r="O193" s="55"/>
    </row>
    <row r="194" spans="1:15" x14ac:dyDescent="0.2">
      <c r="A194" s="18">
        <f t="shared" si="33"/>
        <v>1993</v>
      </c>
      <c r="B194" s="56">
        <f>D122/D171</f>
        <v>55.151437764030426</v>
      </c>
      <c r="C194" s="32">
        <f t="shared" si="34"/>
        <v>886.54720979031833</v>
      </c>
      <c r="D194" s="52">
        <f t="shared" si="35"/>
        <v>48894.35326562557</v>
      </c>
      <c r="E194" s="53">
        <v>15165.406999999999</v>
      </c>
      <c r="F194" s="52">
        <f t="shared" si="36"/>
        <v>33728.946265625571</v>
      </c>
      <c r="H194" s="54">
        <v>33067.01555892318</v>
      </c>
      <c r="I194" s="55">
        <f t="shared" si="37"/>
        <v>0.98037499596075461</v>
      </c>
      <c r="K194" s="54">
        <v>78300.924643740407</v>
      </c>
      <c r="L194" s="54">
        <v>77537.056872853456</v>
      </c>
      <c r="M194" s="54">
        <v>61936.455887144271</v>
      </c>
      <c r="N194" s="54"/>
      <c r="O194" s="55"/>
    </row>
    <row r="195" spans="1:15" x14ac:dyDescent="0.2">
      <c r="A195" s="18">
        <f t="shared" si="33"/>
        <v>1994</v>
      </c>
      <c r="B195" s="56">
        <f>C123/C171</f>
        <v>50.843626008984636</v>
      </c>
      <c r="C195" s="32">
        <f t="shared" si="34"/>
        <v>889.84534761024838</v>
      </c>
      <c r="D195" s="52">
        <f t="shared" si="35"/>
        <v>45242.964059730402</v>
      </c>
      <c r="E195" s="53">
        <v>7962.4459999999999</v>
      </c>
      <c r="F195" s="52">
        <f t="shared" si="36"/>
        <v>37280.518059730399</v>
      </c>
      <c r="H195" s="54">
        <v>36600.208193132668</v>
      </c>
      <c r="I195" s="55">
        <f t="shared" si="37"/>
        <v>0.98175159836814108</v>
      </c>
      <c r="K195" s="54">
        <v>92401.488312778907</v>
      </c>
      <c r="L195" s="54">
        <v>91826.717645949597</v>
      </c>
      <c r="M195" s="54">
        <v>75609.67107811528</v>
      </c>
      <c r="N195" s="54"/>
      <c r="O195" s="55"/>
    </row>
    <row r="196" spans="1:15" x14ac:dyDescent="0.2">
      <c r="A196" s="18">
        <f t="shared" si="33"/>
        <v>1995</v>
      </c>
      <c r="B196" s="56">
        <f>B124/B171</f>
        <v>40.409813074253236</v>
      </c>
      <c r="C196" s="32">
        <f t="shared" si="34"/>
        <v>910.65548727102475</v>
      </c>
      <c r="D196" s="52">
        <f t="shared" si="35"/>
        <v>36799.418015665105</v>
      </c>
      <c r="E196" s="53">
        <v>2725.355</v>
      </c>
      <c r="F196" s="52">
        <f t="shared" si="36"/>
        <v>34074.063015665102</v>
      </c>
      <c r="H196" s="54">
        <v>34378.679705557108</v>
      </c>
      <c r="I196" s="55">
        <f t="shared" si="37"/>
        <v>1.0089398405394732</v>
      </c>
      <c r="K196" s="57">
        <v>99802.733250713252</v>
      </c>
      <c r="L196" s="57">
        <v>99822.056395701627</v>
      </c>
      <c r="M196" s="57">
        <v>89993.453365684836</v>
      </c>
      <c r="N196" s="54"/>
      <c r="O196" s="55"/>
    </row>
    <row r="197" spans="1:15" x14ac:dyDescent="0.2">
      <c r="D197" s="53"/>
      <c r="E197" s="53"/>
      <c r="F197" s="53"/>
      <c r="H197" s="58"/>
      <c r="I197" s="55"/>
      <c r="K197" s="58"/>
      <c r="L197" s="54"/>
      <c r="M197" s="58"/>
      <c r="N197" s="58"/>
      <c r="O197" s="55"/>
    </row>
    <row r="198" spans="1:15" x14ac:dyDescent="0.2">
      <c r="D198" s="53"/>
      <c r="E198" s="59"/>
      <c r="F198" s="60">
        <f>SUM(F179:F196)</f>
        <v>185946.80314352206</v>
      </c>
      <c r="H198" s="57">
        <v>179154.74729594711</v>
      </c>
      <c r="I198" s="55">
        <f t="shared" si="37"/>
        <v>0.96347312385718975</v>
      </c>
      <c r="K198" s="57">
        <v>428441.49144960538</v>
      </c>
      <c r="L198" s="57">
        <v>421071.27999417193</v>
      </c>
      <c r="M198" s="57">
        <v>371188.3721231512</v>
      </c>
      <c r="N198" s="54"/>
      <c r="O198" s="55"/>
    </row>
    <row r="200" spans="1:15" x14ac:dyDescent="0.2">
      <c r="F200" s="61" t="s">
        <v>263</v>
      </c>
    </row>
    <row r="201" spans="1:15" x14ac:dyDescent="0.2">
      <c r="F201" s="17" t="s">
        <v>264</v>
      </c>
    </row>
  </sheetData>
  <conditionalFormatting sqref="B135:B151">
    <cfRule type="colorScale" priority="14">
      <colorScale>
        <cfvo type="min"/>
        <cfvo type="percentile" val="50"/>
        <cfvo type="max"/>
        <color rgb="FFF8696B"/>
        <color rgb="FFFCFCFF"/>
        <color rgb="FF63BE7B"/>
      </colorScale>
    </cfRule>
  </conditionalFormatting>
  <conditionalFormatting sqref="B152:R153">
    <cfRule type="colorScale" priority="15">
      <colorScale>
        <cfvo type="min"/>
        <cfvo type="percentile" val="50"/>
        <cfvo type="max"/>
        <color rgb="FFF8696B"/>
        <color rgb="FFFFEB84"/>
        <color rgb="FF63BE7B"/>
      </colorScale>
    </cfRule>
  </conditionalFormatting>
  <conditionalFormatting sqref="B107:S124">
    <cfRule type="colorScale" priority="16">
      <colorScale>
        <cfvo type="min"/>
        <cfvo type="percentile" val="50"/>
        <cfvo type="max"/>
        <color rgb="FFF8696B"/>
        <color rgb="FFFFEB84"/>
        <color rgb="FF63BE7B"/>
      </colorScale>
    </cfRule>
  </conditionalFormatting>
  <conditionalFormatting sqref="C135:C150">
    <cfRule type="colorScale" priority="13">
      <colorScale>
        <cfvo type="min"/>
        <cfvo type="percentile" val="50"/>
        <cfvo type="max"/>
        <color rgb="FFF8696B"/>
        <color rgb="FFFCFCFF"/>
        <color rgb="FF63BE7B"/>
      </colorScale>
    </cfRule>
  </conditionalFormatting>
  <conditionalFormatting sqref="D135:D149">
    <cfRule type="colorScale" priority="12">
      <colorScale>
        <cfvo type="min"/>
        <cfvo type="percentile" val="50"/>
        <cfvo type="max"/>
        <color rgb="FFF8696B"/>
        <color rgb="FFFCFCFF"/>
        <color rgb="FF63BE7B"/>
      </colorScale>
    </cfRule>
  </conditionalFormatting>
  <conditionalFormatting sqref="E135:E148">
    <cfRule type="colorScale" priority="11">
      <colorScale>
        <cfvo type="min"/>
        <cfvo type="percentile" val="50"/>
        <cfvo type="max"/>
        <color rgb="FFF8696B"/>
        <color rgb="FFFCFCFF"/>
        <color rgb="FF63BE7B"/>
      </colorScale>
    </cfRule>
  </conditionalFormatting>
  <conditionalFormatting sqref="F135:F147">
    <cfRule type="colorScale" priority="10">
      <colorScale>
        <cfvo type="min"/>
        <cfvo type="percentile" val="50"/>
        <cfvo type="max"/>
        <color rgb="FFF8696B"/>
        <color rgb="FFFCFCFF"/>
        <color rgb="FF63BE7B"/>
      </colorScale>
    </cfRule>
  </conditionalFormatting>
  <conditionalFormatting sqref="G135:G146">
    <cfRule type="colorScale" priority="9">
      <colorScale>
        <cfvo type="min"/>
        <cfvo type="percentile" val="50"/>
        <cfvo type="max"/>
        <color rgb="FFF8696B"/>
        <color rgb="FFFCFCFF"/>
        <color rgb="FF63BE7B"/>
      </colorScale>
    </cfRule>
  </conditionalFormatting>
  <conditionalFormatting sqref="H135:H145">
    <cfRule type="colorScale" priority="8">
      <colorScale>
        <cfvo type="min"/>
        <cfvo type="percentile" val="50"/>
        <cfvo type="max"/>
        <color rgb="FFF8696B"/>
        <color rgb="FFFCFCFF"/>
        <color rgb="FF63BE7B"/>
      </colorScale>
    </cfRule>
  </conditionalFormatting>
  <conditionalFormatting sqref="I135:I144">
    <cfRule type="colorScale" priority="7">
      <colorScale>
        <cfvo type="min"/>
        <cfvo type="percentile" val="50"/>
        <cfvo type="max"/>
        <color rgb="FFF8696B"/>
        <color rgb="FFFCFCFF"/>
        <color rgb="FF63BE7B"/>
      </colorScale>
    </cfRule>
  </conditionalFormatting>
  <conditionalFormatting sqref="J135:J143">
    <cfRule type="colorScale" priority="6">
      <colorScale>
        <cfvo type="min"/>
        <cfvo type="percentile" val="50"/>
        <cfvo type="max"/>
        <color rgb="FFF8696B"/>
        <color rgb="FFFCFCFF"/>
        <color rgb="FF63BE7B"/>
      </colorScale>
    </cfRule>
  </conditionalFormatting>
  <conditionalFormatting sqref="K135:K142">
    <cfRule type="colorScale" priority="5">
      <colorScale>
        <cfvo type="min"/>
        <cfvo type="percentile" val="50"/>
        <cfvo type="max"/>
        <color rgb="FFF8696B"/>
        <color rgb="FFFCFCFF"/>
        <color rgb="FF63BE7B"/>
      </colorScale>
    </cfRule>
  </conditionalFormatting>
  <conditionalFormatting sqref="L135:L141">
    <cfRule type="colorScale" priority="4">
      <colorScale>
        <cfvo type="min"/>
        <cfvo type="percentile" val="50"/>
        <cfvo type="max"/>
        <color rgb="FFF8696B"/>
        <color rgb="FFFCFCFF"/>
        <color rgb="FF63BE7B"/>
      </colorScale>
    </cfRule>
  </conditionalFormatting>
  <conditionalFormatting sqref="M135:M140">
    <cfRule type="colorScale" priority="3">
      <colorScale>
        <cfvo type="min"/>
        <cfvo type="percentile" val="50"/>
        <cfvo type="max"/>
        <color rgb="FFF8696B"/>
        <color rgb="FFFCFCFF"/>
        <color rgb="FF63BE7B"/>
      </colorScale>
    </cfRule>
  </conditionalFormatting>
  <conditionalFormatting sqref="N135:N139">
    <cfRule type="colorScale" priority="2">
      <colorScale>
        <cfvo type="min"/>
        <cfvo type="percentile" val="50"/>
        <cfvo type="max"/>
        <color rgb="FFF8696B"/>
        <color rgb="FFFCFCFF"/>
        <color rgb="FF63BE7B"/>
      </colorScale>
    </cfRule>
  </conditionalFormatting>
  <conditionalFormatting sqref="O135:O138">
    <cfRule type="colorScale" priority="1">
      <colorScale>
        <cfvo type="min"/>
        <cfvo type="percentile" val="50"/>
        <cfvo type="max"/>
        <color rgb="FFF8696B"/>
        <color rgb="FFFCFCFF"/>
        <color rgb="FF63BE7B"/>
      </colorScale>
    </cfRule>
  </conditionalFormatting>
  <pageMargins left="0.7" right="0.7" top="0.75" bottom="0.75" header="0.3" footer="0.3"/>
  <ignoredErrors>
    <ignoredError sqref="C6:G6"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B40-05D3-4A02-B999-7D77921159E4}">
  <sheetPr codeName="Sheet9"/>
  <dimension ref="B1:AL10013"/>
  <sheetViews>
    <sheetView tabSelected="1" workbookViewId="0">
      <selection activeCell="G179" sqref="G179"/>
    </sheetView>
  </sheetViews>
  <sheetFormatPr baseColWidth="10" defaultColWidth="8.83203125" defaultRowHeight="16" x14ac:dyDescent="0.2"/>
  <cols>
    <col min="13" max="13" width="9" style="77"/>
    <col min="31" max="31" width="9" style="77"/>
    <col min="36" max="36" width="8.1640625" bestFit="1" customWidth="1"/>
    <col min="37" max="37" width="9.6640625" bestFit="1" customWidth="1"/>
    <col min="38" max="38" width="18" bestFit="1" customWidth="1"/>
  </cols>
  <sheetData>
    <row r="1" spans="2:38" x14ac:dyDescent="0.2">
      <c r="B1" s="12" t="s">
        <v>265</v>
      </c>
      <c r="O1" s="12" t="s">
        <v>266</v>
      </c>
      <c r="AG1" s="12" t="s">
        <v>267</v>
      </c>
    </row>
    <row r="2" spans="2:38" x14ac:dyDescent="0.2">
      <c r="AJ2" t="s">
        <v>268</v>
      </c>
      <c r="AK2" t="s">
        <v>269</v>
      </c>
    </row>
    <row r="3" spans="2:38" x14ac:dyDescent="0.2">
      <c r="B3" s="12" t="s">
        <v>270</v>
      </c>
      <c r="D3" s="12" t="s">
        <v>271</v>
      </c>
      <c r="O3" s="67" t="str">
        <f ca="1">_xlfn.FORMULATEXT(O4)</f>
        <v>=NORM.S.INV(RANDARRAY(10000))</v>
      </c>
      <c r="X3" s="67" t="str">
        <f ca="1">_xlfn.FORMULATEXT(X4)</f>
        <v>=GAMMA.INV(RANDARRAY(10000),10,5)</v>
      </c>
      <c r="AJ3" t="s">
        <v>272</v>
      </c>
      <c r="AK3" s="2">
        <v>0.05</v>
      </c>
    </row>
    <row r="4" spans="2:38" x14ac:dyDescent="0.2">
      <c r="B4" s="67" t="str">
        <f ca="1">_xlfn.FORMULATEXT(B5)</f>
        <v>=RAND()</v>
      </c>
      <c r="D4" s="67" t="str">
        <f ca="1">_xlfn.FORMULATEXT(D5)</f>
        <v>=RANDARRAY(6,4,-2,10,TRUE)</v>
      </c>
      <c r="I4" s="67" t="str">
        <f ca="1">_xlfn.FORMULATEXT(I5)</f>
        <v>=RANDARRAY(2,5,0,1000, FALSE)</v>
      </c>
      <c r="O4" s="2" cm="1">
        <f t="array" aca="1" ref="O4:O10003" ca="1">_xlfn.NORM.S.INV(_xlfn.RANDARRAY(10000))</f>
        <v>1.5922329560671122</v>
      </c>
      <c r="X4" s="2" cm="1">
        <f t="array" aca="1" ref="X4:X10003" ca="1">_xlfn.GAMMA.INV(_xlfn.RANDARRAY(10000),10,5)</f>
        <v>67.961335431263834</v>
      </c>
      <c r="AJ4" t="s">
        <v>273</v>
      </c>
      <c r="AK4" s="2">
        <v>0.35</v>
      </c>
    </row>
    <row r="5" spans="2:38" x14ac:dyDescent="0.2">
      <c r="B5" s="2">
        <f ca="1">RAND()</f>
        <v>0.6097865417960745</v>
      </c>
      <c r="D5" s="2" cm="1">
        <f t="array" aca="1" ref="D5:G10" ca="1">_xlfn.RANDARRAY(6,4,-2,10,TRUE)</f>
        <v>6</v>
      </c>
      <c r="E5" s="2">
        <f ca="1"/>
        <v>5</v>
      </c>
      <c r="F5" s="2">
        <f ca="1"/>
        <v>-1</v>
      </c>
      <c r="G5" s="2">
        <f ca="1"/>
        <v>2</v>
      </c>
      <c r="I5" s="2" cm="1">
        <f t="array" aca="1" ref="I5:M6" ca="1">_xlfn.RANDARRAY(2,5,0,1000, FALSE)</f>
        <v>287.24978170686393</v>
      </c>
      <c r="J5" s="2">
        <f ca="1"/>
        <v>793.98204098696772</v>
      </c>
      <c r="K5" s="2">
        <f ca="1"/>
        <v>764.15365256978509</v>
      </c>
      <c r="L5" s="2">
        <f ca="1"/>
        <v>934.36613325810913</v>
      </c>
      <c r="M5" s="90">
        <f ca="1"/>
        <v>576.58661768958507</v>
      </c>
      <c r="O5" s="2">
        <f ca="1"/>
        <v>-0.26464054059852504</v>
      </c>
      <c r="X5" s="2">
        <f ca="1"/>
        <v>46.162041632495971</v>
      </c>
      <c r="AJ5" t="s">
        <v>274</v>
      </c>
      <c r="AK5" s="2">
        <v>0.6</v>
      </c>
    </row>
    <row r="6" spans="2:38" x14ac:dyDescent="0.2">
      <c r="D6" s="2">
        <f ca="1"/>
        <v>8</v>
      </c>
      <c r="E6" s="2">
        <f ca="1"/>
        <v>4</v>
      </c>
      <c r="F6" s="2">
        <f ca="1"/>
        <v>0</v>
      </c>
      <c r="G6" s="2">
        <f ca="1"/>
        <v>10</v>
      </c>
      <c r="I6" s="2">
        <f ca="1"/>
        <v>958.85876625820868</v>
      </c>
      <c r="J6" s="2">
        <f ca="1"/>
        <v>116.28982921530792</v>
      </c>
      <c r="K6" s="2">
        <f ca="1"/>
        <v>441.64943180523153</v>
      </c>
      <c r="L6" s="2">
        <f ca="1"/>
        <v>993.45129920591296</v>
      </c>
      <c r="M6" s="90">
        <f ca="1"/>
        <v>790.63798574734085</v>
      </c>
      <c r="O6" s="2">
        <f ca="1"/>
        <v>-0.84701390249551134</v>
      </c>
      <c r="X6" s="2">
        <f ca="1"/>
        <v>38.180881856732995</v>
      </c>
      <c r="AG6" s="67" t="str">
        <f ca="1">_xlfn.FORMULATEXT(AG8)</f>
        <v>=RANDARRAY(10000)</v>
      </c>
    </row>
    <row r="7" spans="2:38" x14ac:dyDescent="0.2">
      <c r="D7" s="2">
        <f ca="1"/>
        <v>1</v>
      </c>
      <c r="E7" s="2">
        <f ca="1"/>
        <v>-1</v>
      </c>
      <c r="F7" s="2">
        <f ca="1"/>
        <v>10</v>
      </c>
      <c r="G7" s="2">
        <f ca="1"/>
        <v>5</v>
      </c>
      <c r="O7" s="2">
        <f ca="1"/>
        <v>0.21951905528025506</v>
      </c>
      <c r="X7" s="2">
        <f ca="1"/>
        <v>38.436880807249366</v>
      </c>
      <c r="AG7" s="67" t="str">
        <f ca="1">_xlfn.FORMULATEXT(AH8)</f>
        <v>=IFS(AG8#&lt;=AK3,AJ3, (AG8#&gt;AK3)*(AG8#&lt;=AK3+AK4),AJ4, AG8#&gt;1-AK5,AJ5)</v>
      </c>
    </row>
    <row r="8" spans="2:38" x14ac:dyDescent="0.2">
      <c r="D8" s="2">
        <f ca="1"/>
        <v>10</v>
      </c>
      <c r="E8" s="2">
        <f ca="1"/>
        <v>5</v>
      </c>
      <c r="F8" s="2">
        <f ca="1"/>
        <v>-2</v>
      </c>
      <c r="G8" s="2">
        <f ca="1"/>
        <v>2</v>
      </c>
      <c r="O8" s="2">
        <f ca="1"/>
        <v>0.56131242971124751</v>
      </c>
      <c r="X8" s="2">
        <f ca="1"/>
        <v>71.46293799903836</v>
      </c>
      <c r="AG8" s="2" cm="1">
        <f t="array" aca="1" ref="AG8:AG10007" ca="1">_xlfn.RANDARRAY(10000)</f>
        <v>1.5924109779961171E-3</v>
      </c>
      <c r="AH8" s="2" t="str" cm="1">
        <f t="array" aca="1" ref="AH8:AH10007" ca="1">_xlfn.IFS(_xlfn.ANCHORARRAY(AG8)&lt;=AK3,AJ3, (_xlfn.ANCHORARRAY(AG8)&gt;AK3)*(_xlfn.ANCHORARRAY(AG8)&lt;=AK3+AK4),AJ4,_xlfn.ANCHORARRAY( AG8)&gt;1-AK5,AJ5)</f>
        <v>Good</v>
      </c>
    </row>
    <row r="9" spans="2:38" x14ac:dyDescent="0.2">
      <c r="D9" s="2">
        <f ca="1"/>
        <v>-2</v>
      </c>
      <c r="E9" s="2">
        <f ca="1"/>
        <v>-1</v>
      </c>
      <c r="F9" s="2">
        <f ca="1"/>
        <v>2</v>
      </c>
      <c r="G9" s="2">
        <f ca="1"/>
        <v>-1</v>
      </c>
      <c r="O9" s="2">
        <f ca="1"/>
        <v>0.54507450350886277</v>
      </c>
      <c r="X9" s="2">
        <f ca="1"/>
        <v>52.384657764322981</v>
      </c>
      <c r="AG9" s="2">
        <f ca="1"/>
        <v>0.85671799569979945</v>
      </c>
      <c r="AH9" s="2" t="str">
        <f ca="1"/>
        <v>Bad</v>
      </c>
      <c r="AJ9" t="s">
        <v>268</v>
      </c>
      <c r="AK9" t="s">
        <v>275</v>
      </c>
      <c r="AL9" t="s">
        <v>276</v>
      </c>
    </row>
    <row r="10" spans="2:38" x14ac:dyDescent="0.2">
      <c r="D10" s="2">
        <f ca="1"/>
        <v>1</v>
      </c>
      <c r="E10" s="2">
        <f ca="1"/>
        <v>-1</v>
      </c>
      <c r="F10" s="2">
        <f ca="1"/>
        <v>6</v>
      </c>
      <c r="G10" s="2">
        <f ca="1"/>
        <v>8</v>
      </c>
      <c r="O10" s="2">
        <f ca="1"/>
        <v>-0.20660475611260112</v>
      </c>
      <c r="X10" s="2">
        <f ca="1"/>
        <v>66.464493756090974</v>
      </c>
      <c r="AG10" s="2">
        <f ca="1"/>
        <v>0.39863479053727624</v>
      </c>
      <c r="AH10" s="2" t="str">
        <f ca="1"/>
        <v>OK</v>
      </c>
      <c r="AJ10" t="s">
        <v>272</v>
      </c>
      <c r="AK10">
        <f ca="1">COUNTIF(_xlfn.ANCHORARRAY($AH$8),"="&amp;AJ3)</f>
        <v>484</v>
      </c>
      <c r="AL10">
        <f ca="1">AK10/10000</f>
        <v>4.8399999999999999E-2</v>
      </c>
    </row>
    <row r="11" spans="2:38" x14ac:dyDescent="0.2">
      <c r="O11" s="2">
        <f ca="1"/>
        <v>-0.66366312194616905</v>
      </c>
      <c r="X11" s="2">
        <f ca="1"/>
        <v>48.542176676670735</v>
      </c>
      <c r="AG11" s="2">
        <f ca="1"/>
        <v>0.91795674658255244</v>
      </c>
      <c r="AH11" s="2" t="str">
        <f ca="1"/>
        <v>Bad</v>
      </c>
      <c r="AJ11" t="s">
        <v>273</v>
      </c>
      <c r="AK11">
        <f t="shared" ref="AK11:AK12" ca="1" si="0">COUNTIF(_xlfn.ANCHORARRAY($AH$8),"="&amp;AJ4)</f>
        <v>3499</v>
      </c>
      <c r="AL11">
        <f t="shared" ref="AL11:AL12" ca="1" si="1">AK11/10000</f>
        <v>0.34989999999999999</v>
      </c>
    </row>
    <row r="12" spans="2:38" x14ac:dyDescent="0.2">
      <c r="O12" s="2">
        <f ca="1"/>
        <v>-1.2026692625832365</v>
      </c>
      <c r="X12" s="2">
        <f ca="1"/>
        <v>87.239063332997262</v>
      </c>
      <c r="AG12" s="2">
        <f ca="1"/>
        <v>0.57942400709602593</v>
      </c>
      <c r="AH12" s="2" t="str">
        <f ca="1"/>
        <v>Bad</v>
      </c>
      <c r="AJ12" t="s">
        <v>274</v>
      </c>
      <c r="AK12">
        <f t="shared" ca="1" si="0"/>
        <v>6017</v>
      </c>
      <c r="AL12">
        <f t="shared" ca="1" si="1"/>
        <v>0.60170000000000001</v>
      </c>
    </row>
    <row r="13" spans="2:38" x14ac:dyDescent="0.2">
      <c r="B13" s="67" t="str">
        <f ca="1">_xlfn.FORMULATEXT(B14)</f>
        <v>=RANDARRAY(10000)</v>
      </c>
      <c r="O13" s="2">
        <f ca="1"/>
        <v>0.68329239645986972</v>
      </c>
      <c r="X13" s="2">
        <f ca="1"/>
        <v>73.644404671167052</v>
      </c>
      <c r="AG13" s="2">
        <f ca="1"/>
        <v>0.94077319847142404</v>
      </c>
      <c r="AH13" s="2" t="str">
        <f ca="1"/>
        <v>Bad</v>
      </c>
    </row>
    <row r="14" spans="2:38" x14ac:dyDescent="0.2">
      <c r="B14" s="2" cm="1">
        <f t="array" aca="1" ref="B14:B10013" ca="1">_xlfn.RANDARRAY(10000)</f>
        <v>0.12136151049845623</v>
      </c>
      <c r="O14" s="2">
        <f ca="1"/>
        <v>0.47348335611522874</v>
      </c>
      <c r="X14" s="2">
        <f ca="1"/>
        <v>63.040339057814364</v>
      </c>
      <c r="AG14" s="2">
        <f ca="1"/>
        <v>0.46707228817425905</v>
      </c>
      <c r="AH14" s="2" t="str">
        <f ca="1"/>
        <v>Bad</v>
      </c>
    </row>
    <row r="15" spans="2:38" x14ac:dyDescent="0.2">
      <c r="B15" s="2">
        <f ca="1"/>
        <v>0.34285534962787079</v>
      </c>
      <c r="O15" s="2">
        <f ca="1"/>
        <v>2.3601890801951466</v>
      </c>
      <c r="X15" s="2">
        <f ca="1"/>
        <v>44.052580293129395</v>
      </c>
      <c r="AG15" s="2">
        <f ca="1"/>
        <v>0.62511476035152014</v>
      </c>
      <c r="AH15" s="2" t="str">
        <f ca="1"/>
        <v>Bad</v>
      </c>
    </row>
    <row r="16" spans="2:38" x14ac:dyDescent="0.2">
      <c r="B16" s="2">
        <f ca="1"/>
        <v>0.90326659167506085</v>
      </c>
      <c r="O16" s="2">
        <f ca="1"/>
        <v>2.0200124298626938</v>
      </c>
      <c r="X16" s="2">
        <f ca="1"/>
        <v>64.361537631265293</v>
      </c>
      <c r="AG16" s="2">
        <f ca="1"/>
        <v>0.91905516908426588</v>
      </c>
      <c r="AH16" s="2" t="str">
        <f ca="1"/>
        <v>Bad</v>
      </c>
    </row>
    <row r="17" spans="2:34" x14ac:dyDescent="0.2">
      <c r="B17" s="2">
        <f ca="1"/>
        <v>0.80848339663803359</v>
      </c>
      <c r="O17" s="2">
        <f ca="1"/>
        <v>-0.61648026489303931</v>
      </c>
      <c r="X17" s="2">
        <f ca="1"/>
        <v>43.429118051449578</v>
      </c>
      <c r="AG17" s="2">
        <f ca="1"/>
        <v>0.37322463531497196</v>
      </c>
      <c r="AH17" s="2" t="str">
        <f ca="1"/>
        <v>OK</v>
      </c>
    </row>
    <row r="18" spans="2:34" x14ac:dyDescent="0.2">
      <c r="B18" s="2">
        <f ca="1"/>
        <v>1.4594711885119738E-2</v>
      </c>
      <c r="O18" s="2">
        <f ca="1"/>
        <v>1.8690282896077197</v>
      </c>
      <c r="X18" s="2">
        <f ca="1"/>
        <v>53.983690253805435</v>
      </c>
      <c r="AG18" s="2">
        <f ca="1"/>
        <v>0.17979117725001381</v>
      </c>
      <c r="AH18" s="2" t="str">
        <f ca="1"/>
        <v>OK</v>
      </c>
    </row>
    <row r="19" spans="2:34" x14ac:dyDescent="0.2">
      <c r="B19" s="2">
        <f ca="1"/>
        <v>0.42477575046447025</v>
      </c>
      <c r="O19" s="2">
        <f ca="1"/>
        <v>1.6206198964810407E-2</v>
      </c>
      <c r="Q19" t="s">
        <v>277</v>
      </c>
      <c r="R19" t="s">
        <v>278</v>
      </c>
      <c r="X19" s="2">
        <f ca="1"/>
        <v>34.020082011231366</v>
      </c>
      <c r="Z19" t="s">
        <v>277</v>
      </c>
      <c r="AA19" t="s">
        <v>279</v>
      </c>
      <c r="AG19" s="2">
        <f ca="1"/>
        <v>0.67294595666975399</v>
      </c>
      <c r="AH19" s="2" t="str">
        <f ca="1"/>
        <v>Bad</v>
      </c>
    </row>
    <row r="20" spans="2:34" x14ac:dyDescent="0.2">
      <c r="B20" s="2">
        <f ca="1"/>
        <v>1.4764444417714406E-2</v>
      </c>
      <c r="O20" s="2">
        <f ca="1"/>
        <v>0.86531102967635143</v>
      </c>
      <c r="Q20">
        <f ca="1">AVERAGE(_xlfn.ANCHORARRAY(O4))</f>
        <v>4.1319491876998151E-4</v>
      </c>
      <c r="R20">
        <f ca="1">STDEV(_xlfn.ANCHORARRAY(O4))</f>
        <v>0.9893044818558977</v>
      </c>
      <c r="X20" s="2">
        <f ca="1"/>
        <v>41.444506336878668</v>
      </c>
      <c r="Z20">
        <f ca="1">AVERAGE(_xlfn.ANCHORARRAY(X4))</f>
        <v>49.870202300410448</v>
      </c>
      <c r="AA20">
        <f ca="1">VAR(_xlfn.ANCHORARRAY(X4))</f>
        <v>254.74005487998173</v>
      </c>
      <c r="AG20" s="2">
        <f ca="1"/>
        <v>0.73019966685394788</v>
      </c>
      <c r="AH20" s="2" t="str">
        <f ca="1"/>
        <v>Bad</v>
      </c>
    </row>
    <row r="21" spans="2:34" x14ac:dyDescent="0.2">
      <c r="B21" s="2">
        <f ca="1"/>
        <v>0.36447744235123625</v>
      </c>
      <c r="O21" s="2">
        <f ca="1"/>
        <v>0.38971695895706349</v>
      </c>
      <c r="X21" s="2">
        <f ca="1"/>
        <v>59.184702627719318</v>
      </c>
      <c r="AG21" s="2">
        <f ca="1"/>
        <v>0.36794114709752912</v>
      </c>
      <c r="AH21" s="2" t="str">
        <f ca="1"/>
        <v>OK</v>
      </c>
    </row>
    <row r="22" spans="2:34" x14ac:dyDescent="0.2">
      <c r="B22" s="2">
        <f ca="1"/>
        <v>0.85508007550430065</v>
      </c>
      <c r="O22" s="2">
        <f ca="1"/>
        <v>-0.99085424956062462</v>
      </c>
      <c r="X22" s="2">
        <f ca="1"/>
        <v>49.47195274736125</v>
      </c>
      <c r="Z22" s="67" t="s">
        <v>280</v>
      </c>
      <c r="AA22" s="67"/>
      <c r="AG22" s="2">
        <f ca="1"/>
        <v>0.41949238607828998</v>
      </c>
      <c r="AH22" s="2" t="str">
        <f ca="1"/>
        <v>Bad</v>
      </c>
    </row>
    <row r="23" spans="2:34" x14ac:dyDescent="0.2">
      <c r="B23" s="2">
        <f ca="1"/>
        <v>0.50153378176851771</v>
      </c>
      <c r="O23" s="2">
        <f ca="1"/>
        <v>-0.6362455898474888</v>
      </c>
      <c r="X23" s="2">
        <f ca="1"/>
        <v>55.369947712696678</v>
      </c>
      <c r="Z23" s="67" t="s">
        <v>277</v>
      </c>
      <c r="AA23" s="67" t="s">
        <v>279</v>
      </c>
      <c r="AG23" s="2">
        <f ca="1"/>
        <v>0.9510910713067795</v>
      </c>
      <c r="AH23" s="2" t="str">
        <f ca="1"/>
        <v>Bad</v>
      </c>
    </row>
    <row r="24" spans="2:34" x14ac:dyDescent="0.2">
      <c r="B24" s="2">
        <f ca="1"/>
        <v>0.57842232561375284</v>
      </c>
      <c r="O24" s="2">
        <f ca="1"/>
        <v>-3.7293456658430936E-3</v>
      </c>
      <c r="X24" s="2">
        <f ca="1"/>
        <v>35.618623525019188</v>
      </c>
      <c r="Z24" s="67">
        <f>10*5</f>
        <v>50</v>
      </c>
      <c r="AA24" s="67">
        <f>10*5^2</f>
        <v>250</v>
      </c>
      <c r="AG24" s="2">
        <f ca="1"/>
        <v>0.1806985649436601</v>
      </c>
      <c r="AH24" s="2" t="str">
        <f ca="1"/>
        <v>OK</v>
      </c>
    </row>
    <row r="25" spans="2:34" x14ac:dyDescent="0.2">
      <c r="B25" s="2">
        <f ca="1"/>
        <v>0.48850569277223022</v>
      </c>
      <c r="O25" s="2">
        <f ca="1"/>
        <v>-0.14952496340518848</v>
      </c>
      <c r="X25" s="2">
        <f ca="1"/>
        <v>46.487030574934572</v>
      </c>
      <c r="AG25" s="2">
        <f ca="1"/>
        <v>0.65380898065615045</v>
      </c>
      <c r="AH25" s="2" t="str">
        <f ca="1"/>
        <v>Bad</v>
      </c>
    </row>
    <row r="26" spans="2:34" x14ac:dyDescent="0.2">
      <c r="B26" s="2">
        <f ca="1"/>
        <v>0.5087319664383938</v>
      </c>
      <c r="O26" s="2">
        <f ca="1"/>
        <v>1.6830483760612132</v>
      </c>
      <c r="X26" s="2">
        <f ca="1"/>
        <v>64.057250554427227</v>
      </c>
      <c r="AG26" s="2">
        <f ca="1"/>
        <v>0.96813310233962246</v>
      </c>
      <c r="AH26" s="2" t="str">
        <f ca="1"/>
        <v>Bad</v>
      </c>
    </row>
    <row r="27" spans="2:34" x14ac:dyDescent="0.2">
      <c r="B27" s="2">
        <f ca="1"/>
        <v>6.0997988629998057E-2</v>
      </c>
      <c r="O27" s="2">
        <f ca="1"/>
        <v>-2.9996663826600218</v>
      </c>
      <c r="X27" s="2">
        <f ca="1"/>
        <v>55.740515018208598</v>
      </c>
      <c r="AG27" s="2">
        <f ca="1"/>
        <v>0.20069173827045494</v>
      </c>
      <c r="AH27" s="2" t="str">
        <f ca="1"/>
        <v>OK</v>
      </c>
    </row>
    <row r="28" spans="2:34" x14ac:dyDescent="0.2">
      <c r="B28" s="2">
        <f ca="1"/>
        <v>0.21143735805677744</v>
      </c>
      <c r="O28" s="2">
        <f ca="1"/>
        <v>-1.0538099801111864</v>
      </c>
      <c r="X28" s="2">
        <f ca="1"/>
        <v>42.238183047782798</v>
      </c>
      <c r="AG28" s="2">
        <f ca="1"/>
        <v>4.7649964554747903E-3</v>
      </c>
      <c r="AH28" s="2" t="str">
        <f ca="1"/>
        <v>Good</v>
      </c>
    </row>
    <row r="29" spans="2:34" x14ac:dyDescent="0.2">
      <c r="B29" s="2">
        <f ca="1"/>
        <v>0.66082333711641184</v>
      </c>
      <c r="O29" s="2">
        <f ca="1"/>
        <v>-0.16168816747300532</v>
      </c>
      <c r="X29" s="2">
        <f ca="1"/>
        <v>42.701902386853007</v>
      </c>
      <c r="AG29" s="2">
        <f ca="1"/>
        <v>0.63527592270657762</v>
      </c>
      <c r="AH29" s="2" t="str">
        <f ca="1"/>
        <v>Bad</v>
      </c>
    </row>
    <row r="30" spans="2:34" x14ac:dyDescent="0.2">
      <c r="B30" s="2">
        <f ca="1"/>
        <v>4.5911355524774322E-2</v>
      </c>
      <c r="D30" t="s">
        <v>277</v>
      </c>
      <c r="E30" t="s">
        <v>281</v>
      </c>
      <c r="O30" s="2">
        <f ca="1"/>
        <v>-0.85123540566372513</v>
      </c>
      <c r="X30" s="2">
        <f ca="1"/>
        <v>32.00355948300097</v>
      </c>
      <c r="AG30" s="2">
        <f ca="1"/>
        <v>0.70272805887626455</v>
      </c>
      <c r="AH30" s="2" t="str">
        <f ca="1"/>
        <v>Bad</v>
      </c>
    </row>
    <row r="31" spans="2:34" x14ac:dyDescent="0.2">
      <c r="B31" s="2">
        <f ca="1"/>
        <v>0.58715259811222742</v>
      </c>
      <c r="D31">
        <f ca="1">AVERAGE(_xlfn.ANCHORARRAY(B14))</f>
        <v>0.50121512974176963</v>
      </c>
      <c r="E31">
        <f ca="1">VAR(_xlfn.ANCHORARRAY(B14))</f>
        <v>8.2253802586736438E-2</v>
      </c>
      <c r="O31" s="2">
        <f ca="1"/>
        <v>-0.77513592929825226</v>
      </c>
      <c r="X31" s="2">
        <f ca="1"/>
        <v>54.019868482705874</v>
      </c>
      <c r="AG31" s="2">
        <f ca="1"/>
        <v>0.76364469208069585</v>
      </c>
      <c r="AH31" s="2" t="str">
        <f ca="1"/>
        <v>Bad</v>
      </c>
    </row>
    <row r="32" spans="2:34" x14ac:dyDescent="0.2">
      <c r="B32" s="2">
        <f ca="1"/>
        <v>0.12466214998988323</v>
      </c>
      <c r="O32" s="2">
        <f ca="1"/>
        <v>-0.58219439920811389</v>
      </c>
      <c r="X32" s="2">
        <f ca="1"/>
        <v>38.9659993960029</v>
      </c>
      <c r="AG32" s="2">
        <f ca="1"/>
        <v>0.92667225516162577</v>
      </c>
      <c r="AH32" s="2" t="str">
        <f ca="1"/>
        <v>Bad</v>
      </c>
    </row>
    <row r="33" spans="2:34" x14ac:dyDescent="0.2">
      <c r="B33" s="2">
        <f ca="1"/>
        <v>0.96910989296262651</v>
      </c>
      <c r="E33" s="67" t="s">
        <v>282</v>
      </c>
      <c r="O33" s="2">
        <f ca="1"/>
        <v>1.2670528546367825</v>
      </c>
      <c r="X33" s="2">
        <f ca="1"/>
        <v>34.124653302244766</v>
      </c>
      <c r="AG33" s="2">
        <f ca="1"/>
        <v>4.0944081605787108E-2</v>
      </c>
      <c r="AH33" s="2" t="str">
        <f ca="1"/>
        <v>Good</v>
      </c>
    </row>
    <row r="34" spans="2:34" x14ac:dyDescent="0.2">
      <c r="B34" s="2">
        <f ca="1"/>
        <v>0.38205558238553405</v>
      </c>
      <c r="E34" s="67">
        <f>1/12</f>
        <v>8.3333333333333329E-2</v>
      </c>
      <c r="O34" s="2">
        <f ca="1"/>
        <v>0.23987945428385163</v>
      </c>
      <c r="X34" s="2">
        <f ca="1"/>
        <v>39.168882810455599</v>
      </c>
      <c r="AG34" s="2">
        <f ca="1"/>
        <v>0.80244759119550801</v>
      </c>
      <c r="AH34" s="2" t="str">
        <f ca="1"/>
        <v>Bad</v>
      </c>
    </row>
    <row r="35" spans="2:34" x14ac:dyDescent="0.2">
      <c r="B35" s="2">
        <f ca="1"/>
        <v>0.44805813384962034</v>
      </c>
      <c r="O35" s="2">
        <f ca="1"/>
        <v>1.5077178646551126</v>
      </c>
      <c r="X35" s="2">
        <f ca="1"/>
        <v>60.362163148590653</v>
      </c>
      <c r="AG35" s="2">
        <f ca="1"/>
        <v>0.80782294862713799</v>
      </c>
      <c r="AH35" s="2" t="str">
        <f ca="1"/>
        <v>Bad</v>
      </c>
    </row>
    <row r="36" spans="2:34" x14ac:dyDescent="0.2">
      <c r="B36" s="2">
        <f ca="1"/>
        <v>0.21284939139585246</v>
      </c>
      <c r="O36" s="2">
        <f ca="1"/>
        <v>-0.71646702928083739</v>
      </c>
      <c r="X36" s="2">
        <f ca="1"/>
        <v>34.472130268607984</v>
      </c>
      <c r="AG36" s="2">
        <f ca="1"/>
        <v>0.25609294010376749</v>
      </c>
      <c r="AH36" s="2" t="str">
        <f ca="1"/>
        <v>OK</v>
      </c>
    </row>
    <row r="37" spans="2:34" x14ac:dyDescent="0.2">
      <c r="B37" s="2">
        <f ca="1"/>
        <v>0.84670231955115449</v>
      </c>
      <c r="O37" s="2">
        <f ca="1"/>
        <v>0.3433089856092103</v>
      </c>
      <c r="X37" s="2">
        <f ca="1"/>
        <v>56.380476769742323</v>
      </c>
      <c r="AG37" s="2">
        <f ca="1"/>
        <v>0.86535250384420737</v>
      </c>
      <c r="AH37" s="2" t="str">
        <f ca="1"/>
        <v>Bad</v>
      </c>
    </row>
    <row r="38" spans="2:34" x14ac:dyDescent="0.2">
      <c r="B38" s="2">
        <f ca="1"/>
        <v>0.53797411093761993</v>
      </c>
      <c r="O38" s="2">
        <f ca="1"/>
        <v>1.4254415299524621</v>
      </c>
      <c r="X38" s="2">
        <f ca="1"/>
        <v>29.543113566080539</v>
      </c>
      <c r="AG38" s="2">
        <f ca="1"/>
        <v>0.83246259257818811</v>
      </c>
      <c r="AH38" s="2" t="str">
        <f ca="1"/>
        <v>Bad</v>
      </c>
    </row>
    <row r="39" spans="2:34" x14ac:dyDescent="0.2">
      <c r="B39" s="2">
        <f ca="1"/>
        <v>0.34093252073041902</v>
      </c>
      <c r="O39" s="2">
        <f ca="1"/>
        <v>1.5940150334198975</v>
      </c>
      <c r="X39" s="2">
        <f ca="1"/>
        <v>89.997299237352905</v>
      </c>
      <c r="AG39" s="2">
        <f ca="1"/>
        <v>0.59175710404425308</v>
      </c>
      <c r="AH39" s="2" t="str">
        <f ca="1"/>
        <v>Bad</v>
      </c>
    </row>
    <row r="40" spans="2:34" x14ac:dyDescent="0.2">
      <c r="B40" s="2">
        <f ca="1"/>
        <v>0.16484647686069431</v>
      </c>
      <c r="O40" s="2">
        <f ca="1"/>
        <v>0.22256772552301704</v>
      </c>
      <c r="X40" s="2">
        <f ca="1"/>
        <v>70.565441792413168</v>
      </c>
      <c r="AG40" s="2">
        <f ca="1"/>
        <v>0.95260744831448863</v>
      </c>
      <c r="AH40" s="2" t="str">
        <f ca="1"/>
        <v>Bad</v>
      </c>
    </row>
    <row r="41" spans="2:34" x14ac:dyDescent="0.2">
      <c r="B41" s="2">
        <f ca="1"/>
        <v>9.715633735293272E-2</v>
      </c>
      <c r="O41" s="2">
        <f ca="1"/>
        <v>-6.7820510699004258E-2</v>
      </c>
      <c r="X41" s="2">
        <f ca="1"/>
        <v>24.767726370225457</v>
      </c>
      <c r="AG41" s="2">
        <f ca="1"/>
        <v>0.52825905203355861</v>
      </c>
      <c r="AH41" s="2" t="str">
        <f ca="1"/>
        <v>Bad</v>
      </c>
    </row>
    <row r="42" spans="2:34" x14ac:dyDescent="0.2">
      <c r="B42" s="2">
        <f ca="1"/>
        <v>0.36518902627489735</v>
      </c>
      <c r="O42" s="2">
        <f ca="1"/>
        <v>7.854684566634268E-2</v>
      </c>
      <c r="X42" s="2">
        <f ca="1"/>
        <v>66.261587665027747</v>
      </c>
      <c r="AG42" s="2">
        <f ca="1"/>
        <v>4.0620540189850729E-3</v>
      </c>
      <c r="AH42" s="2" t="str">
        <f ca="1"/>
        <v>Good</v>
      </c>
    </row>
    <row r="43" spans="2:34" x14ac:dyDescent="0.2">
      <c r="B43" s="2">
        <f ca="1"/>
        <v>0.38766630216961206</v>
      </c>
      <c r="O43" s="2">
        <f ca="1"/>
        <v>-0.20553721848548359</v>
      </c>
      <c r="X43" s="2">
        <f ca="1"/>
        <v>55.544350790738591</v>
      </c>
      <c r="AG43" s="2">
        <f ca="1"/>
        <v>0.37779551833603198</v>
      </c>
      <c r="AH43" s="2" t="str">
        <f ca="1"/>
        <v>OK</v>
      </c>
    </row>
    <row r="44" spans="2:34" x14ac:dyDescent="0.2">
      <c r="B44" s="2">
        <f ca="1"/>
        <v>0.97966407120715848</v>
      </c>
      <c r="O44" s="2">
        <f ca="1"/>
        <v>1.8164992074304276</v>
      </c>
      <c r="X44" s="2">
        <f ca="1"/>
        <v>53.120793319536943</v>
      </c>
      <c r="AG44" s="2">
        <f ca="1"/>
        <v>0.87677358148019779</v>
      </c>
      <c r="AH44" s="2" t="str">
        <f ca="1"/>
        <v>Bad</v>
      </c>
    </row>
    <row r="45" spans="2:34" x14ac:dyDescent="0.2">
      <c r="B45" s="2">
        <f ca="1"/>
        <v>0.12855510225080735</v>
      </c>
      <c r="O45" s="2">
        <f ca="1"/>
        <v>-0.97276880798983256</v>
      </c>
      <c r="X45" s="2">
        <f ca="1"/>
        <v>35.492624367236743</v>
      </c>
      <c r="AG45" s="2">
        <f ca="1"/>
        <v>0.87093261498344154</v>
      </c>
      <c r="AH45" s="2" t="str">
        <f ca="1"/>
        <v>Bad</v>
      </c>
    </row>
    <row r="46" spans="2:34" x14ac:dyDescent="0.2">
      <c r="B46" s="2">
        <f ca="1"/>
        <v>0.61135589922894695</v>
      </c>
      <c r="O46" s="2">
        <f ca="1"/>
        <v>1.7602895611353364</v>
      </c>
      <c r="X46" s="2">
        <f ca="1"/>
        <v>53.10500347846628</v>
      </c>
      <c r="AG46" s="2">
        <f ca="1"/>
        <v>9.0466353579899517E-2</v>
      </c>
      <c r="AH46" s="2" t="str">
        <f ca="1"/>
        <v>OK</v>
      </c>
    </row>
    <row r="47" spans="2:34" x14ac:dyDescent="0.2">
      <c r="B47" s="2">
        <f ca="1"/>
        <v>0.41185321423794652</v>
      </c>
      <c r="O47" s="2">
        <f ca="1"/>
        <v>-0.25268646446505949</v>
      </c>
      <c r="X47" s="2">
        <f ca="1"/>
        <v>35.991751259732325</v>
      </c>
      <c r="AG47" s="2">
        <f ca="1"/>
        <v>0.17648503621462042</v>
      </c>
      <c r="AH47" s="2" t="str">
        <f ca="1"/>
        <v>OK</v>
      </c>
    </row>
    <row r="48" spans="2:34" x14ac:dyDescent="0.2">
      <c r="B48" s="2">
        <f ca="1"/>
        <v>0.16884481505111082</v>
      </c>
      <c r="O48" s="2">
        <f ca="1"/>
        <v>0.84775421042126908</v>
      </c>
      <c r="X48" s="2">
        <f ca="1"/>
        <v>35.240681312098715</v>
      </c>
      <c r="AG48" s="2">
        <f ca="1"/>
        <v>0.25438947616134544</v>
      </c>
      <c r="AH48" s="2" t="str">
        <f ca="1"/>
        <v>OK</v>
      </c>
    </row>
    <row r="49" spans="2:34" x14ac:dyDescent="0.2">
      <c r="B49" s="2">
        <f ca="1"/>
        <v>0.65867517666463393</v>
      </c>
      <c r="O49" s="2">
        <f ca="1"/>
        <v>-0.15043824201742415</v>
      </c>
      <c r="X49" s="2">
        <f ca="1"/>
        <v>42.095116222478879</v>
      </c>
      <c r="AG49" s="2">
        <f ca="1"/>
        <v>0.6046355863268742</v>
      </c>
      <c r="AH49" s="2" t="str">
        <f ca="1"/>
        <v>Bad</v>
      </c>
    </row>
    <row r="50" spans="2:34" x14ac:dyDescent="0.2">
      <c r="B50" s="2">
        <f ca="1"/>
        <v>0.62555062527182814</v>
      </c>
      <c r="O50" s="2">
        <f ca="1"/>
        <v>-0.29257908081017642</v>
      </c>
      <c r="X50" s="2">
        <f ca="1"/>
        <v>49.719396130898723</v>
      </c>
      <c r="AG50" s="2">
        <f ca="1"/>
        <v>0.40254609830130272</v>
      </c>
      <c r="AH50" s="2" t="str">
        <f ca="1"/>
        <v>Bad</v>
      </c>
    </row>
    <row r="51" spans="2:34" x14ac:dyDescent="0.2">
      <c r="B51" s="2">
        <f ca="1"/>
        <v>0.60816498714156242</v>
      </c>
      <c r="O51" s="2">
        <f ca="1"/>
        <v>1.4676416817641169</v>
      </c>
      <c r="X51" s="2">
        <f ca="1"/>
        <v>38.512056764672408</v>
      </c>
      <c r="AG51" s="2">
        <f ca="1"/>
        <v>2.8615438448865271E-2</v>
      </c>
      <c r="AH51" s="2" t="str">
        <f ca="1"/>
        <v>Good</v>
      </c>
    </row>
    <row r="52" spans="2:34" x14ac:dyDescent="0.2">
      <c r="B52" s="2">
        <f ca="1"/>
        <v>0.74352952963338437</v>
      </c>
      <c r="O52" s="2">
        <f ca="1"/>
        <v>0.83009793187207281</v>
      </c>
      <c r="X52" s="2">
        <f ca="1"/>
        <v>60.717807827490077</v>
      </c>
      <c r="AG52" s="2">
        <f ca="1"/>
        <v>0.60854248240072706</v>
      </c>
      <c r="AH52" s="2" t="str">
        <f ca="1"/>
        <v>Bad</v>
      </c>
    </row>
    <row r="53" spans="2:34" x14ac:dyDescent="0.2">
      <c r="B53" s="2">
        <f ca="1"/>
        <v>0.33970409745901109</v>
      </c>
      <c r="O53" s="2">
        <f ca="1"/>
        <v>-0.8220043560452448</v>
      </c>
      <c r="X53" s="2">
        <f ca="1"/>
        <v>68.157288231474865</v>
      </c>
      <c r="AG53" s="2">
        <f ca="1"/>
        <v>0.47887655253913808</v>
      </c>
      <c r="AH53" s="2" t="str">
        <f ca="1"/>
        <v>Bad</v>
      </c>
    </row>
    <row r="54" spans="2:34" x14ac:dyDescent="0.2">
      <c r="B54" s="2">
        <f ca="1"/>
        <v>0.95684367372341028</v>
      </c>
      <c r="O54" s="2">
        <f ca="1"/>
        <v>1.0175290685004355</v>
      </c>
      <c r="X54" s="2">
        <f ca="1"/>
        <v>50.472683914222358</v>
      </c>
      <c r="AG54" s="2">
        <f ca="1"/>
        <v>0.87433129759261341</v>
      </c>
      <c r="AH54" s="2" t="str">
        <f ca="1"/>
        <v>Bad</v>
      </c>
    </row>
    <row r="55" spans="2:34" x14ac:dyDescent="0.2">
      <c r="B55" s="2">
        <f ca="1"/>
        <v>0.45795178618925703</v>
      </c>
      <c r="O55" s="2">
        <f ca="1"/>
        <v>1.3285501003969546</v>
      </c>
      <c r="X55" s="2">
        <f ca="1"/>
        <v>39.630226659265816</v>
      </c>
      <c r="AG55" s="2">
        <f ca="1"/>
        <v>0.96285624292332406</v>
      </c>
      <c r="AH55" s="2" t="str">
        <f ca="1"/>
        <v>Bad</v>
      </c>
    </row>
    <row r="56" spans="2:34" x14ac:dyDescent="0.2">
      <c r="B56" s="2">
        <f ca="1"/>
        <v>0.26328849491077189</v>
      </c>
      <c r="O56" s="2">
        <f ca="1"/>
        <v>0.15383049955516526</v>
      </c>
      <c r="X56" s="2">
        <f ca="1"/>
        <v>71.160015519633532</v>
      </c>
      <c r="AG56" s="2">
        <f ca="1"/>
        <v>0.93258563887956236</v>
      </c>
      <c r="AH56" s="2" t="str">
        <f ca="1"/>
        <v>Bad</v>
      </c>
    </row>
    <row r="57" spans="2:34" x14ac:dyDescent="0.2">
      <c r="B57" s="2">
        <f ca="1"/>
        <v>0.55207740059186516</v>
      </c>
      <c r="O57" s="2">
        <f ca="1"/>
        <v>-0.46677581639482785</v>
      </c>
      <c r="X57" s="2">
        <f ca="1"/>
        <v>51.632020354036342</v>
      </c>
      <c r="AG57" s="2">
        <f ca="1"/>
        <v>0.74688008736844758</v>
      </c>
      <c r="AH57" s="2" t="str">
        <f ca="1"/>
        <v>Bad</v>
      </c>
    </row>
    <row r="58" spans="2:34" x14ac:dyDescent="0.2">
      <c r="B58" s="2">
        <f ca="1"/>
        <v>0.6149358063414101</v>
      </c>
      <c r="O58" s="2">
        <f ca="1"/>
        <v>0.22712627197640176</v>
      </c>
      <c r="X58" s="2">
        <f ca="1"/>
        <v>46.683053447023674</v>
      </c>
      <c r="AG58" s="2">
        <f ca="1"/>
        <v>0.79718551856970898</v>
      </c>
      <c r="AH58" s="2" t="str">
        <f ca="1"/>
        <v>Bad</v>
      </c>
    </row>
    <row r="59" spans="2:34" x14ac:dyDescent="0.2">
      <c r="B59" s="2">
        <f ca="1"/>
        <v>0.86407500341618992</v>
      </c>
      <c r="O59" s="2">
        <f ca="1"/>
        <v>2.6009487287282322</v>
      </c>
      <c r="X59" s="2">
        <f ca="1"/>
        <v>36.425973285544309</v>
      </c>
      <c r="AG59" s="2">
        <f ca="1"/>
        <v>0.65499333935103077</v>
      </c>
      <c r="AH59" s="2" t="str">
        <f ca="1"/>
        <v>Bad</v>
      </c>
    </row>
    <row r="60" spans="2:34" x14ac:dyDescent="0.2">
      <c r="B60" s="2">
        <f ca="1"/>
        <v>0.30740381465059552</v>
      </c>
      <c r="O60" s="2">
        <f ca="1"/>
        <v>0.20057044522290945</v>
      </c>
      <c r="X60" s="2">
        <f ca="1"/>
        <v>45.545796976820974</v>
      </c>
      <c r="AG60" s="2">
        <f ca="1"/>
        <v>0.86954337690211148</v>
      </c>
      <c r="AH60" s="2" t="str">
        <f ca="1"/>
        <v>Bad</v>
      </c>
    </row>
    <row r="61" spans="2:34" x14ac:dyDescent="0.2">
      <c r="B61" s="2">
        <f ca="1"/>
        <v>8.0337954227464259E-2</v>
      </c>
      <c r="O61" s="2">
        <f ca="1"/>
        <v>-0.93917108463731047</v>
      </c>
      <c r="X61" s="2">
        <f ca="1"/>
        <v>68.964839473865979</v>
      </c>
      <c r="AG61" s="2">
        <f ca="1"/>
        <v>0.60875590668132484</v>
      </c>
      <c r="AH61" s="2" t="str">
        <f ca="1"/>
        <v>Bad</v>
      </c>
    </row>
    <row r="62" spans="2:34" x14ac:dyDescent="0.2">
      <c r="B62" s="2">
        <f ca="1"/>
        <v>0.31438972950819255</v>
      </c>
      <c r="O62" s="2">
        <f ca="1"/>
        <v>-1.2648944861089246</v>
      </c>
      <c r="X62" s="2">
        <f ca="1"/>
        <v>62.102816570280822</v>
      </c>
      <c r="AG62" s="2">
        <f ca="1"/>
        <v>0.6969590033783557</v>
      </c>
      <c r="AH62" s="2" t="str">
        <f ca="1"/>
        <v>Bad</v>
      </c>
    </row>
    <row r="63" spans="2:34" x14ac:dyDescent="0.2">
      <c r="B63" s="2">
        <f ca="1"/>
        <v>0.80077100997709594</v>
      </c>
      <c r="O63" s="2">
        <f ca="1"/>
        <v>-1.1898141756297311</v>
      </c>
      <c r="X63" s="2">
        <f ca="1"/>
        <v>39.693681855718815</v>
      </c>
      <c r="AG63" s="2">
        <f ca="1"/>
        <v>0.80994955300213056</v>
      </c>
      <c r="AH63" s="2" t="str">
        <f ca="1"/>
        <v>Bad</v>
      </c>
    </row>
    <row r="64" spans="2:34" x14ac:dyDescent="0.2">
      <c r="B64" s="2">
        <f ca="1"/>
        <v>0.59084328609418035</v>
      </c>
      <c r="O64" s="2">
        <f ca="1"/>
        <v>-0.40526673976868516</v>
      </c>
      <c r="X64" s="2">
        <f ca="1"/>
        <v>63.691650054395382</v>
      </c>
      <c r="AG64" s="2">
        <f ca="1"/>
        <v>0.14743639301899991</v>
      </c>
      <c r="AH64" s="2" t="str">
        <f ca="1"/>
        <v>OK</v>
      </c>
    </row>
    <row r="65" spans="2:34" x14ac:dyDescent="0.2">
      <c r="B65" s="2">
        <f ca="1"/>
        <v>0.17569393176707182</v>
      </c>
      <c r="O65" s="2">
        <f ca="1"/>
        <v>-1.1781003564311494</v>
      </c>
      <c r="X65" s="2">
        <f ca="1"/>
        <v>49.515369386059625</v>
      </c>
      <c r="AG65" s="2">
        <f ca="1"/>
        <v>0.93362962346759915</v>
      </c>
      <c r="AH65" s="2" t="str">
        <f ca="1"/>
        <v>Bad</v>
      </c>
    </row>
    <row r="66" spans="2:34" x14ac:dyDescent="0.2">
      <c r="B66" s="2">
        <f ca="1"/>
        <v>0.37748649065934137</v>
      </c>
      <c r="O66" s="2">
        <f ca="1"/>
        <v>0.27028839137899019</v>
      </c>
      <c r="X66" s="2">
        <f ca="1"/>
        <v>49.590720586785523</v>
      </c>
      <c r="AG66" s="2">
        <f ca="1"/>
        <v>0.67429308002353516</v>
      </c>
      <c r="AH66" s="2" t="str">
        <f ca="1"/>
        <v>Bad</v>
      </c>
    </row>
    <row r="67" spans="2:34" x14ac:dyDescent="0.2">
      <c r="B67" s="2">
        <f ca="1"/>
        <v>6.5444536247115437E-2</v>
      </c>
      <c r="O67" s="2">
        <f ca="1"/>
        <v>-0.70445493910378898</v>
      </c>
      <c r="X67" s="2">
        <f ca="1"/>
        <v>35.486727746138833</v>
      </c>
      <c r="AG67" s="2">
        <f ca="1"/>
        <v>0.70431828072085434</v>
      </c>
      <c r="AH67" s="2" t="str">
        <f ca="1"/>
        <v>Bad</v>
      </c>
    </row>
    <row r="68" spans="2:34" x14ac:dyDescent="0.2">
      <c r="B68" s="2">
        <f ca="1"/>
        <v>0.91032939312719163</v>
      </c>
      <c r="O68" s="2">
        <f ca="1"/>
        <v>0.54015788679079213</v>
      </c>
      <c r="X68" s="2">
        <f ca="1"/>
        <v>37.668580767653189</v>
      </c>
      <c r="AG68" s="2">
        <f ca="1"/>
        <v>0.22987213849159915</v>
      </c>
      <c r="AH68" s="2" t="str">
        <f ca="1"/>
        <v>OK</v>
      </c>
    </row>
    <row r="69" spans="2:34" x14ac:dyDescent="0.2">
      <c r="B69" s="2">
        <f ca="1"/>
        <v>0.74273400097475295</v>
      </c>
      <c r="O69" s="2">
        <f ca="1"/>
        <v>0.71589665663977586</v>
      </c>
      <c r="X69" s="2">
        <f ca="1"/>
        <v>41.602321575696486</v>
      </c>
      <c r="AG69" s="2">
        <f ca="1"/>
        <v>0.7977928737883635</v>
      </c>
      <c r="AH69" s="2" t="str">
        <f ca="1"/>
        <v>Bad</v>
      </c>
    </row>
    <row r="70" spans="2:34" x14ac:dyDescent="0.2">
      <c r="B70" s="2">
        <f ca="1"/>
        <v>0.7455200796963859</v>
      </c>
      <c r="O70" s="2">
        <f ca="1"/>
        <v>-2.0200327151564239</v>
      </c>
      <c r="X70" s="2">
        <f ca="1"/>
        <v>74.008984488094072</v>
      </c>
      <c r="AG70" s="2">
        <f ca="1"/>
        <v>1.9776408706340121E-2</v>
      </c>
      <c r="AH70" s="2" t="str">
        <f ca="1"/>
        <v>Good</v>
      </c>
    </row>
    <row r="71" spans="2:34" x14ac:dyDescent="0.2">
      <c r="B71" s="2">
        <f ca="1"/>
        <v>0.5976375067095534</v>
      </c>
      <c r="O71" s="2">
        <f ca="1"/>
        <v>0.47004703504868656</v>
      </c>
      <c r="X71" s="2">
        <f ca="1"/>
        <v>34.912937748584866</v>
      </c>
      <c r="AG71" s="2">
        <f ca="1"/>
        <v>0.55186296886960795</v>
      </c>
      <c r="AH71" s="2" t="str">
        <f ca="1"/>
        <v>Bad</v>
      </c>
    </row>
    <row r="72" spans="2:34" x14ac:dyDescent="0.2">
      <c r="B72" s="2">
        <f ca="1"/>
        <v>0.77370630744160995</v>
      </c>
      <c r="O72" s="2">
        <f ca="1"/>
        <v>0.22130775636422356</v>
      </c>
      <c r="X72" s="2">
        <f ca="1"/>
        <v>51.298892496976677</v>
      </c>
      <c r="AG72" s="2">
        <f ca="1"/>
        <v>0.74727738682047984</v>
      </c>
      <c r="AH72" s="2" t="str">
        <f ca="1"/>
        <v>Bad</v>
      </c>
    </row>
    <row r="73" spans="2:34" x14ac:dyDescent="0.2">
      <c r="B73" s="2">
        <f ca="1"/>
        <v>0.20264907967214851</v>
      </c>
      <c r="O73" s="2">
        <f ca="1"/>
        <v>0.23092897611162178</v>
      </c>
      <c r="X73" s="2">
        <f ca="1"/>
        <v>46.733120746260823</v>
      </c>
      <c r="AG73" s="2">
        <f ca="1"/>
        <v>0.63134029855921403</v>
      </c>
      <c r="AH73" s="2" t="str">
        <f ca="1"/>
        <v>Bad</v>
      </c>
    </row>
    <row r="74" spans="2:34" x14ac:dyDescent="0.2">
      <c r="B74" s="2">
        <f ca="1"/>
        <v>0.33664911407876219</v>
      </c>
      <c r="O74" s="2">
        <f ca="1"/>
        <v>-0.20613800809014665</v>
      </c>
      <c r="X74" s="2">
        <f ca="1"/>
        <v>60.756935742763936</v>
      </c>
      <c r="AG74" s="2">
        <f ca="1"/>
        <v>0.17857952025263035</v>
      </c>
      <c r="AH74" s="2" t="str">
        <f ca="1"/>
        <v>OK</v>
      </c>
    </row>
    <row r="75" spans="2:34" x14ac:dyDescent="0.2">
      <c r="B75" s="2">
        <f ca="1"/>
        <v>0.76821850537338454</v>
      </c>
      <c r="O75" s="2">
        <f ca="1"/>
        <v>0.16741008101043212</v>
      </c>
      <c r="X75" s="2">
        <f ca="1"/>
        <v>58.966061803115302</v>
      </c>
      <c r="AG75" s="2">
        <f ca="1"/>
        <v>6.282728489618572E-2</v>
      </c>
      <c r="AH75" s="2" t="str">
        <f ca="1"/>
        <v>OK</v>
      </c>
    </row>
    <row r="76" spans="2:34" x14ac:dyDescent="0.2">
      <c r="B76" s="2">
        <f ca="1"/>
        <v>0.88221816007873932</v>
      </c>
      <c r="O76" s="2">
        <f ca="1"/>
        <v>1.1658985300787645</v>
      </c>
      <c r="X76" s="2">
        <f ca="1"/>
        <v>69.408096884174057</v>
      </c>
      <c r="AG76" s="2">
        <f ca="1"/>
        <v>0.76491490425733111</v>
      </c>
      <c r="AH76" s="2" t="str">
        <f ca="1"/>
        <v>Bad</v>
      </c>
    </row>
    <row r="77" spans="2:34" x14ac:dyDescent="0.2">
      <c r="B77" s="2">
        <f ca="1"/>
        <v>0.4236933708846613</v>
      </c>
      <c r="O77" s="2">
        <f ca="1"/>
        <v>0.54681498896019154</v>
      </c>
      <c r="X77" s="2">
        <f ca="1"/>
        <v>96.275590906882371</v>
      </c>
      <c r="AG77" s="2">
        <f ca="1"/>
        <v>0.21246535989794735</v>
      </c>
      <c r="AH77" s="2" t="str">
        <f ca="1"/>
        <v>OK</v>
      </c>
    </row>
    <row r="78" spans="2:34" x14ac:dyDescent="0.2">
      <c r="B78" s="2">
        <f ca="1"/>
        <v>4.2813793053653182E-3</v>
      </c>
      <c r="O78" s="2">
        <f ca="1"/>
        <v>1.6756379731221562</v>
      </c>
      <c r="X78" s="2">
        <f ca="1"/>
        <v>38.409159896966592</v>
      </c>
      <c r="AG78" s="2">
        <f ca="1"/>
        <v>0.47378668185467609</v>
      </c>
      <c r="AH78" s="2" t="str">
        <f ca="1"/>
        <v>Bad</v>
      </c>
    </row>
    <row r="79" spans="2:34" x14ac:dyDescent="0.2">
      <c r="B79" s="2">
        <f ca="1"/>
        <v>0.7680138043120559</v>
      </c>
      <c r="O79" s="2">
        <f ca="1"/>
        <v>0.76701078999566796</v>
      </c>
      <c r="X79" s="2">
        <f ca="1"/>
        <v>36.337817741589518</v>
      </c>
      <c r="AG79" s="2">
        <f ca="1"/>
        <v>0.54421929328515994</v>
      </c>
      <c r="AH79" s="2" t="str">
        <f ca="1"/>
        <v>Bad</v>
      </c>
    </row>
    <row r="80" spans="2:34" x14ac:dyDescent="0.2">
      <c r="B80" s="2">
        <f ca="1"/>
        <v>0.74637350478251308</v>
      </c>
      <c r="O80" s="2">
        <f ca="1"/>
        <v>0.32582831516370403</v>
      </c>
      <c r="X80" s="2">
        <f ca="1"/>
        <v>48.784665765152617</v>
      </c>
      <c r="AG80" s="2">
        <f ca="1"/>
        <v>0.25149283997570082</v>
      </c>
      <c r="AH80" s="2" t="str">
        <f ca="1"/>
        <v>OK</v>
      </c>
    </row>
    <row r="81" spans="2:34" x14ac:dyDescent="0.2">
      <c r="B81" s="2">
        <f ca="1"/>
        <v>0.27258928044714104</v>
      </c>
      <c r="O81" s="2">
        <f ca="1"/>
        <v>-0.50333941736523968</v>
      </c>
      <c r="X81" s="2">
        <f ca="1"/>
        <v>17.650675444892251</v>
      </c>
      <c r="AG81" s="2">
        <f ca="1"/>
        <v>0.76724609152722634</v>
      </c>
      <c r="AH81" s="2" t="str">
        <f ca="1"/>
        <v>Bad</v>
      </c>
    </row>
    <row r="82" spans="2:34" x14ac:dyDescent="0.2">
      <c r="B82" s="2">
        <f ca="1"/>
        <v>0.76843742238322132</v>
      </c>
      <c r="O82" s="2">
        <f ca="1"/>
        <v>1.4954375768082129</v>
      </c>
      <c r="X82" s="2">
        <f ca="1"/>
        <v>71.522048769745368</v>
      </c>
      <c r="AG82" s="2">
        <f ca="1"/>
        <v>0.22494091741629285</v>
      </c>
      <c r="AH82" s="2" t="str">
        <f ca="1"/>
        <v>OK</v>
      </c>
    </row>
    <row r="83" spans="2:34" x14ac:dyDescent="0.2">
      <c r="B83" s="2">
        <f ca="1"/>
        <v>0.71331029520134104</v>
      </c>
      <c r="O83" s="2">
        <f ca="1"/>
        <v>4.396334763131593E-2</v>
      </c>
      <c r="X83" s="2">
        <f ca="1"/>
        <v>47.678494660803629</v>
      </c>
      <c r="AG83" s="2">
        <f ca="1"/>
        <v>0.59421624870667755</v>
      </c>
      <c r="AH83" s="2" t="str">
        <f ca="1"/>
        <v>Bad</v>
      </c>
    </row>
    <row r="84" spans="2:34" x14ac:dyDescent="0.2">
      <c r="B84" s="2">
        <f ca="1"/>
        <v>0.64512725997802312</v>
      </c>
      <c r="O84" s="2">
        <f ca="1"/>
        <v>-0.83237857595303244</v>
      </c>
      <c r="X84" s="2">
        <f ca="1"/>
        <v>38.621072648501304</v>
      </c>
      <c r="AG84" s="2">
        <f ca="1"/>
        <v>5.0750575881105986E-2</v>
      </c>
      <c r="AH84" s="2" t="str">
        <f ca="1"/>
        <v>OK</v>
      </c>
    </row>
    <row r="85" spans="2:34" x14ac:dyDescent="0.2">
      <c r="B85" s="2">
        <f ca="1"/>
        <v>0.6706545938791777</v>
      </c>
      <c r="O85" s="2">
        <f ca="1"/>
        <v>0.200412846607992</v>
      </c>
      <c r="X85" s="2">
        <f ca="1"/>
        <v>53.504899118736006</v>
      </c>
      <c r="AG85" s="2">
        <f ca="1"/>
        <v>0.51631124647257032</v>
      </c>
      <c r="AH85" s="2" t="str">
        <f ca="1"/>
        <v>Bad</v>
      </c>
    </row>
    <row r="86" spans="2:34" x14ac:dyDescent="0.2">
      <c r="B86" s="2">
        <f ca="1"/>
        <v>0.80991636659434829</v>
      </c>
      <c r="O86" s="2">
        <f ca="1"/>
        <v>1.388466758560565</v>
      </c>
      <c r="X86" s="2">
        <f ca="1"/>
        <v>54.230447447787242</v>
      </c>
      <c r="AG86" s="2">
        <f ca="1"/>
        <v>0.68212486624252899</v>
      </c>
      <c r="AH86" s="2" t="str">
        <f ca="1"/>
        <v>Bad</v>
      </c>
    </row>
    <row r="87" spans="2:34" x14ac:dyDescent="0.2">
      <c r="B87" s="2">
        <f ca="1"/>
        <v>0.39381285255757259</v>
      </c>
      <c r="O87" s="2">
        <f ca="1"/>
        <v>0.29744432903880591</v>
      </c>
      <c r="X87" s="2">
        <f ca="1"/>
        <v>46.724295874387266</v>
      </c>
      <c r="AG87" s="2">
        <f ca="1"/>
        <v>0.93107659701501677</v>
      </c>
      <c r="AH87" s="2" t="str">
        <f ca="1"/>
        <v>Bad</v>
      </c>
    </row>
    <row r="88" spans="2:34" x14ac:dyDescent="0.2">
      <c r="B88" s="2">
        <f ca="1"/>
        <v>0.17707801633324727</v>
      </c>
      <c r="O88" s="2">
        <f ca="1"/>
        <v>0.13488715367642609</v>
      </c>
      <c r="X88" s="2">
        <f ca="1"/>
        <v>38.39745947674664</v>
      </c>
      <c r="AG88" s="2">
        <f ca="1"/>
        <v>0.93484184160263051</v>
      </c>
      <c r="AH88" s="2" t="str">
        <f ca="1"/>
        <v>Bad</v>
      </c>
    </row>
    <row r="89" spans="2:34" x14ac:dyDescent="0.2">
      <c r="B89" s="2">
        <f ca="1"/>
        <v>0.42890376306284828</v>
      </c>
      <c r="O89" s="2">
        <f ca="1"/>
        <v>-1.4579361317365971</v>
      </c>
      <c r="X89" s="2">
        <f ca="1"/>
        <v>50.169514258644163</v>
      </c>
      <c r="AG89" s="2">
        <f ca="1"/>
        <v>0.45866795342329736</v>
      </c>
      <c r="AH89" s="2" t="str">
        <f ca="1"/>
        <v>Bad</v>
      </c>
    </row>
    <row r="90" spans="2:34" x14ac:dyDescent="0.2">
      <c r="B90" s="2">
        <f ca="1"/>
        <v>0.64456424073489904</v>
      </c>
      <c r="O90" s="2">
        <f ca="1"/>
        <v>-0.30386318753897013</v>
      </c>
      <c r="X90" s="2">
        <f ca="1"/>
        <v>37.368530174060709</v>
      </c>
      <c r="AG90" s="2">
        <f ca="1"/>
        <v>0.99739331924907648</v>
      </c>
      <c r="AH90" s="2" t="str">
        <f ca="1"/>
        <v>Bad</v>
      </c>
    </row>
    <row r="91" spans="2:34" x14ac:dyDescent="0.2">
      <c r="B91" s="2">
        <f ca="1"/>
        <v>0.65489849242597131</v>
      </c>
      <c r="O91" s="2">
        <f ca="1"/>
        <v>-0.76843650334007974</v>
      </c>
      <c r="X91" s="2">
        <f ca="1"/>
        <v>35.533845123490394</v>
      </c>
      <c r="AG91" s="2">
        <f ca="1"/>
        <v>0.61130846973263497</v>
      </c>
      <c r="AH91" s="2" t="str">
        <f ca="1"/>
        <v>Bad</v>
      </c>
    </row>
    <row r="92" spans="2:34" x14ac:dyDescent="0.2">
      <c r="B92" s="2">
        <f ca="1"/>
        <v>0.59363731792074326</v>
      </c>
      <c r="O92" s="2">
        <f ca="1"/>
        <v>1.0247635334712764</v>
      </c>
      <c r="X92" s="2">
        <f ca="1"/>
        <v>46.293582138686361</v>
      </c>
      <c r="AG92" s="2">
        <f ca="1"/>
        <v>0.51100155470710362</v>
      </c>
      <c r="AH92" s="2" t="str">
        <f ca="1"/>
        <v>Bad</v>
      </c>
    </row>
    <row r="93" spans="2:34" x14ac:dyDescent="0.2">
      <c r="B93" s="2">
        <f ca="1"/>
        <v>0.34116917752055986</v>
      </c>
      <c r="O93" s="2">
        <f ca="1"/>
        <v>-2.2983802593724656</v>
      </c>
      <c r="X93" s="2">
        <f ca="1"/>
        <v>31.915271072236614</v>
      </c>
      <c r="AG93" s="2">
        <f ca="1"/>
        <v>0.93641624292335002</v>
      </c>
      <c r="AH93" s="2" t="str">
        <f ca="1"/>
        <v>Bad</v>
      </c>
    </row>
    <row r="94" spans="2:34" x14ac:dyDescent="0.2">
      <c r="B94" s="2">
        <f ca="1"/>
        <v>0.46905996825402196</v>
      </c>
      <c r="O94" s="2">
        <f ca="1"/>
        <v>-0.33565769033536297</v>
      </c>
      <c r="X94" s="2">
        <f ca="1"/>
        <v>52.437728764581088</v>
      </c>
      <c r="AG94" s="2">
        <f ca="1"/>
        <v>0.86821755643261</v>
      </c>
      <c r="AH94" s="2" t="str">
        <f ca="1"/>
        <v>Bad</v>
      </c>
    </row>
    <row r="95" spans="2:34" x14ac:dyDescent="0.2">
      <c r="B95" s="2">
        <f ca="1"/>
        <v>5.5358808174581053E-2</v>
      </c>
      <c r="O95" s="2">
        <f ca="1"/>
        <v>-8.62747876244844E-2</v>
      </c>
      <c r="X95" s="2">
        <f ca="1"/>
        <v>46.285763411797653</v>
      </c>
      <c r="AG95" s="2">
        <f ca="1"/>
        <v>0.93652594848109083</v>
      </c>
      <c r="AH95" s="2" t="str">
        <f ca="1"/>
        <v>Bad</v>
      </c>
    </row>
    <row r="96" spans="2:34" x14ac:dyDescent="0.2">
      <c r="B96" s="2">
        <f ca="1"/>
        <v>0.9211287993087709</v>
      </c>
      <c r="O96" s="2">
        <f ca="1"/>
        <v>0.84659845288493463</v>
      </c>
      <c r="X96" s="2">
        <f ca="1"/>
        <v>96.762989820026235</v>
      </c>
      <c r="AG96" s="2">
        <f ca="1"/>
        <v>0.73774897274855311</v>
      </c>
      <c r="AH96" s="2" t="str">
        <f ca="1"/>
        <v>Bad</v>
      </c>
    </row>
    <row r="97" spans="2:34" x14ac:dyDescent="0.2">
      <c r="B97" s="2">
        <f ca="1"/>
        <v>0.34847942072593385</v>
      </c>
      <c r="O97" s="2">
        <f ca="1"/>
        <v>0.84309894946971975</v>
      </c>
      <c r="X97" s="2">
        <f ca="1"/>
        <v>59.818250271960302</v>
      </c>
      <c r="AG97" s="2">
        <f ca="1"/>
        <v>0.48606124142806628</v>
      </c>
      <c r="AH97" s="2" t="str">
        <f ca="1"/>
        <v>Bad</v>
      </c>
    </row>
    <row r="98" spans="2:34" x14ac:dyDescent="0.2">
      <c r="B98" s="2">
        <f ca="1"/>
        <v>0.11646158265486917</v>
      </c>
      <c r="O98" s="2">
        <f ca="1"/>
        <v>-0.28631359169006759</v>
      </c>
      <c r="X98" s="2">
        <f ca="1"/>
        <v>52.936271297073702</v>
      </c>
      <c r="AG98" s="2">
        <f ca="1"/>
        <v>0.48255691960600267</v>
      </c>
      <c r="AH98" s="2" t="str">
        <f ca="1"/>
        <v>Bad</v>
      </c>
    </row>
    <row r="99" spans="2:34" x14ac:dyDescent="0.2">
      <c r="B99" s="2">
        <f ca="1"/>
        <v>0.34086609470309881</v>
      </c>
      <c r="O99" s="2">
        <f ca="1"/>
        <v>0.54772120463956131</v>
      </c>
      <c r="X99" s="2">
        <f ca="1"/>
        <v>55.789515826500988</v>
      </c>
      <c r="AG99" s="2">
        <f ca="1"/>
        <v>0.90707748427414692</v>
      </c>
      <c r="AH99" s="2" t="str">
        <f ca="1"/>
        <v>Bad</v>
      </c>
    </row>
    <row r="100" spans="2:34" x14ac:dyDescent="0.2">
      <c r="B100" s="2">
        <f ca="1"/>
        <v>0.65714530705867014</v>
      </c>
      <c r="O100" s="2">
        <f ca="1"/>
        <v>-2.1942267067340175</v>
      </c>
      <c r="X100" s="2">
        <f ca="1"/>
        <v>52.917311307209296</v>
      </c>
      <c r="AG100" s="2">
        <f ca="1"/>
        <v>4.6809695962609199E-2</v>
      </c>
      <c r="AH100" s="2" t="str">
        <f ca="1"/>
        <v>Good</v>
      </c>
    </row>
    <row r="101" spans="2:34" x14ac:dyDescent="0.2">
      <c r="B101" s="2">
        <f ca="1"/>
        <v>0.62157902853649327</v>
      </c>
      <c r="O101" s="2">
        <f ca="1"/>
        <v>0.24088295870835683</v>
      </c>
      <c r="X101" s="2">
        <f ca="1"/>
        <v>53.541955027254119</v>
      </c>
      <c r="AG101" s="2">
        <f ca="1"/>
        <v>0.6387400734958284</v>
      </c>
      <c r="AH101" s="2" t="str">
        <f ca="1"/>
        <v>Bad</v>
      </c>
    </row>
    <row r="102" spans="2:34" x14ac:dyDescent="0.2">
      <c r="B102" s="2">
        <f ca="1"/>
        <v>6.0922918755061284E-2</v>
      </c>
      <c r="O102" s="2">
        <f ca="1"/>
        <v>0.14907848964947604</v>
      </c>
      <c r="X102" s="2">
        <f ca="1"/>
        <v>66.396504688359443</v>
      </c>
      <c r="AG102" s="2">
        <f ca="1"/>
        <v>0.69157098640728387</v>
      </c>
      <c r="AH102" s="2" t="str">
        <f ca="1"/>
        <v>Bad</v>
      </c>
    </row>
    <row r="103" spans="2:34" x14ac:dyDescent="0.2">
      <c r="B103" s="2">
        <f ca="1"/>
        <v>9.2777323437606585E-2</v>
      </c>
      <c r="O103" s="2">
        <f ca="1"/>
        <v>-0.79759155977700325</v>
      </c>
      <c r="X103" s="2">
        <f ca="1"/>
        <v>59.696595371107307</v>
      </c>
      <c r="AG103" s="2">
        <f ca="1"/>
        <v>0.1388989752427563</v>
      </c>
      <c r="AH103" s="2" t="str">
        <f ca="1"/>
        <v>OK</v>
      </c>
    </row>
    <row r="104" spans="2:34" x14ac:dyDescent="0.2">
      <c r="B104" s="2">
        <f ca="1"/>
        <v>0.57474206603811862</v>
      </c>
      <c r="O104" s="2">
        <f ca="1"/>
        <v>0.79801136852946208</v>
      </c>
      <c r="X104" s="2">
        <f ca="1"/>
        <v>40.565997797195436</v>
      </c>
      <c r="AG104" s="2">
        <f ca="1"/>
        <v>0.44861678831973184</v>
      </c>
      <c r="AH104" s="2" t="str">
        <f ca="1"/>
        <v>Bad</v>
      </c>
    </row>
    <row r="105" spans="2:34" x14ac:dyDescent="0.2">
      <c r="B105" s="2">
        <f ca="1"/>
        <v>0.60925617902466978</v>
      </c>
      <c r="O105" s="2">
        <f ca="1"/>
        <v>-1.1094731653194498</v>
      </c>
      <c r="X105" s="2">
        <f ca="1"/>
        <v>22.472566197274105</v>
      </c>
      <c r="AG105" s="2">
        <f ca="1"/>
        <v>0.20743649336476366</v>
      </c>
      <c r="AH105" s="2" t="str">
        <f ca="1"/>
        <v>OK</v>
      </c>
    </row>
    <row r="106" spans="2:34" x14ac:dyDescent="0.2">
      <c r="B106" s="2">
        <f ca="1"/>
        <v>0.16199967654566549</v>
      </c>
      <c r="O106" s="2">
        <f ca="1"/>
        <v>0.94468169746861785</v>
      </c>
      <c r="X106" s="2">
        <f ca="1"/>
        <v>76.901718774292277</v>
      </c>
      <c r="AG106" s="2">
        <f ca="1"/>
        <v>0.19371388226872877</v>
      </c>
      <c r="AH106" s="2" t="str">
        <f ca="1"/>
        <v>OK</v>
      </c>
    </row>
    <row r="107" spans="2:34" x14ac:dyDescent="0.2">
      <c r="B107" s="2">
        <f ca="1"/>
        <v>0.63396157878243531</v>
      </c>
      <c r="O107" s="2">
        <f ca="1"/>
        <v>1.0971127508045677</v>
      </c>
      <c r="X107" s="2">
        <f ca="1"/>
        <v>60.955597977233268</v>
      </c>
      <c r="AG107" s="2">
        <f ca="1"/>
        <v>0.21405585346709377</v>
      </c>
      <c r="AH107" s="2" t="str">
        <f ca="1"/>
        <v>OK</v>
      </c>
    </row>
    <row r="108" spans="2:34" x14ac:dyDescent="0.2">
      <c r="B108" s="2">
        <f ca="1"/>
        <v>0.77950054406760638</v>
      </c>
      <c r="O108" s="2">
        <f ca="1"/>
        <v>1.2043203630778858</v>
      </c>
      <c r="X108" s="2">
        <f ca="1"/>
        <v>47.855057536627818</v>
      </c>
      <c r="AG108" s="2">
        <f ca="1"/>
        <v>0.78920641782295231</v>
      </c>
      <c r="AH108" s="2" t="str">
        <f ca="1"/>
        <v>Bad</v>
      </c>
    </row>
    <row r="109" spans="2:34" x14ac:dyDescent="0.2">
      <c r="B109" s="2">
        <f ca="1"/>
        <v>0.48621282736414151</v>
      </c>
      <c r="O109" s="2">
        <f ca="1"/>
        <v>-0.20472055320247967</v>
      </c>
      <c r="X109" s="2">
        <f ca="1"/>
        <v>69.304590476168912</v>
      </c>
      <c r="AG109" s="2">
        <f ca="1"/>
        <v>0.23169618743107123</v>
      </c>
      <c r="AH109" s="2" t="str">
        <f ca="1"/>
        <v>OK</v>
      </c>
    </row>
    <row r="110" spans="2:34" x14ac:dyDescent="0.2">
      <c r="B110" s="2">
        <f ca="1"/>
        <v>0.88500388148801012</v>
      </c>
      <c r="O110" s="2">
        <f ca="1"/>
        <v>1.0177356532390649</v>
      </c>
      <c r="X110" s="2">
        <f ca="1"/>
        <v>35.572934532631571</v>
      </c>
      <c r="AG110" s="2">
        <f ca="1"/>
        <v>0.31722340993928144</v>
      </c>
      <c r="AH110" s="2" t="str">
        <f ca="1"/>
        <v>OK</v>
      </c>
    </row>
    <row r="111" spans="2:34" x14ac:dyDescent="0.2">
      <c r="B111" s="2">
        <f ca="1"/>
        <v>0.94371821295083502</v>
      </c>
      <c r="O111" s="2">
        <f ca="1"/>
        <v>-1.4035019005290692</v>
      </c>
      <c r="X111" s="2">
        <f ca="1"/>
        <v>34.752365240570278</v>
      </c>
      <c r="AG111" s="2">
        <f ca="1"/>
        <v>0.1800430813479037</v>
      </c>
      <c r="AH111" s="2" t="str">
        <f ca="1"/>
        <v>OK</v>
      </c>
    </row>
    <row r="112" spans="2:34" x14ac:dyDescent="0.2">
      <c r="B112" s="2">
        <f ca="1"/>
        <v>0.87906496321477623</v>
      </c>
      <c r="O112" s="2">
        <f ca="1"/>
        <v>-1.1179318515494079</v>
      </c>
      <c r="X112" s="2">
        <f ca="1"/>
        <v>67.048353621823964</v>
      </c>
      <c r="AG112" s="2">
        <f ca="1"/>
        <v>0.89689014789325983</v>
      </c>
      <c r="AH112" s="2" t="str">
        <f ca="1"/>
        <v>Bad</v>
      </c>
    </row>
    <row r="113" spans="2:34" x14ac:dyDescent="0.2">
      <c r="B113" s="2">
        <f ca="1"/>
        <v>8.8057054169171423E-2</v>
      </c>
      <c r="O113" s="2">
        <f ca="1"/>
        <v>-0.64009471356662329</v>
      </c>
      <c r="X113" s="2">
        <f ca="1"/>
        <v>57.202351231286109</v>
      </c>
      <c r="AG113" s="2">
        <f ca="1"/>
        <v>0.33510926850917966</v>
      </c>
      <c r="AH113" s="2" t="str">
        <f ca="1"/>
        <v>OK</v>
      </c>
    </row>
    <row r="114" spans="2:34" x14ac:dyDescent="0.2">
      <c r="B114" s="2">
        <f ca="1"/>
        <v>0.61965328185603874</v>
      </c>
      <c r="O114" s="2">
        <f ca="1"/>
        <v>-0.14279511461298655</v>
      </c>
      <c r="X114" s="2">
        <f ca="1"/>
        <v>35.836399350891469</v>
      </c>
      <c r="AG114" s="2">
        <f ca="1"/>
        <v>0.5865152424195017</v>
      </c>
      <c r="AH114" s="2" t="str">
        <f ca="1"/>
        <v>Bad</v>
      </c>
    </row>
    <row r="115" spans="2:34" x14ac:dyDescent="0.2">
      <c r="B115" s="2">
        <f ca="1"/>
        <v>7.9796549339754108E-2</v>
      </c>
      <c r="O115" s="2">
        <f ca="1"/>
        <v>-0.22774505057489691</v>
      </c>
      <c r="X115" s="2">
        <f ca="1"/>
        <v>59.620878383007877</v>
      </c>
      <c r="AG115" s="2">
        <f ca="1"/>
        <v>0.29922662614394557</v>
      </c>
      <c r="AH115" s="2" t="str">
        <f ca="1"/>
        <v>OK</v>
      </c>
    </row>
    <row r="116" spans="2:34" x14ac:dyDescent="0.2">
      <c r="B116" s="2">
        <f ca="1"/>
        <v>0.1909695209995268</v>
      </c>
      <c r="O116" s="2">
        <f ca="1"/>
        <v>-0.53855418637423302</v>
      </c>
      <c r="X116" s="2">
        <f ca="1"/>
        <v>38.699329932319962</v>
      </c>
      <c r="AG116" s="2">
        <f ca="1"/>
        <v>0.3818091196662512</v>
      </c>
      <c r="AH116" s="2" t="str">
        <f ca="1"/>
        <v>OK</v>
      </c>
    </row>
    <row r="117" spans="2:34" x14ac:dyDescent="0.2">
      <c r="B117" s="2">
        <f ca="1"/>
        <v>0.34762013528381885</v>
      </c>
      <c r="O117" s="2">
        <f ca="1"/>
        <v>-1.3142325186823387</v>
      </c>
      <c r="X117" s="2">
        <f ca="1"/>
        <v>38.994979421639073</v>
      </c>
      <c r="AG117" s="2">
        <f ca="1"/>
        <v>0.25806609591833785</v>
      </c>
      <c r="AH117" s="2" t="str">
        <f ca="1"/>
        <v>OK</v>
      </c>
    </row>
    <row r="118" spans="2:34" x14ac:dyDescent="0.2">
      <c r="B118" s="2">
        <f ca="1"/>
        <v>0.7840555994367846</v>
      </c>
      <c r="O118" s="2">
        <f ca="1"/>
        <v>1.0218584355029225</v>
      </c>
      <c r="X118" s="2">
        <f ca="1"/>
        <v>46.53380026370742</v>
      </c>
      <c r="AG118" s="2">
        <f ca="1"/>
        <v>0.51039910739216299</v>
      </c>
      <c r="AH118" s="2" t="str">
        <f ca="1"/>
        <v>Bad</v>
      </c>
    </row>
    <row r="119" spans="2:34" x14ac:dyDescent="0.2">
      <c r="B119" s="2">
        <f ca="1"/>
        <v>0.24752700371025926</v>
      </c>
      <c r="O119" s="2">
        <f ca="1"/>
        <v>0.23421345215524236</v>
      </c>
      <c r="X119" s="2">
        <f ca="1"/>
        <v>65.518315276760234</v>
      </c>
      <c r="AG119" s="2">
        <f ca="1"/>
        <v>0.42725805400235894</v>
      </c>
      <c r="AH119" s="2" t="str">
        <f ca="1"/>
        <v>Bad</v>
      </c>
    </row>
    <row r="120" spans="2:34" x14ac:dyDescent="0.2">
      <c r="B120" s="2">
        <f ca="1"/>
        <v>4.1021569424383619E-2</v>
      </c>
      <c r="O120" s="2">
        <f ca="1"/>
        <v>-0.23032752276059559</v>
      </c>
      <c r="X120" s="2">
        <f ca="1"/>
        <v>52.811809287099521</v>
      </c>
      <c r="AG120" s="2">
        <f ca="1"/>
        <v>0.85083143998882926</v>
      </c>
      <c r="AH120" s="2" t="str">
        <f ca="1"/>
        <v>Bad</v>
      </c>
    </row>
    <row r="121" spans="2:34" x14ac:dyDescent="0.2">
      <c r="B121" s="2">
        <f ca="1"/>
        <v>0.21065326296655429</v>
      </c>
      <c r="O121" s="2">
        <f ca="1"/>
        <v>-2.006183706117413</v>
      </c>
      <c r="X121" s="2">
        <f ca="1"/>
        <v>41.612548898448324</v>
      </c>
      <c r="AG121" s="2">
        <f ca="1"/>
        <v>0.85408389099812099</v>
      </c>
      <c r="AH121" s="2" t="str">
        <f ca="1"/>
        <v>Bad</v>
      </c>
    </row>
    <row r="122" spans="2:34" x14ac:dyDescent="0.2">
      <c r="B122" s="2">
        <f ca="1"/>
        <v>0.39416503063984987</v>
      </c>
      <c r="O122" s="2">
        <f ca="1"/>
        <v>-0.78577562240909493</v>
      </c>
      <c r="X122" s="2">
        <f ca="1"/>
        <v>42.096244192694655</v>
      </c>
      <c r="AG122" s="2">
        <f ca="1"/>
        <v>0.15898906705146798</v>
      </c>
      <c r="AH122" s="2" t="str">
        <f ca="1"/>
        <v>OK</v>
      </c>
    </row>
    <row r="123" spans="2:34" x14ac:dyDescent="0.2">
      <c r="B123" s="2">
        <f ca="1"/>
        <v>0.4605400683177141</v>
      </c>
      <c r="O123" s="2">
        <f ca="1"/>
        <v>1.1615249535302348</v>
      </c>
      <c r="X123" s="2">
        <f ca="1"/>
        <v>68.355761870004287</v>
      </c>
      <c r="AG123" s="2">
        <f ca="1"/>
        <v>0.55596165220563143</v>
      </c>
      <c r="AH123" s="2" t="str">
        <f ca="1"/>
        <v>Bad</v>
      </c>
    </row>
    <row r="124" spans="2:34" x14ac:dyDescent="0.2">
      <c r="B124" s="2">
        <f ca="1"/>
        <v>0.92524127758439589</v>
      </c>
      <c r="O124" s="2">
        <f ca="1"/>
        <v>-0.11098647135281912</v>
      </c>
      <c r="X124" s="2">
        <f ca="1"/>
        <v>49.295376929604366</v>
      </c>
      <c r="AG124" s="2">
        <f ca="1"/>
        <v>0.88182412472835403</v>
      </c>
      <c r="AH124" s="2" t="str">
        <f ca="1"/>
        <v>Bad</v>
      </c>
    </row>
    <row r="125" spans="2:34" x14ac:dyDescent="0.2">
      <c r="B125" s="2">
        <f ca="1"/>
        <v>0.55008480361192635</v>
      </c>
      <c r="O125" s="2">
        <f ca="1"/>
        <v>-0.26473312547461647</v>
      </c>
      <c r="X125" s="2">
        <f ca="1"/>
        <v>40.929516556772541</v>
      </c>
      <c r="AG125" s="2">
        <f ca="1"/>
        <v>0.23150675382581465</v>
      </c>
      <c r="AH125" s="2" t="str">
        <f ca="1"/>
        <v>OK</v>
      </c>
    </row>
    <row r="126" spans="2:34" x14ac:dyDescent="0.2">
      <c r="B126" s="2">
        <f ca="1"/>
        <v>7.4645246133308918E-2</v>
      </c>
      <c r="O126" s="2">
        <f ca="1"/>
        <v>0.10944674416378693</v>
      </c>
      <c r="X126" s="2">
        <f ca="1"/>
        <v>45.924734004130876</v>
      </c>
      <c r="AG126" s="2">
        <f ca="1"/>
        <v>0.72613842854385546</v>
      </c>
      <c r="AH126" s="2" t="str">
        <f ca="1"/>
        <v>Bad</v>
      </c>
    </row>
    <row r="127" spans="2:34" x14ac:dyDescent="0.2">
      <c r="B127" s="2">
        <f ca="1"/>
        <v>0.20943369688485269</v>
      </c>
      <c r="O127" s="2">
        <f ca="1"/>
        <v>-1.1782735884272129</v>
      </c>
      <c r="X127" s="2">
        <f ca="1"/>
        <v>54.870722492700409</v>
      </c>
      <c r="AG127" s="2">
        <f ca="1"/>
        <v>2.2438635856486977E-2</v>
      </c>
      <c r="AH127" s="2" t="str">
        <f ca="1"/>
        <v>Good</v>
      </c>
    </row>
    <row r="128" spans="2:34" x14ac:dyDescent="0.2">
      <c r="B128" s="2">
        <f ca="1"/>
        <v>0.8715976762088582</v>
      </c>
      <c r="O128" s="2">
        <f ca="1"/>
        <v>0.65439641579218277</v>
      </c>
      <c r="X128" s="2">
        <f ca="1"/>
        <v>65.992920017673356</v>
      </c>
      <c r="AG128" s="2">
        <f ca="1"/>
        <v>0.53190861546235624</v>
      </c>
      <c r="AH128" s="2" t="str">
        <f ca="1"/>
        <v>Bad</v>
      </c>
    </row>
    <row r="129" spans="2:34" x14ac:dyDescent="0.2">
      <c r="B129" s="2">
        <f ca="1"/>
        <v>0.86713846803346417</v>
      </c>
      <c r="O129" s="2">
        <f ca="1"/>
        <v>-1.4675768146139738</v>
      </c>
      <c r="X129" s="2">
        <f ca="1"/>
        <v>63.605570582865184</v>
      </c>
      <c r="AG129" s="2">
        <f ca="1"/>
        <v>0.16753942863104521</v>
      </c>
      <c r="AH129" s="2" t="str">
        <f ca="1"/>
        <v>OK</v>
      </c>
    </row>
    <row r="130" spans="2:34" x14ac:dyDescent="0.2">
      <c r="B130" s="2">
        <f ca="1"/>
        <v>0.51585556677474576</v>
      </c>
      <c r="O130" s="2">
        <f ca="1"/>
        <v>-1.039160145237486E-2</v>
      </c>
      <c r="X130" s="2">
        <f ca="1"/>
        <v>61.933361844943533</v>
      </c>
      <c r="AG130" s="2">
        <f ca="1"/>
        <v>0.38918227434159935</v>
      </c>
      <c r="AH130" s="2" t="str">
        <f ca="1"/>
        <v>OK</v>
      </c>
    </row>
    <row r="131" spans="2:34" x14ac:dyDescent="0.2">
      <c r="B131" s="2">
        <f ca="1"/>
        <v>0.70742269357256604</v>
      </c>
      <c r="O131" s="2">
        <f ca="1"/>
        <v>-0.3210189225654772</v>
      </c>
      <c r="X131" s="2">
        <f ca="1"/>
        <v>27.059834663466624</v>
      </c>
      <c r="AG131" s="2">
        <f ca="1"/>
        <v>3.626290115820785E-2</v>
      </c>
      <c r="AH131" s="2" t="str">
        <f ca="1"/>
        <v>Good</v>
      </c>
    </row>
    <row r="132" spans="2:34" x14ac:dyDescent="0.2">
      <c r="B132" s="2">
        <f ca="1"/>
        <v>0.4584331111075115</v>
      </c>
      <c r="O132" s="2">
        <f ca="1"/>
        <v>-1.205825615919127</v>
      </c>
      <c r="X132" s="2">
        <f ca="1"/>
        <v>45.591274231393015</v>
      </c>
      <c r="AG132" s="2">
        <f ca="1"/>
        <v>0.36011548844304131</v>
      </c>
      <c r="AH132" s="2" t="str">
        <f ca="1"/>
        <v>OK</v>
      </c>
    </row>
    <row r="133" spans="2:34" x14ac:dyDescent="0.2">
      <c r="B133" s="2">
        <f ca="1"/>
        <v>0.64459768262811323</v>
      </c>
      <c r="O133" s="2">
        <f ca="1"/>
        <v>-1.4467982608403378</v>
      </c>
      <c r="X133" s="2">
        <f ca="1"/>
        <v>66.028181611555112</v>
      </c>
      <c r="AG133" s="2">
        <f ca="1"/>
        <v>0.44310841399908707</v>
      </c>
      <c r="AH133" s="2" t="str">
        <f ca="1"/>
        <v>Bad</v>
      </c>
    </row>
    <row r="134" spans="2:34" x14ac:dyDescent="0.2">
      <c r="B134" s="2">
        <f ca="1"/>
        <v>0.14773644615049064</v>
      </c>
      <c r="O134" s="2">
        <f ca="1"/>
        <v>-0.63403580633654</v>
      </c>
      <c r="X134" s="2">
        <f ca="1"/>
        <v>51.698692224387564</v>
      </c>
      <c r="AG134" s="2">
        <f ca="1"/>
        <v>1.2868537031609728E-2</v>
      </c>
      <c r="AH134" s="2" t="str">
        <f ca="1"/>
        <v>Good</v>
      </c>
    </row>
    <row r="135" spans="2:34" x14ac:dyDescent="0.2">
      <c r="B135" s="2">
        <f ca="1"/>
        <v>0.64920190411043466</v>
      </c>
      <c r="O135" s="2">
        <f ca="1"/>
        <v>2.9607837955767515E-2</v>
      </c>
      <c r="X135" s="2">
        <f ca="1"/>
        <v>48.865414684332322</v>
      </c>
      <c r="AG135" s="2">
        <f ca="1"/>
        <v>0.37361824132576049</v>
      </c>
      <c r="AH135" s="2" t="str">
        <f ca="1"/>
        <v>OK</v>
      </c>
    </row>
    <row r="136" spans="2:34" x14ac:dyDescent="0.2">
      <c r="B136" s="2">
        <f ca="1"/>
        <v>0.77559508354881346</v>
      </c>
      <c r="O136" s="2">
        <f ca="1"/>
        <v>-0.63731369342186506</v>
      </c>
      <c r="X136" s="2">
        <f ca="1"/>
        <v>51.677588023961803</v>
      </c>
      <c r="AG136" s="2">
        <f ca="1"/>
        <v>0.25095873784192424</v>
      </c>
      <c r="AH136" s="2" t="str">
        <f ca="1"/>
        <v>OK</v>
      </c>
    </row>
    <row r="137" spans="2:34" x14ac:dyDescent="0.2">
      <c r="B137" s="2">
        <f ca="1"/>
        <v>0.24868088193648119</v>
      </c>
      <c r="O137" s="2">
        <f ca="1"/>
        <v>0.82348901121618401</v>
      </c>
      <c r="X137" s="2">
        <f ca="1"/>
        <v>51.459352044992158</v>
      </c>
      <c r="AG137" s="2">
        <f ca="1"/>
        <v>0.20761917000110985</v>
      </c>
      <c r="AH137" s="2" t="str">
        <f ca="1"/>
        <v>OK</v>
      </c>
    </row>
    <row r="138" spans="2:34" x14ac:dyDescent="0.2">
      <c r="B138" s="2">
        <f ca="1"/>
        <v>0.50656501388169728</v>
      </c>
      <c r="O138" s="2">
        <f ca="1"/>
        <v>0.23373180081780276</v>
      </c>
      <c r="X138" s="2">
        <f ca="1"/>
        <v>48.041990831116451</v>
      </c>
      <c r="AG138" s="2">
        <f ca="1"/>
        <v>0.45198206717062828</v>
      </c>
      <c r="AH138" s="2" t="str">
        <f ca="1"/>
        <v>Bad</v>
      </c>
    </row>
    <row r="139" spans="2:34" x14ac:dyDescent="0.2">
      <c r="B139" s="2">
        <f ca="1"/>
        <v>0.22035186534436257</v>
      </c>
      <c r="O139" s="2">
        <f ca="1"/>
        <v>0.21877566228202219</v>
      </c>
      <c r="X139" s="2">
        <f ca="1"/>
        <v>68.262009800584408</v>
      </c>
      <c r="AG139" s="2">
        <f ca="1"/>
        <v>0.57926615401946657</v>
      </c>
      <c r="AH139" s="2" t="str">
        <f ca="1"/>
        <v>Bad</v>
      </c>
    </row>
    <row r="140" spans="2:34" x14ac:dyDescent="0.2">
      <c r="B140" s="2">
        <f ca="1"/>
        <v>0.41602433027164776</v>
      </c>
      <c r="O140" s="2">
        <f ca="1"/>
        <v>-0.62393756254411836</v>
      </c>
      <c r="X140" s="2">
        <f ca="1"/>
        <v>47.483738296739148</v>
      </c>
      <c r="AG140" s="2">
        <f ca="1"/>
        <v>9.3781020280061522E-2</v>
      </c>
      <c r="AH140" s="2" t="str">
        <f ca="1"/>
        <v>OK</v>
      </c>
    </row>
    <row r="141" spans="2:34" x14ac:dyDescent="0.2">
      <c r="B141" s="2">
        <f ca="1"/>
        <v>0.34279744840408966</v>
      </c>
      <c r="O141" s="2">
        <f ca="1"/>
        <v>1.4471132378642511</v>
      </c>
      <c r="X141" s="2">
        <f ca="1"/>
        <v>47.785739743413444</v>
      </c>
      <c r="AG141" s="2">
        <f ca="1"/>
        <v>0.39708124638175701</v>
      </c>
      <c r="AH141" s="2" t="str">
        <f ca="1"/>
        <v>OK</v>
      </c>
    </row>
    <row r="142" spans="2:34" x14ac:dyDescent="0.2">
      <c r="B142" s="2">
        <f ca="1"/>
        <v>0.29822937421386353</v>
      </c>
      <c r="O142" s="2">
        <f ca="1"/>
        <v>-1.2644586983133326</v>
      </c>
      <c r="X142" s="2">
        <f ca="1"/>
        <v>51.656331868489723</v>
      </c>
      <c r="AG142" s="2">
        <f ca="1"/>
        <v>0.57549397166553606</v>
      </c>
      <c r="AH142" s="2" t="str">
        <f ca="1"/>
        <v>Bad</v>
      </c>
    </row>
    <row r="143" spans="2:34" x14ac:dyDescent="0.2">
      <c r="B143" s="2">
        <f ca="1"/>
        <v>0.23361838066104612</v>
      </c>
      <c r="O143" s="2">
        <f ca="1"/>
        <v>0.44499092397037177</v>
      </c>
      <c r="X143" s="2">
        <f ca="1"/>
        <v>37.369294793048752</v>
      </c>
      <c r="AG143" s="2">
        <f ca="1"/>
        <v>0.79861698632713285</v>
      </c>
      <c r="AH143" s="2" t="str">
        <f ca="1"/>
        <v>Bad</v>
      </c>
    </row>
    <row r="144" spans="2:34" x14ac:dyDescent="0.2">
      <c r="B144" s="2">
        <f ca="1"/>
        <v>2.2347440964131549E-2</v>
      </c>
      <c r="O144" s="2">
        <f ca="1"/>
        <v>-2.0768603093588482</v>
      </c>
      <c r="X144" s="2">
        <f ca="1"/>
        <v>69.518358509656395</v>
      </c>
      <c r="AG144" s="2">
        <f ca="1"/>
        <v>0.69493598656894684</v>
      </c>
      <c r="AH144" s="2" t="str">
        <f ca="1"/>
        <v>Bad</v>
      </c>
    </row>
    <row r="145" spans="2:34" x14ac:dyDescent="0.2">
      <c r="B145" s="2">
        <f ca="1"/>
        <v>0.63232281356908437</v>
      </c>
      <c r="O145" s="2">
        <f ca="1"/>
        <v>-1.3078622429520681</v>
      </c>
      <c r="X145" s="2">
        <f ca="1"/>
        <v>29.70621954114366</v>
      </c>
      <c r="AG145" s="2">
        <f ca="1"/>
        <v>0.86318283707980203</v>
      </c>
      <c r="AH145" s="2" t="str">
        <f ca="1"/>
        <v>Bad</v>
      </c>
    </row>
    <row r="146" spans="2:34" x14ac:dyDescent="0.2">
      <c r="B146" s="2">
        <f ca="1"/>
        <v>0.1413123991943992</v>
      </c>
      <c r="O146" s="2">
        <f ca="1"/>
        <v>-1.1427582565173164</v>
      </c>
      <c r="X146" s="2">
        <f ca="1"/>
        <v>37.752855295214239</v>
      </c>
      <c r="AG146" s="2">
        <f ca="1"/>
        <v>0.65595908098320055</v>
      </c>
      <c r="AH146" s="2" t="str">
        <f ca="1"/>
        <v>Bad</v>
      </c>
    </row>
    <row r="147" spans="2:34" x14ac:dyDescent="0.2">
      <c r="B147" s="2">
        <f ca="1"/>
        <v>5.6057120818975958E-2</v>
      </c>
      <c r="O147" s="2">
        <f ca="1"/>
        <v>7.7996385704896892E-2</v>
      </c>
      <c r="X147" s="2">
        <f ca="1"/>
        <v>51.355652587585574</v>
      </c>
      <c r="AG147" s="2">
        <f ca="1"/>
        <v>0.65813983289964462</v>
      </c>
      <c r="AH147" s="2" t="str">
        <f ca="1"/>
        <v>Bad</v>
      </c>
    </row>
    <row r="148" spans="2:34" x14ac:dyDescent="0.2">
      <c r="B148" s="2">
        <f ca="1"/>
        <v>0.85574583035175267</v>
      </c>
      <c r="O148" s="2">
        <f ca="1"/>
        <v>-2.0396094018476902</v>
      </c>
      <c r="X148" s="2">
        <f ca="1"/>
        <v>51.361184305786765</v>
      </c>
      <c r="AG148" s="2">
        <f ca="1"/>
        <v>0.38365237310110278</v>
      </c>
      <c r="AH148" s="2" t="str">
        <f ca="1"/>
        <v>OK</v>
      </c>
    </row>
    <row r="149" spans="2:34" x14ac:dyDescent="0.2">
      <c r="B149" s="2">
        <f ca="1"/>
        <v>0.69818815947696677</v>
      </c>
      <c r="O149" s="2">
        <f ca="1"/>
        <v>-0.2577943764818727</v>
      </c>
      <c r="X149" s="2">
        <f ca="1"/>
        <v>45.824687325533418</v>
      </c>
      <c r="AG149" s="2">
        <f ca="1"/>
        <v>0.40401969143785821</v>
      </c>
      <c r="AH149" s="2" t="str">
        <f ca="1"/>
        <v>Bad</v>
      </c>
    </row>
    <row r="150" spans="2:34" x14ac:dyDescent="0.2">
      <c r="B150" s="2">
        <f ca="1"/>
        <v>0.72399228907555169</v>
      </c>
      <c r="O150" s="2">
        <f ca="1"/>
        <v>1.3273686344064035</v>
      </c>
      <c r="X150" s="2">
        <f ca="1"/>
        <v>31.579684809579284</v>
      </c>
      <c r="AG150" s="2">
        <f ca="1"/>
        <v>0.17960766494001112</v>
      </c>
      <c r="AH150" s="2" t="str">
        <f ca="1"/>
        <v>OK</v>
      </c>
    </row>
    <row r="151" spans="2:34" x14ac:dyDescent="0.2">
      <c r="B151" s="2">
        <f ca="1"/>
        <v>0.24322921236492756</v>
      </c>
      <c r="O151" s="2">
        <f ca="1"/>
        <v>-2.6917746338272255</v>
      </c>
      <c r="X151" s="2">
        <f ca="1"/>
        <v>45.428191884089472</v>
      </c>
      <c r="AG151" s="2">
        <f ca="1"/>
        <v>0.18262681859975372</v>
      </c>
      <c r="AH151" s="2" t="str">
        <f ca="1"/>
        <v>OK</v>
      </c>
    </row>
    <row r="152" spans="2:34" x14ac:dyDescent="0.2">
      <c r="B152" s="2">
        <f ca="1"/>
        <v>0.94095233429989245</v>
      </c>
      <c r="O152" s="2">
        <f ca="1"/>
        <v>-1.0389631834537889</v>
      </c>
      <c r="X152" s="2">
        <f ca="1"/>
        <v>63.106392065061037</v>
      </c>
      <c r="AG152" s="2">
        <f ca="1"/>
        <v>0.897579064654632</v>
      </c>
      <c r="AH152" s="2" t="str">
        <f ca="1"/>
        <v>Bad</v>
      </c>
    </row>
    <row r="153" spans="2:34" x14ac:dyDescent="0.2">
      <c r="B153" s="2">
        <f ca="1"/>
        <v>0.9276806656898966</v>
      </c>
      <c r="O153" s="2">
        <f ca="1"/>
        <v>-0.26006100871840276</v>
      </c>
      <c r="X153" s="2">
        <f ca="1"/>
        <v>62.40642409120467</v>
      </c>
      <c r="AG153" s="2">
        <f ca="1"/>
        <v>0.80124390726849604</v>
      </c>
      <c r="AH153" s="2" t="str">
        <f ca="1"/>
        <v>Bad</v>
      </c>
    </row>
    <row r="154" spans="2:34" x14ac:dyDescent="0.2">
      <c r="B154" s="2">
        <f ca="1"/>
        <v>0.93074457343272976</v>
      </c>
      <c r="O154" s="2">
        <f ca="1"/>
        <v>-0.88477682698626725</v>
      </c>
      <c r="X154" s="2">
        <f ca="1"/>
        <v>50.989368687604298</v>
      </c>
      <c r="AG154" s="2">
        <f ca="1"/>
        <v>0.94803431127563331</v>
      </c>
      <c r="AH154" s="2" t="str">
        <f ca="1"/>
        <v>Bad</v>
      </c>
    </row>
    <row r="155" spans="2:34" x14ac:dyDescent="0.2">
      <c r="B155" s="2">
        <f ca="1"/>
        <v>0.38181619118991272</v>
      </c>
      <c r="O155" s="2">
        <f ca="1"/>
        <v>0.10934689335088361</v>
      </c>
      <c r="X155" s="2">
        <f ca="1"/>
        <v>41.916435231132269</v>
      </c>
      <c r="AG155" s="2">
        <f ca="1"/>
        <v>0.4172338930735402</v>
      </c>
      <c r="AH155" s="2" t="str">
        <f ca="1"/>
        <v>Bad</v>
      </c>
    </row>
    <row r="156" spans="2:34" x14ac:dyDescent="0.2">
      <c r="B156" s="2">
        <f ca="1"/>
        <v>0.3271089216161942</v>
      </c>
      <c r="O156" s="2">
        <f ca="1"/>
        <v>0.7643444468395344</v>
      </c>
      <c r="X156" s="2">
        <f ca="1"/>
        <v>51.979705092289663</v>
      </c>
      <c r="AG156" s="2">
        <f ca="1"/>
        <v>0.45971231014140179</v>
      </c>
      <c r="AH156" s="2" t="str">
        <f ca="1"/>
        <v>Bad</v>
      </c>
    </row>
    <row r="157" spans="2:34" x14ac:dyDescent="0.2">
      <c r="B157" s="2">
        <f ca="1"/>
        <v>0.40745737253779835</v>
      </c>
      <c r="O157" s="2">
        <f ca="1"/>
        <v>0.35297007906748035</v>
      </c>
      <c r="X157" s="2">
        <f ca="1"/>
        <v>58.928421580542214</v>
      </c>
      <c r="AG157" s="2">
        <f ca="1"/>
        <v>0.2985329409759474</v>
      </c>
      <c r="AH157" s="2" t="str">
        <f ca="1"/>
        <v>OK</v>
      </c>
    </row>
    <row r="158" spans="2:34" x14ac:dyDescent="0.2">
      <c r="B158" s="2">
        <f ca="1"/>
        <v>0.8502009958714345</v>
      </c>
      <c r="O158" s="2">
        <f ca="1"/>
        <v>6.9742278802762698E-3</v>
      </c>
      <c r="X158" s="2">
        <f ca="1"/>
        <v>76.690483799367144</v>
      </c>
      <c r="AG158" s="2">
        <f ca="1"/>
        <v>0.30805000286191131</v>
      </c>
      <c r="AH158" s="2" t="str">
        <f ca="1"/>
        <v>OK</v>
      </c>
    </row>
    <row r="159" spans="2:34" x14ac:dyDescent="0.2">
      <c r="B159" s="2">
        <f ca="1"/>
        <v>0.27147969915215531</v>
      </c>
      <c r="O159" s="2">
        <f ca="1"/>
        <v>0.94991811879148047</v>
      </c>
      <c r="X159" s="2">
        <f ca="1"/>
        <v>55.051950255298863</v>
      </c>
      <c r="AG159" s="2">
        <f ca="1"/>
        <v>0.68525640935031684</v>
      </c>
      <c r="AH159" s="2" t="str">
        <f ca="1"/>
        <v>Bad</v>
      </c>
    </row>
    <row r="160" spans="2:34" x14ac:dyDescent="0.2">
      <c r="B160" s="2">
        <f ca="1"/>
        <v>0.46159673220556474</v>
      </c>
      <c r="O160" s="2">
        <f ca="1"/>
        <v>-0.90728315636955426</v>
      </c>
      <c r="X160" s="2">
        <f ca="1"/>
        <v>33.316786159836155</v>
      </c>
      <c r="AG160" s="2">
        <f ca="1"/>
        <v>0.70078174594707932</v>
      </c>
      <c r="AH160" s="2" t="str">
        <f ca="1"/>
        <v>Bad</v>
      </c>
    </row>
    <row r="161" spans="2:34" x14ac:dyDescent="0.2">
      <c r="B161" s="2">
        <f ca="1"/>
        <v>2.021577306516642E-3</v>
      </c>
      <c r="O161" s="2">
        <f ca="1"/>
        <v>1.2251473485011126</v>
      </c>
      <c r="X161" s="2">
        <f ca="1"/>
        <v>43.528500998202389</v>
      </c>
      <c r="AG161" s="2">
        <f ca="1"/>
        <v>0.13420222996389852</v>
      </c>
      <c r="AH161" s="2" t="str">
        <f ca="1"/>
        <v>OK</v>
      </c>
    </row>
    <row r="162" spans="2:34" x14ac:dyDescent="0.2">
      <c r="B162" s="2">
        <f ca="1"/>
        <v>0.84418369958450246</v>
      </c>
      <c r="O162" s="2">
        <f ca="1"/>
        <v>-0.17340725789198541</v>
      </c>
      <c r="X162" s="2">
        <f ca="1"/>
        <v>65.329602328671939</v>
      </c>
      <c r="AG162" s="2">
        <f ca="1"/>
        <v>0.50836182417555875</v>
      </c>
      <c r="AH162" s="2" t="str">
        <f ca="1"/>
        <v>Bad</v>
      </c>
    </row>
    <row r="163" spans="2:34" x14ac:dyDescent="0.2">
      <c r="B163" s="2">
        <f ca="1"/>
        <v>0.55277620324030119</v>
      </c>
      <c r="O163" s="2">
        <f ca="1"/>
        <v>0.25500885005569462</v>
      </c>
      <c r="X163" s="2">
        <f ca="1"/>
        <v>26.116663575954234</v>
      </c>
      <c r="AG163" s="2">
        <f ca="1"/>
        <v>0.27036343914404104</v>
      </c>
      <c r="AH163" s="2" t="str">
        <f ca="1"/>
        <v>OK</v>
      </c>
    </row>
    <row r="164" spans="2:34" x14ac:dyDescent="0.2">
      <c r="B164" s="2">
        <f ca="1"/>
        <v>0.70796302644175491</v>
      </c>
      <c r="O164" s="2">
        <f ca="1"/>
        <v>-3.1081652838225161E-2</v>
      </c>
      <c r="X164" s="2">
        <f ca="1"/>
        <v>58.201879792914646</v>
      </c>
      <c r="AG164" s="2">
        <f ca="1"/>
        <v>0.4606329012541508</v>
      </c>
      <c r="AH164" s="2" t="str">
        <f ca="1"/>
        <v>Bad</v>
      </c>
    </row>
    <row r="165" spans="2:34" x14ac:dyDescent="0.2">
      <c r="B165" s="2">
        <f ca="1"/>
        <v>0.5293835921454364</v>
      </c>
      <c r="O165" s="2">
        <f ca="1"/>
        <v>-0.15779769093480905</v>
      </c>
      <c r="X165" s="2">
        <f ca="1"/>
        <v>51.123052254731022</v>
      </c>
      <c r="AG165" s="2">
        <f ca="1"/>
        <v>5.8307518726277596E-2</v>
      </c>
      <c r="AH165" s="2" t="str">
        <f ca="1"/>
        <v>OK</v>
      </c>
    </row>
    <row r="166" spans="2:34" x14ac:dyDescent="0.2">
      <c r="B166" s="2">
        <f ca="1"/>
        <v>6.1657671110849632E-2</v>
      </c>
      <c r="O166" s="2">
        <f ca="1"/>
        <v>0.64021277629050954</v>
      </c>
      <c r="X166" s="2">
        <f ca="1"/>
        <v>66.470529441498257</v>
      </c>
      <c r="AG166" s="2">
        <f ca="1"/>
        <v>6.7826290873365114E-3</v>
      </c>
      <c r="AH166" s="2" t="str">
        <f ca="1"/>
        <v>Good</v>
      </c>
    </row>
    <row r="167" spans="2:34" x14ac:dyDescent="0.2">
      <c r="B167" s="2">
        <f ca="1"/>
        <v>0.70215988171647536</v>
      </c>
      <c r="O167" s="2">
        <f ca="1"/>
        <v>-1.6991804526979972</v>
      </c>
      <c r="X167" s="2">
        <f ca="1"/>
        <v>63.062878354676812</v>
      </c>
      <c r="AG167" s="2">
        <f ca="1"/>
        <v>0.61519184767330537</v>
      </c>
      <c r="AH167" s="2" t="str">
        <f ca="1"/>
        <v>Bad</v>
      </c>
    </row>
    <row r="168" spans="2:34" x14ac:dyDescent="0.2">
      <c r="B168" s="2">
        <f ca="1"/>
        <v>8.6905476969850293E-2</v>
      </c>
      <c r="O168" s="2">
        <f ca="1"/>
        <v>0.5314026932730751</v>
      </c>
      <c r="X168" s="2">
        <f ca="1"/>
        <v>82.287478975123761</v>
      </c>
      <c r="AG168" s="2">
        <f ca="1"/>
        <v>0.61531511519840865</v>
      </c>
      <c r="AH168" s="2" t="str">
        <f ca="1"/>
        <v>Bad</v>
      </c>
    </row>
    <row r="169" spans="2:34" x14ac:dyDescent="0.2">
      <c r="B169" s="2">
        <f ca="1"/>
        <v>8.6115893158980938E-2</v>
      </c>
      <c r="O169" s="2">
        <f ca="1"/>
        <v>-1.1265886371017846</v>
      </c>
      <c r="X169" s="2">
        <f ca="1"/>
        <v>28.931116920360132</v>
      </c>
      <c r="AG169" s="2">
        <f ca="1"/>
        <v>0.69108845190269985</v>
      </c>
      <c r="AH169" s="2" t="str">
        <f ca="1"/>
        <v>Bad</v>
      </c>
    </row>
    <row r="170" spans="2:34" x14ac:dyDescent="0.2">
      <c r="B170" s="2">
        <f ca="1"/>
        <v>0.92584099794434227</v>
      </c>
      <c r="O170" s="2">
        <f ca="1"/>
        <v>1.3767270972660102</v>
      </c>
      <c r="X170" s="2">
        <f ca="1"/>
        <v>62.819561465711836</v>
      </c>
      <c r="AG170" s="2">
        <f ca="1"/>
        <v>0.25340261231387085</v>
      </c>
      <c r="AH170" s="2" t="str">
        <f ca="1"/>
        <v>OK</v>
      </c>
    </row>
    <row r="171" spans="2:34" x14ac:dyDescent="0.2">
      <c r="B171" s="2">
        <f ca="1"/>
        <v>3.2247759373237317E-2</v>
      </c>
      <c r="O171" s="2">
        <f ca="1"/>
        <v>1.2331347803267743</v>
      </c>
      <c r="X171" s="2">
        <f ca="1"/>
        <v>43.079930980215394</v>
      </c>
      <c r="AG171" s="2">
        <f ca="1"/>
        <v>0.85093218493681966</v>
      </c>
      <c r="AH171" s="2" t="str">
        <f ca="1"/>
        <v>Bad</v>
      </c>
    </row>
    <row r="172" spans="2:34" x14ac:dyDescent="0.2">
      <c r="B172" s="2">
        <f ca="1"/>
        <v>0.4834190145935684</v>
      </c>
      <c r="O172" s="2">
        <f ca="1"/>
        <v>3.4481484238288652E-2</v>
      </c>
      <c r="X172" s="2">
        <f ca="1"/>
        <v>29.726352616558373</v>
      </c>
      <c r="AG172" s="2">
        <f ca="1"/>
        <v>0.36853891932462646</v>
      </c>
      <c r="AH172" s="2" t="str">
        <f ca="1"/>
        <v>OK</v>
      </c>
    </row>
    <row r="173" spans="2:34" x14ac:dyDescent="0.2">
      <c r="B173" s="2">
        <f ca="1"/>
        <v>0.4592548251467572</v>
      </c>
      <c r="O173" s="2">
        <f ca="1"/>
        <v>0.19045594719468203</v>
      </c>
      <c r="X173" s="2">
        <f ca="1"/>
        <v>42.019981252557329</v>
      </c>
      <c r="AG173" s="2">
        <f ca="1"/>
        <v>0.88583801580308763</v>
      </c>
      <c r="AH173" s="2" t="str">
        <f ca="1"/>
        <v>Bad</v>
      </c>
    </row>
    <row r="174" spans="2:34" x14ac:dyDescent="0.2">
      <c r="B174" s="2">
        <f ca="1"/>
        <v>0.73447942207219774</v>
      </c>
      <c r="O174" s="2">
        <f ca="1"/>
        <v>-0.97117823221946808</v>
      </c>
      <c r="X174" s="2">
        <f ca="1"/>
        <v>59.272479602522608</v>
      </c>
      <c r="AG174" s="2">
        <f ca="1"/>
        <v>0.86949022670901743</v>
      </c>
      <c r="AH174" s="2" t="str">
        <f ca="1"/>
        <v>Bad</v>
      </c>
    </row>
    <row r="175" spans="2:34" x14ac:dyDescent="0.2">
      <c r="B175" s="2">
        <f ca="1"/>
        <v>0.47209797166121126</v>
      </c>
      <c r="O175" s="2">
        <f ca="1"/>
        <v>1.6852151816619663</v>
      </c>
      <c r="X175" s="2">
        <f ca="1"/>
        <v>39.998905387565756</v>
      </c>
      <c r="AG175" s="2">
        <f ca="1"/>
        <v>0.44668283436493139</v>
      </c>
      <c r="AH175" s="2" t="str">
        <f ca="1"/>
        <v>Bad</v>
      </c>
    </row>
    <row r="176" spans="2:34" x14ac:dyDescent="0.2">
      <c r="B176" s="2">
        <f ca="1"/>
        <v>0.69012674433886256</v>
      </c>
      <c r="O176" s="2">
        <f ca="1"/>
        <v>0.150510236077709</v>
      </c>
      <c r="X176" s="2">
        <f ca="1"/>
        <v>28.217474385161175</v>
      </c>
      <c r="AG176" s="2">
        <f ca="1"/>
        <v>0.52456819361117568</v>
      </c>
      <c r="AH176" s="2" t="str">
        <f ca="1"/>
        <v>Bad</v>
      </c>
    </row>
    <row r="177" spans="2:34" x14ac:dyDescent="0.2">
      <c r="B177" s="2">
        <f ca="1"/>
        <v>3.4153685982704074E-2</v>
      </c>
      <c r="O177" s="2">
        <f ca="1"/>
        <v>-0.49648522976340759</v>
      </c>
      <c r="X177" s="2">
        <f ca="1"/>
        <v>42.790853401540517</v>
      </c>
      <c r="AG177" s="2">
        <f ca="1"/>
        <v>0.50927648615928911</v>
      </c>
      <c r="AH177" s="2" t="str">
        <f ca="1"/>
        <v>Bad</v>
      </c>
    </row>
    <row r="178" spans="2:34" x14ac:dyDescent="0.2">
      <c r="B178" s="2">
        <f ca="1"/>
        <v>0.49644568678708056</v>
      </c>
      <c r="O178" s="2">
        <f ca="1"/>
        <v>-0.70814375468709223</v>
      </c>
      <c r="X178" s="2">
        <f ca="1"/>
        <v>32.343488727799212</v>
      </c>
      <c r="AG178" s="2">
        <f ca="1"/>
        <v>0.21381019062606033</v>
      </c>
      <c r="AH178" s="2" t="str">
        <f ca="1"/>
        <v>OK</v>
      </c>
    </row>
    <row r="179" spans="2:34" x14ac:dyDescent="0.2">
      <c r="B179" s="2">
        <f ca="1"/>
        <v>0.91649573799394402</v>
      </c>
      <c r="O179" s="2">
        <f ca="1"/>
        <v>-0.36737388775505486</v>
      </c>
      <c r="X179" s="2">
        <f ca="1"/>
        <v>69.101105925097997</v>
      </c>
      <c r="AG179" s="2">
        <f ca="1"/>
        <v>0.67735506620358721</v>
      </c>
      <c r="AH179" s="2" t="str">
        <f ca="1"/>
        <v>Bad</v>
      </c>
    </row>
    <row r="180" spans="2:34" x14ac:dyDescent="0.2">
      <c r="B180" s="2">
        <f ca="1"/>
        <v>9.4006788372322569E-2</v>
      </c>
      <c r="O180" s="2">
        <f ca="1"/>
        <v>0.44392343516182936</v>
      </c>
      <c r="X180" s="2">
        <f ca="1"/>
        <v>31.261071108449574</v>
      </c>
      <c r="AG180" s="2">
        <f ca="1"/>
        <v>0.91809629519068525</v>
      </c>
      <c r="AH180" s="2" t="str">
        <f ca="1"/>
        <v>Bad</v>
      </c>
    </row>
    <row r="181" spans="2:34" x14ac:dyDescent="0.2">
      <c r="B181" s="2">
        <f ca="1"/>
        <v>0.62348827746634439</v>
      </c>
      <c r="O181" s="2">
        <f ca="1"/>
        <v>-0.88704066764105638</v>
      </c>
      <c r="X181" s="2">
        <f ca="1"/>
        <v>44.195680280815367</v>
      </c>
      <c r="AG181" s="2">
        <f ca="1"/>
        <v>0.6421501936518843</v>
      </c>
      <c r="AH181" s="2" t="str">
        <f ca="1"/>
        <v>Bad</v>
      </c>
    </row>
    <row r="182" spans="2:34" x14ac:dyDescent="0.2">
      <c r="B182" s="2">
        <f ca="1"/>
        <v>0.14723749821077536</v>
      </c>
      <c r="O182" s="2">
        <f ca="1"/>
        <v>-0.40194812314694128</v>
      </c>
      <c r="X182" s="2">
        <f ca="1"/>
        <v>35.685674558562084</v>
      </c>
      <c r="AG182" s="2">
        <f ca="1"/>
        <v>0.53642129139287342</v>
      </c>
      <c r="AH182" s="2" t="str">
        <f ca="1"/>
        <v>Bad</v>
      </c>
    </row>
    <row r="183" spans="2:34" x14ac:dyDescent="0.2">
      <c r="B183" s="2">
        <f ca="1"/>
        <v>4.6138820834332295E-2</v>
      </c>
      <c r="O183" s="2">
        <f ca="1"/>
        <v>-0.17033711875930715</v>
      </c>
      <c r="X183" s="2">
        <f ca="1"/>
        <v>59.804518250085806</v>
      </c>
      <c r="AG183" s="2">
        <f ca="1"/>
        <v>0.7964441888563929</v>
      </c>
      <c r="AH183" s="2" t="str">
        <f ca="1"/>
        <v>Bad</v>
      </c>
    </row>
    <row r="184" spans="2:34" x14ac:dyDescent="0.2">
      <c r="B184" s="2">
        <f ca="1"/>
        <v>0.66768152283991622</v>
      </c>
      <c r="O184" s="2">
        <f ca="1"/>
        <v>1.1598402791814699</v>
      </c>
      <c r="X184" s="2">
        <f ca="1"/>
        <v>60.095754538406958</v>
      </c>
      <c r="AG184" s="2">
        <f ca="1"/>
        <v>0.25927336590652028</v>
      </c>
      <c r="AH184" s="2" t="str">
        <f ca="1"/>
        <v>OK</v>
      </c>
    </row>
    <row r="185" spans="2:34" x14ac:dyDescent="0.2">
      <c r="B185" s="2">
        <f ca="1"/>
        <v>0.57569886630617351</v>
      </c>
      <c r="O185" s="2">
        <f ca="1"/>
        <v>-0.24751961444171167</v>
      </c>
      <c r="X185" s="2">
        <f ca="1"/>
        <v>33.81822012298143</v>
      </c>
      <c r="AG185" s="2">
        <f ca="1"/>
        <v>0.74696524260734143</v>
      </c>
      <c r="AH185" s="2" t="str">
        <f ca="1"/>
        <v>Bad</v>
      </c>
    </row>
    <row r="186" spans="2:34" x14ac:dyDescent="0.2">
      <c r="B186" s="2">
        <f ca="1"/>
        <v>9.1935689639665474E-2</v>
      </c>
      <c r="O186" s="2">
        <f ca="1"/>
        <v>-0.12190764380601003</v>
      </c>
      <c r="X186" s="2">
        <f ca="1"/>
        <v>49.521361996368199</v>
      </c>
      <c r="AG186" s="2">
        <f ca="1"/>
        <v>0.63701938794120028</v>
      </c>
      <c r="AH186" s="2" t="str">
        <f ca="1"/>
        <v>Bad</v>
      </c>
    </row>
    <row r="187" spans="2:34" x14ac:dyDescent="0.2">
      <c r="B187" s="2">
        <f ca="1"/>
        <v>0.33327527847287453</v>
      </c>
      <c r="O187" s="2">
        <f ca="1"/>
        <v>-0.388033298385144</v>
      </c>
      <c r="X187" s="2">
        <f ca="1"/>
        <v>31.690770753418814</v>
      </c>
      <c r="AG187" s="2">
        <f ca="1"/>
        <v>0.14649928736434847</v>
      </c>
      <c r="AH187" s="2" t="str">
        <f ca="1"/>
        <v>OK</v>
      </c>
    </row>
    <row r="188" spans="2:34" x14ac:dyDescent="0.2">
      <c r="B188" s="2">
        <f ca="1"/>
        <v>0.48988053844759172</v>
      </c>
      <c r="O188" s="2">
        <f ca="1"/>
        <v>-1.4007167899629043</v>
      </c>
      <c r="X188" s="2">
        <f ca="1"/>
        <v>47.787177440851337</v>
      </c>
      <c r="AG188" s="2">
        <f ca="1"/>
        <v>0.72503358311459576</v>
      </c>
      <c r="AH188" s="2" t="str">
        <f ca="1"/>
        <v>Bad</v>
      </c>
    </row>
    <row r="189" spans="2:34" x14ac:dyDescent="0.2">
      <c r="B189" s="2">
        <f ca="1"/>
        <v>0.35541514372454963</v>
      </c>
      <c r="O189" s="2">
        <f ca="1"/>
        <v>1.9808843130034086</v>
      </c>
      <c r="X189" s="2">
        <f ca="1"/>
        <v>74.954113370739293</v>
      </c>
      <c r="AG189" s="2">
        <f ca="1"/>
        <v>9.9749548179205449E-2</v>
      </c>
      <c r="AH189" s="2" t="str">
        <f ca="1"/>
        <v>OK</v>
      </c>
    </row>
    <row r="190" spans="2:34" x14ac:dyDescent="0.2">
      <c r="B190" s="2">
        <f ca="1"/>
        <v>0.49239755458853551</v>
      </c>
      <c r="O190" s="2">
        <f ca="1"/>
        <v>1.1842677081365005</v>
      </c>
      <c r="X190" s="2">
        <f ca="1"/>
        <v>28.09210447313227</v>
      </c>
      <c r="AG190" s="2">
        <f ca="1"/>
        <v>0.12479672727050328</v>
      </c>
      <c r="AH190" s="2" t="str">
        <f ca="1"/>
        <v>OK</v>
      </c>
    </row>
    <row r="191" spans="2:34" x14ac:dyDescent="0.2">
      <c r="B191" s="2">
        <f ca="1"/>
        <v>0.93866155514973304</v>
      </c>
      <c r="O191" s="2">
        <f ca="1"/>
        <v>-1.1101601793877995</v>
      </c>
      <c r="X191" s="2">
        <f ca="1"/>
        <v>67.080516308181174</v>
      </c>
      <c r="AG191" s="2">
        <f ca="1"/>
        <v>0.92496525090203008</v>
      </c>
      <c r="AH191" s="2" t="str">
        <f ca="1"/>
        <v>Bad</v>
      </c>
    </row>
    <row r="192" spans="2:34" x14ac:dyDescent="0.2">
      <c r="B192" s="2">
        <f ca="1"/>
        <v>0.21989594222410003</v>
      </c>
      <c r="O192" s="2">
        <f ca="1"/>
        <v>4.1206999489693197E-2</v>
      </c>
      <c r="X192" s="2">
        <f ca="1"/>
        <v>41.69070388199647</v>
      </c>
      <c r="AG192" s="2">
        <f ca="1"/>
        <v>0.7983319979802066</v>
      </c>
      <c r="AH192" s="2" t="str">
        <f ca="1"/>
        <v>Bad</v>
      </c>
    </row>
    <row r="193" spans="2:34" x14ac:dyDescent="0.2">
      <c r="B193" s="2">
        <f ca="1"/>
        <v>0.88160930969868923</v>
      </c>
      <c r="O193" s="2">
        <f ca="1"/>
        <v>3.6942437621788893E-2</v>
      </c>
      <c r="X193" s="2">
        <f ca="1"/>
        <v>52.060064707345468</v>
      </c>
      <c r="AG193" s="2">
        <f ca="1"/>
        <v>0.7510909455503374</v>
      </c>
      <c r="AH193" s="2" t="str">
        <f ca="1"/>
        <v>Bad</v>
      </c>
    </row>
    <row r="194" spans="2:34" x14ac:dyDescent="0.2">
      <c r="B194" s="2">
        <f ca="1"/>
        <v>0.65166163005019162</v>
      </c>
      <c r="O194" s="2">
        <f ca="1"/>
        <v>0.17783321144336756</v>
      </c>
      <c r="X194" s="2">
        <f ca="1"/>
        <v>47.22862872539104</v>
      </c>
      <c r="AG194" s="2">
        <f ca="1"/>
        <v>0.58488911225153806</v>
      </c>
      <c r="AH194" s="2" t="str">
        <f ca="1"/>
        <v>Bad</v>
      </c>
    </row>
    <row r="195" spans="2:34" x14ac:dyDescent="0.2">
      <c r="B195" s="2">
        <f ca="1"/>
        <v>0.42048668369268682</v>
      </c>
      <c r="O195" s="2">
        <f ca="1"/>
        <v>3.1351859498067656</v>
      </c>
      <c r="X195" s="2">
        <f ca="1"/>
        <v>48.952796168236937</v>
      </c>
      <c r="AG195" s="2">
        <f ca="1"/>
        <v>0.15589992095446958</v>
      </c>
      <c r="AH195" s="2" t="str">
        <f ca="1"/>
        <v>OK</v>
      </c>
    </row>
    <row r="196" spans="2:34" x14ac:dyDescent="0.2">
      <c r="B196" s="2">
        <f ca="1"/>
        <v>0.63512609338825055</v>
      </c>
      <c r="O196" s="2">
        <f ca="1"/>
        <v>0.12658400724908331</v>
      </c>
      <c r="X196" s="2">
        <f ca="1"/>
        <v>27.236372249718936</v>
      </c>
      <c r="AG196" s="2">
        <f ca="1"/>
        <v>0.96800855009502951</v>
      </c>
      <c r="AH196" s="2" t="str">
        <f ca="1"/>
        <v>Bad</v>
      </c>
    </row>
    <row r="197" spans="2:34" x14ac:dyDescent="0.2">
      <c r="B197" s="2">
        <f ca="1"/>
        <v>0.71342490467201181</v>
      </c>
      <c r="O197" s="2">
        <f ca="1"/>
        <v>1.1802531507121896</v>
      </c>
      <c r="X197" s="2">
        <f ca="1"/>
        <v>43.0015558890356</v>
      </c>
      <c r="AG197" s="2">
        <f ca="1"/>
        <v>0.80366538085143335</v>
      </c>
      <c r="AH197" s="2" t="str">
        <f ca="1"/>
        <v>Bad</v>
      </c>
    </row>
    <row r="198" spans="2:34" x14ac:dyDescent="0.2">
      <c r="B198" s="2">
        <f ca="1"/>
        <v>0.8937979011722581</v>
      </c>
      <c r="O198" s="2">
        <f ca="1"/>
        <v>0.78021298335314992</v>
      </c>
      <c r="X198" s="2">
        <f ca="1"/>
        <v>88.185640456074509</v>
      </c>
      <c r="AG198" s="2">
        <f ca="1"/>
        <v>0.34319296166917224</v>
      </c>
      <c r="AH198" s="2" t="str">
        <f ca="1"/>
        <v>OK</v>
      </c>
    </row>
    <row r="199" spans="2:34" x14ac:dyDescent="0.2">
      <c r="B199" s="2">
        <f ca="1"/>
        <v>0.37722950301729519</v>
      </c>
      <c r="O199" s="2">
        <f ca="1"/>
        <v>-1.3287104880531884</v>
      </c>
      <c r="X199" s="2">
        <f ca="1"/>
        <v>42.992927988748868</v>
      </c>
      <c r="AG199" s="2">
        <f ca="1"/>
        <v>0.68795497896609503</v>
      </c>
      <c r="AH199" s="2" t="str">
        <f ca="1"/>
        <v>Bad</v>
      </c>
    </row>
    <row r="200" spans="2:34" x14ac:dyDescent="0.2">
      <c r="B200" s="2">
        <f ca="1"/>
        <v>0.60761194667410034</v>
      </c>
      <c r="O200" s="2">
        <f ca="1"/>
        <v>0.44834786421792461</v>
      </c>
      <c r="X200" s="2">
        <f ca="1"/>
        <v>62.802369165491505</v>
      </c>
      <c r="AG200" s="2">
        <f ca="1"/>
        <v>0.587058233769715</v>
      </c>
      <c r="AH200" s="2" t="str">
        <f ca="1"/>
        <v>Bad</v>
      </c>
    </row>
    <row r="201" spans="2:34" x14ac:dyDescent="0.2">
      <c r="B201" s="2">
        <f ca="1"/>
        <v>0.11931120553990437</v>
      </c>
      <c r="O201" s="2">
        <f ca="1"/>
        <v>-1.4616603839051456</v>
      </c>
      <c r="X201" s="2">
        <f ca="1"/>
        <v>43.707146948034399</v>
      </c>
      <c r="AG201" s="2">
        <f ca="1"/>
        <v>8.2681547045818427E-2</v>
      </c>
      <c r="AH201" s="2" t="str">
        <f ca="1"/>
        <v>OK</v>
      </c>
    </row>
    <row r="202" spans="2:34" x14ac:dyDescent="0.2">
      <c r="B202" s="2">
        <f ca="1"/>
        <v>0.69517412046073779</v>
      </c>
      <c r="O202" s="2">
        <f ca="1"/>
        <v>0.23814952740894915</v>
      </c>
      <c r="X202" s="2">
        <f ca="1"/>
        <v>54.257478135824229</v>
      </c>
      <c r="AG202" s="2">
        <f ca="1"/>
        <v>0.12127231546518691</v>
      </c>
      <c r="AH202" s="2" t="str">
        <f ca="1"/>
        <v>OK</v>
      </c>
    </row>
    <row r="203" spans="2:34" x14ac:dyDescent="0.2">
      <c r="B203" s="2">
        <f ca="1"/>
        <v>0.74582315310609415</v>
      </c>
      <c r="O203" s="2">
        <f ca="1"/>
        <v>0.41996867119647685</v>
      </c>
      <c r="X203" s="2">
        <f ca="1"/>
        <v>51.846296201693818</v>
      </c>
      <c r="AG203" s="2">
        <f ca="1"/>
        <v>0.71584924591265975</v>
      </c>
      <c r="AH203" s="2" t="str">
        <f ca="1"/>
        <v>Bad</v>
      </c>
    </row>
    <row r="204" spans="2:34" x14ac:dyDescent="0.2">
      <c r="B204" s="2">
        <f ca="1"/>
        <v>0.87933684669378054</v>
      </c>
      <c r="O204" s="2">
        <f ca="1"/>
        <v>0.98949580500982337</v>
      </c>
      <c r="X204" s="2">
        <f ca="1"/>
        <v>44.901550190909695</v>
      </c>
      <c r="AG204" s="2">
        <f ca="1"/>
        <v>4.8632633501856315E-2</v>
      </c>
      <c r="AH204" s="2" t="str">
        <f ca="1"/>
        <v>Good</v>
      </c>
    </row>
    <row r="205" spans="2:34" x14ac:dyDescent="0.2">
      <c r="B205" s="2">
        <f ca="1"/>
        <v>0.66688628377257997</v>
      </c>
      <c r="O205" s="2">
        <f ca="1"/>
        <v>-1.2319413327522013</v>
      </c>
      <c r="X205" s="2">
        <f ca="1"/>
        <v>50.714090851814795</v>
      </c>
      <c r="AG205" s="2">
        <f ca="1"/>
        <v>0.50706067166383439</v>
      </c>
      <c r="AH205" s="2" t="str">
        <f ca="1"/>
        <v>Bad</v>
      </c>
    </row>
    <row r="206" spans="2:34" x14ac:dyDescent="0.2">
      <c r="B206" s="2">
        <f ca="1"/>
        <v>0.16755622744851095</v>
      </c>
      <c r="O206" s="2">
        <f ca="1"/>
        <v>-2.0304285245353433</v>
      </c>
      <c r="X206" s="2">
        <f ca="1"/>
        <v>32.462612913542102</v>
      </c>
      <c r="AG206" s="2">
        <f ca="1"/>
        <v>0.97288073757212312</v>
      </c>
      <c r="AH206" s="2" t="str">
        <f ca="1"/>
        <v>Bad</v>
      </c>
    </row>
    <row r="207" spans="2:34" x14ac:dyDescent="0.2">
      <c r="B207" s="2">
        <f ca="1"/>
        <v>0.17033943218769165</v>
      </c>
      <c r="O207" s="2">
        <f ca="1"/>
        <v>-0.206720615199077</v>
      </c>
      <c r="X207" s="2">
        <f ca="1"/>
        <v>53.724454207376198</v>
      </c>
      <c r="AG207" s="2">
        <f ca="1"/>
        <v>0.48253545948190757</v>
      </c>
      <c r="AH207" s="2" t="str">
        <f ca="1"/>
        <v>Bad</v>
      </c>
    </row>
    <row r="208" spans="2:34" x14ac:dyDescent="0.2">
      <c r="B208" s="2">
        <f ca="1"/>
        <v>0.21785530963648303</v>
      </c>
      <c r="O208" s="2">
        <f ca="1"/>
        <v>0.5347713682437506</v>
      </c>
      <c r="X208" s="2">
        <f ca="1"/>
        <v>46.28460173836406</v>
      </c>
      <c r="AG208" s="2">
        <f ca="1"/>
        <v>2.9862371742672256E-2</v>
      </c>
      <c r="AH208" s="2" t="str">
        <f ca="1"/>
        <v>Good</v>
      </c>
    </row>
    <row r="209" spans="2:34" x14ac:dyDescent="0.2">
      <c r="B209" s="2">
        <f ca="1"/>
        <v>0.82084987984605573</v>
      </c>
      <c r="O209" s="2">
        <f ca="1"/>
        <v>0.50491254533858299</v>
      </c>
      <c r="X209" s="2">
        <f ca="1"/>
        <v>25.310490220798947</v>
      </c>
      <c r="AG209" s="2">
        <f ca="1"/>
        <v>0.27568719868935743</v>
      </c>
      <c r="AH209" s="2" t="str">
        <f ca="1"/>
        <v>OK</v>
      </c>
    </row>
    <row r="210" spans="2:34" x14ac:dyDescent="0.2">
      <c r="B210" s="2">
        <f ca="1"/>
        <v>0.48233074640918483</v>
      </c>
      <c r="O210" s="2">
        <f ca="1"/>
        <v>1.2359817812571998</v>
      </c>
      <c r="X210" s="2">
        <f ca="1"/>
        <v>47.726828945387254</v>
      </c>
      <c r="AG210" s="2">
        <f ca="1"/>
        <v>0.6682803435879543</v>
      </c>
      <c r="AH210" s="2" t="str">
        <f ca="1"/>
        <v>Bad</v>
      </c>
    </row>
    <row r="211" spans="2:34" x14ac:dyDescent="0.2">
      <c r="B211" s="2">
        <f ca="1"/>
        <v>0.22157490923202605</v>
      </c>
      <c r="O211" s="2">
        <f ca="1"/>
        <v>0.71026438244355961</v>
      </c>
      <c r="X211" s="2">
        <f ca="1"/>
        <v>48.194920424378516</v>
      </c>
      <c r="AG211" s="2">
        <f ca="1"/>
        <v>0.67750139400525478</v>
      </c>
      <c r="AH211" s="2" t="str">
        <f ca="1"/>
        <v>Bad</v>
      </c>
    </row>
    <row r="212" spans="2:34" x14ac:dyDescent="0.2">
      <c r="B212" s="2">
        <f ca="1"/>
        <v>0.98574543226606615</v>
      </c>
      <c r="O212" s="2">
        <f ca="1"/>
        <v>-7.8697897073780859E-2</v>
      </c>
      <c r="X212" s="2">
        <f ca="1"/>
        <v>47.587585710070286</v>
      </c>
      <c r="AG212" s="2">
        <f ca="1"/>
        <v>1.0921661011109141E-2</v>
      </c>
      <c r="AH212" s="2" t="str">
        <f ca="1"/>
        <v>Good</v>
      </c>
    </row>
    <row r="213" spans="2:34" x14ac:dyDescent="0.2">
      <c r="B213" s="2">
        <f ca="1"/>
        <v>0.38118370157029502</v>
      </c>
      <c r="O213" s="2">
        <f ca="1"/>
        <v>1.7716292509425469</v>
      </c>
      <c r="X213" s="2">
        <f ca="1"/>
        <v>51.355546947513361</v>
      </c>
      <c r="AG213" s="2">
        <f ca="1"/>
        <v>0.24680872221839723</v>
      </c>
      <c r="AH213" s="2" t="str">
        <f ca="1"/>
        <v>OK</v>
      </c>
    </row>
    <row r="214" spans="2:34" x14ac:dyDescent="0.2">
      <c r="B214" s="2">
        <f ca="1"/>
        <v>0.97090371968598466</v>
      </c>
      <c r="O214" s="2">
        <f ca="1"/>
        <v>0.10008151051074751</v>
      </c>
      <c r="X214" s="2">
        <f ca="1"/>
        <v>38.866436716424992</v>
      </c>
      <c r="AG214" s="2">
        <f ca="1"/>
        <v>0.18009896460352937</v>
      </c>
      <c r="AH214" s="2" t="str">
        <f ca="1"/>
        <v>OK</v>
      </c>
    </row>
    <row r="215" spans="2:34" x14ac:dyDescent="0.2">
      <c r="B215" s="2">
        <f ca="1"/>
        <v>0.50019366207009797</v>
      </c>
      <c r="O215" s="2">
        <f ca="1"/>
        <v>-1.7713885276394563</v>
      </c>
      <c r="X215" s="2">
        <f ca="1"/>
        <v>23.17106473315377</v>
      </c>
      <c r="AG215" s="2">
        <f ca="1"/>
        <v>0.54187308214335639</v>
      </c>
      <c r="AH215" s="2" t="str">
        <f ca="1"/>
        <v>Bad</v>
      </c>
    </row>
    <row r="216" spans="2:34" x14ac:dyDescent="0.2">
      <c r="B216" s="2">
        <f ca="1"/>
        <v>0.38855851902916405</v>
      </c>
      <c r="O216" s="2">
        <f ca="1"/>
        <v>1.7679905132711087</v>
      </c>
      <c r="X216" s="2">
        <f ca="1"/>
        <v>35.108764830543905</v>
      </c>
      <c r="AG216" s="2">
        <f ca="1"/>
        <v>0.70060676432370483</v>
      </c>
      <c r="AH216" s="2" t="str">
        <f ca="1"/>
        <v>Bad</v>
      </c>
    </row>
    <row r="217" spans="2:34" x14ac:dyDescent="0.2">
      <c r="B217" s="2">
        <f ca="1"/>
        <v>8.0596435648091047E-2</v>
      </c>
      <c r="O217" s="2">
        <f ca="1"/>
        <v>-1.0052091529573814</v>
      </c>
      <c r="X217" s="2">
        <f ca="1"/>
        <v>37.38450252166519</v>
      </c>
      <c r="AG217" s="2">
        <f ca="1"/>
        <v>0.2842150666733767</v>
      </c>
      <c r="AH217" s="2" t="str">
        <f ca="1"/>
        <v>OK</v>
      </c>
    </row>
    <row r="218" spans="2:34" x14ac:dyDescent="0.2">
      <c r="B218" s="2">
        <f ca="1"/>
        <v>0.23634225470776671</v>
      </c>
      <c r="O218" s="2">
        <f ca="1"/>
        <v>0.38901181941037938</v>
      </c>
      <c r="X218" s="2">
        <f ca="1"/>
        <v>48.335771411575728</v>
      </c>
      <c r="AG218" s="2">
        <f ca="1"/>
        <v>0.37835203086233826</v>
      </c>
      <c r="AH218" s="2" t="str">
        <f ca="1"/>
        <v>OK</v>
      </c>
    </row>
    <row r="219" spans="2:34" x14ac:dyDescent="0.2">
      <c r="B219" s="2">
        <f ca="1"/>
        <v>0.69560784372403961</v>
      </c>
      <c r="O219" s="2">
        <f ca="1"/>
        <v>0.82550789131805713</v>
      </c>
      <c r="X219" s="2">
        <f ca="1"/>
        <v>68.784737591835508</v>
      </c>
      <c r="AG219" s="2">
        <f ca="1"/>
        <v>0.39802415690438586</v>
      </c>
      <c r="AH219" s="2" t="str">
        <f ca="1"/>
        <v>OK</v>
      </c>
    </row>
    <row r="220" spans="2:34" x14ac:dyDescent="0.2">
      <c r="B220" s="2">
        <f ca="1"/>
        <v>0.90785673290716784</v>
      </c>
      <c r="O220" s="2">
        <f ca="1"/>
        <v>9.7319387319135475E-2</v>
      </c>
      <c r="X220" s="2">
        <f ca="1"/>
        <v>65.348610534604902</v>
      </c>
      <c r="AG220" s="2">
        <f ca="1"/>
        <v>0.21757884728927523</v>
      </c>
      <c r="AH220" s="2" t="str">
        <f ca="1"/>
        <v>OK</v>
      </c>
    </row>
    <row r="221" spans="2:34" x14ac:dyDescent="0.2">
      <c r="B221" s="2">
        <f ca="1"/>
        <v>0.79269632868044515</v>
      </c>
      <c r="O221" s="2">
        <f ca="1"/>
        <v>1.7884371312644132</v>
      </c>
      <c r="X221" s="2">
        <f ca="1"/>
        <v>61.823521348622343</v>
      </c>
      <c r="AG221" s="2">
        <f ca="1"/>
        <v>0.53995184363577886</v>
      </c>
      <c r="AH221" s="2" t="str">
        <f ca="1"/>
        <v>Bad</v>
      </c>
    </row>
    <row r="222" spans="2:34" x14ac:dyDescent="0.2">
      <c r="B222" s="2">
        <f ca="1"/>
        <v>0.86244416646636846</v>
      </c>
      <c r="O222" s="2">
        <f ca="1"/>
        <v>-1.7354277064741666</v>
      </c>
      <c r="X222" s="2">
        <f ca="1"/>
        <v>38.945274066513413</v>
      </c>
      <c r="AG222" s="2">
        <f ca="1"/>
        <v>0.39590918871501657</v>
      </c>
      <c r="AH222" s="2" t="str">
        <f ca="1"/>
        <v>OK</v>
      </c>
    </row>
    <row r="223" spans="2:34" x14ac:dyDescent="0.2">
      <c r="B223" s="2">
        <f ca="1"/>
        <v>0.79548711240307624</v>
      </c>
      <c r="O223" s="2">
        <f ca="1"/>
        <v>-1.1015065859702058</v>
      </c>
      <c r="X223" s="2">
        <f ca="1"/>
        <v>32.491700617593089</v>
      </c>
      <c r="AG223" s="2">
        <f ca="1"/>
        <v>0.92350227096530291</v>
      </c>
      <c r="AH223" s="2" t="str">
        <f ca="1"/>
        <v>Bad</v>
      </c>
    </row>
    <row r="224" spans="2:34" x14ac:dyDescent="0.2">
      <c r="B224" s="2">
        <f ca="1"/>
        <v>0.80084312531073332</v>
      </c>
      <c r="O224" s="2">
        <f ca="1"/>
        <v>-0.58751775400671213</v>
      </c>
      <c r="X224" s="2">
        <f ca="1"/>
        <v>47.707568406361851</v>
      </c>
      <c r="AG224" s="2">
        <f ca="1"/>
        <v>0.55110322219026653</v>
      </c>
      <c r="AH224" s="2" t="str">
        <f ca="1"/>
        <v>Bad</v>
      </c>
    </row>
    <row r="225" spans="2:34" x14ac:dyDescent="0.2">
      <c r="B225" s="2">
        <f ca="1"/>
        <v>0.43979001345185753</v>
      </c>
      <c r="O225" s="2">
        <f ca="1"/>
        <v>-0.67587196353314616</v>
      </c>
      <c r="X225" s="2">
        <f ca="1"/>
        <v>34.507315640812294</v>
      </c>
      <c r="AG225" s="2">
        <f ca="1"/>
        <v>6.7770756369339491E-2</v>
      </c>
      <c r="AH225" s="2" t="str">
        <f ca="1"/>
        <v>OK</v>
      </c>
    </row>
    <row r="226" spans="2:34" x14ac:dyDescent="0.2">
      <c r="B226" s="2">
        <f ca="1"/>
        <v>0.9280291480526921</v>
      </c>
      <c r="O226" s="2">
        <f ca="1"/>
        <v>-0.50913517415238208</v>
      </c>
      <c r="X226" s="2">
        <f ca="1"/>
        <v>32.686424474176519</v>
      </c>
      <c r="AG226" s="2">
        <f ca="1"/>
        <v>0.25237154095276049</v>
      </c>
      <c r="AH226" s="2" t="str">
        <f ca="1"/>
        <v>OK</v>
      </c>
    </row>
    <row r="227" spans="2:34" x14ac:dyDescent="0.2">
      <c r="B227" s="2">
        <f ca="1"/>
        <v>0.98873218710774813</v>
      </c>
      <c r="O227" s="2">
        <f ca="1"/>
        <v>-1.1264050719640681</v>
      </c>
      <c r="X227" s="2">
        <f ca="1"/>
        <v>51.156733785483496</v>
      </c>
      <c r="AG227" s="2">
        <f ca="1"/>
        <v>0.66131872068474551</v>
      </c>
      <c r="AH227" s="2" t="str">
        <f ca="1"/>
        <v>Bad</v>
      </c>
    </row>
    <row r="228" spans="2:34" x14ac:dyDescent="0.2">
      <c r="B228" s="2">
        <f ca="1"/>
        <v>0.7312954593512544</v>
      </c>
      <c r="O228" s="2">
        <f ca="1"/>
        <v>-2.030259325108434</v>
      </c>
      <c r="X228" s="2">
        <f ca="1"/>
        <v>88.414013561076374</v>
      </c>
      <c r="AG228" s="2">
        <f ca="1"/>
        <v>0.61432369081321347</v>
      </c>
      <c r="AH228" s="2" t="str">
        <f ca="1"/>
        <v>Bad</v>
      </c>
    </row>
    <row r="229" spans="2:34" x14ac:dyDescent="0.2">
      <c r="B229" s="2">
        <f ca="1"/>
        <v>0.17963264266681866</v>
      </c>
      <c r="O229" s="2">
        <f ca="1"/>
        <v>-0.62410969880860989</v>
      </c>
      <c r="X229" s="2">
        <f ca="1"/>
        <v>45.066179793887315</v>
      </c>
      <c r="AG229" s="2">
        <f ca="1"/>
        <v>0.86447213971696257</v>
      </c>
      <c r="AH229" s="2" t="str">
        <f ca="1"/>
        <v>Bad</v>
      </c>
    </row>
    <row r="230" spans="2:34" x14ac:dyDescent="0.2">
      <c r="B230" s="2">
        <f ca="1"/>
        <v>0.40877798296957701</v>
      </c>
      <c r="O230" s="2">
        <f ca="1"/>
        <v>2.0709015328223925</v>
      </c>
      <c r="X230" s="2">
        <f ca="1"/>
        <v>63.685232218889496</v>
      </c>
      <c r="AG230" s="2">
        <f ca="1"/>
        <v>0.25364266401327384</v>
      </c>
      <c r="AH230" s="2" t="str">
        <f ca="1"/>
        <v>OK</v>
      </c>
    </row>
    <row r="231" spans="2:34" x14ac:dyDescent="0.2">
      <c r="B231" s="2">
        <f ca="1"/>
        <v>0.63933339025888958</v>
      </c>
      <c r="O231" s="2">
        <f ca="1"/>
        <v>-0.45213711899689762</v>
      </c>
      <c r="X231" s="2">
        <f ca="1"/>
        <v>57.358572206450297</v>
      </c>
      <c r="AG231" s="2">
        <f ca="1"/>
        <v>0.59796190810108962</v>
      </c>
      <c r="AH231" s="2" t="str">
        <f ca="1"/>
        <v>Bad</v>
      </c>
    </row>
    <row r="232" spans="2:34" x14ac:dyDescent="0.2">
      <c r="B232" s="2">
        <f ca="1"/>
        <v>0.53133796018792623</v>
      </c>
      <c r="O232" s="2">
        <f ca="1"/>
        <v>0.14173916655008914</v>
      </c>
      <c r="X232" s="2">
        <f ca="1"/>
        <v>42.146387820673475</v>
      </c>
      <c r="AG232" s="2">
        <f ca="1"/>
        <v>0.10958872060445368</v>
      </c>
      <c r="AH232" s="2" t="str">
        <f ca="1"/>
        <v>OK</v>
      </c>
    </row>
    <row r="233" spans="2:34" x14ac:dyDescent="0.2">
      <c r="B233" s="2">
        <f ca="1"/>
        <v>0.78045943483917601</v>
      </c>
      <c r="O233" s="2">
        <f ca="1"/>
        <v>-0.20316099078356931</v>
      </c>
      <c r="X233" s="2">
        <f ca="1"/>
        <v>38.694021364102639</v>
      </c>
      <c r="AG233" s="2">
        <f ca="1"/>
        <v>0.80387725838940183</v>
      </c>
      <c r="AH233" s="2" t="str">
        <f ca="1"/>
        <v>Bad</v>
      </c>
    </row>
    <row r="234" spans="2:34" x14ac:dyDescent="0.2">
      <c r="B234" s="2">
        <f ca="1"/>
        <v>0.9094722444752763</v>
      </c>
      <c r="O234" s="2">
        <f ca="1"/>
        <v>1.162996317820387</v>
      </c>
      <c r="X234" s="2">
        <f ca="1"/>
        <v>102.45197976492233</v>
      </c>
      <c r="AG234" s="2">
        <f ca="1"/>
        <v>0.35549154874361255</v>
      </c>
      <c r="AH234" s="2" t="str">
        <f ca="1"/>
        <v>OK</v>
      </c>
    </row>
    <row r="235" spans="2:34" x14ac:dyDescent="0.2">
      <c r="B235" s="2">
        <f ca="1"/>
        <v>0.31296119078808937</v>
      </c>
      <c r="O235" s="2">
        <f ca="1"/>
        <v>0.53476705249280521</v>
      </c>
      <c r="X235" s="2">
        <f ca="1"/>
        <v>26.799651520158037</v>
      </c>
      <c r="AG235" s="2">
        <f ca="1"/>
        <v>0.14692672576710475</v>
      </c>
      <c r="AH235" s="2" t="str">
        <f ca="1"/>
        <v>OK</v>
      </c>
    </row>
    <row r="236" spans="2:34" x14ac:dyDescent="0.2">
      <c r="B236" s="2">
        <f ca="1"/>
        <v>0.24489082958972008</v>
      </c>
      <c r="O236" s="2">
        <f ca="1"/>
        <v>-0.25398945008435014</v>
      </c>
      <c r="X236" s="2">
        <f ca="1"/>
        <v>52.898074016797956</v>
      </c>
      <c r="AG236" s="2">
        <f ca="1"/>
        <v>0.94657218828339618</v>
      </c>
      <c r="AH236" s="2" t="str">
        <f ca="1"/>
        <v>Bad</v>
      </c>
    </row>
    <row r="237" spans="2:34" x14ac:dyDescent="0.2">
      <c r="B237" s="2">
        <f ca="1"/>
        <v>0.9131240737946178</v>
      </c>
      <c r="O237" s="2">
        <f ca="1"/>
        <v>0.60423526813929385</v>
      </c>
      <c r="X237" s="2">
        <f ca="1"/>
        <v>62.156725916348222</v>
      </c>
      <c r="AG237" s="2">
        <f ca="1"/>
        <v>0.91603734788794489</v>
      </c>
      <c r="AH237" s="2" t="str">
        <f ca="1"/>
        <v>Bad</v>
      </c>
    </row>
    <row r="238" spans="2:34" x14ac:dyDescent="0.2">
      <c r="B238" s="2">
        <f ca="1"/>
        <v>0.1346801571166063</v>
      </c>
      <c r="O238" s="2">
        <f ca="1"/>
        <v>-0.50767123340214382</v>
      </c>
      <c r="X238" s="2">
        <f ca="1"/>
        <v>69.919491109034141</v>
      </c>
      <c r="AG238" s="2">
        <f ca="1"/>
        <v>9.6852479212991005E-2</v>
      </c>
      <c r="AH238" s="2" t="str">
        <f ca="1"/>
        <v>OK</v>
      </c>
    </row>
    <row r="239" spans="2:34" x14ac:dyDescent="0.2">
      <c r="B239" s="2">
        <f ca="1"/>
        <v>0.6340844324575885</v>
      </c>
      <c r="O239" s="2">
        <f ca="1"/>
        <v>-1.6417705118368884</v>
      </c>
      <c r="X239" s="2">
        <f ca="1"/>
        <v>51.606037731761575</v>
      </c>
      <c r="AG239" s="2">
        <f ca="1"/>
        <v>0.50531821395707954</v>
      </c>
      <c r="AH239" s="2" t="str">
        <f ca="1"/>
        <v>Bad</v>
      </c>
    </row>
    <row r="240" spans="2:34" x14ac:dyDescent="0.2">
      <c r="B240" s="2">
        <f ca="1"/>
        <v>9.6428219342154398E-2</v>
      </c>
      <c r="O240" s="2">
        <f ca="1"/>
        <v>0.37308234341327057</v>
      </c>
      <c r="X240" s="2">
        <f ca="1"/>
        <v>79.729684013953417</v>
      </c>
      <c r="AG240" s="2">
        <f ca="1"/>
        <v>0.47735059647653122</v>
      </c>
      <c r="AH240" s="2" t="str">
        <f ca="1"/>
        <v>Bad</v>
      </c>
    </row>
    <row r="241" spans="2:34" x14ac:dyDescent="0.2">
      <c r="B241" s="2">
        <f ca="1"/>
        <v>0.57961861507446311</v>
      </c>
      <c r="O241" s="2">
        <f ca="1"/>
        <v>-0.1578028417949546</v>
      </c>
      <c r="X241" s="2">
        <f ca="1"/>
        <v>48.277475070385201</v>
      </c>
      <c r="AG241" s="2">
        <f ca="1"/>
        <v>6.708067927020922E-2</v>
      </c>
      <c r="AH241" s="2" t="str">
        <f ca="1"/>
        <v>OK</v>
      </c>
    </row>
    <row r="242" spans="2:34" x14ac:dyDescent="0.2">
      <c r="B242" s="2">
        <f ca="1"/>
        <v>0.40646093093255242</v>
      </c>
      <c r="O242" s="2">
        <f ca="1"/>
        <v>-0.64091501531890616</v>
      </c>
      <c r="X242" s="2">
        <f ca="1"/>
        <v>67.787033369025053</v>
      </c>
      <c r="AG242" s="2">
        <f ca="1"/>
        <v>0.92020955897292067</v>
      </c>
      <c r="AH242" s="2" t="str">
        <f ca="1"/>
        <v>Bad</v>
      </c>
    </row>
    <row r="243" spans="2:34" x14ac:dyDescent="0.2">
      <c r="B243" s="2">
        <f ca="1"/>
        <v>0.32572779307619104</v>
      </c>
      <c r="O243" s="2">
        <f ca="1"/>
        <v>-0.6828269185846858</v>
      </c>
      <c r="X243" s="2">
        <f ca="1"/>
        <v>41.136133072600309</v>
      </c>
      <c r="AG243" s="2">
        <f ca="1"/>
        <v>0.82482549335342092</v>
      </c>
      <c r="AH243" s="2" t="str">
        <f ca="1"/>
        <v>Bad</v>
      </c>
    </row>
    <row r="244" spans="2:34" x14ac:dyDescent="0.2">
      <c r="B244" s="2">
        <f ca="1"/>
        <v>0.17021873975676383</v>
      </c>
      <c r="O244" s="2">
        <f ca="1"/>
        <v>0.16550184435548146</v>
      </c>
      <c r="X244" s="2">
        <f ca="1"/>
        <v>57.887872646455627</v>
      </c>
      <c r="AG244" s="2">
        <f ca="1"/>
        <v>0.25082773085063392</v>
      </c>
      <c r="AH244" s="2" t="str">
        <f ca="1"/>
        <v>OK</v>
      </c>
    </row>
    <row r="245" spans="2:34" x14ac:dyDescent="0.2">
      <c r="B245" s="2">
        <f ca="1"/>
        <v>0.99236887045695421</v>
      </c>
      <c r="O245" s="2">
        <f ca="1"/>
        <v>-7.3685714255910639E-2</v>
      </c>
      <c r="X245" s="2">
        <f ca="1"/>
        <v>65.956996085233499</v>
      </c>
      <c r="AG245" s="2">
        <f ca="1"/>
        <v>0.81679327802694512</v>
      </c>
      <c r="AH245" s="2" t="str">
        <f ca="1"/>
        <v>Bad</v>
      </c>
    </row>
    <row r="246" spans="2:34" x14ac:dyDescent="0.2">
      <c r="B246" s="2">
        <f ca="1"/>
        <v>0.51384285684084818</v>
      </c>
      <c r="O246" s="2">
        <f ca="1"/>
        <v>0.72247654707098818</v>
      </c>
      <c r="X246" s="2">
        <f ca="1"/>
        <v>32.950983675543497</v>
      </c>
      <c r="AG246" s="2">
        <f ca="1"/>
        <v>0.5249916838327513</v>
      </c>
      <c r="AH246" s="2" t="str">
        <f ca="1"/>
        <v>Bad</v>
      </c>
    </row>
    <row r="247" spans="2:34" x14ac:dyDescent="0.2">
      <c r="B247" s="2">
        <f ca="1"/>
        <v>0.33147981776537838</v>
      </c>
      <c r="O247" s="2">
        <f ca="1"/>
        <v>1.6839317759675856</v>
      </c>
      <c r="X247" s="2">
        <f ca="1"/>
        <v>38.539842163853969</v>
      </c>
      <c r="AG247" s="2">
        <f ca="1"/>
        <v>0.93651631876614827</v>
      </c>
      <c r="AH247" s="2" t="str">
        <f ca="1"/>
        <v>Bad</v>
      </c>
    </row>
    <row r="248" spans="2:34" x14ac:dyDescent="0.2">
      <c r="B248" s="2">
        <f ca="1"/>
        <v>5.1758384866096296E-2</v>
      </c>
      <c r="O248" s="2">
        <f ca="1"/>
        <v>0.62111097812824878</v>
      </c>
      <c r="X248" s="2">
        <f ca="1"/>
        <v>55.547433966194397</v>
      </c>
      <c r="AG248" s="2">
        <f ca="1"/>
        <v>0.37986125082410149</v>
      </c>
      <c r="AH248" s="2" t="str">
        <f ca="1"/>
        <v>OK</v>
      </c>
    </row>
    <row r="249" spans="2:34" x14ac:dyDescent="0.2">
      <c r="B249" s="2">
        <f ca="1"/>
        <v>0.50702080644229985</v>
      </c>
      <c r="O249" s="2">
        <f ca="1"/>
        <v>-0.50699370660578025</v>
      </c>
      <c r="X249" s="2">
        <f ca="1"/>
        <v>49.264358174956328</v>
      </c>
      <c r="AG249" s="2">
        <f ca="1"/>
        <v>0.26360255761622353</v>
      </c>
      <c r="AH249" s="2" t="str">
        <f ca="1"/>
        <v>OK</v>
      </c>
    </row>
    <row r="250" spans="2:34" x14ac:dyDescent="0.2">
      <c r="B250" s="2">
        <f ca="1"/>
        <v>0.43969286518266415</v>
      </c>
      <c r="O250" s="2">
        <f ca="1"/>
        <v>1.7032058532203112</v>
      </c>
      <c r="X250" s="2">
        <f ca="1"/>
        <v>36.412257077597459</v>
      </c>
      <c r="AG250" s="2">
        <f ca="1"/>
        <v>0.46357443813773047</v>
      </c>
      <c r="AH250" s="2" t="str">
        <f ca="1"/>
        <v>Bad</v>
      </c>
    </row>
    <row r="251" spans="2:34" x14ac:dyDescent="0.2">
      <c r="B251" s="2">
        <f ca="1"/>
        <v>0.47481441316940276</v>
      </c>
      <c r="O251" s="2">
        <f ca="1"/>
        <v>0.63933108268810157</v>
      </c>
      <c r="X251" s="2">
        <f ca="1"/>
        <v>56.076032379914039</v>
      </c>
      <c r="AG251" s="2">
        <f ca="1"/>
        <v>0.79642284240246197</v>
      </c>
      <c r="AH251" s="2" t="str">
        <f ca="1"/>
        <v>Bad</v>
      </c>
    </row>
    <row r="252" spans="2:34" x14ac:dyDescent="0.2">
      <c r="B252" s="2">
        <f ca="1"/>
        <v>0.98405795138705243</v>
      </c>
      <c r="O252" s="2">
        <f ca="1"/>
        <v>0.170976501536237</v>
      </c>
      <c r="X252" s="2">
        <f ca="1"/>
        <v>35.371144115339213</v>
      </c>
      <c r="AG252" s="2">
        <f ca="1"/>
        <v>0.6774082751292767</v>
      </c>
      <c r="AH252" s="2" t="str">
        <f ca="1"/>
        <v>Bad</v>
      </c>
    </row>
    <row r="253" spans="2:34" x14ac:dyDescent="0.2">
      <c r="B253" s="2">
        <f ca="1"/>
        <v>0.19418440468374154</v>
      </c>
      <c r="O253" s="2">
        <f ca="1"/>
        <v>-1.2760608150746775</v>
      </c>
      <c r="X253" s="2">
        <f ca="1"/>
        <v>66.021642781182365</v>
      </c>
      <c r="AG253" s="2">
        <f ca="1"/>
        <v>0.84847647814607918</v>
      </c>
      <c r="AH253" s="2" t="str">
        <f ca="1"/>
        <v>Bad</v>
      </c>
    </row>
    <row r="254" spans="2:34" x14ac:dyDescent="0.2">
      <c r="B254" s="2">
        <f ca="1"/>
        <v>0.89060758145805052</v>
      </c>
      <c r="O254" s="2">
        <f ca="1"/>
        <v>0.16086312944471562</v>
      </c>
      <c r="X254" s="2">
        <f ca="1"/>
        <v>79.483028543278749</v>
      </c>
      <c r="AG254" s="2">
        <f ca="1"/>
        <v>0.57831154636771198</v>
      </c>
      <c r="AH254" s="2" t="str">
        <f ca="1"/>
        <v>Bad</v>
      </c>
    </row>
    <row r="255" spans="2:34" x14ac:dyDescent="0.2">
      <c r="B255" s="2">
        <f ca="1"/>
        <v>5.3891273249464078E-2</v>
      </c>
      <c r="O255" s="2">
        <f ca="1"/>
        <v>0.17089235027667754</v>
      </c>
      <c r="X255" s="2">
        <f ca="1"/>
        <v>40.492874365134512</v>
      </c>
      <c r="AG255" s="2">
        <f ca="1"/>
        <v>3.0948685167466738E-2</v>
      </c>
      <c r="AH255" s="2" t="str">
        <f ca="1"/>
        <v>Good</v>
      </c>
    </row>
    <row r="256" spans="2:34" x14ac:dyDescent="0.2">
      <c r="B256" s="2">
        <f ca="1"/>
        <v>5.9313035880288245E-2</v>
      </c>
      <c r="O256" s="2">
        <f ca="1"/>
        <v>-1.0253866374039369</v>
      </c>
      <c r="X256" s="2">
        <f ca="1"/>
        <v>86.399286626263304</v>
      </c>
      <c r="AG256" s="2">
        <f ca="1"/>
        <v>0.86777641804256178</v>
      </c>
      <c r="AH256" s="2" t="str">
        <f ca="1"/>
        <v>Bad</v>
      </c>
    </row>
    <row r="257" spans="2:34" x14ac:dyDescent="0.2">
      <c r="B257" s="2">
        <f ca="1"/>
        <v>0.17019937323444956</v>
      </c>
      <c r="O257" s="2">
        <f ca="1"/>
        <v>-0.85101155533382522</v>
      </c>
      <c r="X257" s="2">
        <f ca="1"/>
        <v>46.710732931619972</v>
      </c>
      <c r="AG257" s="2">
        <f ca="1"/>
        <v>4.722061367731234E-3</v>
      </c>
      <c r="AH257" s="2" t="str">
        <f ca="1"/>
        <v>Good</v>
      </c>
    </row>
    <row r="258" spans="2:34" x14ac:dyDescent="0.2">
      <c r="B258" s="2">
        <f ca="1"/>
        <v>0.32454225296765671</v>
      </c>
      <c r="O258" s="2">
        <f ca="1"/>
        <v>-0.43249695637534102</v>
      </c>
      <c r="X258" s="2">
        <f ca="1"/>
        <v>47.16876611557592</v>
      </c>
      <c r="AG258" s="2">
        <f ca="1"/>
        <v>0.94845121784482056</v>
      </c>
      <c r="AH258" s="2" t="str">
        <f ca="1"/>
        <v>Bad</v>
      </c>
    </row>
    <row r="259" spans="2:34" x14ac:dyDescent="0.2">
      <c r="B259" s="2">
        <f ca="1"/>
        <v>0.20490050989484532</v>
      </c>
      <c r="O259" s="2">
        <f ca="1"/>
        <v>-1.4741200792872775</v>
      </c>
      <c r="X259" s="2">
        <f ca="1"/>
        <v>46.94111932939294</v>
      </c>
      <c r="AG259" s="2">
        <f ca="1"/>
        <v>0.2036286783711847</v>
      </c>
      <c r="AH259" s="2" t="str">
        <f ca="1"/>
        <v>OK</v>
      </c>
    </row>
    <row r="260" spans="2:34" x14ac:dyDescent="0.2">
      <c r="B260" s="2">
        <f ca="1"/>
        <v>0.16051905746406248</v>
      </c>
      <c r="O260" s="2">
        <f ca="1"/>
        <v>-0.18797152298456613</v>
      </c>
      <c r="X260" s="2">
        <f ca="1"/>
        <v>54.678834787614733</v>
      </c>
      <c r="AG260" s="2">
        <f ca="1"/>
        <v>0.53692509764863372</v>
      </c>
      <c r="AH260" s="2" t="str">
        <f ca="1"/>
        <v>Bad</v>
      </c>
    </row>
    <row r="261" spans="2:34" x14ac:dyDescent="0.2">
      <c r="B261" s="2">
        <f ca="1"/>
        <v>7.6797412031235135E-2</v>
      </c>
      <c r="O261" s="2">
        <f ca="1"/>
        <v>-0.24658458042515419</v>
      </c>
      <c r="X261" s="2">
        <f ca="1"/>
        <v>54.989428986728306</v>
      </c>
      <c r="AG261" s="2">
        <f ca="1"/>
        <v>0.81004176707305842</v>
      </c>
      <c r="AH261" s="2" t="str">
        <f ca="1"/>
        <v>Bad</v>
      </c>
    </row>
    <row r="262" spans="2:34" x14ac:dyDescent="0.2">
      <c r="B262" s="2">
        <f ca="1"/>
        <v>1.7736316585590384E-3</v>
      </c>
      <c r="O262" s="2">
        <f ca="1"/>
        <v>-0.85881600925419666</v>
      </c>
      <c r="X262" s="2">
        <f ca="1"/>
        <v>51.734386503600632</v>
      </c>
      <c r="AG262" s="2">
        <f ca="1"/>
        <v>0.74887048703354209</v>
      </c>
      <c r="AH262" s="2" t="str">
        <f ca="1"/>
        <v>Bad</v>
      </c>
    </row>
    <row r="263" spans="2:34" x14ac:dyDescent="0.2">
      <c r="B263" s="2">
        <f ca="1"/>
        <v>0.35749508466261526</v>
      </c>
      <c r="O263" s="2">
        <f ca="1"/>
        <v>-1.0804051564259125</v>
      </c>
      <c r="X263" s="2">
        <f ca="1"/>
        <v>52.95160746557702</v>
      </c>
      <c r="AG263" s="2">
        <f ca="1"/>
        <v>0.23848235330197576</v>
      </c>
      <c r="AH263" s="2" t="str">
        <f ca="1"/>
        <v>OK</v>
      </c>
    </row>
    <row r="264" spans="2:34" x14ac:dyDescent="0.2">
      <c r="B264" s="2">
        <f ca="1"/>
        <v>8.0747341531690164E-2</v>
      </c>
      <c r="O264" s="2">
        <f ca="1"/>
        <v>0.74203933070457029</v>
      </c>
      <c r="X264" s="2">
        <f ca="1"/>
        <v>39.768523382750807</v>
      </c>
      <c r="AG264" s="2">
        <f ca="1"/>
        <v>0.16709420174997702</v>
      </c>
      <c r="AH264" s="2" t="str">
        <f ca="1"/>
        <v>OK</v>
      </c>
    </row>
    <row r="265" spans="2:34" x14ac:dyDescent="0.2">
      <c r="B265" s="2">
        <f ca="1"/>
        <v>8.4705586970449387E-2</v>
      </c>
      <c r="O265" s="2">
        <f ca="1"/>
        <v>2.2835468374729682</v>
      </c>
      <c r="X265" s="2">
        <f ca="1"/>
        <v>42.225459934309171</v>
      </c>
      <c r="AG265" s="2">
        <f ca="1"/>
        <v>0.67819901600298138</v>
      </c>
      <c r="AH265" s="2" t="str">
        <f ca="1"/>
        <v>Bad</v>
      </c>
    </row>
    <row r="266" spans="2:34" x14ac:dyDescent="0.2">
      <c r="B266" s="2">
        <f ca="1"/>
        <v>0.64531881514953238</v>
      </c>
      <c r="O266" s="2">
        <f ca="1"/>
        <v>-1.6865191347435136</v>
      </c>
      <c r="X266" s="2">
        <f ca="1"/>
        <v>44.420495557781543</v>
      </c>
      <c r="AG266" s="2">
        <f ca="1"/>
        <v>0.36037553622109231</v>
      </c>
      <c r="AH266" s="2" t="str">
        <f ca="1"/>
        <v>OK</v>
      </c>
    </row>
    <row r="267" spans="2:34" x14ac:dyDescent="0.2">
      <c r="B267" s="2">
        <f ca="1"/>
        <v>0.31673205767761314</v>
      </c>
      <c r="O267" s="2">
        <f ca="1"/>
        <v>-0.65680600942286749</v>
      </c>
      <c r="X267" s="2">
        <f ca="1"/>
        <v>52.804672452410422</v>
      </c>
      <c r="AG267" s="2">
        <f ca="1"/>
        <v>0.20010671334193675</v>
      </c>
      <c r="AH267" s="2" t="str">
        <f ca="1"/>
        <v>OK</v>
      </c>
    </row>
    <row r="268" spans="2:34" x14ac:dyDescent="0.2">
      <c r="B268" s="2">
        <f ca="1"/>
        <v>0.13288609563354115</v>
      </c>
      <c r="O268" s="2">
        <f ca="1"/>
        <v>-0.66695288959693044</v>
      </c>
      <c r="X268" s="2">
        <f ca="1"/>
        <v>48.293313327964533</v>
      </c>
      <c r="AG268" s="2">
        <f ca="1"/>
        <v>0.15189332799144761</v>
      </c>
      <c r="AH268" s="2" t="str">
        <f ca="1"/>
        <v>OK</v>
      </c>
    </row>
    <row r="269" spans="2:34" x14ac:dyDescent="0.2">
      <c r="B269" s="2">
        <f ca="1"/>
        <v>0.13113172498139702</v>
      </c>
      <c r="O269" s="2">
        <f ca="1"/>
        <v>-0.15693745095174297</v>
      </c>
      <c r="X269" s="2">
        <f ca="1"/>
        <v>28.460384125184206</v>
      </c>
      <c r="AG269" s="2">
        <f ca="1"/>
        <v>0.95076650143352159</v>
      </c>
      <c r="AH269" s="2" t="str">
        <f ca="1"/>
        <v>Bad</v>
      </c>
    </row>
    <row r="270" spans="2:34" x14ac:dyDescent="0.2">
      <c r="B270" s="2">
        <f ca="1"/>
        <v>0.81288937364384783</v>
      </c>
      <c r="O270" s="2">
        <f ca="1"/>
        <v>0.77805416824534002</v>
      </c>
      <c r="X270" s="2">
        <f ca="1"/>
        <v>69.192696866175524</v>
      </c>
      <c r="AG270" s="2">
        <f ca="1"/>
        <v>7.8522627132447509E-2</v>
      </c>
      <c r="AH270" s="2" t="str">
        <f ca="1"/>
        <v>OK</v>
      </c>
    </row>
    <row r="271" spans="2:34" x14ac:dyDescent="0.2">
      <c r="B271" s="2">
        <f ca="1"/>
        <v>0.9773503251142921</v>
      </c>
      <c r="O271" s="2">
        <f ca="1"/>
        <v>-1.0723219970778879</v>
      </c>
      <c r="X271" s="2">
        <f ca="1"/>
        <v>59.530291530260378</v>
      </c>
      <c r="AG271" s="2">
        <f ca="1"/>
        <v>2.8834783559239074E-2</v>
      </c>
      <c r="AH271" s="2" t="str">
        <f ca="1"/>
        <v>Good</v>
      </c>
    </row>
    <row r="272" spans="2:34" x14ac:dyDescent="0.2">
      <c r="B272" s="2">
        <f ca="1"/>
        <v>0.61396951496050578</v>
      </c>
      <c r="O272" s="2">
        <f ca="1"/>
        <v>-1.4902161077884213</v>
      </c>
      <c r="X272" s="2">
        <f ca="1"/>
        <v>78.65598929083724</v>
      </c>
      <c r="AG272" s="2">
        <f ca="1"/>
        <v>0.3460473291073054</v>
      </c>
      <c r="AH272" s="2" t="str">
        <f ca="1"/>
        <v>OK</v>
      </c>
    </row>
    <row r="273" spans="2:34" x14ac:dyDescent="0.2">
      <c r="B273" s="2">
        <f ca="1"/>
        <v>0.21475563073153614</v>
      </c>
      <c r="O273" s="2">
        <f ca="1"/>
        <v>1.6029013939148253</v>
      </c>
      <c r="X273" s="2">
        <f ca="1"/>
        <v>50.224047853834229</v>
      </c>
      <c r="AG273" s="2">
        <f ca="1"/>
        <v>0.38663002891893461</v>
      </c>
      <c r="AH273" s="2" t="str">
        <f ca="1"/>
        <v>OK</v>
      </c>
    </row>
    <row r="274" spans="2:34" x14ac:dyDescent="0.2">
      <c r="B274" s="2">
        <f ca="1"/>
        <v>0.96757261568079866</v>
      </c>
      <c r="O274" s="2">
        <f ca="1"/>
        <v>1.6745663826635908</v>
      </c>
      <c r="X274" s="2">
        <f ca="1"/>
        <v>37.479226119797488</v>
      </c>
      <c r="AG274" s="2">
        <f ca="1"/>
        <v>0.20150612484898245</v>
      </c>
      <c r="AH274" s="2" t="str">
        <f ca="1"/>
        <v>OK</v>
      </c>
    </row>
    <row r="275" spans="2:34" x14ac:dyDescent="0.2">
      <c r="B275" s="2">
        <f ca="1"/>
        <v>0.32646973378508859</v>
      </c>
      <c r="O275" s="2">
        <f ca="1"/>
        <v>1.0357263346920211</v>
      </c>
      <c r="X275" s="2">
        <f ca="1"/>
        <v>51.163912490626714</v>
      </c>
      <c r="AG275" s="2">
        <f ca="1"/>
        <v>0.76220349487719496</v>
      </c>
      <c r="AH275" s="2" t="str">
        <f ca="1"/>
        <v>Bad</v>
      </c>
    </row>
    <row r="276" spans="2:34" x14ac:dyDescent="0.2">
      <c r="B276" s="2">
        <f ca="1"/>
        <v>0.13217941136997102</v>
      </c>
      <c r="O276" s="2">
        <f ca="1"/>
        <v>9.0717171359246465E-2</v>
      </c>
      <c r="X276" s="2">
        <f ca="1"/>
        <v>34.408844643427756</v>
      </c>
      <c r="AG276" s="2">
        <f ca="1"/>
        <v>0.1892849402402399</v>
      </c>
      <c r="AH276" s="2" t="str">
        <f ca="1"/>
        <v>OK</v>
      </c>
    </row>
    <row r="277" spans="2:34" x14ac:dyDescent="0.2">
      <c r="B277" s="2">
        <f ca="1"/>
        <v>0.12491098362190978</v>
      </c>
      <c r="O277" s="2">
        <f ca="1"/>
        <v>0.90457075456941693</v>
      </c>
      <c r="X277" s="2">
        <f ca="1"/>
        <v>55.54174525114356</v>
      </c>
      <c r="AG277" s="2">
        <f ca="1"/>
        <v>0.54753095711609467</v>
      </c>
      <c r="AH277" s="2" t="str">
        <f ca="1"/>
        <v>Bad</v>
      </c>
    </row>
    <row r="278" spans="2:34" x14ac:dyDescent="0.2">
      <c r="B278" s="2">
        <f ca="1"/>
        <v>0.34287293811474528</v>
      </c>
      <c r="O278" s="2">
        <f ca="1"/>
        <v>-0.59082011564387737</v>
      </c>
      <c r="X278" s="2">
        <f ca="1"/>
        <v>29.961260587262647</v>
      </c>
      <c r="AG278" s="2">
        <f ca="1"/>
        <v>0.22145809943076578</v>
      </c>
      <c r="AH278" s="2" t="str">
        <f ca="1"/>
        <v>OK</v>
      </c>
    </row>
    <row r="279" spans="2:34" x14ac:dyDescent="0.2">
      <c r="B279" s="2">
        <f ca="1"/>
        <v>0.89294157242897176</v>
      </c>
      <c r="O279" s="2">
        <f ca="1"/>
        <v>-0.98090880736168196</v>
      </c>
      <c r="X279" s="2">
        <f ca="1"/>
        <v>36.45660105330888</v>
      </c>
      <c r="AG279" s="2">
        <f ca="1"/>
        <v>0.41790385355818649</v>
      </c>
      <c r="AH279" s="2" t="str">
        <f ca="1"/>
        <v>Bad</v>
      </c>
    </row>
    <row r="280" spans="2:34" x14ac:dyDescent="0.2">
      <c r="B280" s="2">
        <f ca="1"/>
        <v>0.65287792408539191</v>
      </c>
      <c r="O280" s="2">
        <f ca="1"/>
        <v>1.3731136683794312</v>
      </c>
      <c r="X280" s="2">
        <f ca="1"/>
        <v>77.882566371109363</v>
      </c>
      <c r="AG280" s="2">
        <f ca="1"/>
        <v>0.67568774408202104</v>
      </c>
      <c r="AH280" s="2" t="str">
        <f ca="1"/>
        <v>Bad</v>
      </c>
    </row>
    <row r="281" spans="2:34" x14ac:dyDescent="0.2">
      <c r="B281" s="2">
        <f ca="1"/>
        <v>0.63764794084008725</v>
      </c>
      <c r="O281" s="2">
        <f ca="1"/>
        <v>-0.19493723709880281</v>
      </c>
      <c r="X281" s="2">
        <f ca="1"/>
        <v>29.781440993633428</v>
      </c>
      <c r="AG281" s="2">
        <f ca="1"/>
        <v>0.80280576628405287</v>
      </c>
      <c r="AH281" s="2" t="str">
        <f ca="1"/>
        <v>Bad</v>
      </c>
    </row>
    <row r="282" spans="2:34" x14ac:dyDescent="0.2">
      <c r="B282" s="2">
        <f ca="1"/>
        <v>0.93414766904209001</v>
      </c>
      <c r="O282" s="2">
        <f ca="1"/>
        <v>-0.68336934011411588</v>
      </c>
      <c r="X282" s="2">
        <f ca="1"/>
        <v>60.772868042970572</v>
      </c>
      <c r="AG282" s="2">
        <f ca="1"/>
        <v>0.48472271400411793</v>
      </c>
      <c r="AH282" s="2" t="str">
        <f ca="1"/>
        <v>Bad</v>
      </c>
    </row>
    <row r="283" spans="2:34" x14ac:dyDescent="0.2">
      <c r="B283" s="2">
        <f ca="1"/>
        <v>0.67035801412901286</v>
      </c>
      <c r="O283" s="2">
        <f ca="1"/>
        <v>-1.8696353117118034</v>
      </c>
      <c r="X283" s="2">
        <f ca="1"/>
        <v>54.729195097647306</v>
      </c>
      <c r="AG283" s="2">
        <f ca="1"/>
        <v>0.41605996470818352</v>
      </c>
      <c r="AH283" s="2" t="str">
        <f ca="1"/>
        <v>Bad</v>
      </c>
    </row>
    <row r="284" spans="2:34" x14ac:dyDescent="0.2">
      <c r="B284" s="2">
        <f ca="1"/>
        <v>0.996547140325452</v>
      </c>
      <c r="O284" s="2">
        <f ca="1"/>
        <v>0.8324378307949476</v>
      </c>
      <c r="X284" s="2">
        <f ca="1"/>
        <v>44.316951420021027</v>
      </c>
      <c r="AG284" s="2">
        <f ca="1"/>
        <v>0.20823759069062819</v>
      </c>
      <c r="AH284" s="2" t="str">
        <f ca="1"/>
        <v>OK</v>
      </c>
    </row>
    <row r="285" spans="2:34" x14ac:dyDescent="0.2">
      <c r="B285" s="2">
        <f ca="1"/>
        <v>0.40610493598948438</v>
      </c>
      <c r="O285" s="2">
        <f ca="1"/>
        <v>0.53391523062756052</v>
      </c>
      <c r="X285" s="2">
        <f ca="1"/>
        <v>36.078423297673481</v>
      </c>
      <c r="AG285" s="2">
        <f ca="1"/>
        <v>0.26732799055163481</v>
      </c>
      <c r="AH285" s="2" t="str">
        <f ca="1"/>
        <v>OK</v>
      </c>
    </row>
    <row r="286" spans="2:34" x14ac:dyDescent="0.2">
      <c r="B286" s="2">
        <f ca="1"/>
        <v>0.62063575912965208</v>
      </c>
      <c r="O286" s="2">
        <f ca="1"/>
        <v>2.0933032012660466</v>
      </c>
      <c r="X286" s="2">
        <f ca="1"/>
        <v>54.430178721065666</v>
      </c>
      <c r="AG286" s="2">
        <f ca="1"/>
        <v>0.10834775227860871</v>
      </c>
      <c r="AH286" s="2" t="str">
        <f ca="1"/>
        <v>OK</v>
      </c>
    </row>
    <row r="287" spans="2:34" x14ac:dyDescent="0.2">
      <c r="B287" s="2">
        <f ca="1"/>
        <v>0.98575871070988641</v>
      </c>
      <c r="O287" s="2">
        <f ca="1"/>
        <v>-0.34560433768004756</v>
      </c>
      <c r="X287" s="2">
        <f ca="1"/>
        <v>81.993871080065105</v>
      </c>
      <c r="AG287" s="2">
        <f ca="1"/>
        <v>0.71721207969859924</v>
      </c>
      <c r="AH287" s="2" t="str">
        <f ca="1"/>
        <v>Bad</v>
      </c>
    </row>
    <row r="288" spans="2:34" x14ac:dyDescent="0.2">
      <c r="B288" s="2">
        <f ca="1"/>
        <v>0.25138823673438315</v>
      </c>
      <c r="O288" s="2">
        <f ca="1"/>
        <v>1.2058015662188932</v>
      </c>
      <c r="X288" s="2">
        <f ca="1"/>
        <v>54.349481547635214</v>
      </c>
      <c r="AG288" s="2">
        <f ca="1"/>
        <v>0.6068978352197778</v>
      </c>
      <c r="AH288" s="2" t="str">
        <f ca="1"/>
        <v>Bad</v>
      </c>
    </row>
    <row r="289" spans="2:34" x14ac:dyDescent="0.2">
      <c r="B289" s="2">
        <f ca="1"/>
        <v>0.65820455310932902</v>
      </c>
      <c r="O289" s="2">
        <f ca="1"/>
        <v>0.61140138940658773</v>
      </c>
      <c r="X289" s="2">
        <f ca="1"/>
        <v>72.265980498955756</v>
      </c>
      <c r="AG289" s="2">
        <f ca="1"/>
        <v>0.14085028866766924</v>
      </c>
      <c r="AH289" s="2" t="str">
        <f ca="1"/>
        <v>OK</v>
      </c>
    </row>
    <row r="290" spans="2:34" x14ac:dyDescent="0.2">
      <c r="B290" s="2">
        <f ca="1"/>
        <v>0.50268805791776239</v>
      </c>
      <c r="O290" s="2">
        <f ca="1"/>
        <v>-1.1851229288021601</v>
      </c>
      <c r="X290" s="2">
        <f ca="1"/>
        <v>53.784225467282667</v>
      </c>
      <c r="AG290" s="2">
        <f ca="1"/>
        <v>0.94083836640222374</v>
      </c>
      <c r="AH290" s="2" t="str">
        <f ca="1"/>
        <v>Bad</v>
      </c>
    </row>
    <row r="291" spans="2:34" x14ac:dyDescent="0.2">
      <c r="B291" s="2">
        <f ca="1"/>
        <v>0.21511718129674096</v>
      </c>
      <c r="O291" s="2">
        <f ca="1"/>
        <v>0.5022168845428876</v>
      </c>
      <c r="X291" s="2">
        <f ca="1"/>
        <v>74.734663445357114</v>
      </c>
      <c r="AG291" s="2">
        <f ca="1"/>
        <v>0.35691523191005836</v>
      </c>
      <c r="AH291" s="2" t="str">
        <f ca="1"/>
        <v>OK</v>
      </c>
    </row>
    <row r="292" spans="2:34" x14ac:dyDescent="0.2">
      <c r="B292" s="2">
        <f ca="1"/>
        <v>0.64734628999985921</v>
      </c>
      <c r="O292" s="2">
        <f ca="1"/>
        <v>2.2448521225605056</v>
      </c>
      <c r="X292" s="2">
        <f ca="1"/>
        <v>44.419515536267227</v>
      </c>
      <c r="AG292" s="2">
        <f ca="1"/>
        <v>0.55245686341882916</v>
      </c>
      <c r="AH292" s="2" t="str">
        <f ca="1"/>
        <v>Bad</v>
      </c>
    </row>
    <row r="293" spans="2:34" x14ac:dyDescent="0.2">
      <c r="B293" s="2">
        <f ca="1"/>
        <v>0.24334673523259265</v>
      </c>
      <c r="O293" s="2">
        <f ca="1"/>
        <v>1.109457716236707</v>
      </c>
      <c r="X293" s="2">
        <f ca="1"/>
        <v>47.771766121634926</v>
      </c>
      <c r="AG293" s="2">
        <f ca="1"/>
        <v>7.0619024164445987E-2</v>
      </c>
      <c r="AH293" s="2" t="str">
        <f ca="1"/>
        <v>OK</v>
      </c>
    </row>
    <row r="294" spans="2:34" x14ac:dyDescent="0.2">
      <c r="B294" s="2">
        <f ca="1"/>
        <v>0.53703590658561806</v>
      </c>
      <c r="O294" s="2">
        <f ca="1"/>
        <v>0.8305352089688014</v>
      </c>
      <c r="X294" s="2">
        <f ca="1"/>
        <v>63.527439831300981</v>
      </c>
      <c r="AG294" s="2">
        <f ca="1"/>
        <v>0.50929360495090603</v>
      </c>
      <c r="AH294" s="2" t="str">
        <f ca="1"/>
        <v>Bad</v>
      </c>
    </row>
    <row r="295" spans="2:34" x14ac:dyDescent="0.2">
      <c r="B295" s="2">
        <f ca="1"/>
        <v>0.28964218864001756</v>
      </c>
      <c r="O295" s="2">
        <f ca="1"/>
        <v>0.60213505177583271</v>
      </c>
      <c r="X295" s="2">
        <f ca="1"/>
        <v>49.029350692707325</v>
      </c>
      <c r="AG295" s="2">
        <f ca="1"/>
        <v>0.74828564972758738</v>
      </c>
      <c r="AH295" s="2" t="str">
        <f ca="1"/>
        <v>Bad</v>
      </c>
    </row>
    <row r="296" spans="2:34" x14ac:dyDescent="0.2">
      <c r="B296" s="2">
        <f ca="1"/>
        <v>0.10064335716467387</v>
      </c>
      <c r="O296" s="2">
        <f ca="1"/>
        <v>8.9680187729855088E-2</v>
      </c>
      <c r="X296" s="2">
        <f ca="1"/>
        <v>44.510165628887378</v>
      </c>
      <c r="AG296" s="2">
        <f ca="1"/>
        <v>0.8263056270329372</v>
      </c>
      <c r="AH296" s="2" t="str">
        <f ca="1"/>
        <v>Bad</v>
      </c>
    </row>
    <row r="297" spans="2:34" x14ac:dyDescent="0.2">
      <c r="B297" s="2">
        <f ca="1"/>
        <v>0.12961043682301332</v>
      </c>
      <c r="O297" s="2">
        <f ca="1"/>
        <v>-1.8259806278850004</v>
      </c>
      <c r="X297" s="2">
        <f ca="1"/>
        <v>53.903909692069327</v>
      </c>
      <c r="AG297" s="2">
        <f ca="1"/>
        <v>0.25214212142769665</v>
      </c>
      <c r="AH297" s="2" t="str">
        <f ca="1"/>
        <v>OK</v>
      </c>
    </row>
    <row r="298" spans="2:34" x14ac:dyDescent="0.2">
      <c r="B298" s="2">
        <f ca="1"/>
        <v>0.47563827201658571</v>
      </c>
      <c r="O298" s="2">
        <f ca="1"/>
        <v>-1.2157822373584064</v>
      </c>
      <c r="X298" s="2">
        <f ca="1"/>
        <v>74.350013652208304</v>
      </c>
      <c r="AG298" s="2">
        <f ca="1"/>
        <v>7.1741403733356801E-2</v>
      </c>
      <c r="AH298" s="2" t="str">
        <f ca="1"/>
        <v>OK</v>
      </c>
    </row>
    <row r="299" spans="2:34" x14ac:dyDescent="0.2">
      <c r="B299" s="2">
        <f ca="1"/>
        <v>0.58641104325536952</v>
      </c>
      <c r="O299" s="2">
        <f ca="1"/>
        <v>-0.36498032183831935</v>
      </c>
      <c r="X299" s="2">
        <f ca="1"/>
        <v>43.708619605361363</v>
      </c>
      <c r="AG299" s="2">
        <f ca="1"/>
        <v>0.71103864062583355</v>
      </c>
      <c r="AH299" s="2" t="str">
        <f ca="1"/>
        <v>Bad</v>
      </c>
    </row>
    <row r="300" spans="2:34" x14ac:dyDescent="0.2">
      <c r="B300" s="2">
        <f ca="1"/>
        <v>0.92525287935740641</v>
      </c>
      <c r="O300" s="2">
        <f ca="1"/>
        <v>-0.66301526534353139</v>
      </c>
      <c r="X300" s="2">
        <f ca="1"/>
        <v>72.236825102692649</v>
      </c>
      <c r="AG300" s="2">
        <f ca="1"/>
        <v>2.0399713054443325E-2</v>
      </c>
      <c r="AH300" s="2" t="str">
        <f ca="1"/>
        <v>Good</v>
      </c>
    </row>
    <row r="301" spans="2:34" x14ac:dyDescent="0.2">
      <c r="B301" s="2">
        <f ca="1"/>
        <v>0.94618331266547129</v>
      </c>
      <c r="O301" s="2">
        <f ca="1"/>
        <v>-0.891677800856292</v>
      </c>
      <c r="X301" s="2">
        <f ca="1"/>
        <v>58.066591613843016</v>
      </c>
      <c r="AG301" s="2">
        <f ca="1"/>
        <v>0.13974329108603234</v>
      </c>
      <c r="AH301" s="2" t="str">
        <f ca="1"/>
        <v>OK</v>
      </c>
    </row>
    <row r="302" spans="2:34" x14ac:dyDescent="0.2">
      <c r="B302" s="2">
        <f ca="1"/>
        <v>5.7754640599921414E-2</v>
      </c>
      <c r="O302" s="2">
        <f ca="1"/>
        <v>0.78325647911920371</v>
      </c>
      <c r="X302" s="2">
        <f ca="1"/>
        <v>44.723367352984418</v>
      </c>
      <c r="AG302" s="2">
        <f ca="1"/>
        <v>0.88121460154009035</v>
      </c>
      <c r="AH302" s="2" t="str">
        <f ca="1"/>
        <v>Bad</v>
      </c>
    </row>
    <row r="303" spans="2:34" x14ac:dyDescent="0.2">
      <c r="B303" s="2">
        <f ca="1"/>
        <v>0.86923120450724722</v>
      </c>
      <c r="O303" s="2">
        <f ca="1"/>
        <v>0.55057367261749945</v>
      </c>
      <c r="X303" s="2">
        <f ca="1"/>
        <v>47.664939795024168</v>
      </c>
      <c r="AG303" s="2">
        <f ca="1"/>
        <v>0.82909539716306369</v>
      </c>
      <c r="AH303" s="2" t="str">
        <f ca="1"/>
        <v>Bad</v>
      </c>
    </row>
    <row r="304" spans="2:34" x14ac:dyDescent="0.2">
      <c r="B304" s="2">
        <f ca="1"/>
        <v>0.33496157600521093</v>
      </c>
      <c r="O304" s="2">
        <f ca="1"/>
        <v>-0.19913230023535877</v>
      </c>
      <c r="X304" s="2">
        <f ca="1"/>
        <v>37.796363754433095</v>
      </c>
      <c r="AG304" s="2">
        <f ca="1"/>
        <v>0.84353985702418632</v>
      </c>
      <c r="AH304" s="2" t="str">
        <f ca="1"/>
        <v>Bad</v>
      </c>
    </row>
    <row r="305" spans="2:34" x14ac:dyDescent="0.2">
      <c r="B305" s="2">
        <f ca="1"/>
        <v>0.57915265235419477</v>
      </c>
      <c r="O305" s="2">
        <f ca="1"/>
        <v>-0.50913921587456201</v>
      </c>
      <c r="X305" s="2">
        <f ca="1"/>
        <v>45.437329809821279</v>
      </c>
      <c r="AG305" s="2">
        <f ca="1"/>
        <v>0.83098930064852405</v>
      </c>
      <c r="AH305" s="2" t="str">
        <f ca="1"/>
        <v>Bad</v>
      </c>
    </row>
    <row r="306" spans="2:34" x14ac:dyDescent="0.2">
      <c r="B306" s="2">
        <f ca="1"/>
        <v>0.29595734412736285</v>
      </c>
      <c r="O306" s="2">
        <f ca="1"/>
        <v>-1.341959171693385</v>
      </c>
      <c r="X306" s="2">
        <f ca="1"/>
        <v>44.528606792622114</v>
      </c>
      <c r="AG306" s="2">
        <f ca="1"/>
        <v>0.87630925226931833</v>
      </c>
      <c r="AH306" s="2" t="str">
        <f ca="1"/>
        <v>Bad</v>
      </c>
    </row>
    <row r="307" spans="2:34" x14ac:dyDescent="0.2">
      <c r="B307" s="2">
        <f ca="1"/>
        <v>0.81377207648925598</v>
      </c>
      <c r="O307" s="2">
        <f ca="1"/>
        <v>1.2073459224217982</v>
      </c>
      <c r="X307" s="2">
        <f ca="1"/>
        <v>37.365255516093576</v>
      </c>
      <c r="AG307" s="2">
        <f ca="1"/>
        <v>0.8605844423397393</v>
      </c>
      <c r="AH307" s="2" t="str">
        <f ca="1"/>
        <v>Bad</v>
      </c>
    </row>
    <row r="308" spans="2:34" x14ac:dyDescent="0.2">
      <c r="B308" s="2">
        <f ca="1"/>
        <v>0.99517906290594493</v>
      </c>
      <c r="O308" s="2">
        <f ca="1"/>
        <v>4.0561719909574377E-2</v>
      </c>
      <c r="X308" s="2">
        <f ca="1"/>
        <v>32.786409381014764</v>
      </c>
      <c r="AG308" s="2">
        <f ca="1"/>
        <v>0.64106933807145783</v>
      </c>
      <c r="AH308" s="2" t="str">
        <f ca="1"/>
        <v>Bad</v>
      </c>
    </row>
    <row r="309" spans="2:34" x14ac:dyDescent="0.2">
      <c r="B309" s="2">
        <f ca="1"/>
        <v>0.58952394310188305</v>
      </c>
      <c r="O309" s="2">
        <f ca="1"/>
        <v>-0.96918644175502155</v>
      </c>
      <c r="X309" s="2">
        <f ca="1"/>
        <v>50.906972319641916</v>
      </c>
      <c r="AG309" s="2">
        <f ca="1"/>
        <v>0.5407718420804537</v>
      </c>
      <c r="AH309" s="2" t="str">
        <f ca="1"/>
        <v>Bad</v>
      </c>
    </row>
    <row r="310" spans="2:34" x14ac:dyDescent="0.2">
      <c r="B310" s="2">
        <f ca="1"/>
        <v>6.3777314825600673E-2</v>
      </c>
      <c r="O310" s="2">
        <f ca="1"/>
        <v>-0.2149096899237681</v>
      </c>
      <c r="X310" s="2">
        <f ca="1"/>
        <v>18.348483608681249</v>
      </c>
      <c r="AG310" s="2">
        <f ca="1"/>
        <v>8.3319040089706808E-2</v>
      </c>
      <c r="AH310" s="2" t="str">
        <f ca="1"/>
        <v>OK</v>
      </c>
    </row>
    <row r="311" spans="2:34" x14ac:dyDescent="0.2">
      <c r="B311" s="2">
        <f ca="1"/>
        <v>0.41027599175146445</v>
      </c>
      <c r="O311" s="2">
        <f ca="1"/>
        <v>-1.4615579893611772</v>
      </c>
      <c r="X311" s="2">
        <f ca="1"/>
        <v>91.452329651421707</v>
      </c>
      <c r="AG311" s="2">
        <f ca="1"/>
        <v>0.25535546878077686</v>
      </c>
      <c r="AH311" s="2" t="str">
        <f ca="1"/>
        <v>OK</v>
      </c>
    </row>
    <row r="312" spans="2:34" x14ac:dyDescent="0.2">
      <c r="B312" s="2">
        <f ca="1"/>
        <v>0.21051645223837223</v>
      </c>
      <c r="O312" s="2">
        <f ca="1"/>
        <v>-0.19023248609066903</v>
      </c>
      <c r="X312" s="2">
        <f ca="1"/>
        <v>37.643031364379645</v>
      </c>
      <c r="AG312" s="2">
        <f ca="1"/>
        <v>0.85321559126238378</v>
      </c>
      <c r="AH312" s="2" t="str">
        <f ca="1"/>
        <v>Bad</v>
      </c>
    </row>
    <row r="313" spans="2:34" x14ac:dyDescent="0.2">
      <c r="B313" s="2">
        <f ca="1"/>
        <v>0.99943320031864902</v>
      </c>
      <c r="O313" s="2">
        <f ca="1"/>
        <v>-0.40355294824859633</v>
      </c>
      <c r="X313" s="2">
        <f ca="1"/>
        <v>49.596089362475936</v>
      </c>
      <c r="AG313" s="2">
        <f ca="1"/>
        <v>0.6701295557143867</v>
      </c>
      <c r="AH313" s="2" t="str">
        <f ca="1"/>
        <v>Bad</v>
      </c>
    </row>
    <row r="314" spans="2:34" x14ac:dyDescent="0.2">
      <c r="B314" s="2">
        <f ca="1"/>
        <v>0.78922541367221988</v>
      </c>
      <c r="O314" s="2">
        <f ca="1"/>
        <v>1.178374689680411</v>
      </c>
      <c r="X314" s="2">
        <f ca="1"/>
        <v>29.919917589268167</v>
      </c>
      <c r="AG314" s="2">
        <f ca="1"/>
        <v>0.29548509473317952</v>
      </c>
      <c r="AH314" s="2" t="str">
        <f ca="1"/>
        <v>OK</v>
      </c>
    </row>
    <row r="315" spans="2:34" x14ac:dyDescent="0.2">
      <c r="B315" s="2">
        <f ca="1"/>
        <v>0.27412193003321295</v>
      </c>
      <c r="O315" s="2">
        <f ca="1"/>
        <v>-0.80593839868967698</v>
      </c>
      <c r="X315" s="2">
        <f ca="1"/>
        <v>84.396861053526479</v>
      </c>
      <c r="AG315" s="2">
        <f ca="1"/>
        <v>0.75919499733180729</v>
      </c>
      <c r="AH315" s="2" t="str">
        <f ca="1"/>
        <v>Bad</v>
      </c>
    </row>
    <row r="316" spans="2:34" x14ac:dyDescent="0.2">
      <c r="B316" s="2">
        <f ca="1"/>
        <v>0.24446975734386034</v>
      </c>
      <c r="O316" s="2">
        <f ca="1"/>
        <v>0.25862406445576824</v>
      </c>
      <c r="X316" s="2">
        <f ca="1"/>
        <v>37.897540725543884</v>
      </c>
      <c r="AG316" s="2">
        <f ca="1"/>
        <v>0.21944699561976444</v>
      </c>
      <c r="AH316" s="2" t="str">
        <f ca="1"/>
        <v>OK</v>
      </c>
    </row>
    <row r="317" spans="2:34" x14ac:dyDescent="0.2">
      <c r="B317" s="2">
        <f ca="1"/>
        <v>0.21374190741842658</v>
      </c>
      <c r="O317" s="2">
        <f ca="1"/>
        <v>-0.18813407160444787</v>
      </c>
      <c r="X317" s="2">
        <f ca="1"/>
        <v>51.895156815372189</v>
      </c>
      <c r="AG317" s="2">
        <f ca="1"/>
        <v>0.55716311817000252</v>
      </c>
      <c r="AH317" s="2" t="str">
        <f ca="1"/>
        <v>Bad</v>
      </c>
    </row>
    <row r="318" spans="2:34" x14ac:dyDescent="0.2">
      <c r="B318" s="2">
        <f ca="1"/>
        <v>0.69523660533237508</v>
      </c>
      <c r="O318" s="2">
        <f ca="1"/>
        <v>-0.7532898272619295</v>
      </c>
      <c r="X318" s="2">
        <f ca="1"/>
        <v>67.238084215475567</v>
      </c>
      <c r="AG318" s="2">
        <f ca="1"/>
        <v>5.4754926662193837E-2</v>
      </c>
      <c r="AH318" s="2" t="str">
        <f ca="1"/>
        <v>OK</v>
      </c>
    </row>
    <row r="319" spans="2:34" x14ac:dyDescent="0.2">
      <c r="B319" s="2">
        <f ca="1"/>
        <v>0.59293371644009629</v>
      </c>
      <c r="O319" s="2">
        <f ca="1"/>
        <v>-2.2689592635899798</v>
      </c>
      <c r="X319" s="2">
        <f ca="1"/>
        <v>54.609907973998588</v>
      </c>
      <c r="AG319" s="2">
        <f ca="1"/>
        <v>0.68449992563969619</v>
      </c>
      <c r="AH319" s="2" t="str">
        <f ca="1"/>
        <v>Bad</v>
      </c>
    </row>
    <row r="320" spans="2:34" x14ac:dyDescent="0.2">
      <c r="B320" s="2">
        <f ca="1"/>
        <v>0.96206708229347515</v>
      </c>
      <c r="O320" s="2">
        <f ca="1"/>
        <v>-1.2447053997276056</v>
      </c>
      <c r="X320" s="2">
        <f ca="1"/>
        <v>75.795800691684448</v>
      </c>
      <c r="AG320" s="2">
        <f ca="1"/>
        <v>0.17985246505411179</v>
      </c>
      <c r="AH320" s="2" t="str">
        <f ca="1"/>
        <v>OK</v>
      </c>
    </row>
    <row r="321" spans="2:34" x14ac:dyDescent="0.2">
      <c r="B321" s="2">
        <f ca="1"/>
        <v>0.57518421847013768</v>
      </c>
      <c r="O321" s="2">
        <f ca="1"/>
        <v>1.8805877175424852</v>
      </c>
      <c r="X321" s="2">
        <f ca="1"/>
        <v>46.495300269561362</v>
      </c>
      <c r="AG321" s="2">
        <f ca="1"/>
        <v>7.7505559073759445E-2</v>
      </c>
      <c r="AH321" s="2" t="str">
        <f ca="1"/>
        <v>OK</v>
      </c>
    </row>
    <row r="322" spans="2:34" x14ac:dyDescent="0.2">
      <c r="B322" s="2">
        <f ca="1"/>
        <v>0.42802705560368093</v>
      </c>
      <c r="O322" s="2">
        <f ca="1"/>
        <v>-0.7496235637252201</v>
      </c>
      <c r="X322" s="2">
        <f ca="1"/>
        <v>49.154993106455684</v>
      </c>
      <c r="AG322" s="2">
        <f ca="1"/>
        <v>0.97341364455417301</v>
      </c>
      <c r="AH322" s="2" t="str">
        <f ca="1"/>
        <v>Bad</v>
      </c>
    </row>
    <row r="323" spans="2:34" x14ac:dyDescent="0.2">
      <c r="B323" s="2">
        <f ca="1"/>
        <v>0.11532262499972301</v>
      </c>
      <c r="O323" s="2">
        <f ca="1"/>
        <v>-5.8584712745563421E-2</v>
      </c>
      <c r="X323" s="2">
        <f ca="1"/>
        <v>47.960093745955945</v>
      </c>
      <c r="AG323" s="2">
        <f ca="1"/>
        <v>0.95810606731262271</v>
      </c>
      <c r="AH323" s="2" t="str">
        <f ca="1"/>
        <v>Bad</v>
      </c>
    </row>
    <row r="324" spans="2:34" x14ac:dyDescent="0.2">
      <c r="B324" s="2">
        <f ca="1"/>
        <v>0.55506490203041925</v>
      </c>
      <c r="O324" s="2">
        <f ca="1"/>
        <v>-0.27105144514814045</v>
      </c>
      <c r="X324" s="2">
        <f ca="1"/>
        <v>58.803928232750124</v>
      </c>
      <c r="AG324" s="2">
        <f ca="1"/>
        <v>0.52483092845495571</v>
      </c>
      <c r="AH324" s="2" t="str">
        <f ca="1"/>
        <v>Bad</v>
      </c>
    </row>
    <row r="325" spans="2:34" x14ac:dyDescent="0.2">
      <c r="B325" s="2">
        <f ca="1"/>
        <v>0.17734417775300271</v>
      </c>
      <c r="O325" s="2">
        <f ca="1"/>
        <v>1.0020699848438337</v>
      </c>
      <c r="X325" s="2">
        <f ca="1"/>
        <v>56.356592412752534</v>
      </c>
      <c r="AG325" s="2">
        <f ca="1"/>
        <v>0.85602322133742503</v>
      </c>
      <c r="AH325" s="2" t="str">
        <f ca="1"/>
        <v>Bad</v>
      </c>
    </row>
    <row r="326" spans="2:34" x14ac:dyDescent="0.2">
      <c r="B326" s="2">
        <f ca="1"/>
        <v>0.18688891119270701</v>
      </c>
      <c r="O326" s="2">
        <f ca="1"/>
        <v>0.65100778248470259</v>
      </c>
      <c r="X326" s="2">
        <f ca="1"/>
        <v>36.278668284591042</v>
      </c>
      <c r="AG326" s="2">
        <f ca="1"/>
        <v>0.66004977173539503</v>
      </c>
      <c r="AH326" s="2" t="str">
        <f ca="1"/>
        <v>Bad</v>
      </c>
    </row>
    <row r="327" spans="2:34" x14ac:dyDescent="0.2">
      <c r="B327" s="2">
        <f ca="1"/>
        <v>0.2641115167878485</v>
      </c>
      <c r="O327" s="2">
        <f ca="1"/>
        <v>4.7865736059977494E-2</v>
      </c>
      <c r="X327" s="2">
        <f ca="1"/>
        <v>47.675129742629764</v>
      </c>
      <c r="AG327" s="2">
        <f ca="1"/>
        <v>0.3593726628127103</v>
      </c>
      <c r="AH327" s="2" t="str">
        <f ca="1"/>
        <v>OK</v>
      </c>
    </row>
    <row r="328" spans="2:34" x14ac:dyDescent="0.2">
      <c r="B328" s="2">
        <f ca="1"/>
        <v>0.86990885045908928</v>
      </c>
      <c r="O328" s="2">
        <f ca="1"/>
        <v>-0.45660906176251354</v>
      </c>
      <c r="X328" s="2">
        <f ca="1"/>
        <v>52.162758180590473</v>
      </c>
      <c r="AG328" s="2">
        <f ca="1"/>
        <v>3.1269270660441606E-2</v>
      </c>
      <c r="AH328" s="2" t="str">
        <f ca="1"/>
        <v>Good</v>
      </c>
    </row>
    <row r="329" spans="2:34" x14ac:dyDescent="0.2">
      <c r="B329" s="2">
        <f ca="1"/>
        <v>0.2340387951872509</v>
      </c>
      <c r="O329" s="2">
        <f ca="1"/>
        <v>0.6487202544278039</v>
      </c>
      <c r="X329" s="2">
        <f ca="1"/>
        <v>39.523648669799847</v>
      </c>
      <c r="AG329" s="2">
        <f ca="1"/>
        <v>0.33816837259470955</v>
      </c>
      <c r="AH329" s="2" t="str">
        <f ca="1"/>
        <v>OK</v>
      </c>
    </row>
    <row r="330" spans="2:34" x14ac:dyDescent="0.2">
      <c r="B330" s="2">
        <f ca="1"/>
        <v>0.26456600085463555</v>
      </c>
      <c r="O330" s="2">
        <f ca="1"/>
        <v>-1.8303497824198431</v>
      </c>
      <c r="X330" s="2">
        <f ca="1"/>
        <v>46.433481502320795</v>
      </c>
      <c r="AG330" s="2">
        <f ca="1"/>
        <v>0.4927433891227424</v>
      </c>
      <c r="AH330" s="2" t="str">
        <f ca="1"/>
        <v>Bad</v>
      </c>
    </row>
    <row r="331" spans="2:34" x14ac:dyDescent="0.2">
      <c r="B331" s="2">
        <f ca="1"/>
        <v>0.32470949904431334</v>
      </c>
      <c r="O331" s="2">
        <f ca="1"/>
        <v>-0.24068629601313732</v>
      </c>
      <c r="X331" s="2">
        <f ca="1"/>
        <v>54.121500259931928</v>
      </c>
      <c r="AG331" s="2">
        <f ca="1"/>
        <v>0.88722047872998488</v>
      </c>
      <c r="AH331" s="2" t="str">
        <f ca="1"/>
        <v>Bad</v>
      </c>
    </row>
    <row r="332" spans="2:34" x14ac:dyDescent="0.2">
      <c r="B332" s="2">
        <f ca="1"/>
        <v>0.80334935491043602</v>
      </c>
      <c r="O332" s="2">
        <f ca="1"/>
        <v>-1.2992874369601419</v>
      </c>
      <c r="X332" s="2">
        <f ca="1"/>
        <v>36.234154872071798</v>
      </c>
      <c r="AG332" s="2">
        <f ca="1"/>
        <v>0.70613793472137343</v>
      </c>
      <c r="AH332" s="2" t="str">
        <f ca="1"/>
        <v>Bad</v>
      </c>
    </row>
    <row r="333" spans="2:34" x14ac:dyDescent="0.2">
      <c r="B333" s="2">
        <f ca="1"/>
        <v>0.2726699983952583</v>
      </c>
      <c r="O333" s="2">
        <f ca="1"/>
        <v>0.77041543917552191</v>
      </c>
      <c r="X333" s="2">
        <f ca="1"/>
        <v>44.778853113891167</v>
      </c>
      <c r="AG333" s="2">
        <f ca="1"/>
        <v>0.66542687199112716</v>
      </c>
      <c r="AH333" s="2" t="str">
        <f ca="1"/>
        <v>Bad</v>
      </c>
    </row>
    <row r="334" spans="2:34" x14ac:dyDescent="0.2">
      <c r="B334" s="2">
        <f ca="1"/>
        <v>0.4045583514773381</v>
      </c>
      <c r="O334" s="2">
        <f ca="1"/>
        <v>1.4315967688401112</v>
      </c>
      <c r="X334" s="2">
        <f ca="1"/>
        <v>69.884217992697444</v>
      </c>
      <c r="AG334" s="2">
        <f ca="1"/>
        <v>0.34121704814455178</v>
      </c>
      <c r="AH334" s="2" t="str">
        <f ca="1"/>
        <v>OK</v>
      </c>
    </row>
    <row r="335" spans="2:34" x14ac:dyDescent="0.2">
      <c r="B335" s="2">
        <f ca="1"/>
        <v>0.28265745688859156</v>
      </c>
      <c r="O335" s="2">
        <f ca="1"/>
        <v>-0.14653956758437733</v>
      </c>
      <c r="X335" s="2">
        <f ca="1"/>
        <v>35.641576052276008</v>
      </c>
      <c r="AG335" s="2">
        <f ca="1"/>
        <v>0.40262093634970553</v>
      </c>
      <c r="AH335" s="2" t="str">
        <f ca="1"/>
        <v>Bad</v>
      </c>
    </row>
    <row r="336" spans="2:34" x14ac:dyDescent="0.2">
      <c r="B336" s="2">
        <f ca="1"/>
        <v>4.7096656581431695E-2</v>
      </c>
      <c r="O336" s="2">
        <f ca="1"/>
        <v>-1.5416609555451997</v>
      </c>
      <c r="X336" s="2">
        <f ca="1"/>
        <v>41.970959542115011</v>
      </c>
      <c r="AG336" s="2">
        <f ca="1"/>
        <v>0.35415301619103889</v>
      </c>
      <c r="AH336" s="2" t="str">
        <f ca="1"/>
        <v>OK</v>
      </c>
    </row>
    <row r="337" spans="2:34" x14ac:dyDescent="0.2">
      <c r="B337" s="2">
        <f ca="1"/>
        <v>0.42273263484978463</v>
      </c>
      <c r="O337" s="2">
        <f ca="1"/>
        <v>2.4514457306098536</v>
      </c>
      <c r="X337" s="2">
        <f ca="1"/>
        <v>36.795217157997243</v>
      </c>
      <c r="AG337" s="2">
        <f ca="1"/>
        <v>0.3395752719173728</v>
      </c>
      <c r="AH337" s="2" t="str">
        <f ca="1"/>
        <v>OK</v>
      </c>
    </row>
    <row r="338" spans="2:34" x14ac:dyDescent="0.2">
      <c r="B338" s="2">
        <f ca="1"/>
        <v>0.6151578619137148</v>
      </c>
      <c r="O338" s="2">
        <f ca="1"/>
        <v>-5.9390299618435276E-2</v>
      </c>
      <c r="X338" s="2">
        <f ca="1"/>
        <v>57.793101214580645</v>
      </c>
      <c r="AG338" s="2">
        <f ca="1"/>
        <v>0.21344517269927921</v>
      </c>
      <c r="AH338" s="2" t="str">
        <f ca="1"/>
        <v>OK</v>
      </c>
    </row>
    <row r="339" spans="2:34" x14ac:dyDescent="0.2">
      <c r="B339" s="2">
        <f ca="1"/>
        <v>0.88157568222337956</v>
      </c>
      <c r="O339" s="2">
        <f ca="1"/>
        <v>-1.0343517081280786</v>
      </c>
      <c r="X339" s="2">
        <f ca="1"/>
        <v>52.280351093671314</v>
      </c>
      <c r="AG339" s="2">
        <f ca="1"/>
        <v>0.62075209043251034</v>
      </c>
      <c r="AH339" s="2" t="str">
        <f ca="1"/>
        <v>Bad</v>
      </c>
    </row>
    <row r="340" spans="2:34" x14ac:dyDescent="0.2">
      <c r="B340" s="2">
        <f ca="1"/>
        <v>0.48473105108143133</v>
      </c>
      <c r="O340" s="2">
        <f ca="1"/>
        <v>1.3186633424428873</v>
      </c>
      <c r="X340" s="2">
        <f ca="1"/>
        <v>43.098031886847693</v>
      </c>
      <c r="AG340" s="2">
        <f ca="1"/>
        <v>0.82321292275885405</v>
      </c>
      <c r="AH340" s="2" t="str">
        <f ca="1"/>
        <v>Bad</v>
      </c>
    </row>
    <row r="341" spans="2:34" x14ac:dyDescent="0.2">
      <c r="B341" s="2">
        <f ca="1"/>
        <v>0.59725689792039005</v>
      </c>
      <c r="O341" s="2">
        <f ca="1"/>
        <v>0.11117498897746891</v>
      </c>
      <c r="X341" s="2">
        <f ca="1"/>
        <v>38.394139424304228</v>
      </c>
      <c r="AG341" s="2">
        <f ca="1"/>
        <v>0.97785418747740072</v>
      </c>
      <c r="AH341" s="2" t="str">
        <f ca="1"/>
        <v>Bad</v>
      </c>
    </row>
    <row r="342" spans="2:34" x14ac:dyDescent="0.2">
      <c r="B342" s="2">
        <f ca="1"/>
        <v>0.96693042106929483</v>
      </c>
      <c r="O342" s="2">
        <f ca="1"/>
        <v>0.72337133048149627</v>
      </c>
      <c r="X342" s="2">
        <f ca="1"/>
        <v>60.427474780464195</v>
      </c>
      <c r="AG342" s="2">
        <f ca="1"/>
        <v>0.21765400241630628</v>
      </c>
      <c r="AH342" s="2" t="str">
        <f ca="1"/>
        <v>OK</v>
      </c>
    </row>
    <row r="343" spans="2:34" x14ac:dyDescent="0.2">
      <c r="B343" s="2">
        <f ca="1"/>
        <v>0.22271858885699869</v>
      </c>
      <c r="O343" s="2">
        <f ca="1"/>
        <v>0.30883706454641979</v>
      </c>
      <c r="X343" s="2">
        <f ca="1"/>
        <v>43.280957138677955</v>
      </c>
      <c r="AG343" s="2">
        <f ca="1"/>
        <v>0.41226557878603076</v>
      </c>
      <c r="AH343" s="2" t="str">
        <f ca="1"/>
        <v>Bad</v>
      </c>
    </row>
    <row r="344" spans="2:34" x14ac:dyDescent="0.2">
      <c r="B344" s="2">
        <f ca="1"/>
        <v>0.77193602851544729</v>
      </c>
      <c r="O344" s="2">
        <f ca="1"/>
        <v>0.6848969210502287</v>
      </c>
      <c r="X344" s="2">
        <f ca="1"/>
        <v>35.615843999131343</v>
      </c>
      <c r="AG344" s="2">
        <f ca="1"/>
        <v>1.5636442689324515E-2</v>
      </c>
      <c r="AH344" s="2" t="str">
        <f ca="1"/>
        <v>Good</v>
      </c>
    </row>
    <row r="345" spans="2:34" x14ac:dyDescent="0.2">
      <c r="B345" s="2">
        <f ca="1"/>
        <v>0.94572738469457041</v>
      </c>
      <c r="O345" s="2">
        <f ca="1"/>
        <v>1.2556394632294314</v>
      </c>
      <c r="X345" s="2">
        <f ca="1"/>
        <v>52.515651390397707</v>
      </c>
      <c r="AG345" s="2">
        <f ca="1"/>
        <v>0.22109156130722285</v>
      </c>
      <c r="AH345" s="2" t="str">
        <f ca="1"/>
        <v>OK</v>
      </c>
    </row>
    <row r="346" spans="2:34" x14ac:dyDescent="0.2">
      <c r="B346" s="2">
        <f ca="1"/>
        <v>0.29303805946447725</v>
      </c>
      <c r="O346" s="2">
        <f ca="1"/>
        <v>-1.0092124472007962</v>
      </c>
      <c r="X346" s="2">
        <f ca="1"/>
        <v>58.508482268046286</v>
      </c>
      <c r="AG346" s="2">
        <f ca="1"/>
        <v>0.59035963281603987</v>
      </c>
      <c r="AH346" s="2" t="str">
        <f ca="1"/>
        <v>Bad</v>
      </c>
    </row>
    <row r="347" spans="2:34" x14ac:dyDescent="0.2">
      <c r="B347" s="2">
        <f ca="1"/>
        <v>0.77422297701605935</v>
      </c>
      <c r="O347" s="2">
        <f ca="1"/>
        <v>-0.84746955921639833</v>
      </c>
      <c r="X347" s="2">
        <f ca="1"/>
        <v>61.833199652371974</v>
      </c>
      <c r="AG347" s="2">
        <f ca="1"/>
        <v>0.9184728691380224</v>
      </c>
      <c r="AH347" s="2" t="str">
        <f ca="1"/>
        <v>Bad</v>
      </c>
    </row>
    <row r="348" spans="2:34" x14ac:dyDescent="0.2">
      <c r="B348" s="2">
        <f ca="1"/>
        <v>0.63567602466914486</v>
      </c>
      <c r="O348" s="2">
        <f ca="1"/>
        <v>-1.1498183020606356</v>
      </c>
      <c r="X348" s="2">
        <f ca="1"/>
        <v>39.464135987999036</v>
      </c>
      <c r="AG348" s="2">
        <f ca="1"/>
        <v>0.8542257488856333</v>
      </c>
      <c r="AH348" s="2" t="str">
        <f ca="1"/>
        <v>Bad</v>
      </c>
    </row>
    <row r="349" spans="2:34" x14ac:dyDescent="0.2">
      <c r="B349" s="2">
        <f ca="1"/>
        <v>0.58966371126531691</v>
      </c>
      <c r="O349" s="2">
        <f ca="1"/>
        <v>1.0687288353921243</v>
      </c>
      <c r="X349" s="2">
        <f ca="1"/>
        <v>41.722680620663979</v>
      </c>
      <c r="AG349" s="2">
        <f ca="1"/>
        <v>0.46348947669462581</v>
      </c>
      <c r="AH349" s="2" t="str">
        <f ca="1"/>
        <v>Bad</v>
      </c>
    </row>
    <row r="350" spans="2:34" x14ac:dyDescent="0.2">
      <c r="B350" s="2">
        <f ca="1"/>
        <v>0.51104929148785039</v>
      </c>
      <c r="O350" s="2">
        <f ca="1"/>
        <v>-1.3407862628043403</v>
      </c>
      <c r="X350" s="2">
        <f ca="1"/>
        <v>82.158380109388077</v>
      </c>
      <c r="AG350" s="2">
        <f ca="1"/>
        <v>0.54985860898542938</v>
      </c>
      <c r="AH350" s="2" t="str">
        <f ca="1"/>
        <v>Bad</v>
      </c>
    </row>
    <row r="351" spans="2:34" x14ac:dyDescent="0.2">
      <c r="B351" s="2">
        <f ca="1"/>
        <v>0.99112939101761421</v>
      </c>
      <c r="O351" s="2">
        <f ca="1"/>
        <v>-1.4336300873028862</v>
      </c>
      <c r="X351" s="2">
        <f ca="1"/>
        <v>84.39318083875429</v>
      </c>
      <c r="AG351" s="2">
        <f ca="1"/>
        <v>0.42608025182281617</v>
      </c>
      <c r="AH351" s="2" t="str">
        <f ca="1"/>
        <v>Bad</v>
      </c>
    </row>
    <row r="352" spans="2:34" x14ac:dyDescent="0.2">
      <c r="B352" s="2">
        <f ca="1"/>
        <v>0.41899497667984176</v>
      </c>
      <c r="O352" s="2">
        <f ca="1"/>
        <v>-1.3201518189666197</v>
      </c>
      <c r="X352" s="2">
        <f ca="1"/>
        <v>37.421067168576776</v>
      </c>
      <c r="AG352" s="2">
        <f ca="1"/>
        <v>0.22591101185341067</v>
      </c>
      <c r="AH352" s="2" t="str">
        <f ca="1"/>
        <v>OK</v>
      </c>
    </row>
    <row r="353" spans="2:34" x14ac:dyDescent="0.2">
      <c r="B353" s="2">
        <f ca="1"/>
        <v>0.42667008062279832</v>
      </c>
      <c r="O353" s="2">
        <f ca="1"/>
        <v>2.4584178545717927</v>
      </c>
      <c r="X353" s="2">
        <f ca="1"/>
        <v>66.748159585362842</v>
      </c>
      <c r="AG353" s="2">
        <f ca="1"/>
        <v>0.84805928892733684</v>
      </c>
      <c r="AH353" s="2" t="str">
        <f ca="1"/>
        <v>Bad</v>
      </c>
    </row>
    <row r="354" spans="2:34" x14ac:dyDescent="0.2">
      <c r="B354" s="2">
        <f ca="1"/>
        <v>0.47081311750624444</v>
      </c>
      <c r="O354" s="2">
        <f ca="1"/>
        <v>-0.61327238490359137</v>
      </c>
      <c r="X354" s="2">
        <f ca="1"/>
        <v>37.318087882196032</v>
      </c>
      <c r="AG354" s="2">
        <f ca="1"/>
        <v>0.75378621031631776</v>
      </c>
      <c r="AH354" s="2" t="str">
        <f ca="1"/>
        <v>Bad</v>
      </c>
    </row>
    <row r="355" spans="2:34" x14ac:dyDescent="0.2">
      <c r="B355" s="2">
        <f ca="1"/>
        <v>0.83696753490024234</v>
      </c>
      <c r="O355" s="2">
        <f ca="1"/>
        <v>1.3586235508834212</v>
      </c>
      <c r="X355" s="2">
        <f ca="1"/>
        <v>40.571993959987452</v>
      </c>
      <c r="AG355" s="2">
        <f ca="1"/>
        <v>0.88745571124860789</v>
      </c>
      <c r="AH355" s="2" t="str">
        <f ca="1"/>
        <v>Bad</v>
      </c>
    </row>
    <row r="356" spans="2:34" x14ac:dyDescent="0.2">
      <c r="B356" s="2">
        <f ca="1"/>
        <v>0.67756215990197233</v>
      </c>
      <c r="O356" s="2">
        <f ca="1"/>
        <v>-0.87888611178183362</v>
      </c>
      <c r="X356" s="2">
        <f ca="1"/>
        <v>34.904033309550272</v>
      </c>
      <c r="AG356" s="2">
        <f ca="1"/>
        <v>0.24667121080447929</v>
      </c>
      <c r="AH356" s="2" t="str">
        <f ca="1"/>
        <v>OK</v>
      </c>
    </row>
    <row r="357" spans="2:34" x14ac:dyDescent="0.2">
      <c r="B357" s="2">
        <f ca="1"/>
        <v>0.43691246150476792</v>
      </c>
      <c r="O357" s="2">
        <f ca="1"/>
        <v>-0.47586038118313256</v>
      </c>
      <c r="X357" s="2">
        <f ca="1"/>
        <v>43.077414669441211</v>
      </c>
      <c r="AG357" s="2">
        <f ca="1"/>
        <v>3.6884998796159918E-2</v>
      </c>
      <c r="AH357" s="2" t="str">
        <f ca="1"/>
        <v>Good</v>
      </c>
    </row>
    <row r="358" spans="2:34" x14ac:dyDescent="0.2">
      <c r="B358" s="2">
        <f ca="1"/>
        <v>0.60006371157568883</v>
      </c>
      <c r="O358" s="2">
        <f ca="1"/>
        <v>-8.259645413081014E-2</v>
      </c>
      <c r="X358" s="2">
        <f ca="1"/>
        <v>58.350736547772037</v>
      </c>
      <c r="AG358" s="2">
        <f ca="1"/>
        <v>0.8078853788190683</v>
      </c>
      <c r="AH358" s="2" t="str">
        <f ca="1"/>
        <v>Bad</v>
      </c>
    </row>
    <row r="359" spans="2:34" x14ac:dyDescent="0.2">
      <c r="B359" s="2">
        <f ca="1"/>
        <v>0.11393881412534701</v>
      </c>
      <c r="O359" s="2">
        <f ca="1"/>
        <v>-0.61287557421923611</v>
      </c>
      <c r="X359" s="2">
        <f ca="1"/>
        <v>51.562871723598668</v>
      </c>
      <c r="AG359" s="2">
        <f ca="1"/>
        <v>0.35589891172567056</v>
      </c>
      <c r="AH359" s="2" t="str">
        <f ca="1"/>
        <v>OK</v>
      </c>
    </row>
    <row r="360" spans="2:34" x14ac:dyDescent="0.2">
      <c r="B360" s="2">
        <f ca="1"/>
        <v>5.4970662927206426E-2</v>
      </c>
      <c r="O360" s="2">
        <f ca="1"/>
        <v>2.1476409019724592E-2</v>
      </c>
      <c r="X360" s="2">
        <f ca="1"/>
        <v>61.78952857474335</v>
      </c>
      <c r="AG360" s="2">
        <f ca="1"/>
        <v>2.402800354942114E-3</v>
      </c>
      <c r="AH360" s="2" t="str">
        <f ca="1"/>
        <v>Good</v>
      </c>
    </row>
    <row r="361" spans="2:34" x14ac:dyDescent="0.2">
      <c r="B361" s="2">
        <f ca="1"/>
        <v>0.98350770100572382</v>
      </c>
      <c r="O361" s="2">
        <f ca="1"/>
        <v>0.91849389835293571</v>
      </c>
      <c r="X361" s="2">
        <f ca="1"/>
        <v>21.517896506025075</v>
      </c>
      <c r="AG361" s="2">
        <f ca="1"/>
        <v>0.93351990405530061</v>
      </c>
      <c r="AH361" s="2" t="str">
        <f ca="1"/>
        <v>Bad</v>
      </c>
    </row>
    <row r="362" spans="2:34" x14ac:dyDescent="0.2">
      <c r="B362" s="2">
        <f ca="1"/>
        <v>0.22196803188563585</v>
      </c>
      <c r="O362" s="2">
        <f ca="1"/>
        <v>-1.0565527918525466</v>
      </c>
      <c r="X362" s="2">
        <f ca="1"/>
        <v>31.08616270262273</v>
      </c>
      <c r="AG362" s="2">
        <f ca="1"/>
        <v>0.60773853454146876</v>
      </c>
      <c r="AH362" s="2" t="str">
        <f ca="1"/>
        <v>Bad</v>
      </c>
    </row>
    <row r="363" spans="2:34" x14ac:dyDescent="0.2">
      <c r="B363" s="2">
        <f ca="1"/>
        <v>0.45363730686854464</v>
      </c>
      <c r="O363" s="2">
        <f ca="1"/>
        <v>0.70009788866097877</v>
      </c>
      <c r="X363" s="2">
        <f ca="1"/>
        <v>58.102426222833181</v>
      </c>
      <c r="AG363" s="2">
        <f ca="1"/>
        <v>0.43253803427945314</v>
      </c>
      <c r="AH363" s="2" t="str">
        <f ca="1"/>
        <v>Bad</v>
      </c>
    </row>
    <row r="364" spans="2:34" x14ac:dyDescent="0.2">
      <c r="B364" s="2">
        <f ca="1"/>
        <v>0.69473369064023016</v>
      </c>
      <c r="O364" s="2">
        <f ca="1"/>
        <v>0.30593659002720763</v>
      </c>
      <c r="X364" s="2">
        <f ca="1"/>
        <v>21.994471308142977</v>
      </c>
      <c r="AG364" s="2">
        <f ca="1"/>
        <v>0.41871976108043296</v>
      </c>
      <c r="AH364" s="2" t="str">
        <f ca="1"/>
        <v>Bad</v>
      </c>
    </row>
    <row r="365" spans="2:34" x14ac:dyDescent="0.2">
      <c r="B365" s="2">
        <f ca="1"/>
        <v>0.35205345683071876</v>
      </c>
      <c r="O365" s="2">
        <f ca="1"/>
        <v>-0.89714927271121137</v>
      </c>
      <c r="X365" s="2">
        <f ca="1"/>
        <v>97.460579134121645</v>
      </c>
      <c r="AG365" s="2">
        <f ca="1"/>
        <v>0.53401483563551255</v>
      </c>
      <c r="AH365" s="2" t="str">
        <f ca="1"/>
        <v>Bad</v>
      </c>
    </row>
    <row r="366" spans="2:34" x14ac:dyDescent="0.2">
      <c r="B366" s="2">
        <f ca="1"/>
        <v>0.64218427907528275</v>
      </c>
      <c r="O366" s="2">
        <f ca="1"/>
        <v>9.9834899996627827E-2</v>
      </c>
      <c r="X366" s="2">
        <f ca="1"/>
        <v>65.613650422184065</v>
      </c>
      <c r="AG366" s="2">
        <f ca="1"/>
        <v>0.55033176410116247</v>
      </c>
      <c r="AH366" s="2" t="str">
        <f ca="1"/>
        <v>Bad</v>
      </c>
    </row>
    <row r="367" spans="2:34" x14ac:dyDescent="0.2">
      <c r="B367" s="2">
        <f ca="1"/>
        <v>0.61034155188950678</v>
      </c>
      <c r="O367" s="2">
        <f ca="1"/>
        <v>-0.94212483106300993</v>
      </c>
      <c r="X367" s="2">
        <f ca="1"/>
        <v>37.385719917077218</v>
      </c>
      <c r="AG367" s="2">
        <f ca="1"/>
        <v>0.99622017655238237</v>
      </c>
      <c r="AH367" s="2" t="str">
        <f ca="1"/>
        <v>Bad</v>
      </c>
    </row>
    <row r="368" spans="2:34" x14ac:dyDescent="0.2">
      <c r="B368" s="2">
        <f ca="1"/>
        <v>0.22836223874071249</v>
      </c>
      <c r="O368" s="2">
        <f ca="1"/>
        <v>0.23733852476137432</v>
      </c>
      <c r="X368" s="2">
        <f ca="1"/>
        <v>27.725036012296755</v>
      </c>
      <c r="AG368" s="2">
        <f ca="1"/>
        <v>5.3340736605791861E-2</v>
      </c>
      <c r="AH368" s="2" t="str">
        <f ca="1"/>
        <v>OK</v>
      </c>
    </row>
    <row r="369" spans="2:34" x14ac:dyDescent="0.2">
      <c r="B369" s="2">
        <f ca="1"/>
        <v>0.77150385191198678</v>
      </c>
      <c r="O369" s="2">
        <f ca="1"/>
        <v>-0.28108116775593267</v>
      </c>
      <c r="X369" s="2">
        <f ca="1"/>
        <v>48.180603734141492</v>
      </c>
      <c r="AG369" s="2">
        <f ca="1"/>
        <v>0.5994895432786882</v>
      </c>
      <c r="AH369" s="2" t="str">
        <f ca="1"/>
        <v>Bad</v>
      </c>
    </row>
    <row r="370" spans="2:34" x14ac:dyDescent="0.2">
      <c r="B370" s="2">
        <f ca="1"/>
        <v>0.55733400131974187</v>
      </c>
      <c r="O370" s="2">
        <f ca="1"/>
        <v>1.2656110126889182</v>
      </c>
      <c r="X370" s="2">
        <f ca="1"/>
        <v>70.106947314852533</v>
      </c>
      <c r="AG370" s="2">
        <f ca="1"/>
        <v>0.51610060708843108</v>
      </c>
      <c r="AH370" s="2" t="str">
        <f ca="1"/>
        <v>Bad</v>
      </c>
    </row>
    <row r="371" spans="2:34" x14ac:dyDescent="0.2">
      <c r="B371" s="2">
        <f ca="1"/>
        <v>0.64020227123805085</v>
      </c>
      <c r="O371" s="2">
        <f ca="1"/>
        <v>1.1580514081551041</v>
      </c>
      <c r="X371" s="2">
        <f ca="1"/>
        <v>27.000923012072633</v>
      </c>
      <c r="AG371" s="2">
        <f ca="1"/>
        <v>0.89812653351340455</v>
      </c>
      <c r="AH371" s="2" t="str">
        <f ca="1"/>
        <v>Bad</v>
      </c>
    </row>
    <row r="372" spans="2:34" x14ac:dyDescent="0.2">
      <c r="B372" s="2">
        <f ca="1"/>
        <v>0.49017211052208975</v>
      </c>
      <c r="O372" s="2">
        <f ca="1"/>
        <v>2.0258559016603699</v>
      </c>
      <c r="X372" s="2">
        <f ca="1"/>
        <v>52.869675011675412</v>
      </c>
      <c r="AG372" s="2">
        <f ca="1"/>
        <v>0.64775118248768182</v>
      </c>
      <c r="AH372" s="2" t="str">
        <f ca="1"/>
        <v>Bad</v>
      </c>
    </row>
    <row r="373" spans="2:34" x14ac:dyDescent="0.2">
      <c r="B373" s="2">
        <f ca="1"/>
        <v>0.70787695176815868</v>
      </c>
      <c r="O373" s="2">
        <f ca="1"/>
        <v>0.73453014934810412</v>
      </c>
      <c r="X373" s="2">
        <f ca="1"/>
        <v>78.107538671021544</v>
      </c>
      <c r="AG373" s="2">
        <f ca="1"/>
        <v>0.5982422759624062</v>
      </c>
      <c r="AH373" s="2" t="str">
        <f ca="1"/>
        <v>Bad</v>
      </c>
    </row>
    <row r="374" spans="2:34" x14ac:dyDescent="0.2">
      <c r="B374" s="2">
        <f ca="1"/>
        <v>0.15675973127834264</v>
      </c>
      <c r="O374" s="2">
        <f ca="1"/>
        <v>0.51796638428194219</v>
      </c>
      <c r="X374" s="2">
        <f ca="1"/>
        <v>51.193112684708588</v>
      </c>
      <c r="AG374" s="2">
        <f ca="1"/>
        <v>0.76595841178407253</v>
      </c>
      <c r="AH374" s="2" t="str">
        <f ca="1"/>
        <v>Bad</v>
      </c>
    </row>
    <row r="375" spans="2:34" x14ac:dyDescent="0.2">
      <c r="B375" s="2">
        <f ca="1"/>
        <v>8.3247965924656997E-2</v>
      </c>
      <c r="O375" s="2">
        <f ca="1"/>
        <v>-0.40267586016402879</v>
      </c>
      <c r="X375" s="2">
        <f ca="1"/>
        <v>32.964296996204155</v>
      </c>
      <c r="AG375" s="2">
        <f ca="1"/>
        <v>0.5226959000465623</v>
      </c>
      <c r="AH375" s="2" t="str">
        <f ca="1"/>
        <v>Bad</v>
      </c>
    </row>
    <row r="376" spans="2:34" x14ac:dyDescent="0.2">
      <c r="B376" s="2">
        <f ca="1"/>
        <v>0.5451692932581671</v>
      </c>
      <c r="O376" s="2">
        <f ca="1"/>
        <v>-0.27621400397332818</v>
      </c>
      <c r="X376" s="2">
        <f ca="1"/>
        <v>46.412543594203612</v>
      </c>
      <c r="AG376" s="2">
        <f ca="1"/>
        <v>0.75646980021995236</v>
      </c>
      <c r="AH376" s="2" t="str">
        <f ca="1"/>
        <v>Bad</v>
      </c>
    </row>
    <row r="377" spans="2:34" x14ac:dyDescent="0.2">
      <c r="B377" s="2">
        <f ca="1"/>
        <v>0.493874960038309</v>
      </c>
      <c r="O377" s="2">
        <f ca="1"/>
        <v>0.18541745508583138</v>
      </c>
      <c r="X377" s="2">
        <f ca="1"/>
        <v>52.606444134860737</v>
      </c>
      <c r="AG377" s="2">
        <f ca="1"/>
        <v>0.69158473998861258</v>
      </c>
      <c r="AH377" s="2" t="str">
        <f ca="1"/>
        <v>Bad</v>
      </c>
    </row>
    <row r="378" spans="2:34" x14ac:dyDescent="0.2">
      <c r="B378" s="2">
        <f ca="1"/>
        <v>0.59537787970873279</v>
      </c>
      <c r="O378" s="2">
        <f ca="1"/>
        <v>-1.2254003582422712</v>
      </c>
      <c r="X378" s="2">
        <f ca="1"/>
        <v>55.72608829113225</v>
      </c>
      <c r="AG378" s="2">
        <f ca="1"/>
        <v>0.73403182686618518</v>
      </c>
      <c r="AH378" s="2" t="str">
        <f ca="1"/>
        <v>Bad</v>
      </c>
    </row>
    <row r="379" spans="2:34" x14ac:dyDescent="0.2">
      <c r="B379" s="2">
        <f ca="1"/>
        <v>0.78642563919439334</v>
      </c>
      <c r="O379" s="2">
        <f ca="1"/>
        <v>-0.63687136941550127</v>
      </c>
      <c r="X379" s="2">
        <f ca="1"/>
        <v>43.993996808224949</v>
      </c>
      <c r="AG379" s="2">
        <f ca="1"/>
        <v>0.39442447846085305</v>
      </c>
      <c r="AH379" s="2" t="str">
        <f ca="1"/>
        <v>OK</v>
      </c>
    </row>
    <row r="380" spans="2:34" x14ac:dyDescent="0.2">
      <c r="B380" s="2">
        <f ca="1"/>
        <v>0.73416341645973549</v>
      </c>
      <c r="O380" s="2">
        <f ca="1"/>
        <v>-1.2097104069931175</v>
      </c>
      <c r="X380" s="2">
        <f ca="1"/>
        <v>63.88082383495022</v>
      </c>
      <c r="AG380" s="2">
        <f ca="1"/>
        <v>8.2896325722979114E-2</v>
      </c>
      <c r="AH380" s="2" t="str">
        <f ca="1"/>
        <v>OK</v>
      </c>
    </row>
    <row r="381" spans="2:34" x14ac:dyDescent="0.2">
      <c r="B381" s="2">
        <f ca="1"/>
        <v>0.28433604956049097</v>
      </c>
      <c r="O381" s="2">
        <f ca="1"/>
        <v>-0.87553524500893132</v>
      </c>
      <c r="X381" s="2">
        <f ca="1"/>
        <v>55.220551750612337</v>
      </c>
      <c r="AG381" s="2">
        <f ca="1"/>
        <v>9.7591724931065826E-2</v>
      </c>
      <c r="AH381" s="2" t="str">
        <f ca="1"/>
        <v>OK</v>
      </c>
    </row>
    <row r="382" spans="2:34" x14ac:dyDescent="0.2">
      <c r="B382" s="2">
        <f ca="1"/>
        <v>0.17653929747598007</v>
      </c>
      <c r="O382" s="2">
        <f ca="1"/>
        <v>1.0028181622910264</v>
      </c>
      <c r="X382" s="2">
        <f ca="1"/>
        <v>66.722383543081008</v>
      </c>
      <c r="AG382" s="2">
        <f ca="1"/>
        <v>0.85621557203497844</v>
      </c>
      <c r="AH382" s="2" t="str">
        <f ca="1"/>
        <v>Bad</v>
      </c>
    </row>
    <row r="383" spans="2:34" x14ac:dyDescent="0.2">
      <c r="B383" s="2">
        <f ca="1"/>
        <v>0.376473368280277</v>
      </c>
      <c r="O383" s="2">
        <f ca="1"/>
        <v>-0.4336347472972425</v>
      </c>
      <c r="X383" s="2">
        <f ca="1"/>
        <v>82.482834684348617</v>
      </c>
      <c r="AG383" s="2">
        <f ca="1"/>
        <v>0.93467949110531423</v>
      </c>
      <c r="AH383" s="2" t="str">
        <f ca="1"/>
        <v>Bad</v>
      </c>
    </row>
    <row r="384" spans="2:34" x14ac:dyDescent="0.2">
      <c r="B384" s="2">
        <f ca="1"/>
        <v>0.23689607834547455</v>
      </c>
      <c r="O384" s="2">
        <f ca="1"/>
        <v>-0.45145244149114155</v>
      </c>
      <c r="X384" s="2">
        <f ca="1"/>
        <v>62.201879065635708</v>
      </c>
      <c r="AG384" s="2">
        <f ca="1"/>
        <v>0.78575435520180026</v>
      </c>
      <c r="AH384" s="2" t="str">
        <f ca="1"/>
        <v>Bad</v>
      </c>
    </row>
    <row r="385" spans="2:34" x14ac:dyDescent="0.2">
      <c r="B385" s="2">
        <f ca="1"/>
        <v>0.58509754225391131</v>
      </c>
      <c r="O385" s="2">
        <f ca="1"/>
        <v>0.92128922598887097</v>
      </c>
      <c r="X385" s="2">
        <f ca="1"/>
        <v>56.70771798586857</v>
      </c>
      <c r="AG385" s="2">
        <f ca="1"/>
        <v>0.87310277642424516</v>
      </c>
      <c r="AH385" s="2" t="str">
        <f ca="1"/>
        <v>Bad</v>
      </c>
    </row>
    <row r="386" spans="2:34" x14ac:dyDescent="0.2">
      <c r="B386" s="2">
        <f ca="1"/>
        <v>0.31447055150742487</v>
      </c>
      <c r="O386" s="2">
        <f ca="1"/>
        <v>0.13599782543457375</v>
      </c>
      <c r="X386" s="2">
        <f ca="1"/>
        <v>53.725655879321295</v>
      </c>
      <c r="AG386" s="2">
        <f ca="1"/>
        <v>0.26251531427807895</v>
      </c>
      <c r="AH386" s="2" t="str">
        <f ca="1"/>
        <v>OK</v>
      </c>
    </row>
    <row r="387" spans="2:34" x14ac:dyDescent="0.2">
      <c r="B387" s="2">
        <f ca="1"/>
        <v>0.23584584299681866</v>
      </c>
      <c r="O387" s="2">
        <f ca="1"/>
        <v>-2.1621136182215772</v>
      </c>
      <c r="X387" s="2">
        <f ca="1"/>
        <v>38.790334720469843</v>
      </c>
      <c r="AG387" s="2">
        <f ca="1"/>
        <v>0.63553486972646933</v>
      </c>
      <c r="AH387" s="2" t="str">
        <f ca="1"/>
        <v>Bad</v>
      </c>
    </row>
    <row r="388" spans="2:34" x14ac:dyDescent="0.2">
      <c r="B388" s="2">
        <f ca="1"/>
        <v>0.88631664690609546</v>
      </c>
      <c r="O388" s="2">
        <f ca="1"/>
        <v>-0.65951004302418459</v>
      </c>
      <c r="X388" s="2">
        <f ca="1"/>
        <v>49.819882746691668</v>
      </c>
      <c r="AG388" s="2">
        <f ca="1"/>
        <v>0.18657134336880254</v>
      </c>
      <c r="AH388" s="2" t="str">
        <f ca="1"/>
        <v>OK</v>
      </c>
    </row>
    <row r="389" spans="2:34" x14ac:dyDescent="0.2">
      <c r="B389" s="2">
        <f ca="1"/>
        <v>0.2235161145764597</v>
      </c>
      <c r="O389" s="2">
        <f ca="1"/>
        <v>-0.42098890120497545</v>
      </c>
      <c r="X389" s="2">
        <f ca="1"/>
        <v>58.21136232700642</v>
      </c>
      <c r="AG389" s="2">
        <f ca="1"/>
        <v>0.72302503078150115</v>
      </c>
      <c r="AH389" s="2" t="str">
        <f ca="1"/>
        <v>Bad</v>
      </c>
    </row>
    <row r="390" spans="2:34" x14ac:dyDescent="0.2">
      <c r="B390" s="2">
        <f ca="1"/>
        <v>0.32348453330964744</v>
      </c>
      <c r="O390" s="2">
        <f ca="1"/>
        <v>-0.37469372002750068</v>
      </c>
      <c r="X390" s="2">
        <f ca="1"/>
        <v>40.461083061011898</v>
      </c>
      <c r="AG390" s="2">
        <f ca="1"/>
        <v>0.10778010974112551</v>
      </c>
      <c r="AH390" s="2" t="str">
        <f ca="1"/>
        <v>OK</v>
      </c>
    </row>
    <row r="391" spans="2:34" x14ac:dyDescent="0.2">
      <c r="B391" s="2">
        <f ca="1"/>
        <v>0.63256139297455749</v>
      </c>
      <c r="O391" s="2">
        <f ca="1"/>
        <v>0.23990613003812572</v>
      </c>
      <c r="X391" s="2">
        <f ca="1"/>
        <v>15.630746574164325</v>
      </c>
      <c r="AG391" s="2">
        <f ca="1"/>
        <v>3.8741443146018462E-2</v>
      </c>
      <c r="AH391" s="2" t="str">
        <f ca="1"/>
        <v>Good</v>
      </c>
    </row>
    <row r="392" spans="2:34" x14ac:dyDescent="0.2">
      <c r="B392" s="2">
        <f ca="1"/>
        <v>0.42050176212823276</v>
      </c>
      <c r="O392" s="2">
        <f ca="1"/>
        <v>2.3139168946638549</v>
      </c>
      <c r="X392" s="2">
        <f ca="1"/>
        <v>41.2154818453945</v>
      </c>
      <c r="AG392" s="2">
        <f ca="1"/>
        <v>0.80794396123827728</v>
      </c>
      <c r="AH392" s="2" t="str">
        <f ca="1"/>
        <v>Bad</v>
      </c>
    </row>
    <row r="393" spans="2:34" x14ac:dyDescent="0.2">
      <c r="B393" s="2">
        <f ca="1"/>
        <v>0.60185875266123268</v>
      </c>
      <c r="O393" s="2">
        <f ca="1"/>
        <v>0.8769108597874532</v>
      </c>
      <c r="X393" s="2">
        <f ca="1"/>
        <v>28.837902843962191</v>
      </c>
      <c r="AG393" s="2">
        <f ca="1"/>
        <v>0.14215328887755918</v>
      </c>
      <c r="AH393" s="2" t="str">
        <f ca="1"/>
        <v>OK</v>
      </c>
    </row>
    <row r="394" spans="2:34" x14ac:dyDescent="0.2">
      <c r="B394" s="2">
        <f ca="1"/>
        <v>0.56216160579852414</v>
      </c>
      <c r="O394" s="2">
        <f ca="1"/>
        <v>1.8870741912149098</v>
      </c>
      <c r="X394" s="2">
        <f ca="1"/>
        <v>47.943741333073802</v>
      </c>
      <c r="AG394" s="2">
        <f ca="1"/>
        <v>0.71411786456620074</v>
      </c>
      <c r="AH394" s="2" t="str">
        <f ca="1"/>
        <v>Bad</v>
      </c>
    </row>
    <row r="395" spans="2:34" x14ac:dyDescent="0.2">
      <c r="B395" s="2">
        <f ca="1"/>
        <v>0.40496678651298157</v>
      </c>
      <c r="O395" s="2">
        <f ca="1"/>
        <v>2.375633016234115E-2</v>
      </c>
      <c r="X395" s="2">
        <f ca="1"/>
        <v>38.074747833909612</v>
      </c>
      <c r="AG395" s="2">
        <f ca="1"/>
        <v>0.37580047851953102</v>
      </c>
      <c r="AH395" s="2" t="str">
        <f ca="1"/>
        <v>OK</v>
      </c>
    </row>
    <row r="396" spans="2:34" x14ac:dyDescent="0.2">
      <c r="B396" s="2">
        <f ca="1"/>
        <v>0.31122835554475015</v>
      </c>
      <c r="O396" s="2">
        <f ca="1"/>
        <v>0.55438907429156992</v>
      </c>
      <c r="X396" s="2">
        <f ca="1"/>
        <v>37.429396615742931</v>
      </c>
      <c r="AG396" s="2">
        <f ca="1"/>
        <v>0.81036825343752117</v>
      </c>
      <c r="AH396" s="2" t="str">
        <f ca="1"/>
        <v>Bad</v>
      </c>
    </row>
    <row r="397" spans="2:34" x14ac:dyDescent="0.2">
      <c r="B397" s="2">
        <f ca="1"/>
        <v>0.48444782963799748</v>
      </c>
      <c r="O397" s="2">
        <f ca="1"/>
        <v>1.2076163895503278</v>
      </c>
      <c r="X397" s="2">
        <f ca="1"/>
        <v>38.078287560854704</v>
      </c>
      <c r="AG397" s="2">
        <f ca="1"/>
        <v>0.90855786179416675</v>
      </c>
      <c r="AH397" s="2" t="str">
        <f ca="1"/>
        <v>Bad</v>
      </c>
    </row>
    <row r="398" spans="2:34" x14ac:dyDescent="0.2">
      <c r="B398" s="2">
        <f ca="1"/>
        <v>0.72765193388286997</v>
      </c>
      <c r="O398" s="2">
        <f ca="1"/>
        <v>-0.62312119221883422</v>
      </c>
      <c r="X398" s="2">
        <f ca="1"/>
        <v>49.187014829210973</v>
      </c>
      <c r="AG398" s="2">
        <f ca="1"/>
        <v>0.63951755546205025</v>
      </c>
      <c r="AH398" s="2" t="str">
        <f ca="1"/>
        <v>Bad</v>
      </c>
    </row>
    <row r="399" spans="2:34" x14ac:dyDescent="0.2">
      <c r="B399" s="2">
        <f ca="1"/>
        <v>0.25341476227968185</v>
      </c>
      <c r="O399" s="2">
        <f ca="1"/>
        <v>-1.6248701442872819</v>
      </c>
      <c r="X399" s="2">
        <f ca="1"/>
        <v>55.333482578077962</v>
      </c>
      <c r="AG399" s="2">
        <f ca="1"/>
        <v>0.65702204146008691</v>
      </c>
      <c r="AH399" s="2" t="str">
        <f ca="1"/>
        <v>Bad</v>
      </c>
    </row>
    <row r="400" spans="2:34" x14ac:dyDescent="0.2">
      <c r="B400" s="2">
        <f ca="1"/>
        <v>0.39711489980124837</v>
      </c>
      <c r="O400" s="2">
        <f ca="1"/>
        <v>-8.2707304476912352E-2</v>
      </c>
      <c r="X400" s="2">
        <f ca="1"/>
        <v>65.537772603156895</v>
      </c>
      <c r="AG400" s="2">
        <f ca="1"/>
        <v>0.59114365551994652</v>
      </c>
      <c r="AH400" s="2" t="str">
        <f ca="1"/>
        <v>Bad</v>
      </c>
    </row>
    <row r="401" spans="2:34" x14ac:dyDescent="0.2">
      <c r="B401" s="2">
        <f ca="1"/>
        <v>0.52519200427785306</v>
      </c>
      <c r="O401" s="2">
        <f ca="1"/>
        <v>1.2088686757987943</v>
      </c>
      <c r="X401" s="2">
        <f ca="1"/>
        <v>65.199076471298611</v>
      </c>
      <c r="AG401" s="2">
        <f ca="1"/>
        <v>0.70858142981532724</v>
      </c>
      <c r="AH401" s="2" t="str">
        <f ca="1"/>
        <v>Bad</v>
      </c>
    </row>
    <row r="402" spans="2:34" x14ac:dyDescent="0.2">
      <c r="B402" s="2">
        <f ca="1"/>
        <v>0.91876780652623813</v>
      </c>
      <c r="O402" s="2">
        <f ca="1"/>
        <v>-0.39924709610640013</v>
      </c>
      <c r="X402" s="2">
        <f ca="1"/>
        <v>47.276880385145681</v>
      </c>
      <c r="AG402" s="2">
        <f ca="1"/>
        <v>0.99268931062709709</v>
      </c>
      <c r="AH402" s="2" t="str">
        <f ca="1"/>
        <v>Bad</v>
      </c>
    </row>
    <row r="403" spans="2:34" x14ac:dyDescent="0.2">
      <c r="B403" s="2">
        <f ca="1"/>
        <v>0.67418323702986949</v>
      </c>
      <c r="O403" s="2">
        <f ca="1"/>
        <v>0.41047528271498923</v>
      </c>
      <c r="X403" s="2">
        <f ca="1"/>
        <v>61.07210228925959</v>
      </c>
      <c r="AG403" s="2">
        <f ca="1"/>
        <v>0.11898528289239962</v>
      </c>
      <c r="AH403" s="2" t="str">
        <f ca="1"/>
        <v>OK</v>
      </c>
    </row>
    <row r="404" spans="2:34" x14ac:dyDescent="0.2">
      <c r="B404" s="2">
        <f ca="1"/>
        <v>5.8554764326677944E-2</v>
      </c>
      <c r="O404" s="2">
        <f ca="1"/>
        <v>-7.3122585402704068E-2</v>
      </c>
      <c r="X404" s="2">
        <f ca="1"/>
        <v>69.939658340275699</v>
      </c>
      <c r="AG404" s="2">
        <f ca="1"/>
        <v>0.4159996106591024</v>
      </c>
      <c r="AH404" s="2" t="str">
        <f ca="1"/>
        <v>Bad</v>
      </c>
    </row>
    <row r="405" spans="2:34" x14ac:dyDescent="0.2">
      <c r="B405" s="2">
        <f ca="1"/>
        <v>0.85692027191525777</v>
      </c>
      <c r="O405" s="2">
        <f ca="1"/>
        <v>1.077634896859214</v>
      </c>
      <c r="X405" s="2">
        <f ca="1"/>
        <v>44.507197734797387</v>
      </c>
      <c r="AG405" s="2">
        <f ca="1"/>
        <v>0.91881719332489209</v>
      </c>
      <c r="AH405" s="2" t="str">
        <f ca="1"/>
        <v>Bad</v>
      </c>
    </row>
    <row r="406" spans="2:34" x14ac:dyDescent="0.2">
      <c r="B406" s="2">
        <f ca="1"/>
        <v>0.66211510469926838</v>
      </c>
      <c r="O406" s="2">
        <f ca="1"/>
        <v>0.88254989217043833</v>
      </c>
      <c r="X406" s="2">
        <f ca="1"/>
        <v>45.703744477215963</v>
      </c>
      <c r="AG406" s="2">
        <f ca="1"/>
        <v>0.95604493032351257</v>
      </c>
      <c r="AH406" s="2" t="str">
        <f ca="1"/>
        <v>Bad</v>
      </c>
    </row>
    <row r="407" spans="2:34" x14ac:dyDescent="0.2">
      <c r="B407" s="2">
        <f ca="1"/>
        <v>0.54619772891380203</v>
      </c>
      <c r="O407" s="2">
        <f ca="1"/>
        <v>1.0860762833919007</v>
      </c>
      <c r="X407" s="2">
        <f ca="1"/>
        <v>92.656047949528244</v>
      </c>
      <c r="AG407" s="2">
        <f ca="1"/>
        <v>0.68249568895338997</v>
      </c>
      <c r="AH407" s="2" t="str">
        <f ca="1"/>
        <v>Bad</v>
      </c>
    </row>
    <row r="408" spans="2:34" x14ac:dyDescent="0.2">
      <c r="B408" s="2">
        <f ca="1"/>
        <v>0.73795782019563827</v>
      </c>
      <c r="O408" s="2">
        <f ca="1"/>
        <v>-1.072553875423109</v>
      </c>
      <c r="X408" s="2">
        <f ca="1"/>
        <v>56.450605276779285</v>
      </c>
      <c r="AG408" s="2">
        <f ca="1"/>
        <v>0.96827900953259483</v>
      </c>
      <c r="AH408" s="2" t="str">
        <f ca="1"/>
        <v>Bad</v>
      </c>
    </row>
    <row r="409" spans="2:34" x14ac:dyDescent="0.2">
      <c r="B409" s="2">
        <f ca="1"/>
        <v>0.88605030750665281</v>
      </c>
      <c r="O409" s="2">
        <f ca="1"/>
        <v>-1.8009616344994159</v>
      </c>
      <c r="X409" s="2">
        <f ca="1"/>
        <v>34.315100315906612</v>
      </c>
      <c r="AG409" s="2">
        <f ca="1"/>
        <v>0.33435654105959389</v>
      </c>
      <c r="AH409" s="2" t="str">
        <f ca="1"/>
        <v>OK</v>
      </c>
    </row>
    <row r="410" spans="2:34" x14ac:dyDescent="0.2">
      <c r="B410" s="2">
        <f ca="1"/>
        <v>0.89707893324561239</v>
      </c>
      <c r="O410" s="2">
        <f ca="1"/>
        <v>-0.57543567444086174</v>
      </c>
      <c r="X410" s="2">
        <f ca="1"/>
        <v>45.383898560086607</v>
      </c>
      <c r="AG410" s="2">
        <f ca="1"/>
        <v>8.1056136979157811E-2</v>
      </c>
      <c r="AH410" s="2" t="str">
        <f ca="1"/>
        <v>OK</v>
      </c>
    </row>
    <row r="411" spans="2:34" x14ac:dyDescent="0.2">
      <c r="B411" s="2">
        <f ca="1"/>
        <v>0.19778697297612413</v>
      </c>
      <c r="O411" s="2">
        <f ca="1"/>
        <v>0.60238108680765134</v>
      </c>
      <c r="X411" s="2">
        <f ca="1"/>
        <v>97.518033206405335</v>
      </c>
      <c r="AG411" s="2">
        <f ca="1"/>
        <v>0.191589725032137</v>
      </c>
      <c r="AH411" s="2" t="str">
        <f ca="1"/>
        <v>OK</v>
      </c>
    </row>
    <row r="412" spans="2:34" x14ac:dyDescent="0.2">
      <c r="B412" s="2">
        <f ca="1"/>
        <v>0.72479002639256351</v>
      </c>
      <c r="O412" s="2">
        <f ca="1"/>
        <v>-0.20654923345418655</v>
      </c>
      <c r="X412" s="2">
        <f ca="1"/>
        <v>53.606382822329536</v>
      </c>
      <c r="AG412" s="2">
        <f ca="1"/>
        <v>0.53181488837712543</v>
      </c>
      <c r="AH412" s="2" t="str">
        <f ca="1"/>
        <v>Bad</v>
      </c>
    </row>
    <row r="413" spans="2:34" x14ac:dyDescent="0.2">
      <c r="B413" s="2">
        <f ca="1"/>
        <v>0.37007248341859977</v>
      </c>
      <c r="O413" s="2">
        <f ca="1"/>
        <v>-1.2418331502376745</v>
      </c>
      <c r="X413" s="2">
        <f ca="1"/>
        <v>50.290802823806054</v>
      </c>
      <c r="AG413" s="2">
        <f ca="1"/>
        <v>0.14840176210718425</v>
      </c>
      <c r="AH413" s="2" t="str">
        <f ca="1"/>
        <v>OK</v>
      </c>
    </row>
    <row r="414" spans="2:34" x14ac:dyDescent="0.2">
      <c r="B414" s="2">
        <f ca="1"/>
        <v>0.94563635574800786</v>
      </c>
      <c r="O414" s="2">
        <f ca="1"/>
        <v>1.3615715768213763</v>
      </c>
      <c r="X414" s="2">
        <f ca="1"/>
        <v>49.889840875518388</v>
      </c>
      <c r="AG414" s="2">
        <f ca="1"/>
        <v>0.33699924370359602</v>
      </c>
      <c r="AH414" s="2" t="str">
        <f ca="1"/>
        <v>OK</v>
      </c>
    </row>
    <row r="415" spans="2:34" x14ac:dyDescent="0.2">
      <c r="B415" s="2">
        <f ca="1"/>
        <v>0.9673329438141971</v>
      </c>
      <c r="O415" s="2">
        <f ca="1"/>
        <v>1.0582382422989283</v>
      </c>
      <c r="X415" s="2">
        <f ca="1"/>
        <v>39.857787928241599</v>
      </c>
      <c r="AG415" s="2">
        <f ca="1"/>
        <v>0.68710992796830284</v>
      </c>
      <c r="AH415" s="2" t="str">
        <f ca="1"/>
        <v>Bad</v>
      </c>
    </row>
    <row r="416" spans="2:34" x14ac:dyDescent="0.2">
      <c r="B416" s="2">
        <f ca="1"/>
        <v>0.18211091083706488</v>
      </c>
      <c r="O416" s="2">
        <f ca="1"/>
        <v>-0.56484739750629132</v>
      </c>
      <c r="X416" s="2">
        <f ca="1"/>
        <v>43.06098838345963</v>
      </c>
      <c r="AG416" s="2">
        <f ca="1"/>
        <v>0.31460035605613035</v>
      </c>
      <c r="AH416" s="2" t="str">
        <f ca="1"/>
        <v>OK</v>
      </c>
    </row>
    <row r="417" spans="2:34" x14ac:dyDescent="0.2">
      <c r="B417" s="2">
        <f ca="1"/>
        <v>0.72153256709772196</v>
      </c>
      <c r="O417" s="2">
        <f ca="1"/>
        <v>0.39372444957337466</v>
      </c>
      <c r="X417" s="2">
        <f ca="1"/>
        <v>43.372414495219111</v>
      </c>
      <c r="AG417" s="2">
        <f ca="1"/>
        <v>7.3515171623293352E-2</v>
      </c>
      <c r="AH417" s="2" t="str">
        <f ca="1"/>
        <v>OK</v>
      </c>
    </row>
    <row r="418" spans="2:34" x14ac:dyDescent="0.2">
      <c r="B418" s="2">
        <f ca="1"/>
        <v>0.55394954288646714</v>
      </c>
      <c r="O418" s="2">
        <f ca="1"/>
        <v>1.3373512542482615</v>
      </c>
      <c r="X418" s="2">
        <f ca="1"/>
        <v>46.507720579429574</v>
      </c>
      <c r="AG418" s="2">
        <f ca="1"/>
        <v>0.97240618274475144</v>
      </c>
      <c r="AH418" s="2" t="str">
        <f ca="1"/>
        <v>Bad</v>
      </c>
    </row>
    <row r="419" spans="2:34" x14ac:dyDescent="0.2">
      <c r="B419" s="2">
        <f ca="1"/>
        <v>0.61779093742276725</v>
      </c>
      <c r="O419" s="2">
        <f ca="1"/>
        <v>-0.79105630445325215</v>
      </c>
      <c r="X419" s="2">
        <f ca="1"/>
        <v>52.608738112086748</v>
      </c>
      <c r="AG419" s="2">
        <f ca="1"/>
        <v>0.16668435873628185</v>
      </c>
      <c r="AH419" s="2" t="str">
        <f ca="1"/>
        <v>OK</v>
      </c>
    </row>
    <row r="420" spans="2:34" x14ac:dyDescent="0.2">
      <c r="B420" s="2">
        <f ca="1"/>
        <v>0.16991082123014678</v>
      </c>
      <c r="O420" s="2">
        <f ca="1"/>
        <v>-1.0844047500263911</v>
      </c>
      <c r="X420" s="2">
        <f ca="1"/>
        <v>38.892239574499577</v>
      </c>
      <c r="AG420" s="2">
        <f ca="1"/>
        <v>0.28636036657108588</v>
      </c>
      <c r="AH420" s="2" t="str">
        <f ca="1"/>
        <v>OK</v>
      </c>
    </row>
    <row r="421" spans="2:34" x14ac:dyDescent="0.2">
      <c r="B421" s="2">
        <f ca="1"/>
        <v>0.56366833211566925</v>
      </c>
      <c r="O421" s="2">
        <f ca="1"/>
        <v>-1.0627338472156154</v>
      </c>
      <c r="X421" s="2">
        <f ca="1"/>
        <v>62.771335850986986</v>
      </c>
      <c r="AG421" s="2">
        <f ca="1"/>
        <v>0.68008201683446345</v>
      </c>
      <c r="AH421" s="2" t="str">
        <f ca="1"/>
        <v>Bad</v>
      </c>
    </row>
    <row r="422" spans="2:34" x14ac:dyDescent="0.2">
      <c r="B422" s="2">
        <f ca="1"/>
        <v>0.63480033646974809</v>
      </c>
      <c r="O422" s="2">
        <f ca="1"/>
        <v>0.71860764431517632</v>
      </c>
      <c r="X422" s="2">
        <f ca="1"/>
        <v>31.720805709143672</v>
      </c>
      <c r="AG422" s="2">
        <f ca="1"/>
        <v>0.51596526246811236</v>
      </c>
      <c r="AH422" s="2" t="str">
        <f ca="1"/>
        <v>Bad</v>
      </c>
    </row>
    <row r="423" spans="2:34" x14ac:dyDescent="0.2">
      <c r="B423" s="2">
        <f ca="1"/>
        <v>0.39341495573124408</v>
      </c>
      <c r="O423" s="2">
        <f ca="1"/>
        <v>1.3014770062030279</v>
      </c>
      <c r="X423" s="2">
        <f ca="1"/>
        <v>43.450384131538058</v>
      </c>
      <c r="AG423" s="2">
        <f ca="1"/>
        <v>2.9069438456821528E-2</v>
      </c>
      <c r="AH423" s="2" t="str">
        <f ca="1"/>
        <v>Good</v>
      </c>
    </row>
    <row r="424" spans="2:34" x14ac:dyDescent="0.2">
      <c r="B424" s="2">
        <f ca="1"/>
        <v>0.46422323636458485</v>
      </c>
      <c r="O424" s="2">
        <f ca="1"/>
        <v>-0.24749979099793049</v>
      </c>
      <c r="X424" s="2">
        <f ca="1"/>
        <v>38.357150326176637</v>
      </c>
      <c r="AG424" s="2">
        <f ca="1"/>
        <v>0.47301306850374902</v>
      </c>
      <c r="AH424" s="2" t="str">
        <f ca="1"/>
        <v>Bad</v>
      </c>
    </row>
    <row r="425" spans="2:34" x14ac:dyDescent="0.2">
      <c r="B425" s="2">
        <f ca="1"/>
        <v>0.81263483503489886</v>
      </c>
      <c r="O425" s="2">
        <f ca="1"/>
        <v>-1.4434102389892169</v>
      </c>
      <c r="X425" s="2">
        <f ca="1"/>
        <v>33.448855393145898</v>
      </c>
      <c r="AG425" s="2">
        <f ca="1"/>
        <v>0.93796300248206999</v>
      </c>
      <c r="AH425" s="2" t="str">
        <f ca="1"/>
        <v>Bad</v>
      </c>
    </row>
    <row r="426" spans="2:34" x14ac:dyDescent="0.2">
      <c r="B426" s="2">
        <f ca="1"/>
        <v>3.7111988816903141E-2</v>
      </c>
      <c r="O426" s="2">
        <f ca="1"/>
        <v>-0.44407224842225629</v>
      </c>
      <c r="X426" s="2">
        <f ca="1"/>
        <v>31.197834516175526</v>
      </c>
      <c r="AG426" s="2">
        <f ca="1"/>
        <v>0.16724605261186309</v>
      </c>
      <c r="AH426" s="2" t="str">
        <f ca="1"/>
        <v>OK</v>
      </c>
    </row>
    <row r="427" spans="2:34" x14ac:dyDescent="0.2">
      <c r="B427" s="2">
        <f ca="1"/>
        <v>0.88924736635571322</v>
      </c>
      <c r="O427" s="2">
        <f ca="1"/>
        <v>0.2190433430012696</v>
      </c>
      <c r="X427" s="2">
        <f ca="1"/>
        <v>37.51913723122339</v>
      </c>
      <c r="AG427" s="2">
        <f ca="1"/>
        <v>0.55296761806048766</v>
      </c>
      <c r="AH427" s="2" t="str">
        <f ca="1"/>
        <v>Bad</v>
      </c>
    </row>
    <row r="428" spans="2:34" x14ac:dyDescent="0.2">
      <c r="B428" s="2">
        <f ca="1"/>
        <v>0.84824728782526249</v>
      </c>
      <c r="O428" s="2">
        <f ca="1"/>
        <v>0.89342478016806925</v>
      </c>
      <c r="X428" s="2">
        <f ca="1"/>
        <v>58.992609287997411</v>
      </c>
      <c r="AG428" s="2">
        <f ca="1"/>
        <v>0.24428401888225704</v>
      </c>
      <c r="AH428" s="2" t="str">
        <f ca="1"/>
        <v>OK</v>
      </c>
    </row>
    <row r="429" spans="2:34" x14ac:dyDescent="0.2">
      <c r="B429" s="2">
        <f ca="1"/>
        <v>0.4495959606255262</v>
      </c>
      <c r="O429" s="2">
        <f ca="1"/>
        <v>1.1512847331893565</v>
      </c>
      <c r="X429" s="2">
        <f ca="1"/>
        <v>53.748623362829797</v>
      </c>
      <c r="AG429" s="2">
        <f ca="1"/>
        <v>0.44973716965943167</v>
      </c>
      <c r="AH429" s="2" t="str">
        <f ca="1"/>
        <v>Bad</v>
      </c>
    </row>
    <row r="430" spans="2:34" x14ac:dyDescent="0.2">
      <c r="B430" s="2">
        <f ca="1"/>
        <v>0.9162573335647215</v>
      </c>
      <c r="O430" s="2">
        <f ca="1"/>
        <v>0.70030639901478964</v>
      </c>
      <c r="X430" s="2">
        <f ca="1"/>
        <v>49.720786098983474</v>
      </c>
      <c r="AG430" s="2">
        <f ca="1"/>
        <v>0.74744060128851841</v>
      </c>
      <c r="AH430" s="2" t="str">
        <f ca="1"/>
        <v>Bad</v>
      </c>
    </row>
    <row r="431" spans="2:34" x14ac:dyDescent="0.2">
      <c r="B431" s="2">
        <f ca="1"/>
        <v>8.8190173039147668E-2</v>
      </c>
      <c r="O431" s="2">
        <f ca="1"/>
        <v>-0.54103504098261157</v>
      </c>
      <c r="X431" s="2">
        <f ca="1"/>
        <v>38.509642952574488</v>
      </c>
      <c r="AG431" s="2">
        <f ca="1"/>
        <v>0.66063240938615619</v>
      </c>
      <c r="AH431" s="2" t="str">
        <f ca="1"/>
        <v>Bad</v>
      </c>
    </row>
    <row r="432" spans="2:34" x14ac:dyDescent="0.2">
      <c r="B432" s="2">
        <f ca="1"/>
        <v>0.27947721370749679</v>
      </c>
      <c r="O432" s="2">
        <f ca="1"/>
        <v>0.7448868548412374</v>
      </c>
      <c r="X432" s="2">
        <f ca="1"/>
        <v>30.255773402891993</v>
      </c>
      <c r="AG432" s="2">
        <f ca="1"/>
        <v>9.5180348594032793E-3</v>
      </c>
      <c r="AH432" s="2" t="str">
        <f ca="1"/>
        <v>Good</v>
      </c>
    </row>
    <row r="433" spans="2:34" x14ac:dyDescent="0.2">
      <c r="B433" s="2">
        <f ca="1"/>
        <v>0.79505267964862303</v>
      </c>
      <c r="O433" s="2">
        <f ca="1"/>
        <v>-0.47467217127935651</v>
      </c>
      <c r="X433" s="2">
        <f ca="1"/>
        <v>74.182020800078433</v>
      </c>
      <c r="AG433" s="2">
        <f ca="1"/>
        <v>0.78975535957874698</v>
      </c>
      <c r="AH433" s="2" t="str">
        <f ca="1"/>
        <v>Bad</v>
      </c>
    </row>
    <row r="434" spans="2:34" x14ac:dyDescent="0.2">
      <c r="B434" s="2">
        <f ca="1"/>
        <v>0.37786766305186825</v>
      </c>
      <c r="O434" s="2">
        <f ca="1"/>
        <v>-0.29684569423268625</v>
      </c>
      <c r="X434" s="2">
        <f ca="1"/>
        <v>33.228471240846005</v>
      </c>
      <c r="AG434" s="2">
        <f ca="1"/>
        <v>0.95040315108706452</v>
      </c>
      <c r="AH434" s="2" t="str">
        <f ca="1"/>
        <v>Bad</v>
      </c>
    </row>
    <row r="435" spans="2:34" x14ac:dyDescent="0.2">
      <c r="B435" s="2">
        <f ca="1"/>
        <v>0.38426391632307899</v>
      </c>
      <c r="O435" s="2">
        <f ca="1"/>
        <v>-1.0054698700319991</v>
      </c>
      <c r="X435" s="2">
        <f ca="1"/>
        <v>22.858805532955845</v>
      </c>
      <c r="AG435" s="2">
        <f ca="1"/>
        <v>0.56411259385712986</v>
      </c>
      <c r="AH435" s="2" t="str">
        <f ca="1"/>
        <v>Bad</v>
      </c>
    </row>
    <row r="436" spans="2:34" x14ac:dyDescent="0.2">
      <c r="B436" s="2">
        <f ca="1"/>
        <v>0.25707871846270192</v>
      </c>
      <c r="O436" s="2">
        <f ca="1"/>
        <v>-1.1281515840426315</v>
      </c>
      <c r="X436" s="2">
        <f ca="1"/>
        <v>53.085040445876615</v>
      </c>
      <c r="AG436" s="2">
        <f ca="1"/>
        <v>0.75742269028259157</v>
      </c>
      <c r="AH436" s="2" t="str">
        <f ca="1"/>
        <v>Bad</v>
      </c>
    </row>
    <row r="437" spans="2:34" x14ac:dyDescent="0.2">
      <c r="B437" s="2">
        <f ca="1"/>
        <v>0.94697375984750742</v>
      </c>
      <c r="O437" s="2">
        <f ca="1"/>
        <v>0.35267804323691232</v>
      </c>
      <c r="X437" s="2">
        <f ca="1"/>
        <v>45.604417436376146</v>
      </c>
      <c r="AG437" s="2">
        <f ca="1"/>
        <v>1.0498440687864319E-2</v>
      </c>
      <c r="AH437" s="2" t="str">
        <f ca="1"/>
        <v>Good</v>
      </c>
    </row>
    <row r="438" spans="2:34" x14ac:dyDescent="0.2">
      <c r="B438" s="2">
        <f ca="1"/>
        <v>0.41441067354117722</v>
      </c>
      <c r="O438" s="2">
        <f ca="1"/>
        <v>-1.1521725956929127</v>
      </c>
      <c r="X438" s="2">
        <f ca="1"/>
        <v>54.936105316261319</v>
      </c>
      <c r="AG438" s="2">
        <f ca="1"/>
        <v>0.11245129644890017</v>
      </c>
      <c r="AH438" s="2" t="str">
        <f ca="1"/>
        <v>OK</v>
      </c>
    </row>
    <row r="439" spans="2:34" x14ac:dyDescent="0.2">
      <c r="B439" s="2">
        <f ca="1"/>
        <v>0.56090837732631993</v>
      </c>
      <c r="O439" s="2">
        <f ca="1"/>
        <v>0.19116404479364429</v>
      </c>
      <c r="X439" s="2">
        <f ca="1"/>
        <v>51.651644320050416</v>
      </c>
      <c r="AG439" s="2">
        <f ca="1"/>
        <v>0.81520714010659168</v>
      </c>
      <c r="AH439" s="2" t="str">
        <f ca="1"/>
        <v>Bad</v>
      </c>
    </row>
    <row r="440" spans="2:34" x14ac:dyDescent="0.2">
      <c r="B440" s="2">
        <f ca="1"/>
        <v>0.34380567210310442</v>
      </c>
      <c r="O440" s="2">
        <f ca="1"/>
        <v>0.83725826102254242</v>
      </c>
      <c r="X440" s="2">
        <f ca="1"/>
        <v>63.115481985993469</v>
      </c>
      <c r="AG440" s="2">
        <f ca="1"/>
        <v>0.34984099290889525</v>
      </c>
      <c r="AH440" s="2" t="str">
        <f ca="1"/>
        <v>OK</v>
      </c>
    </row>
    <row r="441" spans="2:34" x14ac:dyDescent="0.2">
      <c r="B441" s="2">
        <f ca="1"/>
        <v>6.3741662395333964E-2</v>
      </c>
      <c r="O441" s="2">
        <f ca="1"/>
        <v>1.3095731743366967</v>
      </c>
      <c r="X441" s="2">
        <f ca="1"/>
        <v>53.296662249428657</v>
      </c>
      <c r="AG441" s="2">
        <f ca="1"/>
        <v>3.3531592033656743E-2</v>
      </c>
      <c r="AH441" s="2" t="str">
        <f ca="1"/>
        <v>Good</v>
      </c>
    </row>
    <row r="442" spans="2:34" x14ac:dyDescent="0.2">
      <c r="B442" s="2">
        <f ca="1"/>
        <v>0.57159763609299175</v>
      </c>
      <c r="O442" s="2">
        <f ca="1"/>
        <v>0.14374864955871217</v>
      </c>
      <c r="X442" s="2">
        <f ca="1"/>
        <v>36.520326280755498</v>
      </c>
      <c r="AG442" s="2">
        <f ca="1"/>
        <v>0.6434844040364569</v>
      </c>
      <c r="AH442" s="2" t="str">
        <f ca="1"/>
        <v>Bad</v>
      </c>
    </row>
    <row r="443" spans="2:34" x14ac:dyDescent="0.2">
      <c r="B443" s="2">
        <f ca="1"/>
        <v>0.63653224639872774</v>
      </c>
      <c r="O443" s="2">
        <f ca="1"/>
        <v>-0.83389818902261204</v>
      </c>
      <c r="X443" s="2">
        <f ca="1"/>
        <v>54.22206377711133</v>
      </c>
      <c r="AG443" s="2">
        <f ca="1"/>
        <v>0.47057627228806687</v>
      </c>
      <c r="AH443" s="2" t="str">
        <f ca="1"/>
        <v>Bad</v>
      </c>
    </row>
    <row r="444" spans="2:34" x14ac:dyDescent="0.2">
      <c r="B444" s="2">
        <f ca="1"/>
        <v>0.16849585524375166</v>
      </c>
      <c r="O444" s="2">
        <f ca="1"/>
        <v>-2.1303243721642282</v>
      </c>
      <c r="X444" s="2">
        <f ca="1"/>
        <v>49.217682311199766</v>
      </c>
      <c r="AG444" s="2">
        <f ca="1"/>
        <v>0.71277772684342189</v>
      </c>
      <c r="AH444" s="2" t="str">
        <f ca="1"/>
        <v>Bad</v>
      </c>
    </row>
    <row r="445" spans="2:34" x14ac:dyDescent="0.2">
      <c r="B445" s="2">
        <f ca="1"/>
        <v>0.11675278715301807</v>
      </c>
      <c r="O445" s="2">
        <f ca="1"/>
        <v>0.19692601367491097</v>
      </c>
      <c r="X445" s="2">
        <f ca="1"/>
        <v>54.45233669548324</v>
      </c>
      <c r="AG445" s="2">
        <f ca="1"/>
        <v>0.14124660387929366</v>
      </c>
      <c r="AH445" s="2" t="str">
        <f ca="1"/>
        <v>OK</v>
      </c>
    </row>
    <row r="446" spans="2:34" x14ac:dyDescent="0.2">
      <c r="B446" s="2">
        <f ca="1"/>
        <v>0.7616330312337749</v>
      </c>
      <c r="O446" s="2">
        <f ca="1"/>
        <v>-2.0192989691758649</v>
      </c>
      <c r="X446" s="2">
        <f ca="1"/>
        <v>90.905279079454061</v>
      </c>
      <c r="AG446" s="2">
        <f ca="1"/>
        <v>0.20561376634449235</v>
      </c>
      <c r="AH446" s="2" t="str">
        <f ca="1"/>
        <v>OK</v>
      </c>
    </row>
    <row r="447" spans="2:34" x14ac:dyDescent="0.2">
      <c r="B447" s="2">
        <f ca="1"/>
        <v>0.56098010686341659</v>
      </c>
      <c r="O447" s="2">
        <f ca="1"/>
        <v>-7.1624598761312441E-2</v>
      </c>
      <c r="X447" s="2">
        <f ca="1"/>
        <v>28.413458570487478</v>
      </c>
      <c r="AG447" s="2">
        <f ca="1"/>
        <v>5.0154871129350909E-2</v>
      </c>
      <c r="AH447" s="2" t="str">
        <f ca="1"/>
        <v>OK</v>
      </c>
    </row>
    <row r="448" spans="2:34" x14ac:dyDescent="0.2">
      <c r="B448" s="2">
        <f ca="1"/>
        <v>0.32499440056547768</v>
      </c>
      <c r="O448" s="2">
        <f ca="1"/>
        <v>1.0424441186777551</v>
      </c>
      <c r="X448" s="2">
        <f ca="1"/>
        <v>58.58185845421859</v>
      </c>
      <c r="AG448" s="2">
        <f ca="1"/>
        <v>0.58375510162074384</v>
      </c>
      <c r="AH448" s="2" t="str">
        <f ca="1"/>
        <v>Bad</v>
      </c>
    </row>
    <row r="449" spans="2:34" x14ac:dyDescent="0.2">
      <c r="B449" s="2">
        <f ca="1"/>
        <v>0.93102425928349697</v>
      </c>
      <c r="O449" s="2">
        <f ca="1"/>
        <v>0.90817862507798841</v>
      </c>
      <c r="X449" s="2">
        <f ca="1"/>
        <v>86.219894028074975</v>
      </c>
      <c r="AG449" s="2">
        <f ca="1"/>
        <v>0.43849898277084454</v>
      </c>
      <c r="AH449" s="2" t="str">
        <f ca="1"/>
        <v>Bad</v>
      </c>
    </row>
    <row r="450" spans="2:34" x14ac:dyDescent="0.2">
      <c r="B450" s="2">
        <f ca="1"/>
        <v>0.96820213898027108</v>
      </c>
      <c r="O450" s="2">
        <f ca="1"/>
        <v>-0.4649550202438183</v>
      </c>
      <c r="X450" s="2">
        <f ca="1"/>
        <v>32.463844778899485</v>
      </c>
      <c r="AG450" s="2">
        <f ca="1"/>
        <v>0.37872742954478045</v>
      </c>
      <c r="AH450" s="2" t="str">
        <f ca="1"/>
        <v>OK</v>
      </c>
    </row>
    <row r="451" spans="2:34" x14ac:dyDescent="0.2">
      <c r="B451" s="2">
        <f ca="1"/>
        <v>0.34108392479862348</v>
      </c>
      <c r="O451" s="2">
        <f ca="1"/>
        <v>7.4850593173657512E-2</v>
      </c>
      <c r="X451" s="2">
        <f ca="1"/>
        <v>34.059744578048182</v>
      </c>
      <c r="AG451" s="2">
        <f ca="1"/>
        <v>0.57765473594992955</v>
      </c>
      <c r="AH451" s="2" t="str">
        <f ca="1"/>
        <v>Bad</v>
      </c>
    </row>
    <row r="452" spans="2:34" x14ac:dyDescent="0.2">
      <c r="B452" s="2">
        <f ca="1"/>
        <v>0.17739117962850393</v>
      </c>
      <c r="O452" s="2">
        <f ca="1"/>
        <v>-1.3930913910803231</v>
      </c>
      <c r="X452" s="2">
        <f ca="1"/>
        <v>45.157593950180861</v>
      </c>
      <c r="AG452" s="2">
        <f ca="1"/>
        <v>2.473283756475908E-2</v>
      </c>
      <c r="AH452" s="2" t="str">
        <f ca="1"/>
        <v>Good</v>
      </c>
    </row>
    <row r="453" spans="2:34" x14ac:dyDescent="0.2">
      <c r="B453" s="2">
        <f ca="1"/>
        <v>0.66128712953814017</v>
      </c>
      <c r="O453" s="2">
        <f ca="1"/>
        <v>0.55948511591349115</v>
      </c>
      <c r="X453" s="2">
        <f ca="1"/>
        <v>45.456530402397973</v>
      </c>
      <c r="AG453" s="2">
        <f ca="1"/>
        <v>0.25822502026695004</v>
      </c>
      <c r="AH453" s="2" t="str">
        <f ca="1"/>
        <v>OK</v>
      </c>
    </row>
    <row r="454" spans="2:34" x14ac:dyDescent="0.2">
      <c r="B454" s="2">
        <f ca="1"/>
        <v>0.1657535361969571</v>
      </c>
      <c r="O454" s="2">
        <f ca="1"/>
        <v>0.20757064779923728</v>
      </c>
      <c r="X454" s="2">
        <f ca="1"/>
        <v>43.096395817284929</v>
      </c>
      <c r="AG454" s="2">
        <f ca="1"/>
        <v>0.10010204872172501</v>
      </c>
      <c r="AH454" s="2" t="str">
        <f ca="1"/>
        <v>OK</v>
      </c>
    </row>
    <row r="455" spans="2:34" x14ac:dyDescent="0.2">
      <c r="B455" s="2">
        <f ca="1"/>
        <v>0.59288781808817714</v>
      </c>
      <c r="O455" s="2">
        <f ca="1"/>
        <v>0.18937532007476815</v>
      </c>
      <c r="X455" s="2">
        <f ca="1"/>
        <v>28.233611605925319</v>
      </c>
      <c r="AG455" s="2">
        <f ca="1"/>
        <v>0.23109523599628234</v>
      </c>
      <c r="AH455" s="2" t="str">
        <f ca="1"/>
        <v>OK</v>
      </c>
    </row>
    <row r="456" spans="2:34" x14ac:dyDescent="0.2">
      <c r="B456" s="2">
        <f ca="1"/>
        <v>0.49846558697138477</v>
      </c>
      <c r="O456" s="2">
        <f ca="1"/>
        <v>-0.39897007859610151</v>
      </c>
      <c r="X456" s="2">
        <f ca="1"/>
        <v>46.831868781755034</v>
      </c>
      <c r="AG456" s="2">
        <f ca="1"/>
        <v>0.86555489309973477</v>
      </c>
      <c r="AH456" s="2" t="str">
        <f ca="1"/>
        <v>Bad</v>
      </c>
    </row>
    <row r="457" spans="2:34" x14ac:dyDescent="0.2">
      <c r="B457" s="2">
        <f ca="1"/>
        <v>0.83101569016957133</v>
      </c>
      <c r="O457" s="2">
        <f ca="1"/>
        <v>0.99051903147344067</v>
      </c>
      <c r="X457" s="2">
        <f ca="1"/>
        <v>37.629305773444074</v>
      </c>
      <c r="AG457" s="2">
        <f ca="1"/>
        <v>0.30957432640201232</v>
      </c>
      <c r="AH457" s="2" t="str">
        <f ca="1"/>
        <v>OK</v>
      </c>
    </row>
    <row r="458" spans="2:34" x14ac:dyDescent="0.2">
      <c r="B458" s="2">
        <f ca="1"/>
        <v>0.7387797239034033</v>
      </c>
      <c r="O458" s="2">
        <f ca="1"/>
        <v>-0.22629412316091815</v>
      </c>
      <c r="X458" s="2">
        <f ca="1"/>
        <v>41.996931275460398</v>
      </c>
      <c r="AG458" s="2">
        <f ca="1"/>
        <v>0.52941956814455571</v>
      </c>
      <c r="AH458" s="2" t="str">
        <f ca="1"/>
        <v>Bad</v>
      </c>
    </row>
    <row r="459" spans="2:34" x14ac:dyDescent="0.2">
      <c r="B459" s="2">
        <f ca="1"/>
        <v>0.18163088308142172</v>
      </c>
      <c r="O459" s="2">
        <f ca="1"/>
        <v>0.99625650254920162</v>
      </c>
      <c r="X459" s="2">
        <f ca="1"/>
        <v>50.924158424554349</v>
      </c>
      <c r="AG459" s="2">
        <f ca="1"/>
        <v>0.5642327747995326</v>
      </c>
      <c r="AH459" s="2" t="str">
        <f ca="1"/>
        <v>Bad</v>
      </c>
    </row>
    <row r="460" spans="2:34" x14ac:dyDescent="0.2">
      <c r="B460" s="2">
        <f ca="1"/>
        <v>0.72810842625307814</v>
      </c>
      <c r="O460" s="2">
        <f ca="1"/>
        <v>-1.6023124754480091</v>
      </c>
      <c r="X460" s="2">
        <f ca="1"/>
        <v>45.993125529441308</v>
      </c>
      <c r="AG460" s="2">
        <f ca="1"/>
        <v>0.18816715465895872</v>
      </c>
      <c r="AH460" s="2" t="str">
        <f ca="1"/>
        <v>OK</v>
      </c>
    </row>
    <row r="461" spans="2:34" x14ac:dyDescent="0.2">
      <c r="B461" s="2">
        <f ca="1"/>
        <v>0.71424904920410603</v>
      </c>
      <c r="O461" s="2">
        <f ca="1"/>
        <v>-0.51051985649197695</v>
      </c>
      <c r="X461" s="2">
        <f ca="1"/>
        <v>47.074554667026042</v>
      </c>
      <c r="AG461" s="2">
        <f ca="1"/>
        <v>0.89842384988049173</v>
      </c>
      <c r="AH461" s="2" t="str">
        <f ca="1"/>
        <v>Bad</v>
      </c>
    </row>
    <row r="462" spans="2:34" x14ac:dyDescent="0.2">
      <c r="B462" s="2">
        <f ca="1"/>
        <v>9.5936136049055154E-3</v>
      </c>
      <c r="O462" s="2">
        <f ca="1"/>
        <v>5.8822931624213974E-2</v>
      </c>
      <c r="X462" s="2">
        <f ca="1"/>
        <v>41.24101075734248</v>
      </c>
      <c r="AG462" s="2">
        <f ca="1"/>
        <v>0.42547532207067396</v>
      </c>
      <c r="AH462" s="2" t="str">
        <f ca="1"/>
        <v>Bad</v>
      </c>
    </row>
    <row r="463" spans="2:34" x14ac:dyDescent="0.2">
      <c r="B463" s="2">
        <f ca="1"/>
        <v>0.23123173854706636</v>
      </c>
      <c r="O463" s="2">
        <f ca="1"/>
        <v>0.37338491363736781</v>
      </c>
      <c r="X463" s="2">
        <f ca="1"/>
        <v>36.437799989467401</v>
      </c>
      <c r="AG463" s="2">
        <f ca="1"/>
        <v>0.71263764154876141</v>
      </c>
      <c r="AH463" s="2" t="str">
        <f ca="1"/>
        <v>Bad</v>
      </c>
    </row>
    <row r="464" spans="2:34" x14ac:dyDescent="0.2">
      <c r="B464" s="2">
        <f ca="1"/>
        <v>0.73848651522154762</v>
      </c>
      <c r="O464" s="2">
        <f ca="1"/>
        <v>0.11284374341260595</v>
      </c>
      <c r="X464" s="2">
        <f ca="1"/>
        <v>78.684572188397482</v>
      </c>
      <c r="AG464" s="2">
        <f ca="1"/>
        <v>0.73111505038523084</v>
      </c>
      <c r="AH464" s="2" t="str">
        <f ca="1"/>
        <v>Bad</v>
      </c>
    </row>
    <row r="465" spans="2:34" x14ac:dyDescent="0.2">
      <c r="B465" s="2">
        <f ca="1"/>
        <v>0.47644389375134577</v>
      </c>
      <c r="O465" s="2">
        <f ca="1"/>
        <v>-1.4078907148953699</v>
      </c>
      <c r="X465" s="2">
        <f ca="1"/>
        <v>45.738765417158305</v>
      </c>
      <c r="AG465" s="2">
        <f ca="1"/>
        <v>0.27548079036805539</v>
      </c>
      <c r="AH465" s="2" t="str">
        <f ca="1"/>
        <v>OK</v>
      </c>
    </row>
    <row r="466" spans="2:34" x14ac:dyDescent="0.2">
      <c r="B466" s="2">
        <f ca="1"/>
        <v>0.32332549258744581</v>
      </c>
      <c r="O466" s="2">
        <f ca="1"/>
        <v>-1.1260693614467066</v>
      </c>
      <c r="X466" s="2">
        <f ca="1"/>
        <v>48.28789266526887</v>
      </c>
      <c r="AG466" s="2">
        <f ca="1"/>
        <v>0.3245509340073276</v>
      </c>
      <c r="AH466" s="2" t="str">
        <f ca="1"/>
        <v>OK</v>
      </c>
    </row>
    <row r="467" spans="2:34" x14ac:dyDescent="0.2">
      <c r="B467" s="2">
        <f ca="1"/>
        <v>1.2649613241002999E-2</v>
      </c>
      <c r="O467" s="2">
        <f ca="1"/>
        <v>-0.83196771143064796</v>
      </c>
      <c r="X467" s="2">
        <f ca="1"/>
        <v>36.694613651369103</v>
      </c>
      <c r="AG467" s="2">
        <f ca="1"/>
        <v>0.32137900529826147</v>
      </c>
      <c r="AH467" s="2" t="str">
        <f ca="1"/>
        <v>OK</v>
      </c>
    </row>
    <row r="468" spans="2:34" x14ac:dyDescent="0.2">
      <c r="B468" s="2">
        <f ca="1"/>
        <v>0.76086441367545699</v>
      </c>
      <c r="O468" s="2">
        <f ca="1"/>
        <v>-0.193275674478674</v>
      </c>
      <c r="X468" s="2">
        <f ca="1"/>
        <v>43.891362006259129</v>
      </c>
      <c r="AG468" s="2">
        <f ca="1"/>
        <v>0.11717442021164226</v>
      </c>
      <c r="AH468" s="2" t="str">
        <f ca="1"/>
        <v>OK</v>
      </c>
    </row>
    <row r="469" spans="2:34" x14ac:dyDescent="0.2">
      <c r="B469" s="2">
        <f ca="1"/>
        <v>0.40694596538939676</v>
      </c>
      <c r="O469" s="2">
        <f ca="1"/>
        <v>-0.79093821886458371</v>
      </c>
      <c r="X469" s="2">
        <f ca="1"/>
        <v>33.12466606142867</v>
      </c>
      <c r="AG469" s="2">
        <f ca="1"/>
        <v>0.48676040832992595</v>
      </c>
      <c r="AH469" s="2" t="str">
        <f ca="1"/>
        <v>Bad</v>
      </c>
    </row>
    <row r="470" spans="2:34" x14ac:dyDescent="0.2">
      <c r="B470" s="2">
        <f ca="1"/>
        <v>0.31139626947098975</v>
      </c>
      <c r="O470" s="2">
        <f ca="1"/>
        <v>-1.934117937189326</v>
      </c>
      <c r="X470" s="2">
        <f ca="1"/>
        <v>54.200152332225777</v>
      </c>
      <c r="AG470" s="2">
        <f ca="1"/>
        <v>0.63155385129725206</v>
      </c>
      <c r="AH470" s="2" t="str">
        <f ca="1"/>
        <v>Bad</v>
      </c>
    </row>
    <row r="471" spans="2:34" x14ac:dyDescent="0.2">
      <c r="B471" s="2">
        <f ca="1"/>
        <v>0.45906843660302266</v>
      </c>
      <c r="O471" s="2">
        <f ca="1"/>
        <v>-0.31030732078011725</v>
      </c>
      <c r="X471" s="2">
        <f ca="1"/>
        <v>91.210686563726682</v>
      </c>
      <c r="AG471" s="2">
        <f ca="1"/>
        <v>0.46218084129900006</v>
      </c>
      <c r="AH471" s="2" t="str">
        <f ca="1"/>
        <v>Bad</v>
      </c>
    </row>
    <row r="472" spans="2:34" x14ac:dyDescent="0.2">
      <c r="B472" s="2">
        <f ca="1"/>
        <v>0.98606845561326817</v>
      </c>
      <c r="O472" s="2">
        <f ca="1"/>
        <v>-0.64919121409989355</v>
      </c>
      <c r="X472" s="2">
        <f ca="1"/>
        <v>93.723356013798991</v>
      </c>
      <c r="AG472" s="2">
        <f ca="1"/>
        <v>9.8791451549908871E-3</v>
      </c>
      <c r="AH472" s="2" t="str">
        <f ca="1"/>
        <v>Good</v>
      </c>
    </row>
    <row r="473" spans="2:34" x14ac:dyDescent="0.2">
      <c r="B473" s="2">
        <f ca="1"/>
        <v>0.76797486816111382</v>
      </c>
      <c r="O473" s="2">
        <f ca="1"/>
        <v>0.13663825184779291</v>
      </c>
      <c r="X473" s="2">
        <f ca="1"/>
        <v>63.49448365913517</v>
      </c>
      <c r="AG473" s="2">
        <f ca="1"/>
        <v>0.78288077785859778</v>
      </c>
      <c r="AH473" s="2" t="str">
        <f ca="1"/>
        <v>Bad</v>
      </c>
    </row>
    <row r="474" spans="2:34" x14ac:dyDescent="0.2">
      <c r="B474" s="2">
        <f ca="1"/>
        <v>0.48077657594872591</v>
      </c>
      <c r="O474" s="2">
        <f ca="1"/>
        <v>2.0104694622508297</v>
      </c>
      <c r="X474" s="2">
        <f ca="1"/>
        <v>47.951781551070837</v>
      </c>
      <c r="AG474" s="2">
        <f ca="1"/>
        <v>0.22838279709768905</v>
      </c>
      <c r="AH474" s="2" t="str">
        <f ca="1"/>
        <v>OK</v>
      </c>
    </row>
    <row r="475" spans="2:34" x14ac:dyDescent="0.2">
      <c r="B475" s="2">
        <f ca="1"/>
        <v>0.30239982816171129</v>
      </c>
      <c r="O475" s="2">
        <f ca="1"/>
        <v>-0.2957525607719958</v>
      </c>
      <c r="X475" s="2">
        <f ca="1"/>
        <v>78.02595438279009</v>
      </c>
      <c r="AG475" s="2">
        <f ca="1"/>
        <v>0.80370848445775311</v>
      </c>
      <c r="AH475" s="2" t="str">
        <f ca="1"/>
        <v>Bad</v>
      </c>
    </row>
    <row r="476" spans="2:34" x14ac:dyDescent="0.2">
      <c r="B476" s="2">
        <f ca="1"/>
        <v>0.20376533327638469</v>
      </c>
      <c r="O476" s="2">
        <f ca="1"/>
        <v>-1.4745772819429648</v>
      </c>
      <c r="X476" s="2">
        <f ca="1"/>
        <v>57.972904943347373</v>
      </c>
      <c r="AG476" s="2">
        <f ca="1"/>
        <v>0.51014494415960931</v>
      </c>
      <c r="AH476" s="2" t="str">
        <f ca="1"/>
        <v>Bad</v>
      </c>
    </row>
    <row r="477" spans="2:34" x14ac:dyDescent="0.2">
      <c r="B477" s="2">
        <f ca="1"/>
        <v>0.855005280496413</v>
      </c>
      <c r="O477" s="2">
        <f ca="1"/>
        <v>-0.20747184729989074</v>
      </c>
      <c r="X477" s="2">
        <f ca="1"/>
        <v>49.529406289172144</v>
      </c>
      <c r="AG477" s="2">
        <f ca="1"/>
        <v>0.21700371892080672</v>
      </c>
      <c r="AH477" s="2" t="str">
        <f ca="1"/>
        <v>OK</v>
      </c>
    </row>
    <row r="478" spans="2:34" x14ac:dyDescent="0.2">
      <c r="B478" s="2">
        <f ca="1"/>
        <v>0.10734227308513145</v>
      </c>
      <c r="O478" s="2">
        <f ca="1"/>
        <v>0.82666842985850908</v>
      </c>
      <c r="X478" s="2">
        <f ca="1"/>
        <v>66.902720726198922</v>
      </c>
      <c r="AG478" s="2">
        <f ca="1"/>
        <v>0.13961448589289649</v>
      </c>
      <c r="AH478" s="2" t="str">
        <f ca="1"/>
        <v>OK</v>
      </c>
    </row>
    <row r="479" spans="2:34" x14ac:dyDescent="0.2">
      <c r="B479" s="2">
        <f ca="1"/>
        <v>4.8243176716180614E-3</v>
      </c>
      <c r="O479" s="2">
        <f ca="1"/>
        <v>-0.32326602048558406</v>
      </c>
      <c r="X479" s="2">
        <f ca="1"/>
        <v>65.284840875319418</v>
      </c>
      <c r="AG479" s="2">
        <f ca="1"/>
        <v>2.027905553382392E-2</v>
      </c>
      <c r="AH479" s="2" t="str">
        <f ca="1"/>
        <v>Good</v>
      </c>
    </row>
    <row r="480" spans="2:34" x14ac:dyDescent="0.2">
      <c r="B480" s="2">
        <f ca="1"/>
        <v>0.26677937774028515</v>
      </c>
      <c r="O480" s="2">
        <f ca="1"/>
        <v>-2.1392190672109392</v>
      </c>
      <c r="X480" s="2">
        <f ca="1"/>
        <v>53.197259684480407</v>
      </c>
      <c r="AG480" s="2">
        <f ca="1"/>
        <v>0.72389869942339069</v>
      </c>
      <c r="AH480" s="2" t="str">
        <f ca="1"/>
        <v>Bad</v>
      </c>
    </row>
    <row r="481" spans="2:34" x14ac:dyDescent="0.2">
      <c r="B481" s="2">
        <f ca="1"/>
        <v>0.95612235210096697</v>
      </c>
      <c r="O481" s="2">
        <f ca="1"/>
        <v>1.4874637152515549</v>
      </c>
      <c r="X481" s="2">
        <f ca="1"/>
        <v>39.295296556131333</v>
      </c>
      <c r="AG481" s="2">
        <f ca="1"/>
        <v>0.18962557012543257</v>
      </c>
      <c r="AH481" s="2" t="str">
        <f ca="1"/>
        <v>OK</v>
      </c>
    </row>
    <row r="482" spans="2:34" x14ac:dyDescent="0.2">
      <c r="B482" s="2">
        <f ca="1"/>
        <v>1.9658672824741874E-2</v>
      </c>
      <c r="O482" s="2">
        <f ca="1"/>
        <v>-2.4454111345566445</v>
      </c>
      <c r="X482" s="2">
        <f ca="1"/>
        <v>38.346949601694419</v>
      </c>
      <c r="AG482" s="2">
        <f ca="1"/>
        <v>0.73465741664516226</v>
      </c>
      <c r="AH482" s="2" t="str">
        <f ca="1"/>
        <v>Bad</v>
      </c>
    </row>
    <row r="483" spans="2:34" x14ac:dyDescent="0.2">
      <c r="B483" s="2">
        <f ca="1"/>
        <v>0.27257805313965622</v>
      </c>
      <c r="O483" s="2">
        <f ca="1"/>
        <v>1.862072424276348</v>
      </c>
      <c r="X483" s="2">
        <f ca="1"/>
        <v>49.28581299150445</v>
      </c>
      <c r="AG483" s="2">
        <f ca="1"/>
        <v>0.58490719855770079</v>
      </c>
      <c r="AH483" s="2" t="str">
        <f ca="1"/>
        <v>Bad</v>
      </c>
    </row>
    <row r="484" spans="2:34" x14ac:dyDescent="0.2">
      <c r="B484" s="2">
        <f ca="1"/>
        <v>0.12043632074008181</v>
      </c>
      <c r="O484" s="2">
        <f ca="1"/>
        <v>-0.29793271874735999</v>
      </c>
      <c r="X484" s="2">
        <f ca="1"/>
        <v>34.691891114724569</v>
      </c>
      <c r="AG484" s="2">
        <f ca="1"/>
        <v>0.57865840146181435</v>
      </c>
      <c r="AH484" s="2" t="str">
        <f ca="1"/>
        <v>Bad</v>
      </c>
    </row>
    <row r="485" spans="2:34" x14ac:dyDescent="0.2">
      <c r="B485" s="2">
        <f ca="1"/>
        <v>0.57944843689929026</v>
      </c>
      <c r="O485" s="2">
        <f ca="1"/>
        <v>1.7664503457358236</v>
      </c>
      <c r="X485" s="2">
        <f ca="1"/>
        <v>75.677116173837817</v>
      </c>
      <c r="AG485" s="2">
        <f ca="1"/>
        <v>0.15270609479993591</v>
      </c>
      <c r="AH485" s="2" t="str">
        <f ca="1"/>
        <v>OK</v>
      </c>
    </row>
    <row r="486" spans="2:34" x14ac:dyDescent="0.2">
      <c r="B486" s="2">
        <f ca="1"/>
        <v>0.24571391088680983</v>
      </c>
      <c r="O486" s="2">
        <f ca="1"/>
        <v>-0.74939115393847988</v>
      </c>
      <c r="X486" s="2">
        <f ca="1"/>
        <v>27.111715785183044</v>
      </c>
      <c r="AG486" s="2">
        <f ca="1"/>
        <v>0.41187127063841711</v>
      </c>
      <c r="AH486" s="2" t="str">
        <f ca="1"/>
        <v>Bad</v>
      </c>
    </row>
    <row r="487" spans="2:34" x14ac:dyDescent="0.2">
      <c r="B487" s="2">
        <f ca="1"/>
        <v>0.86448603468373597</v>
      </c>
      <c r="O487" s="2">
        <f ca="1"/>
        <v>-0.60387955253910786</v>
      </c>
      <c r="X487" s="2">
        <f ca="1"/>
        <v>50.096691354480285</v>
      </c>
      <c r="AG487" s="2">
        <f ca="1"/>
        <v>0.36414082109061119</v>
      </c>
      <c r="AH487" s="2" t="str">
        <f ca="1"/>
        <v>OK</v>
      </c>
    </row>
    <row r="488" spans="2:34" x14ac:dyDescent="0.2">
      <c r="B488" s="2">
        <f ca="1"/>
        <v>0.33086127613996763</v>
      </c>
      <c r="O488" s="2">
        <f ca="1"/>
        <v>-0.47711909514137102</v>
      </c>
      <c r="X488" s="2">
        <f ca="1"/>
        <v>52.503807009107945</v>
      </c>
      <c r="AG488" s="2">
        <f ca="1"/>
        <v>0.88163638342238126</v>
      </c>
      <c r="AH488" s="2" t="str">
        <f ca="1"/>
        <v>Bad</v>
      </c>
    </row>
    <row r="489" spans="2:34" x14ac:dyDescent="0.2">
      <c r="B489" s="2">
        <f ca="1"/>
        <v>0.95005203480059208</v>
      </c>
      <c r="O489" s="2">
        <f ca="1"/>
        <v>-0.44056082318361156</v>
      </c>
      <c r="X489" s="2">
        <f ca="1"/>
        <v>59.609233279739293</v>
      </c>
      <c r="AG489" s="2">
        <f ca="1"/>
        <v>0.94578361967001001</v>
      </c>
      <c r="AH489" s="2" t="str">
        <f ca="1"/>
        <v>Bad</v>
      </c>
    </row>
    <row r="490" spans="2:34" x14ac:dyDescent="0.2">
      <c r="B490" s="2">
        <f ca="1"/>
        <v>0.50430251970882001</v>
      </c>
      <c r="O490" s="2">
        <f ca="1"/>
        <v>1.7115612823875048</v>
      </c>
      <c r="X490" s="2">
        <f ca="1"/>
        <v>54.40321798383755</v>
      </c>
      <c r="AG490" s="2">
        <f ca="1"/>
        <v>0.83457439818828139</v>
      </c>
      <c r="AH490" s="2" t="str">
        <f ca="1"/>
        <v>Bad</v>
      </c>
    </row>
    <row r="491" spans="2:34" x14ac:dyDescent="0.2">
      <c r="B491" s="2">
        <f ca="1"/>
        <v>0.88344956309893341</v>
      </c>
      <c r="O491" s="2">
        <f ca="1"/>
        <v>-0.66709993119597955</v>
      </c>
      <c r="X491" s="2">
        <f ca="1"/>
        <v>43.861844350392467</v>
      </c>
      <c r="AG491" s="2">
        <f ca="1"/>
        <v>0.28418218637918402</v>
      </c>
      <c r="AH491" s="2" t="str">
        <f ca="1"/>
        <v>OK</v>
      </c>
    </row>
    <row r="492" spans="2:34" x14ac:dyDescent="0.2">
      <c r="B492" s="2">
        <f ca="1"/>
        <v>0.47051477380357931</v>
      </c>
      <c r="O492" s="2">
        <f ca="1"/>
        <v>-0.92955100512068145</v>
      </c>
      <c r="X492" s="2">
        <f ca="1"/>
        <v>55.633763326064134</v>
      </c>
      <c r="AG492" s="2">
        <f ca="1"/>
        <v>0.86630492928381431</v>
      </c>
      <c r="AH492" s="2" t="str">
        <f ca="1"/>
        <v>Bad</v>
      </c>
    </row>
    <row r="493" spans="2:34" x14ac:dyDescent="0.2">
      <c r="B493" s="2">
        <f ca="1"/>
        <v>0.49500755115806605</v>
      </c>
      <c r="O493" s="2">
        <f ca="1"/>
        <v>0.31814216924694411</v>
      </c>
      <c r="X493" s="2">
        <f ca="1"/>
        <v>46.546889058634939</v>
      </c>
      <c r="AG493" s="2">
        <f ca="1"/>
        <v>0.4612815476490586</v>
      </c>
      <c r="AH493" s="2" t="str">
        <f ca="1"/>
        <v>Bad</v>
      </c>
    </row>
    <row r="494" spans="2:34" x14ac:dyDescent="0.2">
      <c r="B494" s="2">
        <f ca="1"/>
        <v>0.97849770330021446</v>
      </c>
      <c r="O494" s="2">
        <f ca="1"/>
        <v>-0.27747440104766008</v>
      </c>
      <c r="X494" s="2">
        <f ca="1"/>
        <v>82.351306392752917</v>
      </c>
      <c r="AG494" s="2">
        <f ca="1"/>
        <v>0.41173436114095585</v>
      </c>
      <c r="AH494" s="2" t="str">
        <f ca="1"/>
        <v>Bad</v>
      </c>
    </row>
    <row r="495" spans="2:34" x14ac:dyDescent="0.2">
      <c r="B495" s="2">
        <f ca="1"/>
        <v>0.55499808028860409</v>
      </c>
      <c r="O495" s="2">
        <f ca="1"/>
        <v>1.7873024499184844</v>
      </c>
      <c r="X495" s="2">
        <f ca="1"/>
        <v>40.593770375198119</v>
      </c>
      <c r="AG495" s="2">
        <f ca="1"/>
        <v>0.61899335334745542</v>
      </c>
      <c r="AH495" s="2" t="str">
        <f ca="1"/>
        <v>Bad</v>
      </c>
    </row>
    <row r="496" spans="2:34" x14ac:dyDescent="0.2">
      <c r="B496" s="2">
        <f ca="1"/>
        <v>0.25725571320280038</v>
      </c>
      <c r="O496" s="2">
        <f ca="1"/>
        <v>2.7552798846831537</v>
      </c>
      <c r="X496" s="2">
        <f ca="1"/>
        <v>61.906410004223318</v>
      </c>
      <c r="AG496" s="2">
        <f ca="1"/>
        <v>0.98236183076081152</v>
      </c>
      <c r="AH496" s="2" t="str">
        <f ca="1"/>
        <v>Bad</v>
      </c>
    </row>
    <row r="497" spans="2:34" x14ac:dyDescent="0.2">
      <c r="B497" s="2">
        <f ca="1"/>
        <v>0.53211944168927872</v>
      </c>
      <c r="O497" s="2">
        <f ca="1"/>
        <v>-0.41886184039387869</v>
      </c>
      <c r="X497" s="2">
        <f ca="1"/>
        <v>46.773508543460849</v>
      </c>
      <c r="AG497" s="2">
        <f ca="1"/>
        <v>0.4716199719816605</v>
      </c>
      <c r="AH497" s="2" t="str">
        <f ca="1"/>
        <v>Bad</v>
      </c>
    </row>
    <row r="498" spans="2:34" x14ac:dyDescent="0.2">
      <c r="B498" s="2">
        <f ca="1"/>
        <v>0.61203841090177358</v>
      </c>
      <c r="O498" s="2">
        <f ca="1"/>
        <v>0.49123437639407769</v>
      </c>
      <c r="X498" s="2">
        <f ca="1"/>
        <v>65.644077186529188</v>
      </c>
      <c r="AG498" s="2">
        <f ca="1"/>
        <v>0.49839974814249155</v>
      </c>
      <c r="AH498" s="2" t="str">
        <f ca="1"/>
        <v>Bad</v>
      </c>
    </row>
    <row r="499" spans="2:34" x14ac:dyDescent="0.2">
      <c r="B499" s="2">
        <f ca="1"/>
        <v>0.98797309816557832</v>
      </c>
      <c r="O499" s="2">
        <f ca="1"/>
        <v>1.1728107073146405</v>
      </c>
      <c r="X499" s="2">
        <f ca="1"/>
        <v>55.858908855163889</v>
      </c>
      <c r="AG499" s="2">
        <f ca="1"/>
        <v>0.88747044034969758</v>
      </c>
      <c r="AH499" s="2" t="str">
        <f ca="1"/>
        <v>Bad</v>
      </c>
    </row>
    <row r="500" spans="2:34" x14ac:dyDescent="0.2">
      <c r="B500" s="2">
        <f ca="1"/>
        <v>0.82004734475618046</v>
      </c>
      <c r="O500" s="2">
        <f ca="1"/>
        <v>-2.3948796978596323E-2</v>
      </c>
      <c r="X500" s="2">
        <f ca="1"/>
        <v>56.892810397097676</v>
      </c>
      <c r="AG500" s="2">
        <f ca="1"/>
        <v>0.53378043162868671</v>
      </c>
      <c r="AH500" s="2" t="str">
        <f ca="1"/>
        <v>Bad</v>
      </c>
    </row>
    <row r="501" spans="2:34" x14ac:dyDescent="0.2">
      <c r="B501" s="2">
        <f ca="1"/>
        <v>0.12637810789355486</v>
      </c>
      <c r="O501" s="2">
        <f ca="1"/>
        <v>-1.405610847720691</v>
      </c>
      <c r="X501" s="2">
        <f ca="1"/>
        <v>33.947514926832149</v>
      </c>
      <c r="AG501" s="2">
        <f ca="1"/>
        <v>1.3733946816489873E-3</v>
      </c>
      <c r="AH501" s="2" t="str">
        <f ca="1"/>
        <v>Good</v>
      </c>
    </row>
    <row r="502" spans="2:34" x14ac:dyDescent="0.2">
      <c r="B502" s="2">
        <f ca="1"/>
        <v>0.4329917639758909</v>
      </c>
      <c r="O502" s="2">
        <f ca="1"/>
        <v>0.23793885885088134</v>
      </c>
      <c r="X502" s="2">
        <f ca="1"/>
        <v>29.549502110696032</v>
      </c>
      <c r="AG502" s="2">
        <f ca="1"/>
        <v>1.9747366442477876E-2</v>
      </c>
      <c r="AH502" s="2" t="str">
        <f ca="1"/>
        <v>Good</v>
      </c>
    </row>
    <row r="503" spans="2:34" x14ac:dyDescent="0.2">
      <c r="B503" s="2">
        <f ca="1"/>
        <v>0.44598872607482209</v>
      </c>
      <c r="O503" s="2">
        <f ca="1"/>
        <v>-0.44156216111158486</v>
      </c>
      <c r="X503" s="2">
        <f ca="1"/>
        <v>48.503606721404509</v>
      </c>
      <c r="AG503" s="2">
        <f ca="1"/>
        <v>0.80439249112521605</v>
      </c>
      <c r="AH503" s="2" t="str">
        <f ca="1"/>
        <v>Bad</v>
      </c>
    </row>
    <row r="504" spans="2:34" x14ac:dyDescent="0.2">
      <c r="B504" s="2">
        <f ca="1"/>
        <v>0.12459114330572385</v>
      </c>
      <c r="O504" s="2">
        <f ca="1"/>
        <v>1.0886762172576867</v>
      </c>
      <c r="X504" s="2">
        <f ca="1"/>
        <v>51.694258960056885</v>
      </c>
      <c r="AG504" s="2">
        <f ca="1"/>
        <v>0.44516845204564981</v>
      </c>
      <c r="AH504" s="2" t="str">
        <f ca="1"/>
        <v>Bad</v>
      </c>
    </row>
    <row r="505" spans="2:34" x14ac:dyDescent="0.2">
      <c r="B505" s="2">
        <f ca="1"/>
        <v>0.2083501626904769</v>
      </c>
      <c r="O505" s="2">
        <f ca="1"/>
        <v>-0.78863978286744874</v>
      </c>
      <c r="X505" s="2">
        <f ca="1"/>
        <v>37.392702515192951</v>
      </c>
      <c r="AG505" s="2">
        <f ca="1"/>
        <v>2.2945860376792693E-2</v>
      </c>
      <c r="AH505" s="2" t="str">
        <f ca="1"/>
        <v>Good</v>
      </c>
    </row>
    <row r="506" spans="2:34" x14ac:dyDescent="0.2">
      <c r="B506" s="2">
        <f ca="1"/>
        <v>0.79805500094785775</v>
      </c>
      <c r="O506" s="2">
        <f ca="1"/>
        <v>0.1737502356756751</v>
      </c>
      <c r="X506" s="2">
        <f ca="1"/>
        <v>33.677173073506566</v>
      </c>
      <c r="AG506" s="2">
        <f ca="1"/>
        <v>0.97871230233083928</v>
      </c>
      <c r="AH506" s="2" t="str">
        <f ca="1"/>
        <v>Bad</v>
      </c>
    </row>
    <row r="507" spans="2:34" x14ac:dyDescent="0.2">
      <c r="B507" s="2">
        <f ca="1"/>
        <v>0.14738384462760146</v>
      </c>
      <c r="O507" s="2">
        <f ca="1"/>
        <v>-1.1019942638904272</v>
      </c>
      <c r="X507" s="2">
        <f ca="1"/>
        <v>64.327906959012495</v>
      </c>
      <c r="AG507" s="2">
        <f ca="1"/>
        <v>0.67853419556257744</v>
      </c>
      <c r="AH507" s="2" t="str">
        <f ca="1"/>
        <v>Bad</v>
      </c>
    </row>
    <row r="508" spans="2:34" x14ac:dyDescent="0.2">
      <c r="B508" s="2">
        <f ca="1"/>
        <v>0.77544752416186746</v>
      </c>
      <c r="O508" s="2">
        <f ca="1"/>
        <v>-0.15657261606890649</v>
      </c>
      <c r="X508" s="2">
        <f ca="1"/>
        <v>44.603218235322892</v>
      </c>
      <c r="AG508" s="2">
        <f ca="1"/>
        <v>4.1761174202061824E-2</v>
      </c>
      <c r="AH508" s="2" t="str">
        <f ca="1"/>
        <v>Good</v>
      </c>
    </row>
    <row r="509" spans="2:34" x14ac:dyDescent="0.2">
      <c r="B509" s="2">
        <f ca="1"/>
        <v>0.61594556459094818</v>
      </c>
      <c r="O509" s="2">
        <f ca="1"/>
        <v>-1.7697259269955987</v>
      </c>
      <c r="X509" s="2">
        <f ca="1"/>
        <v>51.9620892287912</v>
      </c>
      <c r="AG509" s="2">
        <f ca="1"/>
        <v>0.98376216322690402</v>
      </c>
      <c r="AH509" s="2" t="str">
        <f ca="1"/>
        <v>Bad</v>
      </c>
    </row>
    <row r="510" spans="2:34" x14ac:dyDescent="0.2">
      <c r="B510" s="2">
        <f ca="1"/>
        <v>0.28907106905135249</v>
      </c>
      <c r="O510" s="2">
        <f ca="1"/>
        <v>-1.4999850776898058</v>
      </c>
      <c r="X510" s="2">
        <f ca="1"/>
        <v>56.472970618666992</v>
      </c>
      <c r="AG510" s="2">
        <f ca="1"/>
        <v>0.81970772627004718</v>
      </c>
      <c r="AH510" s="2" t="str">
        <f ca="1"/>
        <v>Bad</v>
      </c>
    </row>
    <row r="511" spans="2:34" x14ac:dyDescent="0.2">
      <c r="B511" s="2">
        <f ca="1"/>
        <v>0.19004943428436061</v>
      </c>
      <c r="O511" s="2">
        <f ca="1"/>
        <v>1.5248222530977178</v>
      </c>
      <c r="X511" s="2">
        <f ca="1"/>
        <v>53.785487795437639</v>
      </c>
      <c r="AG511" s="2">
        <f ca="1"/>
        <v>0.92630961246825305</v>
      </c>
      <c r="AH511" s="2" t="str">
        <f ca="1"/>
        <v>Bad</v>
      </c>
    </row>
    <row r="512" spans="2:34" x14ac:dyDescent="0.2">
      <c r="B512" s="2">
        <f ca="1"/>
        <v>2.7704975932811404E-2</v>
      </c>
      <c r="O512" s="2">
        <f ca="1"/>
        <v>-1.0989952036631148</v>
      </c>
      <c r="X512" s="2">
        <f ca="1"/>
        <v>25.244822141633367</v>
      </c>
      <c r="AG512" s="2">
        <f ca="1"/>
        <v>0.59856170827938082</v>
      </c>
      <c r="AH512" s="2" t="str">
        <f ca="1"/>
        <v>Bad</v>
      </c>
    </row>
    <row r="513" spans="2:34" x14ac:dyDescent="0.2">
      <c r="B513" s="2">
        <f ca="1"/>
        <v>0.76022245530880417</v>
      </c>
      <c r="O513" s="2">
        <f ca="1"/>
        <v>0.16009498607302802</v>
      </c>
      <c r="X513" s="2">
        <f ca="1"/>
        <v>56.328403368735636</v>
      </c>
      <c r="AG513" s="2">
        <f ca="1"/>
        <v>0.32432689629084588</v>
      </c>
      <c r="AH513" s="2" t="str">
        <f ca="1"/>
        <v>OK</v>
      </c>
    </row>
    <row r="514" spans="2:34" x14ac:dyDescent="0.2">
      <c r="B514" s="2">
        <f ca="1"/>
        <v>0.50607837553625523</v>
      </c>
      <c r="O514" s="2">
        <f ca="1"/>
        <v>-0.6015680252675264</v>
      </c>
      <c r="X514" s="2">
        <f ca="1"/>
        <v>68.963531526897754</v>
      </c>
      <c r="AG514" s="2">
        <f ca="1"/>
        <v>0.49718691626519829</v>
      </c>
      <c r="AH514" s="2" t="str">
        <f ca="1"/>
        <v>Bad</v>
      </c>
    </row>
    <row r="515" spans="2:34" x14ac:dyDescent="0.2">
      <c r="B515" s="2">
        <f ca="1"/>
        <v>0.35928736162454866</v>
      </c>
      <c r="O515" s="2">
        <f ca="1"/>
        <v>-1.4531889650143026</v>
      </c>
      <c r="X515" s="2">
        <f ca="1"/>
        <v>48.583078201694377</v>
      </c>
      <c r="AG515" s="2">
        <f ca="1"/>
        <v>0.24226225578431526</v>
      </c>
      <c r="AH515" s="2" t="str">
        <f ca="1"/>
        <v>OK</v>
      </c>
    </row>
    <row r="516" spans="2:34" x14ac:dyDescent="0.2">
      <c r="B516" s="2">
        <f ca="1"/>
        <v>0.2255003028435083</v>
      </c>
      <c r="O516" s="2">
        <f ca="1"/>
        <v>0.51033945788079627</v>
      </c>
      <c r="X516" s="2">
        <f ca="1"/>
        <v>59.554959841657194</v>
      </c>
      <c r="AG516" s="2">
        <f ca="1"/>
        <v>0.18180722589905307</v>
      </c>
      <c r="AH516" s="2" t="str">
        <f ca="1"/>
        <v>OK</v>
      </c>
    </row>
    <row r="517" spans="2:34" x14ac:dyDescent="0.2">
      <c r="B517" s="2">
        <f ca="1"/>
        <v>0.79960304751648525</v>
      </c>
      <c r="O517" s="2">
        <f ca="1"/>
        <v>0.15538934269290758</v>
      </c>
      <c r="X517" s="2">
        <f ca="1"/>
        <v>49.640880155823865</v>
      </c>
      <c r="AG517" s="2">
        <f ca="1"/>
        <v>0.94625538939694853</v>
      </c>
      <c r="AH517" s="2" t="str">
        <f ca="1"/>
        <v>Bad</v>
      </c>
    </row>
    <row r="518" spans="2:34" x14ac:dyDescent="0.2">
      <c r="B518" s="2">
        <f ca="1"/>
        <v>0.53502927315618365</v>
      </c>
      <c r="O518" s="2">
        <f ca="1"/>
        <v>1.296308753607871</v>
      </c>
      <c r="X518" s="2">
        <f ca="1"/>
        <v>47.186503253688329</v>
      </c>
      <c r="AG518" s="2">
        <f ca="1"/>
        <v>0.44719608205852501</v>
      </c>
      <c r="AH518" s="2" t="str">
        <f ca="1"/>
        <v>Bad</v>
      </c>
    </row>
    <row r="519" spans="2:34" x14ac:dyDescent="0.2">
      <c r="B519" s="2">
        <f ca="1"/>
        <v>0.12547179595387892</v>
      </c>
      <c r="O519" s="2">
        <f ca="1"/>
        <v>0.16641922727459024</v>
      </c>
      <c r="X519" s="2">
        <f ca="1"/>
        <v>36.950005159953363</v>
      </c>
      <c r="AG519" s="2">
        <f ca="1"/>
        <v>9.9348525347420669E-2</v>
      </c>
      <c r="AH519" s="2" t="str">
        <f ca="1"/>
        <v>OK</v>
      </c>
    </row>
    <row r="520" spans="2:34" x14ac:dyDescent="0.2">
      <c r="B520" s="2">
        <f ca="1"/>
        <v>0.46589481723940906</v>
      </c>
      <c r="O520" s="2">
        <f ca="1"/>
        <v>-0.78441485032138381</v>
      </c>
      <c r="X520" s="2">
        <f ca="1"/>
        <v>48.278161000177008</v>
      </c>
      <c r="AG520" s="2">
        <f ca="1"/>
        <v>0.7231634767954036</v>
      </c>
      <c r="AH520" s="2" t="str">
        <f ca="1"/>
        <v>Bad</v>
      </c>
    </row>
    <row r="521" spans="2:34" x14ac:dyDescent="0.2">
      <c r="B521" s="2">
        <f ca="1"/>
        <v>0.91367580468766407</v>
      </c>
      <c r="O521" s="2">
        <f ca="1"/>
        <v>-1.3463507259202192</v>
      </c>
      <c r="X521" s="2">
        <f ca="1"/>
        <v>41.42650788885112</v>
      </c>
      <c r="AG521" s="2">
        <f ca="1"/>
        <v>0.38585956404219468</v>
      </c>
      <c r="AH521" s="2" t="str">
        <f ca="1"/>
        <v>OK</v>
      </c>
    </row>
    <row r="522" spans="2:34" x14ac:dyDescent="0.2">
      <c r="B522" s="2">
        <f ca="1"/>
        <v>0.71851162465538154</v>
      </c>
      <c r="O522" s="2">
        <f ca="1"/>
        <v>-0.93193218766524843</v>
      </c>
      <c r="X522" s="2">
        <f ca="1"/>
        <v>29.954451718952377</v>
      </c>
      <c r="AG522" s="2">
        <f ca="1"/>
        <v>0.21312277633080456</v>
      </c>
      <c r="AH522" s="2" t="str">
        <f ca="1"/>
        <v>OK</v>
      </c>
    </row>
    <row r="523" spans="2:34" x14ac:dyDescent="0.2">
      <c r="B523" s="2">
        <f ca="1"/>
        <v>0.5658092846546019</v>
      </c>
      <c r="O523" s="2">
        <f ca="1"/>
        <v>5.5526761308468231E-2</v>
      </c>
      <c r="X523" s="2">
        <f ca="1"/>
        <v>40.566142506346203</v>
      </c>
      <c r="AG523" s="2">
        <f ca="1"/>
        <v>0.49224054915385684</v>
      </c>
      <c r="AH523" s="2" t="str">
        <f ca="1"/>
        <v>Bad</v>
      </c>
    </row>
    <row r="524" spans="2:34" x14ac:dyDescent="0.2">
      <c r="B524" s="2">
        <f ca="1"/>
        <v>0.68055453380425424</v>
      </c>
      <c r="O524" s="2">
        <f ca="1"/>
        <v>6.0781724075936218E-2</v>
      </c>
      <c r="X524" s="2">
        <f ca="1"/>
        <v>37.495238186733452</v>
      </c>
      <c r="AG524" s="2">
        <f ca="1"/>
        <v>0.64387731260145342</v>
      </c>
      <c r="AH524" s="2" t="str">
        <f ca="1"/>
        <v>Bad</v>
      </c>
    </row>
    <row r="525" spans="2:34" x14ac:dyDescent="0.2">
      <c r="B525" s="2">
        <f ca="1"/>
        <v>0.5123261133387309</v>
      </c>
      <c r="O525" s="2">
        <f ca="1"/>
        <v>-0.30082664339262555</v>
      </c>
      <c r="X525" s="2">
        <f ca="1"/>
        <v>40.648768015766038</v>
      </c>
      <c r="AG525" s="2">
        <f ca="1"/>
        <v>0.20190289470232581</v>
      </c>
      <c r="AH525" s="2" t="str">
        <f ca="1"/>
        <v>OK</v>
      </c>
    </row>
    <row r="526" spans="2:34" x14ac:dyDescent="0.2">
      <c r="B526" s="2">
        <f ca="1"/>
        <v>0.82709482077005436</v>
      </c>
      <c r="O526" s="2">
        <f ca="1"/>
        <v>1.1184987395693526</v>
      </c>
      <c r="X526" s="2">
        <f ca="1"/>
        <v>51.694874525031828</v>
      </c>
      <c r="AG526" s="2">
        <f ca="1"/>
        <v>0.37904609465311179</v>
      </c>
      <c r="AH526" s="2" t="str">
        <f ca="1"/>
        <v>OK</v>
      </c>
    </row>
    <row r="527" spans="2:34" x14ac:dyDescent="0.2">
      <c r="B527" s="2">
        <f ca="1"/>
        <v>0.2290431039462284</v>
      </c>
      <c r="O527" s="2">
        <f ca="1"/>
        <v>-1.0683808341911749</v>
      </c>
      <c r="X527" s="2">
        <f ca="1"/>
        <v>33.343583890936081</v>
      </c>
      <c r="AG527" s="2">
        <f ca="1"/>
        <v>0.40490769503011692</v>
      </c>
      <c r="AH527" s="2" t="str">
        <f ca="1"/>
        <v>Bad</v>
      </c>
    </row>
    <row r="528" spans="2:34" x14ac:dyDescent="0.2">
      <c r="B528" s="2">
        <f ca="1"/>
        <v>0.77471614940483691</v>
      </c>
      <c r="O528" s="2">
        <f ca="1"/>
        <v>-0.18614800462044534</v>
      </c>
      <c r="X528" s="2">
        <f ca="1"/>
        <v>32.728729641381953</v>
      </c>
      <c r="AG528" s="2">
        <f ca="1"/>
        <v>0.88973374359179958</v>
      </c>
      <c r="AH528" s="2" t="str">
        <f ca="1"/>
        <v>Bad</v>
      </c>
    </row>
    <row r="529" spans="2:34" x14ac:dyDescent="0.2">
      <c r="B529" s="2">
        <f ca="1"/>
        <v>0.99058192699677106</v>
      </c>
      <c r="O529" s="2">
        <f ca="1"/>
        <v>1.7092938055662801</v>
      </c>
      <c r="X529" s="2">
        <f ca="1"/>
        <v>38.53514806196128</v>
      </c>
      <c r="AG529" s="2">
        <f ca="1"/>
        <v>2.2088878414670443E-2</v>
      </c>
      <c r="AH529" s="2" t="str">
        <f ca="1"/>
        <v>Good</v>
      </c>
    </row>
    <row r="530" spans="2:34" x14ac:dyDescent="0.2">
      <c r="B530" s="2">
        <f ca="1"/>
        <v>0.3247281679008418</v>
      </c>
      <c r="O530" s="2">
        <f ca="1"/>
        <v>1.4998256722873995</v>
      </c>
      <c r="X530" s="2">
        <f ca="1"/>
        <v>32.271724207774433</v>
      </c>
      <c r="AG530" s="2">
        <f ca="1"/>
        <v>0.58928559281088111</v>
      </c>
      <c r="AH530" s="2" t="str">
        <f ca="1"/>
        <v>Bad</v>
      </c>
    </row>
    <row r="531" spans="2:34" x14ac:dyDescent="0.2">
      <c r="B531" s="2">
        <f ca="1"/>
        <v>0.80225863914930251</v>
      </c>
      <c r="O531" s="2">
        <f ca="1"/>
        <v>0.18928033039291237</v>
      </c>
      <c r="X531" s="2">
        <f ca="1"/>
        <v>52.215785281881786</v>
      </c>
      <c r="AG531" s="2">
        <f ca="1"/>
        <v>0.44787423566093487</v>
      </c>
      <c r="AH531" s="2" t="str">
        <f ca="1"/>
        <v>Bad</v>
      </c>
    </row>
    <row r="532" spans="2:34" x14ac:dyDescent="0.2">
      <c r="B532" s="2">
        <f ca="1"/>
        <v>0.57171816423538058</v>
      </c>
      <c r="O532" s="2">
        <f ca="1"/>
        <v>-0.88142695667726501</v>
      </c>
      <c r="X532" s="2">
        <f ca="1"/>
        <v>27.477099144856737</v>
      </c>
      <c r="AG532" s="2">
        <f ca="1"/>
        <v>0.11226017898855334</v>
      </c>
      <c r="AH532" s="2" t="str">
        <f ca="1"/>
        <v>OK</v>
      </c>
    </row>
    <row r="533" spans="2:34" x14ac:dyDescent="0.2">
      <c r="B533" s="2">
        <f ca="1"/>
        <v>0.69648868456622059</v>
      </c>
      <c r="O533" s="2">
        <f ca="1"/>
        <v>0.95299724271514497</v>
      </c>
      <c r="X533" s="2">
        <f ca="1"/>
        <v>53.193040820764693</v>
      </c>
      <c r="AG533" s="2">
        <f ca="1"/>
        <v>0.15380780817457418</v>
      </c>
      <c r="AH533" s="2" t="str">
        <f ca="1"/>
        <v>OK</v>
      </c>
    </row>
    <row r="534" spans="2:34" x14ac:dyDescent="0.2">
      <c r="B534" s="2">
        <f ca="1"/>
        <v>0.36259011989279077</v>
      </c>
      <c r="O534" s="2">
        <f ca="1"/>
        <v>0.69686023783311579</v>
      </c>
      <c r="X534" s="2">
        <f ca="1"/>
        <v>33.624032001686963</v>
      </c>
      <c r="AG534" s="2">
        <f ca="1"/>
        <v>0.61761072754515234</v>
      </c>
      <c r="AH534" s="2" t="str">
        <f ca="1"/>
        <v>Bad</v>
      </c>
    </row>
    <row r="535" spans="2:34" x14ac:dyDescent="0.2">
      <c r="B535" s="2">
        <f ca="1"/>
        <v>0.31448861790521621</v>
      </c>
      <c r="O535" s="2">
        <f ca="1"/>
        <v>-0.76803628754300957</v>
      </c>
      <c r="X535" s="2">
        <f ca="1"/>
        <v>66.492225984224774</v>
      </c>
      <c r="AG535" s="2">
        <f ca="1"/>
        <v>1.7326414167430748E-2</v>
      </c>
      <c r="AH535" s="2" t="str">
        <f ca="1"/>
        <v>Good</v>
      </c>
    </row>
    <row r="536" spans="2:34" x14ac:dyDescent="0.2">
      <c r="B536" s="2">
        <f ca="1"/>
        <v>0.84321931896041868</v>
      </c>
      <c r="O536" s="2">
        <f ca="1"/>
        <v>1.5653514770178176</v>
      </c>
      <c r="X536" s="2">
        <f ca="1"/>
        <v>39.164377652165058</v>
      </c>
      <c r="AG536" s="2">
        <f ca="1"/>
        <v>4.7871459161717533E-2</v>
      </c>
      <c r="AH536" s="2" t="str">
        <f ca="1"/>
        <v>Good</v>
      </c>
    </row>
    <row r="537" spans="2:34" x14ac:dyDescent="0.2">
      <c r="B537" s="2">
        <f ca="1"/>
        <v>2.900384065866457E-2</v>
      </c>
      <c r="O537" s="2">
        <f ca="1"/>
        <v>-0.44746850029967816</v>
      </c>
      <c r="X537" s="2">
        <f ca="1"/>
        <v>72.369642502176305</v>
      </c>
      <c r="AG537" s="2">
        <f ca="1"/>
        <v>0.48946844309245674</v>
      </c>
      <c r="AH537" s="2" t="str">
        <f ca="1"/>
        <v>Bad</v>
      </c>
    </row>
    <row r="538" spans="2:34" x14ac:dyDescent="0.2">
      <c r="B538" s="2">
        <f ca="1"/>
        <v>0.82797941287411403</v>
      </c>
      <c r="O538" s="2">
        <f ca="1"/>
        <v>0.79562372389427705</v>
      </c>
      <c r="X538" s="2">
        <f ca="1"/>
        <v>63.854496247137426</v>
      </c>
      <c r="AG538" s="2">
        <f ca="1"/>
        <v>0.34596467739474446</v>
      </c>
      <c r="AH538" s="2" t="str">
        <f ca="1"/>
        <v>OK</v>
      </c>
    </row>
    <row r="539" spans="2:34" x14ac:dyDescent="0.2">
      <c r="B539" s="2">
        <f ca="1"/>
        <v>0.93361024743904619</v>
      </c>
      <c r="O539" s="2">
        <f ca="1"/>
        <v>1.3117960515357567</v>
      </c>
      <c r="X539" s="2">
        <f ca="1"/>
        <v>53.432795778226421</v>
      </c>
      <c r="AG539" s="2">
        <f ca="1"/>
        <v>0.58626616077452431</v>
      </c>
      <c r="AH539" s="2" t="str">
        <f ca="1"/>
        <v>Bad</v>
      </c>
    </row>
    <row r="540" spans="2:34" x14ac:dyDescent="0.2">
      <c r="B540" s="2">
        <f ca="1"/>
        <v>0.65649971782656791</v>
      </c>
      <c r="O540" s="2">
        <f ca="1"/>
        <v>0.18344742130885772</v>
      </c>
      <c r="X540" s="2">
        <f ca="1"/>
        <v>43.544809941638874</v>
      </c>
      <c r="AG540" s="2">
        <f ca="1"/>
        <v>1.3632050058536294E-2</v>
      </c>
      <c r="AH540" s="2" t="str">
        <f ca="1"/>
        <v>Good</v>
      </c>
    </row>
    <row r="541" spans="2:34" x14ac:dyDescent="0.2">
      <c r="B541" s="2">
        <f ca="1"/>
        <v>0.679905647037232</v>
      </c>
      <c r="O541" s="2">
        <f ca="1"/>
        <v>-0.65285954835693405</v>
      </c>
      <c r="X541" s="2">
        <f ca="1"/>
        <v>72.915800004570201</v>
      </c>
      <c r="AG541" s="2">
        <f ca="1"/>
        <v>0.96835303550152574</v>
      </c>
      <c r="AH541" s="2" t="str">
        <f ca="1"/>
        <v>Bad</v>
      </c>
    </row>
    <row r="542" spans="2:34" x14ac:dyDescent="0.2">
      <c r="B542" s="2">
        <f ca="1"/>
        <v>0.37808693642275948</v>
      </c>
      <c r="O542" s="2">
        <f ca="1"/>
        <v>-0.39484718494157051</v>
      </c>
      <c r="X542" s="2">
        <f ca="1"/>
        <v>46.485209015463475</v>
      </c>
      <c r="AG542" s="2">
        <f ca="1"/>
        <v>0.82117034212214346</v>
      </c>
      <c r="AH542" s="2" t="str">
        <f ca="1"/>
        <v>Bad</v>
      </c>
    </row>
    <row r="543" spans="2:34" x14ac:dyDescent="0.2">
      <c r="B543" s="2">
        <f ca="1"/>
        <v>0.18299899361240879</v>
      </c>
      <c r="O543" s="2">
        <f ca="1"/>
        <v>-0.77296466850207624</v>
      </c>
      <c r="X543" s="2">
        <f ca="1"/>
        <v>28.945551271111025</v>
      </c>
      <c r="AG543" s="2">
        <f ca="1"/>
        <v>0.70885791679515497</v>
      </c>
      <c r="AH543" s="2" t="str">
        <f ca="1"/>
        <v>Bad</v>
      </c>
    </row>
    <row r="544" spans="2:34" x14ac:dyDescent="0.2">
      <c r="B544" s="2">
        <f ca="1"/>
        <v>0.89661410863489421</v>
      </c>
      <c r="O544" s="2">
        <f ca="1"/>
        <v>0.5511963214690665</v>
      </c>
      <c r="X544" s="2">
        <f ca="1"/>
        <v>19.082742802805303</v>
      </c>
      <c r="AG544" s="2">
        <f ca="1"/>
        <v>0.69966939021756991</v>
      </c>
      <c r="AH544" s="2" t="str">
        <f ca="1"/>
        <v>Bad</v>
      </c>
    </row>
    <row r="545" spans="2:34" x14ac:dyDescent="0.2">
      <c r="B545" s="2">
        <f ca="1"/>
        <v>0.10906114636023978</v>
      </c>
      <c r="O545" s="2">
        <f ca="1"/>
        <v>-1.0651030515156081</v>
      </c>
      <c r="X545" s="2">
        <f ca="1"/>
        <v>60.021121887840323</v>
      </c>
      <c r="AG545" s="2">
        <f ca="1"/>
        <v>0.87949721219929722</v>
      </c>
      <c r="AH545" s="2" t="str">
        <f ca="1"/>
        <v>Bad</v>
      </c>
    </row>
    <row r="546" spans="2:34" x14ac:dyDescent="0.2">
      <c r="B546" s="2">
        <f ca="1"/>
        <v>0.70665718723673865</v>
      </c>
      <c r="O546" s="2">
        <f ca="1"/>
        <v>1.0373106183138532</v>
      </c>
      <c r="X546" s="2">
        <f ca="1"/>
        <v>57.449085875889679</v>
      </c>
      <c r="AG546" s="2">
        <f ca="1"/>
        <v>0.98759585208498679</v>
      </c>
      <c r="AH546" s="2" t="str">
        <f ca="1"/>
        <v>Bad</v>
      </c>
    </row>
    <row r="547" spans="2:34" x14ac:dyDescent="0.2">
      <c r="B547" s="2">
        <f ca="1"/>
        <v>0.82647707447958552</v>
      </c>
      <c r="O547" s="2">
        <f ca="1"/>
        <v>0.30925567218921185</v>
      </c>
      <c r="X547" s="2">
        <f ca="1"/>
        <v>83.474273198141788</v>
      </c>
      <c r="AG547" s="2">
        <f ca="1"/>
        <v>0.53010033546435475</v>
      </c>
      <c r="AH547" s="2" t="str">
        <f ca="1"/>
        <v>Bad</v>
      </c>
    </row>
    <row r="548" spans="2:34" x14ac:dyDescent="0.2">
      <c r="B548" s="2">
        <f ca="1"/>
        <v>0.7533612914256782</v>
      </c>
      <c r="O548" s="2">
        <f ca="1"/>
        <v>-0.37531989042811464</v>
      </c>
      <c r="X548" s="2">
        <f ca="1"/>
        <v>48.996851465642735</v>
      </c>
      <c r="AG548" s="2">
        <f ca="1"/>
        <v>0.29705604670507868</v>
      </c>
      <c r="AH548" s="2" t="str">
        <f ca="1"/>
        <v>OK</v>
      </c>
    </row>
    <row r="549" spans="2:34" x14ac:dyDescent="0.2">
      <c r="B549" s="2">
        <f ca="1"/>
        <v>0.85849811267824894</v>
      </c>
      <c r="O549" s="2">
        <f ca="1"/>
        <v>1.612477965006369</v>
      </c>
      <c r="X549" s="2">
        <f ca="1"/>
        <v>68.679837843950338</v>
      </c>
      <c r="AG549" s="2">
        <f ca="1"/>
        <v>0.55155908369799933</v>
      </c>
      <c r="AH549" s="2" t="str">
        <f ca="1"/>
        <v>Bad</v>
      </c>
    </row>
    <row r="550" spans="2:34" x14ac:dyDescent="0.2">
      <c r="B550" s="2">
        <f ca="1"/>
        <v>0.51150012346489837</v>
      </c>
      <c r="O550" s="2">
        <f ca="1"/>
        <v>1.0338100437095823</v>
      </c>
      <c r="X550" s="2">
        <f ca="1"/>
        <v>63.156786968065958</v>
      </c>
      <c r="AG550" s="2">
        <f ca="1"/>
        <v>6.1611896303756186E-2</v>
      </c>
      <c r="AH550" s="2" t="str">
        <f ca="1"/>
        <v>OK</v>
      </c>
    </row>
    <row r="551" spans="2:34" x14ac:dyDescent="0.2">
      <c r="B551" s="2">
        <f ca="1"/>
        <v>0.16407342271397662</v>
      </c>
      <c r="O551" s="2">
        <f ca="1"/>
        <v>-1.0853363312123254</v>
      </c>
      <c r="X551" s="2">
        <f ca="1"/>
        <v>31.343936292492771</v>
      </c>
      <c r="AG551" s="2">
        <f ca="1"/>
        <v>0.74971992726961401</v>
      </c>
      <c r="AH551" s="2" t="str">
        <f ca="1"/>
        <v>Bad</v>
      </c>
    </row>
    <row r="552" spans="2:34" x14ac:dyDescent="0.2">
      <c r="B552" s="2">
        <f ca="1"/>
        <v>0.53549412578122491</v>
      </c>
      <c r="O552" s="2">
        <f ca="1"/>
        <v>0.35075215997504433</v>
      </c>
      <c r="X552" s="2">
        <f ca="1"/>
        <v>51.392975015533381</v>
      </c>
      <c r="AG552" s="2">
        <f ca="1"/>
        <v>0.7305209232995844</v>
      </c>
      <c r="AH552" s="2" t="str">
        <f ca="1"/>
        <v>Bad</v>
      </c>
    </row>
    <row r="553" spans="2:34" x14ac:dyDescent="0.2">
      <c r="B553" s="2">
        <f ca="1"/>
        <v>0.60026605893312657</v>
      </c>
      <c r="O553" s="2">
        <f ca="1"/>
        <v>-0.96788646218864738</v>
      </c>
      <c r="X553" s="2">
        <f ca="1"/>
        <v>59.718203717672282</v>
      </c>
      <c r="AG553" s="2">
        <f ca="1"/>
        <v>0.8756668802564751</v>
      </c>
      <c r="AH553" s="2" t="str">
        <f ca="1"/>
        <v>Bad</v>
      </c>
    </row>
    <row r="554" spans="2:34" x14ac:dyDescent="0.2">
      <c r="B554" s="2">
        <f ca="1"/>
        <v>0.63424112863558624</v>
      </c>
      <c r="O554" s="2">
        <f ca="1"/>
        <v>-0.38411112450020773</v>
      </c>
      <c r="X554" s="2">
        <f ca="1"/>
        <v>61.262104114373741</v>
      </c>
      <c r="AG554" s="2">
        <f ca="1"/>
        <v>0.11632230086877038</v>
      </c>
      <c r="AH554" s="2" t="str">
        <f ca="1"/>
        <v>OK</v>
      </c>
    </row>
    <row r="555" spans="2:34" x14ac:dyDescent="0.2">
      <c r="B555" s="2">
        <f ca="1"/>
        <v>0.5009865113716907</v>
      </c>
      <c r="O555" s="2">
        <f ca="1"/>
        <v>-2.0672509224086482</v>
      </c>
      <c r="X555" s="2">
        <f ca="1"/>
        <v>48.775806709825417</v>
      </c>
      <c r="AG555" s="2">
        <f ca="1"/>
        <v>0.44993315895655783</v>
      </c>
      <c r="AH555" s="2" t="str">
        <f ca="1"/>
        <v>Bad</v>
      </c>
    </row>
    <row r="556" spans="2:34" x14ac:dyDescent="0.2">
      <c r="B556" s="2">
        <f ca="1"/>
        <v>0.91002666218057127</v>
      </c>
      <c r="O556" s="2">
        <f ca="1"/>
        <v>-0.11688936750305032</v>
      </c>
      <c r="X556" s="2">
        <f ca="1"/>
        <v>37.083169436860551</v>
      </c>
      <c r="AG556" s="2">
        <f ca="1"/>
        <v>0.81640813077554131</v>
      </c>
      <c r="AH556" s="2" t="str">
        <f ca="1"/>
        <v>Bad</v>
      </c>
    </row>
    <row r="557" spans="2:34" x14ac:dyDescent="0.2">
      <c r="B557" s="2">
        <f ca="1"/>
        <v>0.42824942729303395</v>
      </c>
      <c r="O557" s="2">
        <f ca="1"/>
        <v>-8.1319955335357019E-2</v>
      </c>
      <c r="X557" s="2">
        <f ca="1"/>
        <v>51.126208412086768</v>
      </c>
      <c r="AG557" s="2">
        <f ca="1"/>
        <v>0.58030419995135274</v>
      </c>
      <c r="AH557" s="2" t="str">
        <f ca="1"/>
        <v>Bad</v>
      </c>
    </row>
    <row r="558" spans="2:34" x14ac:dyDescent="0.2">
      <c r="B558" s="2">
        <f ca="1"/>
        <v>0.65754006269158549</v>
      </c>
      <c r="O558" s="2">
        <f ca="1"/>
        <v>-1.6536778463432771</v>
      </c>
      <c r="X558" s="2">
        <f ca="1"/>
        <v>42.645589714629104</v>
      </c>
      <c r="AG558" s="2">
        <f ca="1"/>
        <v>0.94347778918018377</v>
      </c>
      <c r="AH558" s="2" t="str">
        <f ca="1"/>
        <v>Bad</v>
      </c>
    </row>
    <row r="559" spans="2:34" x14ac:dyDescent="0.2">
      <c r="B559" s="2">
        <f ca="1"/>
        <v>0.33115820197555745</v>
      </c>
      <c r="O559" s="2">
        <f ca="1"/>
        <v>0.28113442890679002</v>
      </c>
      <c r="X559" s="2">
        <f ca="1"/>
        <v>30.141737609148215</v>
      </c>
      <c r="AG559" s="2">
        <f ca="1"/>
        <v>0.2617868027952146</v>
      </c>
      <c r="AH559" s="2" t="str">
        <f ca="1"/>
        <v>OK</v>
      </c>
    </row>
    <row r="560" spans="2:34" x14ac:dyDescent="0.2">
      <c r="B560" s="2">
        <f ca="1"/>
        <v>0.14502336768538471</v>
      </c>
      <c r="O560" s="2">
        <f ca="1"/>
        <v>-0.56399586461097917</v>
      </c>
      <c r="X560" s="2">
        <f ca="1"/>
        <v>38.685758987408704</v>
      </c>
      <c r="AG560" s="2">
        <f ca="1"/>
        <v>0.50497935405516081</v>
      </c>
      <c r="AH560" s="2" t="str">
        <f ca="1"/>
        <v>Bad</v>
      </c>
    </row>
    <row r="561" spans="2:34" x14ac:dyDescent="0.2">
      <c r="B561" s="2">
        <f ca="1"/>
        <v>0.71346486748912907</v>
      </c>
      <c r="O561" s="2">
        <f ca="1"/>
        <v>0.62383589672075435</v>
      </c>
      <c r="X561" s="2">
        <f ca="1"/>
        <v>75.089659501569713</v>
      </c>
      <c r="AG561" s="2">
        <f ca="1"/>
        <v>0.53869651174826472</v>
      </c>
      <c r="AH561" s="2" t="str">
        <f ca="1"/>
        <v>Bad</v>
      </c>
    </row>
    <row r="562" spans="2:34" x14ac:dyDescent="0.2">
      <c r="B562" s="2">
        <f ca="1"/>
        <v>0.45180422210138338</v>
      </c>
      <c r="O562" s="2">
        <f ca="1"/>
        <v>-0.96063122332983308</v>
      </c>
      <c r="X562" s="2">
        <f ca="1"/>
        <v>75.103285529756064</v>
      </c>
      <c r="AG562" s="2">
        <f ca="1"/>
        <v>0.64756615432557019</v>
      </c>
      <c r="AH562" s="2" t="str">
        <f ca="1"/>
        <v>Bad</v>
      </c>
    </row>
    <row r="563" spans="2:34" x14ac:dyDescent="0.2">
      <c r="B563" s="2">
        <f ca="1"/>
        <v>0.18796441508003903</v>
      </c>
      <c r="O563" s="2">
        <f ca="1"/>
        <v>0.94323793913553688</v>
      </c>
      <c r="X563" s="2">
        <f ca="1"/>
        <v>71.973643222484782</v>
      </c>
      <c r="AG563" s="2">
        <f ca="1"/>
        <v>0.63265976759746367</v>
      </c>
      <c r="AH563" s="2" t="str">
        <f ca="1"/>
        <v>Bad</v>
      </c>
    </row>
    <row r="564" spans="2:34" x14ac:dyDescent="0.2">
      <c r="B564" s="2">
        <f ca="1"/>
        <v>0.67358519172928677</v>
      </c>
      <c r="O564" s="2">
        <f ca="1"/>
        <v>-1.1794498627010088</v>
      </c>
      <c r="X564" s="2">
        <f ca="1"/>
        <v>43.526289185751139</v>
      </c>
      <c r="AG564" s="2">
        <f ca="1"/>
        <v>0.81682340581282342</v>
      </c>
      <c r="AH564" s="2" t="str">
        <f ca="1"/>
        <v>Bad</v>
      </c>
    </row>
    <row r="565" spans="2:34" x14ac:dyDescent="0.2">
      <c r="B565" s="2">
        <f ca="1"/>
        <v>0.42909455586248701</v>
      </c>
      <c r="O565" s="2">
        <f ca="1"/>
        <v>0.11313079389625652</v>
      </c>
      <c r="X565" s="2">
        <f ca="1"/>
        <v>35.930798444717382</v>
      </c>
      <c r="AG565" s="2">
        <f ca="1"/>
        <v>1.4934937555021399E-2</v>
      </c>
      <c r="AH565" s="2" t="str">
        <f ca="1"/>
        <v>Good</v>
      </c>
    </row>
    <row r="566" spans="2:34" x14ac:dyDescent="0.2">
      <c r="B566" s="2">
        <f ca="1"/>
        <v>0.70365255523168169</v>
      </c>
      <c r="O566" s="2">
        <f ca="1"/>
        <v>0.80937792481910009</v>
      </c>
      <c r="X566" s="2">
        <f ca="1"/>
        <v>35.35399839628964</v>
      </c>
      <c r="AG566" s="2">
        <f ca="1"/>
        <v>0.39437825838540452</v>
      </c>
      <c r="AH566" s="2" t="str">
        <f ca="1"/>
        <v>OK</v>
      </c>
    </row>
    <row r="567" spans="2:34" x14ac:dyDescent="0.2">
      <c r="B567" s="2">
        <f ca="1"/>
        <v>0.398363912154166</v>
      </c>
      <c r="O567" s="2">
        <f ca="1"/>
        <v>-0.49652218006636506</v>
      </c>
      <c r="X567" s="2">
        <f ca="1"/>
        <v>86.511295819138326</v>
      </c>
      <c r="AG567" s="2">
        <f ca="1"/>
        <v>0.33723218849257597</v>
      </c>
      <c r="AH567" s="2" t="str">
        <f ca="1"/>
        <v>OK</v>
      </c>
    </row>
    <row r="568" spans="2:34" x14ac:dyDescent="0.2">
      <c r="B568" s="2">
        <f ca="1"/>
        <v>7.263920135243862E-2</v>
      </c>
      <c r="O568" s="2">
        <f ca="1"/>
        <v>-0.87035180041270332</v>
      </c>
      <c r="X568" s="2">
        <f ca="1"/>
        <v>79.333560524035647</v>
      </c>
      <c r="AG568" s="2">
        <f ca="1"/>
        <v>0.6942591547100847</v>
      </c>
      <c r="AH568" s="2" t="str">
        <f ca="1"/>
        <v>Bad</v>
      </c>
    </row>
    <row r="569" spans="2:34" x14ac:dyDescent="0.2">
      <c r="B569" s="2">
        <f ca="1"/>
        <v>0.16995404021406491</v>
      </c>
      <c r="O569" s="2">
        <f ca="1"/>
        <v>0.78279447022425408</v>
      </c>
      <c r="X569" s="2">
        <f ca="1"/>
        <v>95.07798105380536</v>
      </c>
      <c r="AG569" s="2">
        <f ca="1"/>
        <v>0.50976442856871085</v>
      </c>
      <c r="AH569" s="2" t="str">
        <f ca="1"/>
        <v>Bad</v>
      </c>
    </row>
    <row r="570" spans="2:34" x14ac:dyDescent="0.2">
      <c r="B570" s="2">
        <f ca="1"/>
        <v>0.42866708754518212</v>
      </c>
      <c r="O570" s="2">
        <f ca="1"/>
        <v>-6.1260615676924743E-2</v>
      </c>
      <c r="X570" s="2">
        <f ca="1"/>
        <v>65.749980422713406</v>
      </c>
      <c r="AG570" s="2">
        <f ca="1"/>
        <v>0.57823207490644934</v>
      </c>
      <c r="AH570" s="2" t="str">
        <f ca="1"/>
        <v>Bad</v>
      </c>
    </row>
    <row r="571" spans="2:34" x14ac:dyDescent="0.2">
      <c r="B571" s="2">
        <f ca="1"/>
        <v>0.19043634804004372</v>
      </c>
      <c r="O571" s="2">
        <f ca="1"/>
        <v>-0.59873659211379648</v>
      </c>
      <c r="X571" s="2">
        <f ca="1"/>
        <v>47.761752350410703</v>
      </c>
      <c r="AG571" s="2">
        <f ca="1"/>
        <v>2.9282807575684133E-2</v>
      </c>
      <c r="AH571" s="2" t="str">
        <f ca="1"/>
        <v>Good</v>
      </c>
    </row>
    <row r="572" spans="2:34" x14ac:dyDescent="0.2">
      <c r="B572" s="2">
        <f ca="1"/>
        <v>0.25751573323765253</v>
      </c>
      <c r="O572" s="2">
        <f ca="1"/>
        <v>-0.39203610492240532</v>
      </c>
      <c r="X572" s="2">
        <f ca="1"/>
        <v>35.755278435849441</v>
      </c>
      <c r="AG572" s="2">
        <f ca="1"/>
        <v>0.3580875037355522</v>
      </c>
      <c r="AH572" s="2" t="str">
        <f ca="1"/>
        <v>OK</v>
      </c>
    </row>
    <row r="573" spans="2:34" x14ac:dyDescent="0.2">
      <c r="B573" s="2">
        <f ca="1"/>
        <v>0.98691042506298987</v>
      </c>
      <c r="O573" s="2">
        <f ca="1"/>
        <v>0.90135690928791223</v>
      </c>
      <c r="X573" s="2">
        <f ca="1"/>
        <v>37.217178182013953</v>
      </c>
      <c r="AG573" s="2">
        <f ca="1"/>
        <v>0.8444987078583297</v>
      </c>
      <c r="AH573" s="2" t="str">
        <f ca="1"/>
        <v>Bad</v>
      </c>
    </row>
    <row r="574" spans="2:34" x14ac:dyDescent="0.2">
      <c r="B574" s="2">
        <f ca="1"/>
        <v>0.64028292247952434</v>
      </c>
      <c r="O574" s="2">
        <f ca="1"/>
        <v>1.3583806157107825</v>
      </c>
      <c r="X574" s="2">
        <f ca="1"/>
        <v>56.355913037654247</v>
      </c>
      <c r="AG574" s="2">
        <f ca="1"/>
        <v>0.22502527333646039</v>
      </c>
      <c r="AH574" s="2" t="str">
        <f ca="1"/>
        <v>OK</v>
      </c>
    </row>
    <row r="575" spans="2:34" x14ac:dyDescent="0.2">
      <c r="B575" s="2">
        <f ca="1"/>
        <v>0.52718753418682796</v>
      </c>
      <c r="O575" s="2">
        <f ca="1"/>
        <v>0.30138531783613576</v>
      </c>
      <c r="X575" s="2">
        <f ca="1"/>
        <v>43.292173416330925</v>
      </c>
      <c r="AG575" s="2">
        <f ca="1"/>
        <v>0.2629989770719614</v>
      </c>
      <c r="AH575" s="2" t="str">
        <f ca="1"/>
        <v>OK</v>
      </c>
    </row>
    <row r="576" spans="2:34" x14ac:dyDescent="0.2">
      <c r="B576" s="2">
        <f ca="1"/>
        <v>0.37411601362913216</v>
      </c>
      <c r="O576" s="2">
        <f ca="1"/>
        <v>0.61925123522275316</v>
      </c>
      <c r="X576" s="2">
        <f ca="1"/>
        <v>33.725588868390993</v>
      </c>
      <c r="AG576" s="2">
        <f ca="1"/>
        <v>0.47600959613515315</v>
      </c>
      <c r="AH576" s="2" t="str">
        <f ca="1"/>
        <v>Bad</v>
      </c>
    </row>
    <row r="577" spans="2:34" x14ac:dyDescent="0.2">
      <c r="B577" s="2">
        <f ca="1"/>
        <v>0.36666991899698242</v>
      </c>
      <c r="O577" s="2">
        <f ca="1"/>
        <v>-0.903070279055319</v>
      </c>
      <c r="X577" s="2">
        <f ca="1"/>
        <v>66.700341203290463</v>
      </c>
      <c r="AG577" s="2">
        <f ca="1"/>
        <v>0.70158152679963637</v>
      </c>
      <c r="AH577" s="2" t="str">
        <f ca="1"/>
        <v>Bad</v>
      </c>
    </row>
    <row r="578" spans="2:34" x14ac:dyDescent="0.2">
      <c r="B578" s="2">
        <f ca="1"/>
        <v>0.39167114239286405</v>
      </c>
      <c r="O578" s="2">
        <f ca="1"/>
        <v>-0.153288219840606</v>
      </c>
      <c r="X578" s="2">
        <f ca="1"/>
        <v>41.200828678631069</v>
      </c>
      <c r="AG578" s="2">
        <f ca="1"/>
        <v>0.89845325046775448</v>
      </c>
      <c r="AH578" s="2" t="str">
        <f ca="1"/>
        <v>Bad</v>
      </c>
    </row>
    <row r="579" spans="2:34" x14ac:dyDescent="0.2">
      <c r="B579" s="2">
        <f ca="1"/>
        <v>5.9872071984928832E-2</v>
      </c>
      <c r="O579" s="2">
        <f ca="1"/>
        <v>0.46330641055251232</v>
      </c>
      <c r="X579" s="2">
        <f ca="1"/>
        <v>25.370943166451731</v>
      </c>
      <c r="AG579" s="2">
        <f ca="1"/>
        <v>0.37539725505107491</v>
      </c>
      <c r="AH579" s="2" t="str">
        <f ca="1"/>
        <v>OK</v>
      </c>
    </row>
    <row r="580" spans="2:34" x14ac:dyDescent="0.2">
      <c r="B580" s="2">
        <f ca="1"/>
        <v>0.63150222638246478</v>
      </c>
      <c r="O580" s="2">
        <f ca="1"/>
        <v>0.99045078473647141</v>
      </c>
      <c r="X580" s="2">
        <f ca="1"/>
        <v>49.820522986260684</v>
      </c>
      <c r="AG580" s="2">
        <f ca="1"/>
        <v>0.406036191474626</v>
      </c>
      <c r="AH580" s="2" t="str">
        <f ca="1"/>
        <v>Bad</v>
      </c>
    </row>
    <row r="581" spans="2:34" x14ac:dyDescent="0.2">
      <c r="B581" s="2">
        <f ca="1"/>
        <v>0.50000852272566276</v>
      </c>
      <c r="O581" s="2">
        <f ca="1"/>
        <v>1.9791006733413996E-2</v>
      </c>
      <c r="X581" s="2">
        <f ca="1"/>
        <v>30.998046121828917</v>
      </c>
      <c r="AG581" s="2">
        <f ca="1"/>
        <v>0.82764828330168783</v>
      </c>
      <c r="AH581" s="2" t="str">
        <f ca="1"/>
        <v>Bad</v>
      </c>
    </row>
    <row r="582" spans="2:34" x14ac:dyDescent="0.2">
      <c r="B582" s="2">
        <f ca="1"/>
        <v>0.9848426654896707</v>
      </c>
      <c r="O582" s="2">
        <f ca="1"/>
        <v>-0.91862842773857178</v>
      </c>
      <c r="X582" s="2">
        <f ca="1"/>
        <v>51.951163077182009</v>
      </c>
      <c r="AG582" s="2">
        <f ca="1"/>
        <v>0.91366651467748872</v>
      </c>
      <c r="AH582" s="2" t="str">
        <f ca="1"/>
        <v>Bad</v>
      </c>
    </row>
    <row r="583" spans="2:34" x14ac:dyDescent="0.2">
      <c r="B583" s="2">
        <f ca="1"/>
        <v>0.30116508977781198</v>
      </c>
      <c r="O583" s="2">
        <f ca="1"/>
        <v>-0.63341594479898</v>
      </c>
      <c r="X583" s="2">
        <f ca="1"/>
        <v>42.83330596220199</v>
      </c>
      <c r="AG583" s="2">
        <f ca="1"/>
        <v>0.76612196204576377</v>
      </c>
      <c r="AH583" s="2" t="str">
        <f ca="1"/>
        <v>Bad</v>
      </c>
    </row>
    <row r="584" spans="2:34" x14ac:dyDescent="0.2">
      <c r="B584" s="2">
        <f ca="1"/>
        <v>6.5423562761696141E-2</v>
      </c>
      <c r="O584" s="2">
        <f ca="1"/>
        <v>0.40015284706589915</v>
      </c>
      <c r="X584" s="2">
        <f ca="1"/>
        <v>74.925125500253571</v>
      </c>
      <c r="AG584" s="2">
        <f ca="1"/>
        <v>0.1128844732452734</v>
      </c>
      <c r="AH584" s="2" t="str">
        <f ca="1"/>
        <v>OK</v>
      </c>
    </row>
    <row r="585" spans="2:34" x14ac:dyDescent="0.2">
      <c r="B585" s="2">
        <f ca="1"/>
        <v>4.6823595341056734E-3</v>
      </c>
      <c r="O585" s="2">
        <f ca="1"/>
        <v>0.56325440984350028</v>
      </c>
      <c r="X585" s="2">
        <f ca="1"/>
        <v>45.801322176236994</v>
      </c>
      <c r="AG585" s="2">
        <f ca="1"/>
        <v>0.39531141747191523</v>
      </c>
      <c r="AH585" s="2" t="str">
        <f ca="1"/>
        <v>OK</v>
      </c>
    </row>
    <row r="586" spans="2:34" x14ac:dyDescent="0.2">
      <c r="B586" s="2">
        <f ca="1"/>
        <v>0.4022150673741014</v>
      </c>
      <c r="O586" s="2">
        <f ca="1"/>
        <v>-1.0246828008358893</v>
      </c>
      <c r="X586" s="2">
        <f ca="1"/>
        <v>35.504461314128683</v>
      </c>
      <c r="AG586" s="2">
        <f ca="1"/>
        <v>0.65838877797445239</v>
      </c>
      <c r="AH586" s="2" t="str">
        <f ca="1"/>
        <v>Bad</v>
      </c>
    </row>
    <row r="587" spans="2:34" x14ac:dyDescent="0.2">
      <c r="B587" s="2">
        <f ca="1"/>
        <v>0.38628879294838336</v>
      </c>
      <c r="O587" s="2">
        <f ca="1"/>
        <v>-0.42782293534656018</v>
      </c>
      <c r="X587" s="2">
        <f ca="1"/>
        <v>54.81681507900759</v>
      </c>
      <c r="AG587" s="2">
        <f ca="1"/>
        <v>0.88649768003877383</v>
      </c>
      <c r="AH587" s="2" t="str">
        <f ca="1"/>
        <v>Bad</v>
      </c>
    </row>
    <row r="588" spans="2:34" x14ac:dyDescent="0.2">
      <c r="B588" s="2">
        <f ca="1"/>
        <v>0.47707673474184031</v>
      </c>
      <c r="O588" s="2">
        <f ca="1"/>
        <v>0.68179686935231765</v>
      </c>
      <c r="X588" s="2">
        <f ca="1"/>
        <v>30.890129459401301</v>
      </c>
      <c r="AG588" s="2">
        <f ca="1"/>
        <v>0.76694843000821455</v>
      </c>
      <c r="AH588" s="2" t="str">
        <f ca="1"/>
        <v>Bad</v>
      </c>
    </row>
    <row r="589" spans="2:34" x14ac:dyDescent="0.2">
      <c r="B589" s="2">
        <f ca="1"/>
        <v>1.4966854042849809E-2</v>
      </c>
      <c r="O589" s="2">
        <f ca="1"/>
        <v>0.91652751350245654</v>
      </c>
      <c r="X589" s="2">
        <f ca="1"/>
        <v>77.592582461917814</v>
      </c>
      <c r="AG589" s="2">
        <f ca="1"/>
        <v>0.84197147648905712</v>
      </c>
      <c r="AH589" s="2" t="str">
        <f ca="1"/>
        <v>Bad</v>
      </c>
    </row>
    <row r="590" spans="2:34" x14ac:dyDescent="0.2">
      <c r="B590" s="2">
        <f ca="1"/>
        <v>0.37810919748308525</v>
      </c>
      <c r="O590" s="2">
        <f ca="1"/>
        <v>1.864840433373915</v>
      </c>
      <c r="X590" s="2">
        <f ca="1"/>
        <v>48.484494159261217</v>
      </c>
      <c r="AG590" s="2">
        <f ca="1"/>
        <v>0.41981006451145042</v>
      </c>
      <c r="AH590" s="2" t="str">
        <f ca="1"/>
        <v>Bad</v>
      </c>
    </row>
    <row r="591" spans="2:34" x14ac:dyDescent="0.2">
      <c r="B591" s="2">
        <f ca="1"/>
        <v>0.47527427564035585</v>
      </c>
      <c r="O591" s="2">
        <f ca="1"/>
        <v>-0.47093970972157712</v>
      </c>
      <c r="X591" s="2">
        <f ca="1"/>
        <v>57.102103039436756</v>
      </c>
      <c r="AG591" s="2">
        <f ca="1"/>
        <v>0.54017107921191299</v>
      </c>
      <c r="AH591" s="2" t="str">
        <f ca="1"/>
        <v>Bad</v>
      </c>
    </row>
    <row r="592" spans="2:34" x14ac:dyDescent="0.2">
      <c r="B592" s="2">
        <f ca="1"/>
        <v>0.91811639949760182</v>
      </c>
      <c r="O592" s="2">
        <f ca="1"/>
        <v>-0.83900458819430046</v>
      </c>
      <c r="X592" s="2">
        <f ca="1"/>
        <v>43.330540838134475</v>
      </c>
      <c r="AG592" s="2">
        <f ca="1"/>
        <v>0.84553104299330273</v>
      </c>
      <c r="AH592" s="2" t="str">
        <f ca="1"/>
        <v>Bad</v>
      </c>
    </row>
    <row r="593" spans="2:34" x14ac:dyDescent="0.2">
      <c r="B593" s="2">
        <f ca="1"/>
        <v>0.73035742217283928</v>
      </c>
      <c r="O593" s="2">
        <f ca="1"/>
        <v>1.5811101509952086</v>
      </c>
      <c r="X593" s="2">
        <f ca="1"/>
        <v>45.618257077579756</v>
      </c>
      <c r="AG593" s="2">
        <f ca="1"/>
        <v>0.13166791566690228</v>
      </c>
      <c r="AH593" s="2" t="str">
        <f ca="1"/>
        <v>OK</v>
      </c>
    </row>
    <row r="594" spans="2:34" x14ac:dyDescent="0.2">
      <c r="B594" s="2">
        <f ca="1"/>
        <v>0.41857042821433343</v>
      </c>
      <c r="O594" s="2">
        <f ca="1"/>
        <v>0.28617507650507334</v>
      </c>
      <c r="X594" s="2">
        <f ca="1"/>
        <v>27.532047557826846</v>
      </c>
      <c r="AG594" s="2">
        <f ca="1"/>
        <v>0.63587917395136873</v>
      </c>
      <c r="AH594" s="2" t="str">
        <f ca="1"/>
        <v>Bad</v>
      </c>
    </row>
    <row r="595" spans="2:34" x14ac:dyDescent="0.2">
      <c r="B595" s="2">
        <f ca="1"/>
        <v>0.75583313214997738</v>
      </c>
      <c r="O595" s="2">
        <f ca="1"/>
        <v>1.0683779176939132</v>
      </c>
      <c r="X595" s="2">
        <f ca="1"/>
        <v>67.763400341464134</v>
      </c>
      <c r="AG595" s="2">
        <f ca="1"/>
        <v>0.14445336286667021</v>
      </c>
      <c r="AH595" s="2" t="str">
        <f ca="1"/>
        <v>OK</v>
      </c>
    </row>
    <row r="596" spans="2:34" x14ac:dyDescent="0.2">
      <c r="B596" s="2">
        <f ca="1"/>
        <v>0.23548651666813369</v>
      </c>
      <c r="O596" s="2">
        <f ca="1"/>
        <v>-0.97586399315583239</v>
      </c>
      <c r="X596" s="2">
        <f ca="1"/>
        <v>56.606167639201388</v>
      </c>
      <c r="AG596" s="2">
        <f ca="1"/>
        <v>0.45865653512384807</v>
      </c>
      <c r="AH596" s="2" t="str">
        <f ca="1"/>
        <v>Bad</v>
      </c>
    </row>
    <row r="597" spans="2:34" x14ac:dyDescent="0.2">
      <c r="B597" s="2">
        <f ca="1"/>
        <v>0.68582007698238012</v>
      </c>
      <c r="O597" s="2">
        <f ca="1"/>
        <v>9.4953497108113918E-2</v>
      </c>
      <c r="X597" s="2">
        <f ca="1"/>
        <v>46.861672717544238</v>
      </c>
      <c r="AG597" s="2">
        <f ca="1"/>
        <v>0.30091343440971907</v>
      </c>
      <c r="AH597" s="2" t="str">
        <f ca="1"/>
        <v>OK</v>
      </c>
    </row>
    <row r="598" spans="2:34" x14ac:dyDescent="0.2">
      <c r="B598" s="2">
        <f ca="1"/>
        <v>0.92896214826952828</v>
      </c>
      <c r="O598" s="2">
        <f ca="1"/>
        <v>0.98185778576447358</v>
      </c>
      <c r="X598" s="2">
        <f ca="1"/>
        <v>49.016595402616517</v>
      </c>
      <c r="AG598" s="2">
        <f ca="1"/>
        <v>0.71111571270652219</v>
      </c>
      <c r="AH598" s="2" t="str">
        <f ca="1"/>
        <v>Bad</v>
      </c>
    </row>
    <row r="599" spans="2:34" x14ac:dyDescent="0.2">
      <c r="B599" s="2">
        <f ca="1"/>
        <v>0.2521838431068677</v>
      </c>
      <c r="O599" s="2">
        <f ca="1"/>
        <v>1.4449151576380608</v>
      </c>
      <c r="X599" s="2">
        <f ca="1"/>
        <v>25.885968270907238</v>
      </c>
      <c r="AG599" s="2">
        <f ca="1"/>
        <v>0.67781843132106756</v>
      </c>
      <c r="AH599" s="2" t="str">
        <f ca="1"/>
        <v>Bad</v>
      </c>
    </row>
    <row r="600" spans="2:34" x14ac:dyDescent="0.2">
      <c r="B600" s="2">
        <f ca="1"/>
        <v>0.83901696208622401</v>
      </c>
      <c r="O600" s="2">
        <f ca="1"/>
        <v>-1.046518696352875</v>
      </c>
      <c r="X600" s="2">
        <f ca="1"/>
        <v>65.920847240918249</v>
      </c>
      <c r="AG600" s="2">
        <f ca="1"/>
        <v>0.48323478812436638</v>
      </c>
      <c r="AH600" s="2" t="str">
        <f ca="1"/>
        <v>Bad</v>
      </c>
    </row>
    <row r="601" spans="2:34" x14ac:dyDescent="0.2">
      <c r="B601" s="2">
        <f ca="1"/>
        <v>0.36845983707258489</v>
      </c>
      <c r="O601" s="2">
        <f ca="1"/>
        <v>0.38702864626193972</v>
      </c>
      <c r="X601" s="2">
        <f ca="1"/>
        <v>70.543748338585118</v>
      </c>
      <c r="AG601" s="2">
        <f ca="1"/>
        <v>0.46899651578862978</v>
      </c>
      <c r="AH601" s="2" t="str">
        <f ca="1"/>
        <v>Bad</v>
      </c>
    </row>
    <row r="602" spans="2:34" x14ac:dyDescent="0.2">
      <c r="B602" s="2">
        <f ca="1"/>
        <v>0.93015799224166651</v>
      </c>
      <c r="O602" s="2">
        <f ca="1"/>
        <v>-3.919732967076367E-2</v>
      </c>
      <c r="X602" s="2">
        <f ca="1"/>
        <v>64.603088947016261</v>
      </c>
      <c r="AG602" s="2">
        <f ca="1"/>
        <v>0.44801579764505628</v>
      </c>
      <c r="AH602" s="2" t="str">
        <f ca="1"/>
        <v>Bad</v>
      </c>
    </row>
    <row r="603" spans="2:34" x14ac:dyDescent="0.2">
      <c r="B603" s="2">
        <f ca="1"/>
        <v>0.97437740444527043</v>
      </c>
      <c r="O603" s="2">
        <f ca="1"/>
        <v>-1.0842869818406591</v>
      </c>
      <c r="X603" s="2">
        <f ca="1"/>
        <v>30.505049957653601</v>
      </c>
      <c r="AG603" s="2">
        <f ca="1"/>
        <v>0.28121709152780605</v>
      </c>
      <c r="AH603" s="2" t="str">
        <f ca="1"/>
        <v>OK</v>
      </c>
    </row>
    <row r="604" spans="2:34" x14ac:dyDescent="0.2">
      <c r="B604" s="2">
        <f ca="1"/>
        <v>0.57351694108224316</v>
      </c>
      <c r="O604" s="2">
        <f ca="1"/>
        <v>0.31606433840268894</v>
      </c>
      <c r="X604" s="2">
        <f ca="1"/>
        <v>45.47348166274211</v>
      </c>
      <c r="AG604" s="2">
        <f ca="1"/>
        <v>0.78786132264952569</v>
      </c>
      <c r="AH604" s="2" t="str">
        <f ca="1"/>
        <v>Bad</v>
      </c>
    </row>
    <row r="605" spans="2:34" x14ac:dyDescent="0.2">
      <c r="B605" s="2">
        <f ca="1"/>
        <v>0.42768039055523022</v>
      </c>
      <c r="O605" s="2">
        <f ca="1"/>
        <v>-0.27359167224763387</v>
      </c>
      <c r="X605" s="2">
        <f ca="1"/>
        <v>65.220226127725766</v>
      </c>
      <c r="AG605" s="2">
        <f ca="1"/>
        <v>0.46067871096556834</v>
      </c>
      <c r="AH605" s="2" t="str">
        <f ca="1"/>
        <v>Bad</v>
      </c>
    </row>
    <row r="606" spans="2:34" x14ac:dyDescent="0.2">
      <c r="B606" s="2">
        <f ca="1"/>
        <v>0.35589296167221263</v>
      </c>
      <c r="O606" s="2">
        <f ca="1"/>
        <v>1.1418734710982099</v>
      </c>
      <c r="X606" s="2">
        <f ca="1"/>
        <v>53.920727594448614</v>
      </c>
      <c r="AG606" s="2">
        <f ca="1"/>
        <v>0.30145523941435148</v>
      </c>
      <c r="AH606" s="2" t="str">
        <f ca="1"/>
        <v>OK</v>
      </c>
    </row>
    <row r="607" spans="2:34" x14ac:dyDescent="0.2">
      <c r="B607" s="2">
        <f ca="1"/>
        <v>9.1022468544436519E-2</v>
      </c>
      <c r="O607" s="2">
        <f ca="1"/>
        <v>0.14194648274412841</v>
      </c>
      <c r="X607" s="2">
        <f ca="1"/>
        <v>54.032661445586669</v>
      </c>
      <c r="AG607" s="2">
        <f ca="1"/>
        <v>0.43577321372731426</v>
      </c>
      <c r="AH607" s="2" t="str">
        <f ca="1"/>
        <v>Bad</v>
      </c>
    </row>
    <row r="608" spans="2:34" x14ac:dyDescent="0.2">
      <c r="B608" s="2">
        <f ca="1"/>
        <v>0.40724198277714851</v>
      </c>
      <c r="O608" s="2">
        <f ca="1"/>
        <v>0.12317300698462946</v>
      </c>
      <c r="X608" s="2">
        <f ca="1"/>
        <v>67.785495240746513</v>
      </c>
      <c r="AG608" s="2">
        <f ca="1"/>
        <v>0.43429144153088917</v>
      </c>
      <c r="AH608" s="2" t="str">
        <f ca="1"/>
        <v>Bad</v>
      </c>
    </row>
    <row r="609" spans="2:34" x14ac:dyDescent="0.2">
      <c r="B609" s="2">
        <f ca="1"/>
        <v>1.3315304675459938E-2</v>
      </c>
      <c r="O609" s="2">
        <f ca="1"/>
        <v>0.19536150165070865</v>
      </c>
      <c r="X609" s="2">
        <f ca="1"/>
        <v>53.220396482781396</v>
      </c>
      <c r="AG609" s="2">
        <f ca="1"/>
        <v>0.37919008883720218</v>
      </c>
      <c r="AH609" s="2" t="str">
        <f ca="1"/>
        <v>OK</v>
      </c>
    </row>
    <row r="610" spans="2:34" x14ac:dyDescent="0.2">
      <c r="B610" s="2">
        <f ca="1"/>
        <v>0.39360637754527472</v>
      </c>
      <c r="O610" s="2">
        <f ca="1"/>
        <v>-1.5378174130247904</v>
      </c>
      <c r="X610" s="2">
        <f ca="1"/>
        <v>41.621558402411758</v>
      </c>
      <c r="AG610" s="2">
        <f ca="1"/>
        <v>0.80882809991183513</v>
      </c>
      <c r="AH610" s="2" t="str">
        <f ca="1"/>
        <v>Bad</v>
      </c>
    </row>
    <row r="611" spans="2:34" x14ac:dyDescent="0.2">
      <c r="B611" s="2">
        <f ca="1"/>
        <v>0.3379256058558826</v>
      </c>
      <c r="O611" s="2">
        <f ca="1"/>
        <v>-0.53737727633606758</v>
      </c>
      <c r="X611" s="2">
        <f ca="1"/>
        <v>28.27270639997959</v>
      </c>
      <c r="AG611" s="2">
        <f ca="1"/>
        <v>0.83422319642608445</v>
      </c>
      <c r="AH611" s="2" t="str">
        <f ca="1"/>
        <v>Bad</v>
      </c>
    </row>
    <row r="612" spans="2:34" x14ac:dyDescent="0.2">
      <c r="B612" s="2">
        <f ca="1"/>
        <v>0.74493954125607997</v>
      </c>
      <c r="O612" s="2">
        <f ca="1"/>
        <v>-1.8181302650106246</v>
      </c>
      <c r="X612" s="2">
        <f ca="1"/>
        <v>38.121442367449248</v>
      </c>
      <c r="AG612" s="2">
        <f ca="1"/>
        <v>0.79014024600195709</v>
      </c>
      <c r="AH612" s="2" t="str">
        <f ca="1"/>
        <v>Bad</v>
      </c>
    </row>
    <row r="613" spans="2:34" x14ac:dyDescent="0.2">
      <c r="B613" s="2">
        <f ca="1"/>
        <v>0.67744350321309899</v>
      </c>
      <c r="O613" s="2">
        <f ca="1"/>
        <v>-0.68139337647591347</v>
      </c>
      <c r="X613" s="2">
        <f ca="1"/>
        <v>58.040978390719602</v>
      </c>
      <c r="AG613" s="2">
        <f ca="1"/>
        <v>0.19174393356346942</v>
      </c>
      <c r="AH613" s="2" t="str">
        <f ca="1"/>
        <v>OK</v>
      </c>
    </row>
    <row r="614" spans="2:34" x14ac:dyDescent="0.2">
      <c r="B614" s="2">
        <f ca="1"/>
        <v>0.36825622357456211</v>
      </c>
      <c r="O614" s="2">
        <f ca="1"/>
        <v>-0.97952880080804994</v>
      </c>
      <c r="X614" s="2">
        <f ca="1"/>
        <v>42.219886479661604</v>
      </c>
      <c r="AG614" s="2">
        <f ca="1"/>
        <v>0.38316059939409919</v>
      </c>
      <c r="AH614" s="2" t="str">
        <f ca="1"/>
        <v>OK</v>
      </c>
    </row>
    <row r="615" spans="2:34" x14ac:dyDescent="0.2">
      <c r="B615" s="2">
        <f ca="1"/>
        <v>0.46282330747249301</v>
      </c>
      <c r="O615" s="2">
        <f ca="1"/>
        <v>-0.20899192389564969</v>
      </c>
      <c r="X615" s="2">
        <f ca="1"/>
        <v>66.644066984878222</v>
      </c>
      <c r="AG615" s="2">
        <f ca="1"/>
        <v>0.96956801862708164</v>
      </c>
      <c r="AH615" s="2" t="str">
        <f ca="1"/>
        <v>Bad</v>
      </c>
    </row>
    <row r="616" spans="2:34" x14ac:dyDescent="0.2">
      <c r="B616" s="2">
        <f ca="1"/>
        <v>4.257087801360715E-2</v>
      </c>
      <c r="O616" s="2">
        <f ca="1"/>
        <v>0.16531526411006825</v>
      </c>
      <c r="X616" s="2">
        <f ca="1"/>
        <v>63.938349255268399</v>
      </c>
      <c r="AG616" s="2">
        <f ca="1"/>
        <v>0.97998042596307577</v>
      </c>
      <c r="AH616" s="2" t="str">
        <f ca="1"/>
        <v>Bad</v>
      </c>
    </row>
    <row r="617" spans="2:34" x14ac:dyDescent="0.2">
      <c r="B617" s="2">
        <f ca="1"/>
        <v>0.77137703935835589</v>
      </c>
      <c r="O617" s="2">
        <f ca="1"/>
        <v>1.444501922773445</v>
      </c>
      <c r="X617" s="2">
        <f ca="1"/>
        <v>41.090672367694687</v>
      </c>
      <c r="AG617" s="2">
        <f ca="1"/>
        <v>0.78510023152781749</v>
      </c>
      <c r="AH617" s="2" t="str">
        <f ca="1"/>
        <v>Bad</v>
      </c>
    </row>
    <row r="618" spans="2:34" x14ac:dyDescent="0.2">
      <c r="B618" s="2">
        <f ca="1"/>
        <v>0.16145712682966828</v>
      </c>
      <c r="O618" s="2">
        <f ca="1"/>
        <v>-0.67330543347339267</v>
      </c>
      <c r="X618" s="2">
        <f ca="1"/>
        <v>74.453535154721436</v>
      </c>
      <c r="AG618" s="2">
        <f ca="1"/>
        <v>6.9612547840029571E-2</v>
      </c>
      <c r="AH618" s="2" t="str">
        <f ca="1"/>
        <v>OK</v>
      </c>
    </row>
    <row r="619" spans="2:34" x14ac:dyDescent="0.2">
      <c r="B619" s="2">
        <f ca="1"/>
        <v>0.89407394786831418</v>
      </c>
      <c r="O619" s="2">
        <f ca="1"/>
        <v>0.47511337510638879</v>
      </c>
      <c r="X619" s="2">
        <f ca="1"/>
        <v>42.675877659089984</v>
      </c>
      <c r="AG619" s="2">
        <f ca="1"/>
        <v>0.59131731441620783</v>
      </c>
      <c r="AH619" s="2" t="str">
        <f ca="1"/>
        <v>Bad</v>
      </c>
    </row>
    <row r="620" spans="2:34" x14ac:dyDescent="0.2">
      <c r="B620" s="2">
        <f ca="1"/>
        <v>0.10329159943414701</v>
      </c>
      <c r="O620" s="2">
        <f ca="1"/>
        <v>-0.66641908966487029</v>
      </c>
      <c r="X620" s="2">
        <f ca="1"/>
        <v>49.666144486727468</v>
      </c>
      <c r="AG620" s="2">
        <f ca="1"/>
        <v>0.80086132475818594</v>
      </c>
      <c r="AH620" s="2" t="str">
        <f ca="1"/>
        <v>Bad</v>
      </c>
    </row>
    <row r="621" spans="2:34" x14ac:dyDescent="0.2">
      <c r="B621" s="2">
        <f ca="1"/>
        <v>0.83939141037945841</v>
      </c>
      <c r="O621" s="2">
        <f ca="1"/>
        <v>-1.8977586093919772</v>
      </c>
      <c r="X621" s="2">
        <f ca="1"/>
        <v>70.28753729481069</v>
      </c>
      <c r="AG621" s="2">
        <f ca="1"/>
        <v>0.57914530348250448</v>
      </c>
      <c r="AH621" s="2" t="str">
        <f ca="1"/>
        <v>Bad</v>
      </c>
    </row>
    <row r="622" spans="2:34" x14ac:dyDescent="0.2">
      <c r="B622" s="2">
        <f ca="1"/>
        <v>0.81849016966127097</v>
      </c>
      <c r="O622" s="2">
        <f ca="1"/>
        <v>0.74770115091198863</v>
      </c>
      <c r="X622" s="2">
        <f ca="1"/>
        <v>45.53010008230109</v>
      </c>
      <c r="AG622" s="2">
        <f ca="1"/>
        <v>0.62609976057512728</v>
      </c>
      <c r="AH622" s="2" t="str">
        <f ca="1"/>
        <v>Bad</v>
      </c>
    </row>
    <row r="623" spans="2:34" x14ac:dyDescent="0.2">
      <c r="B623" s="2">
        <f ca="1"/>
        <v>0.22418272153750674</v>
      </c>
      <c r="O623" s="2">
        <f ca="1"/>
        <v>-0.15463855223401421</v>
      </c>
      <c r="X623" s="2">
        <f ca="1"/>
        <v>45.185038434251695</v>
      </c>
      <c r="AG623" s="2">
        <f ca="1"/>
        <v>0.83528148967319793</v>
      </c>
      <c r="AH623" s="2" t="str">
        <f ca="1"/>
        <v>Bad</v>
      </c>
    </row>
    <row r="624" spans="2:34" x14ac:dyDescent="0.2">
      <c r="B624" s="2">
        <f ca="1"/>
        <v>0.47405688652242994</v>
      </c>
      <c r="O624" s="2">
        <f ca="1"/>
        <v>1.5762689965152554</v>
      </c>
      <c r="X624" s="2">
        <f ca="1"/>
        <v>59.034234029962334</v>
      </c>
      <c r="AG624" s="2">
        <f ca="1"/>
        <v>0.96679040313034359</v>
      </c>
      <c r="AH624" s="2" t="str">
        <f ca="1"/>
        <v>Bad</v>
      </c>
    </row>
    <row r="625" spans="2:34" x14ac:dyDescent="0.2">
      <c r="B625" s="2">
        <f ca="1"/>
        <v>0.31924413894596015</v>
      </c>
      <c r="O625" s="2">
        <f ca="1"/>
        <v>0.18068723670094947</v>
      </c>
      <c r="X625" s="2">
        <f ca="1"/>
        <v>74.953571249809585</v>
      </c>
      <c r="AG625" s="2">
        <f ca="1"/>
        <v>0.47551510407046615</v>
      </c>
      <c r="AH625" s="2" t="str">
        <f ca="1"/>
        <v>Bad</v>
      </c>
    </row>
    <row r="626" spans="2:34" x14ac:dyDescent="0.2">
      <c r="B626" s="2">
        <f ca="1"/>
        <v>0.2865128497460494</v>
      </c>
      <c r="O626" s="2">
        <f ca="1"/>
        <v>1.0176133666257265</v>
      </c>
      <c r="X626" s="2">
        <f ca="1"/>
        <v>42.722850371957591</v>
      </c>
      <c r="AG626" s="2">
        <f ca="1"/>
        <v>0.36338591587695679</v>
      </c>
      <c r="AH626" s="2" t="str">
        <f ca="1"/>
        <v>OK</v>
      </c>
    </row>
    <row r="627" spans="2:34" x14ac:dyDescent="0.2">
      <c r="B627" s="2">
        <f ca="1"/>
        <v>0.86212606643342227</v>
      </c>
      <c r="O627" s="2">
        <f ca="1"/>
        <v>0.28054505181548872</v>
      </c>
      <c r="X627" s="2">
        <f ca="1"/>
        <v>32.64127204025182</v>
      </c>
      <c r="AG627" s="2">
        <f ca="1"/>
        <v>0.25593505857014343</v>
      </c>
      <c r="AH627" s="2" t="str">
        <f ca="1"/>
        <v>OK</v>
      </c>
    </row>
    <row r="628" spans="2:34" x14ac:dyDescent="0.2">
      <c r="B628" s="2">
        <f ca="1"/>
        <v>0.69074557253104296</v>
      </c>
      <c r="O628" s="2">
        <f ca="1"/>
        <v>-3.3463452219233192E-2</v>
      </c>
      <c r="X628" s="2">
        <f ca="1"/>
        <v>88.844952314185292</v>
      </c>
      <c r="AG628" s="2">
        <f ca="1"/>
        <v>0.80903094636785577</v>
      </c>
      <c r="AH628" s="2" t="str">
        <f ca="1"/>
        <v>Bad</v>
      </c>
    </row>
    <row r="629" spans="2:34" x14ac:dyDescent="0.2">
      <c r="B629" s="2">
        <f ca="1"/>
        <v>0.95671630507805072</v>
      </c>
      <c r="O629" s="2">
        <f ca="1"/>
        <v>1.095143688599272</v>
      </c>
      <c r="X629" s="2">
        <f ca="1"/>
        <v>62.429151485947372</v>
      </c>
      <c r="AG629" s="2">
        <f ca="1"/>
        <v>2.5246563734099281E-2</v>
      </c>
      <c r="AH629" s="2" t="str">
        <f ca="1"/>
        <v>Good</v>
      </c>
    </row>
    <row r="630" spans="2:34" x14ac:dyDescent="0.2">
      <c r="B630" s="2">
        <f ca="1"/>
        <v>0.67298703556930706</v>
      </c>
      <c r="O630" s="2">
        <f ca="1"/>
        <v>1.1026598285692208</v>
      </c>
      <c r="X630" s="2">
        <f ca="1"/>
        <v>51.100235054670378</v>
      </c>
      <c r="AG630" s="2">
        <f ca="1"/>
        <v>0.57413564670259354</v>
      </c>
      <c r="AH630" s="2" t="str">
        <f ca="1"/>
        <v>Bad</v>
      </c>
    </row>
    <row r="631" spans="2:34" x14ac:dyDescent="0.2">
      <c r="B631" s="2">
        <f ca="1"/>
        <v>0.92870988188245485</v>
      </c>
      <c r="O631" s="2">
        <f ca="1"/>
        <v>0.75519275336905711</v>
      </c>
      <c r="X631" s="2">
        <f ca="1"/>
        <v>43.50980608089381</v>
      </c>
      <c r="AG631" s="2">
        <f ca="1"/>
        <v>0.59465778034766892</v>
      </c>
      <c r="AH631" s="2" t="str">
        <f ca="1"/>
        <v>Bad</v>
      </c>
    </row>
    <row r="632" spans="2:34" x14ac:dyDescent="0.2">
      <c r="B632" s="2">
        <f ca="1"/>
        <v>0.20458604458115448</v>
      </c>
      <c r="O632" s="2">
        <f ca="1"/>
        <v>7.9354171891375141E-2</v>
      </c>
      <c r="X632" s="2">
        <f ca="1"/>
        <v>34.644889544299147</v>
      </c>
      <c r="AG632" s="2">
        <f ca="1"/>
        <v>0.48330012424271751</v>
      </c>
      <c r="AH632" s="2" t="str">
        <f ca="1"/>
        <v>Bad</v>
      </c>
    </row>
    <row r="633" spans="2:34" x14ac:dyDescent="0.2">
      <c r="B633" s="2">
        <f ca="1"/>
        <v>0.39305620823269427</v>
      </c>
      <c r="O633" s="2">
        <f ca="1"/>
        <v>0.7414122009795665</v>
      </c>
      <c r="X633" s="2">
        <f ca="1"/>
        <v>40.222341036100588</v>
      </c>
      <c r="AG633" s="2">
        <f ca="1"/>
        <v>0.79811430668593975</v>
      </c>
      <c r="AH633" s="2" t="str">
        <f ca="1"/>
        <v>Bad</v>
      </c>
    </row>
    <row r="634" spans="2:34" x14ac:dyDescent="0.2">
      <c r="B634" s="2">
        <f ca="1"/>
        <v>0.36058173243580738</v>
      </c>
      <c r="O634" s="2">
        <f ca="1"/>
        <v>-0.17869667615449886</v>
      </c>
      <c r="X634" s="2">
        <f ca="1"/>
        <v>34.901423307924802</v>
      </c>
      <c r="AG634" s="2">
        <f ca="1"/>
        <v>0.73698370315515094</v>
      </c>
      <c r="AH634" s="2" t="str">
        <f ca="1"/>
        <v>Bad</v>
      </c>
    </row>
    <row r="635" spans="2:34" x14ac:dyDescent="0.2">
      <c r="B635" s="2">
        <f ca="1"/>
        <v>0.97803396219740191</v>
      </c>
      <c r="O635" s="2">
        <f ca="1"/>
        <v>-0.61187532196713035</v>
      </c>
      <c r="X635" s="2">
        <f ca="1"/>
        <v>31.73632584161826</v>
      </c>
      <c r="AG635" s="2">
        <f ca="1"/>
        <v>0.75418479858403042</v>
      </c>
      <c r="AH635" s="2" t="str">
        <f ca="1"/>
        <v>Bad</v>
      </c>
    </row>
    <row r="636" spans="2:34" x14ac:dyDescent="0.2">
      <c r="B636" s="2">
        <f ca="1"/>
        <v>0.20925628511361904</v>
      </c>
      <c r="O636" s="2">
        <f ca="1"/>
        <v>1.4208144492608277</v>
      </c>
      <c r="X636" s="2">
        <f ca="1"/>
        <v>35.639410471682837</v>
      </c>
      <c r="AG636" s="2">
        <f ca="1"/>
        <v>0.58016427957156091</v>
      </c>
      <c r="AH636" s="2" t="str">
        <f ca="1"/>
        <v>Bad</v>
      </c>
    </row>
    <row r="637" spans="2:34" x14ac:dyDescent="0.2">
      <c r="B637" s="2">
        <f ca="1"/>
        <v>0.26081909070841247</v>
      </c>
      <c r="O637" s="2">
        <f ca="1"/>
        <v>0.53830104847291671</v>
      </c>
      <c r="X637" s="2">
        <f ca="1"/>
        <v>55.845593693765395</v>
      </c>
      <c r="AG637" s="2">
        <f ca="1"/>
        <v>0.88441672452623576</v>
      </c>
      <c r="AH637" s="2" t="str">
        <f ca="1"/>
        <v>Bad</v>
      </c>
    </row>
    <row r="638" spans="2:34" x14ac:dyDescent="0.2">
      <c r="B638" s="2">
        <f ca="1"/>
        <v>0.717163565684247</v>
      </c>
      <c r="O638" s="2">
        <f ca="1"/>
        <v>-0.68824647606235034</v>
      </c>
      <c r="X638" s="2">
        <f ca="1"/>
        <v>54.870735515463181</v>
      </c>
      <c r="AG638" s="2">
        <f ca="1"/>
        <v>0.80776328011644316</v>
      </c>
      <c r="AH638" s="2" t="str">
        <f ca="1"/>
        <v>Bad</v>
      </c>
    </row>
    <row r="639" spans="2:34" x14ac:dyDescent="0.2">
      <c r="B639" s="2">
        <f ca="1"/>
        <v>7.9228591944595195E-2</v>
      </c>
      <c r="O639" s="2">
        <f ca="1"/>
        <v>0.89980245647543911</v>
      </c>
      <c r="X639" s="2">
        <f ca="1"/>
        <v>35.45710603972789</v>
      </c>
      <c r="AG639" s="2">
        <f ca="1"/>
        <v>0.97109096394570726</v>
      </c>
      <c r="AH639" s="2" t="str">
        <f ca="1"/>
        <v>Bad</v>
      </c>
    </row>
    <row r="640" spans="2:34" x14ac:dyDescent="0.2">
      <c r="B640" s="2">
        <f ca="1"/>
        <v>0.60150564572947007</v>
      </c>
      <c r="O640" s="2">
        <f ca="1"/>
        <v>-1.9032561532636336</v>
      </c>
      <c r="X640" s="2">
        <f ca="1"/>
        <v>40.253307363655111</v>
      </c>
      <c r="AG640" s="2">
        <f ca="1"/>
        <v>0.7160345312078078</v>
      </c>
      <c r="AH640" s="2" t="str">
        <f ca="1"/>
        <v>Bad</v>
      </c>
    </row>
    <row r="641" spans="2:34" x14ac:dyDescent="0.2">
      <c r="B641" s="2">
        <f ca="1"/>
        <v>0.34415182922565646</v>
      </c>
      <c r="O641" s="2">
        <f ca="1"/>
        <v>0.76880750704822143</v>
      </c>
      <c r="X641" s="2">
        <f ca="1"/>
        <v>48.100918548399683</v>
      </c>
      <c r="AG641" s="2">
        <f ca="1"/>
        <v>0.62745545026478555</v>
      </c>
      <c r="AH641" s="2" t="str">
        <f ca="1"/>
        <v>Bad</v>
      </c>
    </row>
    <row r="642" spans="2:34" x14ac:dyDescent="0.2">
      <c r="B642" s="2">
        <f ca="1"/>
        <v>0.61273280342418879</v>
      </c>
      <c r="O642" s="2">
        <f ca="1"/>
        <v>-0.21107749468479872</v>
      </c>
      <c r="X642" s="2">
        <f ca="1"/>
        <v>32.497856532764935</v>
      </c>
      <c r="AG642" s="2">
        <f ca="1"/>
        <v>1.3441134801688959E-2</v>
      </c>
      <c r="AH642" s="2" t="str">
        <f ca="1"/>
        <v>Good</v>
      </c>
    </row>
    <row r="643" spans="2:34" x14ac:dyDescent="0.2">
      <c r="B643" s="2">
        <f ca="1"/>
        <v>4.9560368492753692E-2</v>
      </c>
      <c r="O643" s="2">
        <f ca="1"/>
        <v>-0.26563936325110044</v>
      </c>
      <c r="X643" s="2">
        <f ca="1"/>
        <v>42.812492456756139</v>
      </c>
      <c r="AG643" s="2">
        <f ca="1"/>
        <v>0.65163404369746147</v>
      </c>
      <c r="AH643" s="2" t="str">
        <f ca="1"/>
        <v>Bad</v>
      </c>
    </row>
    <row r="644" spans="2:34" x14ac:dyDescent="0.2">
      <c r="B644" s="2">
        <f ca="1"/>
        <v>0.56945389139172709</v>
      </c>
      <c r="O644" s="2">
        <f ca="1"/>
        <v>-0.95338773672501054</v>
      </c>
      <c r="X644" s="2">
        <f ca="1"/>
        <v>58.885784708299568</v>
      </c>
      <c r="AG644" s="2">
        <f ca="1"/>
        <v>2.713121521160744E-2</v>
      </c>
      <c r="AH644" s="2" t="str">
        <f ca="1"/>
        <v>Good</v>
      </c>
    </row>
    <row r="645" spans="2:34" x14ac:dyDescent="0.2">
      <c r="B645" s="2">
        <f ca="1"/>
        <v>1.2339567389167749E-2</v>
      </c>
      <c r="O645" s="2">
        <f ca="1"/>
        <v>-0.25922170712419723</v>
      </c>
      <c r="X645" s="2">
        <f ca="1"/>
        <v>54.922532825281806</v>
      </c>
      <c r="AG645" s="2">
        <f ca="1"/>
        <v>6.7832847875675117E-2</v>
      </c>
      <c r="AH645" s="2" t="str">
        <f ca="1"/>
        <v>OK</v>
      </c>
    </row>
    <row r="646" spans="2:34" x14ac:dyDescent="0.2">
      <c r="B646" s="2">
        <f ca="1"/>
        <v>0.67981576308279146</v>
      </c>
      <c r="O646" s="2">
        <f ca="1"/>
        <v>-0.16882362008240337</v>
      </c>
      <c r="X646" s="2">
        <f ca="1"/>
        <v>33.656425693842479</v>
      </c>
      <c r="AG646" s="2">
        <f ca="1"/>
        <v>0.96081521961663707</v>
      </c>
      <c r="AH646" s="2" t="str">
        <f ca="1"/>
        <v>Bad</v>
      </c>
    </row>
    <row r="647" spans="2:34" x14ac:dyDescent="0.2">
      <c r="B647" s="2">
        <f ca="1"/>
        <v>0.57712302007047578</v>
      </c>
      <c r="O647" s="2">
        <f ca="1"/>
        <v>0.4487306170800614</v>
      </c>
      <c r="X647" s="2">
        <f ca="1"/>
        <v>48.962382520464971</v>
      </c>
      <c r="AG647" s="2">
        <f ca="1"/>
        <v>0.58848725315133188</v>
      </c>
      <c r="AH647" s="2" t="str">
        <f ca="1"/>
        <v>Bad</v>
      </c>
    </row>
    <row r="648" spans="2:34" x14ac:dyDescent="0.2">
      <c r="B648" s="2">
        <f ca="1"/>
        <v>8.9618727532528419E-2</v>
      </c>
      <c r="O648" s="2">
        <f ca="1"/>
        <v>0.28573628387158317</v>
      </c>
      <c r="X648" s="2">
        <f ca="1"/>
        <v>38.652346248500905</v>
      </c>
      <c r="AG648" s="2">
        <f ca="1"/>
        <v>0.71709922412243343</v>
      </c>
      <c r="AH648" s="2" t="str">
        <f ca="1"/>
        <v>Bad</v>
      </c>
    </row>
    <row r="649" spans="2:34" x14ac:dyDescent="0.2">
      <c r="B649" s="2">
        <f ca="1"/>
        <v>0.62868528491718734</v>
      </c>
      <c r="O649" s="2">
        <f ca="1"/>
        <v>-0.15466829511275751</v>
      </c>
      <c r="X649" s="2">
        <f ca="1"/>
        <v>40.827224739331179</v>
      </c>
      <c r="AG649" s="2">
        <f ca="1"/>
        <v>0.59476626996770476</v>
      </c>
      <c r="AH649" s="2" t="str">
        <f ca="1"/>
        <v>Bad</v>
      </c>
    </row>
    <row r="650" spans="2:34" x14ac:dyDescent="0.2">
      <c r="B650" s="2">
        <f ca="1"/>
        <v>0.29415639469273458</v>
      </c>
      <c r="O650" s="2">
        <f ca="1"/>
        <v>-0.30589260423017428</v>
      </c>
      <c r="X650" s="2">
        <f ca="1"/>
        <v>66.988057193707448</v>
      </c>
      <c r="AG650" s="2">
        <f ca="1"/>
        <v>0.18136056326272687</v>
      </c>
      <c r="AH650" s="2" t="str">
        <f ca="1"/>
        <v>OK</v>
      </c>
    </row>
    <row r="651" spans="2:34" x14ac:dyDescent="0.2">
      <c r="B651" s="2">
        <f ca="1"/>
        <v>0.27610788943550535</v>
      </c>
      <c r="O651" s="2">
        <f ca="1"/>
        <v>-1.4650520936091487</v>
      </c>
      <c r="X651" s="2">
        <f ca="1"/>
        <v>52.009127266387239</v>
      </c>
      <c r="AG651" s="2">
        <f ca="1"/>
        <v>0.3264081027616621</v>
      </c>
      <c r="AH651" s="2" t="str">
        <f ca="1"/>
        <v>OK</v>
      </c>
    </row>
    <row r="652" spans="2:34" x14ac:dyDescent="0.2">
      <c r="B652" s="2">
        <f ca="1"/>
        <v>0.49416231558445811</v>
      </c>
      <c r="O652" s="2">
        <f ca="1"/>
        <v>0.17776195317351773</v>
      </c>
      <c r="X652" s="2">
        <f ca="1"/>
        <v>47.973398037542772</v>
      </c>
      <c r="AG652" s="2">
        <f ca="1"/>
        <v>0.47017197131589628</v>
      </c>
      <c r="AH652" s="2" t="str">
        <f ca="1"/>
        <v>Bad</v>
      </c>
    </row>
    <row r="653" spans="2:34" x14ac:dyDescent="0.2">
      <c r="B653" s="2">
        <f ca="1"/>
        <v>0.39534856038515964</v>
      </c>
      <c r="O653" s="2">
        <f ca="1"/>
        <v>1.582177584355078</v>
      </c>
      <c r="X653" s="2">
        <f ca="1"/>
        <v>46.034776691374915</v>
      </c>
      <c r="AG653" s="2">
        <f ca="1"/>
        <v>0.7318694807095476</v>
      </c>
      <c r="AH653" s="2" t="str">
        <f ca="1"/>
        <v>Bad</v>
      </c>
    </row>
    <row r="654" spans="2:34" x14ac:dyDescent="0.2">
      <c r="B654" s="2">
        <f ca="1"/>
        <v>0.30190200846962911</v>
      </c>
      <c r="O654" s="2">
        <f ca="1"/>
        <v>0.18340557757052664</v>
      </c>
      <c r="X654" s="2">
        <f ca="1"/>
        <v>28.694413193238031</v>
      </c>
      <c r="AG654" s="2">
        <f ca="1"/>
        <v>0.14696961108839757</v>
      </c>
      <c r="AH654" s="2" t="str">
        <f ca="1"/>
        <v>OK</v>
      </c>
    </row>
    <row r="655" spans="2:34" x14ac:dyDescent="0.2">
      <c r="B655" s="2">
        <f ca="1"/>
        <v>0.81826416496183407</v>
      </c>
      <c r="O655" s="2">
        <f ca="1"/>
        <v>0.24939863818548391</v>
      </c>
      <c r="X655" s="2">
        <f ca="1"/>
        <v>52.068079900995585</v>
      </c>
      <c r="AG655" s="2">
        <f ca="1"/>
        <v>0.9526121556671161</v>
      </c>
      <c r="AH655" s="2" t="str">
        <f ca="1"/>
        <v>Bad</v>
      </c>
    </row>
    <row r="656" spans="2:34" x14ac:dyDescent="0.2">
      <c r="B656" s="2">
        <f ca="1"/>
        <v>0.42135689082374195</v>
      </c>
      <c r="O656" s="2">
        <f ca="1"/>
        <v>0.58008031857495967</v>
      </c>
      <c r="X656" s="2">
        <f ca="1"/>
        <v>44.733963147080829</v>
      </c>
      <c r="AG656" s="2">
        <f ca="1"/>
        <v>0.59211958316984425</v>
      </c>
      <c r="AH656" s="2" t="str">
        <f ca="1"/>
        <v>Bad</v>
      </c>
    </row>
    <row r="657" spans="2:34" x14ac:dyDescent="0.2">
      <c r="B657" s="2">
        <f ca="1"/>
        <v>0.22946832121759786</v>
      </c>
      <c r="O657" s="2">
        <f ca="1"/>
        <v>1.1735731658022142</v>
      </c>
      <c r="X657" s="2">
        <f ca="1"/>
        <v>35.107494099328932</v>
      </c>
      <c r="AG657" s="2">
        <f ca="1"/>
        <v>9.2221153997528171E-2</v>
      </c>
      <c r="AH657" s="2" t="str">
        <f ca="1"/>
        <v>OK</v>
      </c>
    </row>
    <row r="658" spans="2:34" x14ac:dyDescent="0.2">
      <c r="B658" s="2">
        <f ca="1"/>
        <v>0.68335218266912112</v>
      </c>
      <c r="O658" s="2">
        <f ca="1"/>
        <v>-0.55280727608502989</v>
      </c>
      <c r="X658" s="2">
        <f ca="1"/>
        <v>36.585840875632705</v>
      </c>
      <c r="AG658" s="2">
        <f ca="1"/>
        <v>0.96450274069710673</v>
      </c>
      <c r="AH658" s="2" t="str">
        <f ca="1"/>
        <v>Bad</v>
      </c>
    </row>
    <row r="659" spans="2:34" x14ac:dyDescent="0.2">
      <c r="B659" s="2">
        <f ca="1"/>
        <v>0.90506889887408648</v>
      </c>
      <c r="O659" s="2">
        <f ca="1"/>
        <v>-0.3620778393184152</v>
      </c>
      <c r="X659" s="2">
        <f ca="1"/>
        <v>77.198884578428476</v>
      </c>
      <c r="AG659" s="2">
        <f ca="1"/>
        <v>0.60827992306885603</v>
      </c>
      <c r="AH659" s="2" t="str">
        <f ca="1"/>
        <v>Bad</v>
      </c>
    </row>
    <row r="660" spans="2:34" x14ac:dyDescent="0.2">
      <c r="B660" s="2">
        <f ca="1"/>
        <v>0.12066211643434688</v>
      </c>
      <c r="O660" s="2">
        <f ca="1"/>
        <v>-0.80233102002688161</v>
      </c>
      <c r="X660" s="2">
        <f ca="1"/>
        <v>31.122570313034327</v>
      </c>
      <c r="AG660" s="2">
        <f ca="1"/>
        <v>0.9858390893003115</v>
      </c>
      <c r="AH660" s="2" t="str">
        <f ca="1"/>
        <v>Bad</v>
      </c>
    </row>
    <row r="661" spans="2:34" x14ac:dyDescent="0.2">
      <c r="B661" s="2">
        <f ca="1"/>
        <v>0.59016818894120604</v>
      </c>
      <c r="O661" s="2">
        <f ca="1"/>
        <v>0.8358419356082244</v>
      </c>
      <c r="X661" s="2">
        <f ca="1"/>
        <v>49.771151912046804</v>
      </c>
      <c r="AG661" s="2">
        <f ca="1"/>
        <v>0.34208930072668498</v>
      </c>
      <c r="AH661" s="2" t="str">
        <f ca="1"/>
        <v>OK</v>
      </c>
    </row>
    <row r="662" spans="2:34" x14ac:dyDescent="0.2">
      <c r="B662" s="2">
        <f ca="1"/>
        <v>0.98190315299420083</v>
      </c>
      <c r="O662" s="2">
        <f ca="1"/>
        <v>-1.202892628706451</v>
      </c>
      <c r="X662" s="2">
        <f ca="1"/>
        <v>52.089598807659208</v>
      </c>
      <c r="AG662" s="2">
        <f ca="1"/>
        <v>0.27189331016724272</v>
      </c>
      <c r="AH662" s="2" t="str">
        <f ca="1"/>
        <v>OK</v>
      </c>
    </row>
    <row r="663" spans="2:34" x14ac:dyDescent="0.2">
      <c r="B663" s="2">
        <f ca="1"/>
        <v>0.27687213891704809</v>
      </c>
      <c r="O663" s="2">
        <f ca="1"/>
        <v>-0.65682081372022283</v>
      </c>
      <c r="X663" s="2">
        <f ca="1"/>
        <v>60.822436909203645</v>
      </c>
      <c r="AG663" s="2">
        <f ca="1"/>
        <v>0.62013689611061928</v>
      </c>
      <c r="AH663" s="2" t="str">
        <f ca="1"/>
        <v>Bad</v>
      </c>
    </row>
    <row r="664" spans="2:34" x14ac:dyDescent="0.2">
      <c r="B664" s="2">
        <f ca="1"/>
        <v>0.96973915122389376</v>
      </c>
      <c r="O664" s="2">
        <f ca="1"/>
        <v>0.77018211042594154</v>
      </c>
      <c r="X664" s="2">
        <f ca="1"/>
        <v>23.966732162105973</v>
      </c>
      <c r="AG664" s="2">
        <f ca="1"/>
        <v>0.37057922435516777</v>
      </c>
      <c r="AH664" s="2" t="str">
        <f ca="1"/>
        <v>OK</v>
      </c>
    </row>
    <row r="665" spans="2:34" x14ac:dyDescent="0.2">
      <c r="B665" s="2">
        <f ca="1"/>
        <v>0.32946604420927583</v>
      </c>
      <c r="O665" s="2">
        <f ca="1"/>
        <v>0.83406398494155909</v>
      </c>
      <c r="X665" s="2">
        <f ca="1"/>
        <v>44.404961306079464</v>
      </c>
      <c r="AG665" s="2">
        <f ca="1"/>
        <v>4.6561879283318897E-2</v>
      </c>
      <c r="AH665" s="2" t="str">
        <f ca="1"/>
        <v>Good</v>
      </c>
    </row>
    <row r="666" spans="2:34" x14ac:dyDescent="0.2">
      <c r="B666" s="2">
        <f ca="1"/>
        <v>0.42020000678300629</v>
      </c>
      <c r="O666" s="2">
        <f ca="1"/>
        <v>-4.0785147144533204E-3</v>
      </c>
      <c r="X666" s="2">
        <f ca="1"/>
        <v>26.044808122913786</v>
      </c>
      <c r="AG666" s="2">
        <f ca="1"/>
        <v>0.65185744424044767</v>
      </c>
      <c r="AH666" s="2" t="str">
        <f ca="1"/>
        <v>Bad</v>
      </c>
    </row>
    <row r="667" spans="2:34" x14ac:dyDescent="0.2">
      <c r="B667" s="2">
        <f ca="1"/>
        <v>0.53051609976078073</v>
      </c>
      <c r="O667" s="2">
        <f ca="1"/>
        <v>-0.29074444512994108</v>
      </c>
      <c r="X667" s="2">
        <f ca="1"/>
        <v>39.637936792532592</v>
      </c>
      <c r="AG667" s="2">
        <f ca="1"/>
        <v>0.94928093205712116</v>
      </c>
      <c r="AH667" s="2" t="str">
        <f ca="1"/>
        <v>Bad</v>
      </c>
    </row>
    <row r="668" spans="2:34" x14ac:dyDescent="0.2">
      <c r="B668" s="2">
        <f ca="1"/>
        <v>0.37381577240666264</v>
      </c>
      <c r="O668" s="2">
        <f ca="1"/>
        <v>0.23112059132905616</v>
      </c>
      <c r="X668" s="2">
        <f ca="1"/>
        <v>73.779880540734709</v>
      </c>
      <c r="AG668" s="2">
        <f ca="1"/>
        <v>0.31111484707352943</v>
      </c>
      <c r="AH668" s="2" t="str">
        <f ca="1"/>
        <v>OK</v>
      </c>
    </row>
    <row r="669" spans="2:34" x14ac:dyDescent="0.2">
      <c r="B669" s="2">
        <f ca="1"/>
        <v>0.24986451588197833</v>
      </c>
      <c r="O669" s="2">
        <f ca="1"/>
        <v>0.20407239258395307</v>
      </c>
      <c r="X669" s="2">
        <f ca="1"/>
        <v>28.976066467839683</v>
      </c>
      <c r="AG669" s="2">
        <f ca="1"/>
        <v>0.71545920854877498</v>
      </c>
      <c r="AH669" s="2" t="str">
        <f ca="1"/>
        <v>Bad</v>
      </c>
    </row>
    <row r="670" spans="2:34" x14ac:dyDescent="0.2">
      <c r="B670" s="2">
        <f ca="1"/>
        <v>0.49040339862809268</v>
      </c>
      <c r="O670" s="2">
        <f ca="1"/>
        <v>-2.4497928509019928</v>
      </c>
      <c r="X670" s="2">
        <f ca="1"/>
        <v>33.12565078068036</v>
      </c>
      <c r="AG670" s="2">
        <f ca="1"/>
        <v>0.81347080595966736</v>
      </c>
      <c r="AH670" s="2" t="str">
        <f ca="1"/>
        <v>Bad</v>
      </c>
    </row>
    <row r="671" spans="2:34" x14ac:dyDescent="0.2">
      <c r="B671" s="2">
        <f ca="1"/>
        <v>0.80536090166240637</v>
      </c>
      <c r="O671" s="2">
        <f ca="1"/>
        <v>-1.578003422491508</v>
      </c>
      <c r="X671" s="2">
        <f ca="1"/>
        <v>60.488581858233665</v>
      </c>
      <c r="AG671" s="2">
        <f ca="1"/>
        <v>0.45139125310057882</v>
      </c>
      <c r="AH671" s="2" t="str">
        <f ca="1"/>
        <v>Bad</v>
      </c>
    </row>
    <row r="672" spans="2:34" x14ac:dyDescent="0.2">
      <c r="B672" s="2">
        <f ca="1"/>
        <v>0.63247586415074109</v>
      </c>
      <c r="O672" s="2">
        <f ca="1"/>
        <v>1.3357401332886709</v>
      </c>
      <c r="X672" s="2">
        <f ca="1"/>
        <v>55.139791072489032</v>
      </c>
      <c r="AG672" s="2">
        <f ca="1"/>
        <v>0.69957330962662923</v>
      </c>
      <c r="AH672" s="2" t="str">
        <f ca="1"/>
        <v>Bad</v>
      </c>
    </row>
    <row r="673" spans="2:34" x14ac:dyDescent="0.2">
      <c r="B673" s="2">
        <f ca="1"/>
        <v>0.29227032775767547</v>
      </c>
      <c r="O673" s="2">
        <f ca="1"/>
        <v>1.7153905664319544</v>
      </c>
      <c r="X673" s="2">
        <f ca="1"/>
        <v>48.778625213076374</v>
      </c>
      <c r="AG673" s="2">
        <f ca="1"/>
        <v>0.13554740805036891</v>
      </c>
      <c r="AH673" s="2" t="str">
        <f ca="1"/>
        <v>OK</v>
      </c>
    </row>
    <row r="674" spans="2:34" x14ac:dyDescent="0.2">
      <c r="B674" s="2">
        <f ca="1"/>
        <v>0.93508147930525531</v>
      </c>
      <c r="O674" s="2">
        <f ca="1"/>
        <v>-1.5771153991569451</v>
      </c>
      <c r="X674" s="2">
        <f ca="1"/>
        <v>50.966869707917013</v>
      </c>
      <c r="AG674" s="2">
        <f ca="1"/>
        <v>0.87424301398847426</v>
      </c>
      <c r="AH674" s="2" t="str">
        <f ca="1"/>
        <v>Bad</v>
      </c>
    </row>
    <row r="675" spans="2:34" x14ac:dyDescent="0.2">
      <c r="B675" s="2">
        <f ca="1"/>
        <v>5.3402019783525434E-2</v>
      </c>
      <c r="O675" s="2">
        <f ca="1"/>
        <v>-1.4742645935563043</v>
      </c>
      <c r="X675" s="2">
        <f ca="1"/>
        <v>38.098296582700002</v>
      </c>
      <c r="AG675" s="2">
        <f ca="1"/>
        <v>0.7772386044535633</v>
      </c>
      <c r="AH675" s="2" t="str">
        <f ca="1"/>
        <v>Bad</v>
      </c>
    </row>
    <row r="676" spans="2:34" x14ac:dyDescent="0.2">
      <c r="B676" s="2">
        <f ca="1"/>
        <v>0.25234703907853318</v>
      </c>
      <c r="O676" s="2">
        <f ca="1"/>
        <v>-2.7036183781780312</v>
      </c>
      <c r="X676" s="2">
        <f ca="1"/>
        <v>48.786906303242333</v>
      </c>
      <c r="AG676" s="2">
        <f ca="1"/>
        <v>0.8834648214341736</v>
      </c>
      <c r="AH676" s="2" t="str">
        <f ca="1"/>
        <v>Bad</v>
      </c>
    </row>
    <row r="677" spans="2:34" x14ac:dyDescent="0.2">
      <c r="B677" s="2">
        <f ca="1"/>
        <v>0.61232377145769323</v>
      </c>
      <c r="O677" s="2">
        <f ca="1"/>
        <v>-0.89332991933505745</v>
      </c>
      <c r="X677" s="2">
        <f ca="1"/>
        <v>27.590191239418068</v>
      </c>
      <c r="AG677" s="2">
        <f ca="1"/>
        <v>0.62425642589962216</v>
      </c>
      <c r="AH677" s="2" t="str">
        <f ca="1"/>
        <v>Bad</v>
      </c>
    </row>
    <row r="678" spans="2:34" x14ac:dyDescent="0.2">
      <c r="B678" s="2">
        <f ca="1"/>
        <v>0.96816129172714649</v>
      </c>
      <c r="O678" s="2">
        <f ca="1"/>
        <v>-0.12710512856233797</v>
      </c>
      <c r="X678" s="2">
        <f ca="1"/>
        <v>57.800881886048892</v>
      </c>
      <c r="AG678" s="2">
        <f ca="1"/>
        <v>0.33082696884774165</v>
      </c>
      <c r="AH678" s="2" t="str">
        <f ca="1"/>
        <v>OK</v>
      </c>
    </row>
    <row r="679" spans="2:34" x14ac:dyDescent="0.2">
      <c r="B679" s="2">
        <f ca="1"/>
        <v>0.41641845005273748</v>
      </c>
      <c r="O679" s="2">
        <f ca="1"/>
        <v>1.072193120952271</v>
      </c>
      <c r="X679" s="2">
        <f ca="1"/>
        <v>35.2972305055536</v>
      </c>
      <c r="AG679" s="2">
        <f ca="1"/>
        <v>0.44382707086579276</v>
      </c>
      <c r="AH679" s="2" t="str">
        <f ca="1"/>
        <v>Bad</v>
      </c>
    </row>
    <row r="680" spans="2:34" x14ac:dyDescent="0.2">
      <c r="B680" s="2">
        <f ca="1"/>
        <v>0.95209190980447023</v>
      </c>
      <c r="O680" s="2">
        <f ca="1"/>
        <v>7.6379708066420818E-2</v>
      </c>
      <c r="X680" s="2">
        <f ca="1"/>
        <v>29.731732935904102</v>
      </c>
      <c r="AG680" s="2">
        <f ca="1"/>
        <v>0.32366338055952881</v>
      </c>
      <c r="AH680" s="2" t="str">
        <f ca="1"/>
        <v>OK</v>
      </c>
    </row>
    <row r="681" spans="2:34" x14ac:dyDescent="0.2">
      <c r="B681" s="2">
        <f ca="1"/>
        <v>0.14460149307284942</v>
      </c>
      <c r="O681" s="2">
        <f ca="1"/>
        <v>-0.31869303970610591</v>
      </c>
      <c r="X681" s="2">
        <f ca="1"/>
        <v>34.290037814468512</v>
      </c>
      <c r="AG681" s="2">
        <f ca="1"/>
        <v>0.61491340782664961</v>
      </c>
      <c r="AH681" s="2" t="str">
        <f ca="1"/>
        <v>Bad</v>
      </c>
    </row>
    <row r="682" spans="2:34" x14ac:dyDescent="0.2">
      <c r="B682" s="2">
        <f ca="1"/>
        <v>0.18678213773636054</v>
      </c>
      <c r="O682" s="2">
        <f ca="1"/>
        <v>-2.0242824627632867</v>
      </c>
      <c r="X682" s="2">
        <f ca="1"/>
        <v>36.482117952580417</v>
      </c>
      <c r="AG682" s="2">
        <f ca="1"/>
        <v>0.28852975549313342</v>
      </c>
      <c r="AH682" s="2" t="str">
        <f ca="1"/>
        <v>OK</v>
      </c>
    </row>
    <row r="683" spans="2:34" x14ac:dyDescent="0.2">
      <c r="B683" s="2">
        <f ca="1"/>
        <v>2.8257529296076944E-2</v>
      </c>
      <c r="O683" s="2">
        <f ca="1"/>
        <v>0.37710185806231133</v>
      </c>
      <c r="X683" s="2">
        <f ca="1"/>
        <v>50.770729600805211</v>
      </c>
      <c r="AG683" s="2">
        <f ca="1"/>
        <v>0.75011224499814766</v>
      </c>
      <c r="AH683" s="2" t="str">
        <f ca="1"/>
        <v>Bad</v>
      </c>
    </row>
    <row r="684" spans="2:34" x14ac:dyDescent="0.2">
      <c r="B684" s="2">
        <f ca="1"/>
        <v>5.6498540976049005E-2</v>
      </c>
      <c r="O684" s="2">
        <f ca="1"/>
        <v>2.590460441457807</v>
      </c>
      <c r="X684" s="2">
        <f ca="1"/>
        <v>67.729141234924825</v>
      </c>
      <c r="AG684" s="2">
        <f ca="1"/>
        <v>4.4122741152126554E-2</v>
      </c>
      <c r="AH684" s="2" t="str">
        <f ca="1"/>
        <v>Good</v>
      </c>
    </row>
    <row r="685" spans="2:34" x14ac:dyDescent="0.2">
      <c r="B685" s="2">
        <f ca="1"/>
        <v>0.69723555117323377</v>
      </c>
      <c r="O685" s="2">
        <f ca="1"/>
        <v>-0.8221902938744583</v>
      </c>
      <c r="X685" s="2">
        <f ca="1"/>
        <v>53.691460908573482</v>
      </c>
      <c r="AG685" s="2">
        <f ca="1"/>
        <v>0.93282679497294185</v>
      </c>
      <c r="AH685" s="2" t="str">
        <f ca="1"/>
        <v>Bad</v>
      </c>
    </row>
    <row r="686" spans="2:34" x14ac:dyDescent="0.2">
      <c r="B686" s="2">
        <f ca="1"/>
        <v>0.92810787441156362</v>
      </c>
      <c r="O686" s="2">
        <f ca="1"/>
        <v>0.3248996547427353</v>
      </c>
      <c r="X686" s="2">
        <f ca="1"/>
        <v>47.06592602707434</v>
      </c>
      <c r="AG686" s="2">
        <f ca="1"/>
        <v>0.36066228714104276</v>
      </c>
      <c r="AH686" s="2" t="str">
        <f ca="1"/>
        <v>OK</v>
      </c>
    </row>
    <row r="687" spans="2:34" x14ac:dyDescent="0.2">
      <c r="B687" s="2">
        <f ca="1"/>
        <v>0.93100159054093301</v>
      </c>
      <c r="O687" s="2">
        <f ca="1"/>
        <v>-0.26255917236436088</v>
      </c>
      <c r="X687" s="2">
        <f ca="1"/>
        <v>41.002009743464612</v>
      </c>
      <c r="AG687" s="2">
        <f ca="1"/>
        <v>8.7929380617474795E-2</v>
      </c>
      <c r="AH687" s="2" t="str">
        <f ca="1"/>
        <v>OK</v>
      </c>
    </row>
    <row r="688" spans="2:34" x14ac:dyDescent="0.2">
      <c r="B688" s="2">
        <f ca="1"/>
        <v>0.68878677480996675</v>
      </c>
      <c r="O688" s="2">
        <f ca="1"/>
        <v>1.2330966349074328</v>
      </c>
      <c r="X688" s="2">
        <f ca="1"/>
        <v>44.591919488905333</v>
      </c>
      <c r="AG688" s="2">
        <f ca="1"/>
        <v>0.38107683481758681</v>
      </c>
      <c r="AH688" s="2" t="str">
        <f ca="1"/>
        <v>OK</v>
      </c>
    </row>
    <row r="689" spans="2:34" x14ac:dyDescent="0.2">
      <c r="B689" s="2">
        <f ca="1"/>
        <v>0.94034401414421698</v>
      </c>
      <c r="O689" s="2">
        <f ca="1"/>
        <v>1.3909285756336287</v>
      </c>
      <c r="X689" s="2">
        <f ca="1"/>
        <v>38.531718190308297</v>
      </c>
      <c r="AG689" s="2">
        <f ca="1"/>
        <v>0.71899412067545598</v>
      </c>
      <c r="AH689" s="2" t="str">
        <f ca="1"/>
        <v>Bad</v>
      </c>
    </row>
    <row r="690" spans="2:34" x14ac:dyDescent="0.2">
      <c r="B690" s="2">
        <f ca="1"/>
        <v>0.39457089963791181</v>
      </c>
      <c r="O690" s="2">
        <f ca="1"/>
        <v>0.10588798266049849</v>
      </c>
      <c r="X690" s="2">
        <f ca="1"/>
        <v>30.365074807505657</v>
      </c>
      <c r="AG690" s="2">
        <f ca="1"/>
        <v>0.44145561388586541</v>
      </c>
      <c r="AH690" s="2" t="str">
        <f ca="1"/>
        <v>Bad</v>
      </c>
    </row>
    <row r="691" spans="2:34" x14ac:dyDescent="0.2">
      <c r="B691" s="2">
        <f ca="1"/>
        <v>0.3526727577863551</v>
      </c>
      <c r="O691" s="2">
        <f ca="1"/>
        <v>0.64738253080809771</v>
      </c>
      <c r="X691" s="2">
        <f ca="1"/>
        <v>42.683203630826569</v>
      </c>
      <c r="AG691" s="2">
        <f ca="1"/>
        <v>6.9373716583067013E-2</v>
      </c>
      <c r="AH691" s="2" t="str">
        <f ca="1"/>
        <v>OK</v>
      </c>
    </row>
    <row r="692" spans="2:34" x14ac:dyDescent="0.2">
      <c r="B692" s="2">
        <f ca="1"/>
        <v>0.7619527756409914</v>
      </c>
      <c r="O692" s="2">
        <f ca="1"/>
        <v>0.2346711389264293</v>
      </c>
      <c r="X692" s="2">
        <f ca="1"/>
        <v>44.709211381635058</v>
      </c>
      <c r="AG692" s="2">
        <f ca="1"/>
        <v>0.9525518156759698</v>
      </c>
      <c r="AH692" s="2" t="str">
        <f ca="1"/>
        <v>Bad</v>
      </c>
    </row>
    <row r="693" spans="2:34" x14ac:dyDescent="0.2">
      <c r="B693" s="2">
        <f ca="1"/>
        <v>0.71778209108657354</v>
      </c>
      <c r="O693" s="2">
        <f ca="1"/>
        <v>0.61909615922995564</v>
      </c>
      <c r="X693" s="2">
        <f ca="1"/>
        <v>51.088554333576361</v>
      </c>
      <c r="AG693" s="2">
        <f ca="1"/>
        <v>0.50324236053082516</v>
      </c>
      <c r="AH693" s="2" t="str">
        <f ca="1"/>
        <v>Bad</v>
      </c>
    </row>
    <row r="694" spans="2:34" x14ac:dyDescent="0.2">
      <c r="B694" s="2">
        <f ca="1"/>
        <v>0.22856196613906787</v>
      </c>
      <c r="O694" s="2">
        <f ca="1"/>
        <v>1.875054611569432</v>
      </c>
      <c r="X694" s="2">
        <f ca="1"/>
        <v>24.485717990546348</v>
      </c>
      <c r="AG694" s="2">
        <f ca="1"/>
        <v>0.4812550220009626</v>
      </c>
      <c r="AH694" s="2" t="str">
        <f ca="1"/>
        <v>Bad</v>
      </c>
    </row>
    <row r="695" spans="2:34" x14ac:dyDescent="0.2">
      <c r="B695" s="2">
        <f ca="1"/>
        <v>0.3264114631378674</v>
      </c>
      <c r="O695" s="2">
        <f ca="1"/>
        <v>1.239051715603839</v>
      </c>
      <c r="X695" s="2">
        <f ca="1"/>
        <v>69.117802169594555</v>
      </c>
      <c r="AG695" s="2">
        <f ca="1"/>
        <v>0.15700073453919505</v>
      </c>
      <c r="AH695" s="2" t="str">
        <f ca="1"/>
        <v>OK</v>
      </c>
    </row>
    <row r="696" spans="2:34" x14ac:dyDescent="0.2">
      <c r="B696" s="2">
        <f ca="1"/>
        <v>0.25283752904005619</v>
      </c>
      <c r="O696" s="2">
        <f ca="1"/>
        <v>0.81695307648908544</v>
      </c>
      <c r="X696" s="2">
        <f ca="1"/>
        <v>47.555301670910978</v>
      </c>
      <c r="AG696" s="2">
        <f ca="1"/>
        <v>1.1132679187269012E-2</v>
      </c>
      <c r="AH696" s="2" t="str">
        <f ca="1"/>
        <v>Good</v>
      </c>
    </row>
    <row r="697" spans="2:34" x14ac:dyDescent="0.2">
      <c r="B697" s="2">
        <f ca="1"/>
        <v>3.8071951497363754E-2</v>
      </c>
      <c r="O697" s="2">
        <f ca="1"/>
        <v>0.61956048150926568</v>
      </c>
      <c r="X697" s="2">
        <f ca="1"/>
        <v>27.015556865335792</v>
      </c>
      <c r="AG697" s="2">
        <f ca="1"/>
        <v>0.56456764178322683</v>
      </c>
      <c r="AH697" s="2" t="str">
        <f ca="1"/>
        <v>Bad</v>
      </c>
    </row>
    <row r="698" spans="2:34" x14ac:dyDescent="0.2">
      <c r="B698" s="2">
        <f ca="1"/>
        <v>0.23116319857993695</v>
      </c>
      <c r="O698" s="2">
        <f ca="1"/>
        <v>-5.7967299374287726E-2</v>
      </c>
      <c r="X698" s="2">
        <f ca="1"/>
        <v>26.829756524515975</v>
      </c>
      <c r="AG698" s="2">
        <f ca="1"/>
        <v>0.43508249589248105</v>
      </c>
      <c r="AH698" s="2" t="str">
        <f ca="1"/>
        <v>Bad</v>
      </c>
    </row>
    <row r="699" spans="2:34" x14ac:dyDescent="0.2">
      <c r="B699" s="2">
        <f ca="1"/>
        <v>0.19622992244198301</v>
      </c>
      <c r="O699" s="2">
        <f ca="1"/>
        <v>-1.7806593754208893</v>
      </c>
      <c r="X699" s="2">
        <f ca="1"/>
        <v>65.240436132828961</v>
      </c>
      <c r="AG699" s="2">
        <f ca="1"/>
        <v>0.14078656589349947</v>
      </c>
      <c r="AH699" s="2" t="str">
        <f ca="1"/>
        <v>OK</v>
      </c>
    </row>
    <row r="700" spans="2:34" x14ac:dyDescent="0.2">
      <c r="B700" s="2">
        <f ca="1"/>
        <v>0.58053007114217459</v>
      </c>
      <c r="O700" s="2">
        <f ca="1"/>
        <v>0.18316384470684619</v>
      </c>
      <c r="X700" s="2">
        <f ca="1"/>
        <v>52.247600898187407</v>
      </c>
      <c r="AG700" s="2">
        <f ca="1"/>
        <v>0.92013168090730479</v>
      </c>
      <c r="AH700" s="2" t="str">
        <f ca="1"/>
        <v>Bad</v>
      </c>
    </row>
    <row r="701" spans="2:34" x14ac:dyDescent="0.2">
      <c r="B701" s="2">
        <f ca="1"/>
        <v>0.91237853371495659</v>
      </c>
      <c r="O701" s="2">
        <f ca="1"/>
        <v>0.94161730274118205</v>
      </c>
      <c r="X701" s="2">
        <f ca="1"/>
        <v>45.735372908382672</v>
      </c>
      <c r="AG701" s="2">
        <f ca="1"/>
        <v>0.56551445869987216</v>
      </c>
      <c r="AH701" s="2" t="str">
        <f ca="1"/>
        <v>Bad</v>
      </c>
    </row>
    <row r="702" spans="2:34" x14ac:dyDescent="0.2">
      <c r="B702" s="2">
        <f ca="1"/>
        <v>0.44508259635674485</v>
      </c>
      <c r="O702" s="2">
        <f ca="1"/>
        <v>-1.8300884453441006</v>
      </c>
      <c r="X702" s="2">
        <f ca="1"/>
        <v>23.845121039417677</v>
      </c>
      <c r="AG702" s="2">
        <f ca="1"/>
        <v>0.42579959773415554</v>
      </c>
      <c r="AH702" s="2" t="str">
        <f ca="1"/>
        <v>Bad</v>
      </c>
    </row>
    <row r="703" spans="2:34" x14ac:dyDescent="0.2">
      <c r="B703" s="2">
        <f ca="1"/>
        <v>0.40466587511048857</v>
      </c>
      <c r="O703" s="2">
        <f ca="1"/>
        <v>0.14682102757728752</v>
      </c>
      <c r="X703" s="2">
        <f ca="1"/>
        <v>54.13068992491808</v>
      </c>
      <c r="AG703" s="2">
        <f ca="1"/>
        <v>5.2114382573454021E-2</v>
      </c>
      <c r="AH703" s="2" t="str">
        <f ca="1"/>
        <v>OK</v>
      </c>
    </row>
    <row r="704" spans="2:34" x14ac:dyDescent="0.2">
      <c r="B704" s="2">
        <f ca="1"/>
        <v>0.77378113368663293</v>
      </c>
      <c r="O704" s="2">
        <f ca="1"/>
        <v>1.0203088025520493</v>
      </c>
      <c r="X704" s="2">
        <f ca="1"/>
        <v>55.553587378970974</v>
      </c>
      <c r="AG704" s="2">
        <f ca="1"/>
        <v>0.59182810610605152</v>
      </c>
      <c r="AH704" s="2" t="str">
        <f ca="1"/>
        <v>Bad</v>
      </c>
    </row>
    <row r="705" spans="2:34" x14ac:dyDescent="0.2">
      <c r="B705" s="2">
        <f ca="1"/>
        <v>0.41527989790344688</v>
      </c>
      <c r="O705" s="2">
        <f ca="1"/>
        <v>-0.15236064044516029</v>
      </c>
      <c r="X705" s="2">
        <f ca="1"/>
        <v>41.564778378739355</v>
      </c>
      <c r="AG705" s="2">
        <f ca="1"/>
        <v>0.46659228489916105</v>
      </c>
      <c r="AH705" s="2" t="str">
        <f ca="1"/>
        <v>Bad</v>
      </c>
    </row>
    <row r="706" spans="2:34" x14ac:dyDescent="0.2">
      <c r="B706" s="2">
        <f ca="1"/>
        <v>0.78033700146847007</v>
      </c>
      <c r="O706" s="2">
        <f ca="1"/>
        <v>0.14506985665880459</v>
      </c>
      <c r="X706" s="2">
        <f ca="1"/>
        <v>34.234676300834458</v>
      </c>
      <c r="AG706" s="2">
        <f ca="1"/>
        <v>0.53514428980530226</v>
      </c>
      <c r="AH706" s="2" t="str">
        <f ca="1"/>
        <v>Bad</v>
      </c>
    </row>
    <row r="707" spans="2:34" x14ac:dyDescent="0.2">
      <c r="B707" s="2">
        <f ca="1"/>
        <v>1.8771506019562345E-2</v>
      </c>
      <c r="O707" s="2">
        <f ca="1"/>
        <v>-1.1994079047277137</v>
      </c>
      <c r="X707" s="2">
        <f ca="1"/>
        <v>29.223947742930424</v>
      </c>
      <c r="AG707" s="2">
        <f ca="1"/>
        <v>0.24463272660343849</v>
      </c>
      <c r="AH707" s="2" t="str">
        <f ca="1"/>
        <v>OK</v>
      </c>
    </row>
    <row r="708" spans="2:34" x14ac:dyDescent="0.2">
      <c r="B708" s="2">
        <f ca="1"/>
        <v>0.7781199729549344</v>
      </c>
      <c r="O708" s="2">
        <f ca="1"/>
        <v>0.68758667370378446</v>
      </c>
      <c r="X708" s="2">
        <f ca="1"/>
        <v>50.207263271579698</v>
      </c>
      <c r="AG708" s="2">
        <f ca="1"/>
        <v>0.48099011948910486</v>
      </c>
      <c r="AH708" s="2" t="str">
        <f ca="1"/>
        <v>Bad</v>
      </c>
    </row>
    <row r="709" spans="2:34" x14ac:dyDescent="0.2">
      <c r="B709" s="2">
        <f ca="1"/>
        <v>0.92270152281751328</v>
      </c>
      <c r="O709" s="2">
        <f ca="1"/>
        <v>0.91214694981745525</v>
      </c>
      <c r="X709" s="2">
        <f ca="1"/>
        <v>51.047479609710457</v>
      </c>
      <c r="AG709" s="2">
        <f ca="1"/>
        <v>0.4882524857462931</v>
      </c>
      <c r="AH709" s="2" t="str">
        <f ca="1"/>
        <v>Bad</v>
      </c>
    </row>
    <row r="710" spans="2:34" x14ac:dyDescent="0.2">
      <c r="B710" s="2">
        <f ca="1"/>
        <v>0.17105638163129244</v>
      </c>
      <c r="O710" s="2">
        <f ca="1"/>
        <v>-0.87876874425374751</v>
      </c>
      <c r="X710" s="2">
        <f ca="1"/>
        <v>21.460127117698434</v>
      </c>
      <c r="AG710" s="2">
        <f ca="1"/>
        <v>0.3461538958447119</v>
      </c>
      <c r="AH710" s="2" t="str">
        <f ca="1"/>
        <v>OK</v>
      </c>
    </row>
    <row r="711" spans="2:34" x14ac:dyDescent="0.2">
      <c r="B711" s="2">
        <f ca="1"/>
        <v>0.22175428632668681</v>
      </c>
      <c r="O711" s="2">
        <f ca="1"/>
        <v>-2.0532716316645598</v>
      </c>
      <c r="X711" s="2">
        <f ca="1"/>
        <v>38.978151767819142</v>
      </c>
      <c r="AG711" s="2">
        <f ca="1"/>
        <v>0.71469611812321054</v>
      </c>
      <c r="AH711" s="2" t="str">
        <f ca="1"/>
        <v>Bad</v>
      </c>
    </row>
    <row r="712" spans="2:34" x14ac:dyDescent="0.2">
      <c r="B712" s="2">
        <f ca="1"/>
        <v>6.0819047974549401E-2</v>
      </c>
      <c r="O712" s="2">
        <f ca="1"/>
        <v>-0.21820841436273503</v>
      </c>
      <c r="X712" s="2">
        <f ca="1"/>
        <v>48.910886796552397</v>
      </c>
      <c r="AG712" s="2">
        <f ca="1"/>
        <v>0.36528024434456041</v>
      </c>
      <c r="AH712" s="2" t="str">
        <f ca="1"/>
        <v>OK</v>
      </c>
    </row>
    <row r="713" spans="2:34" x14ac:dyDescent="0.2">
      <c r="B713" s="2">
        <f ca="1"/>
        <v>0.2433683109779301</v>
      </c>
      <c r="O713" s="2">
        <f ca="1"/>
        <v>-0.22691619912791361</v>
      </c>
      <c r="X713" s="2">
        <f ca="1"/>
        <v>44.919675178152843</v>
      </c>
      <c r="AG713" s="2">
        <f ca="1"/>
        <v>0.61131835543421564</v>
      </c>
      <c r="AH713" s="2" t="str">
        <f ca="1"/>
        <v>Bad</v>
      </c>
    </row>
    <row r="714" spans="2:34" x14ac:dyDescent="0.2">
      <c r="B714" s="2">
        <f ca="1"/>
        <v>0.37620857600137692</v>
      </c>
      <c r="O714" s="2">
        <f ca="1"/>
        <v>0.93473760688613616</v>
      </c>
      <c r="X714" s="2">
        <f ca="1"/>
        <v>36.974262961833382</v>
      </c>
      <c r="AG714" s="2">
        <f ca="1"/>
        <v>0.65103640086458903</v>
      </c>
      <c r="AH714" s="2" t="str">
        <f ca="1"/>
        <v>Bad</v>
      </c>
    </row>
    <row r="715" spans="2:34" x14ac:dyDescent="0.2">
      <c r="B715" s="2">
        <f ca="1"/>
        <v>0.37959623483243088</v>
      </c>
      <c r="O715" s="2">
        <f ca="1"/>
        <v>0.3562208592744992</v>
      </c>
      <c r="X715" s="2">
        <f ca="1"/>
        <v>38.162316289495479</v>
      </c>
      <c r="AG715" s="2">
        <f ca="1"/>
        <v>0.3766127032706541</v>
      </c>
      <c r="AH715" s="2" t="str">
        <f ca="1"/>
        <v>OK</v>
      </c>
    </row>
    <row r="716" spans="2:34" x14ac:dyDescent="0.2">
      <c r="B716" s="2">
        <f ca="1"/>
        <v>9.3415419363615415E-2</v>
      </c>
      <c r="O716" s="2">
        <f ca="1"/>
        <v>6.3985353795100834E-3</v>
      </c>
      <c r="X716" s="2">
        <f ca="1"/>
        <v>56.230654165619292</v>
      </c>
      <c r="AG716" s="2">
        <f ca="1"/>
        <v>6.3000910588155046E-2</v>
      </c>
      <c r="AH716" s="2" t="str">
        <f ca="1"/>
        <v>OK</v>
      </c>
    </row>
    <row r="717" spans="2:34" x14ac:dyDescent="0.2">
      <c r="B717" s="2">
        <f ca="1"/>
        <v>0.43316113725006566</v>
      </c>
      <c r="O717" s="2">
        <f ca="1"/>
        <v>-0.16320955326652553</v>
      </c>
      <c r="X717" s="2">
        <f ca="1"/>
        <v>27.729399494258239</v>
      </c>
      <c r="AG717" s="2">
        <f ca="1"/>
        <v>0.18061954182718143</v>
      </c>
      <c r="AH717" s="2" t="str">
        <f ca="1"/>
        <v>OK</v>
      </c>
    </row>
    <row r="718" spans="2:34" x14ac:dyDescent="0.2">
      <c r="B718" s="2">
        <f ca="1"/>
        <v>0.64885917670957372</v>
      </c>
      <c r="O718" s="2">
        <f ca="1"/>
        <v>0.13696311016287915</v>
      </c>
      <c r="X718" s="2">
        <f ca="1"/>
        <v>41.885398453779828</v>
      </c>
      <c r="AG718" s="2">
        <f ca="1"/>
        <v>0.9870316666221346</v>
      </c>
      <c r="AH718" s="2" t="str">
        <f ca="1"/>
        <v>Bad</v>
      </c>
    </row>
    <row r="719" spans="2:34" x14ac:dyDescent="0.2">
      <c r="B719" s="2">
        <f ca="1"/>
        <v>0.56151365660660191</v>
      </c>
      <c r="O719" s="2">
        <f ca="1"/>
        <v>-0.56156539313997766</v>
      </c>
      <c r="X719" s="2">
        <f ca="1"/>
        <v>51.548366581180012</v>
      </c>
      <c r="AG719" s="2">
        <f ca="1"/>
        <v>0.49998061252790715</v>
      </c>
      <c r="AH719" s="2" t="str">
        <f ca="1"/>
        <v>Bad</v>
      </c>
    </row>
    <row r="720" spans="2:34" x14ac:dyDescent="0.2">
      <c r="B720" s="2">
        <f ca="1"/>
        <v>0.3909108499536047</v>
      </c>
      <c r="O720" s="2">
        <f ca="1"/>
        <v>-0.44584146775433564</v>
      </c>
      <c r="X720" s="2">
        <f ca="1"/>
        <v>41.263921677920045</v>
      </c>
      <c r="AG720" s="2">
        <f ca="1"/>
        <v>2.2807865623328816E-2</v>
      </c>
      <c r="AH720" s="2" t="str">
        <f ca="1"/>
        <v>Good</v>
      </c>
    </row>
    <row r="721" spans="2:34" x14ac:dyDescent="0.2">
      <c r="B721" s="2">
        <f ca="1"/>
        <v>0.75626312126455697</v>
      </c>
      <c r="O721" s="2">
        <f ca="1"/>
        <v>-0.32349811998896272</v>
      </c>
      <c r="X721" s="2">
        <f ca="1"/>
        <v>48.644620013945506</v>
      </c>
      <c r="AG721" s="2">
        <f ca="1"/>
        <v>0.39525148020144174</v>
      </c>
      <c r="AH721" s="2" t="str">
        <f ca="1"/>
        <v>OK</v>
      </c>
    </row>
    <row r="722" spans="2:34" x14ac:dyDescent="0.2">
      <c r="B722" s="2">
        <f ca="1"/>
        <v>0.13813720711260657</v>
      </c>
      <c r="O722" s="2">
        <f ca="1"/>
        <v>-1.6007653907736898</v>
      </c>
      <c r="X722" s="2">
        <f ca="1"/>
        <v>48.635019828356434</v>
      </c>
      <c r="AG722" s="2">
        <f ca="1"/>
        <v>0.25600705565084558</v>
      </c>
      <c r="AH722" s="2" t="str">
        <f ca="1"/>
        <v>OK</v>
      </c>
    </row>
    <row r="723" spans="2:34" x14ac:dyDescent="0.2">
      <c r="B723" s="2">
        <f ca="1"/>
        <v>0.46504989566294541</v>
      </c>
      <c r="O723" s="2">
        <f ca="1"/>
        <v>1.1551781688635059</v>
      </c>
      <c r="X723" s="2">
        <f ca="1"/>
        <v>32.704491431069485</v>
      </c>
      <c r="AG723" s="2">
        <f ca="1"/>
        <v>6.6536505430321746E-2</v>
      </c>
      <c r="AH723" s="2" t="str">
        <f ca="1"/>
        <v>OK</v>
      </c>
    </row>
    <row r="724" spans="2:34" x14ac:dyDescent="0.2">
      <c r="B724" s="2">
        <f ca="1"/>
        <v>0.15350621932725961</v>
      </c>
      <c r="O724" s="2">
        <f ca="1"/>
        <v>-0.71773241673406518</v>
      </c>
      <c r="X724" s="2">
        <f ca="1"/>
        <v>47.634242933250675</v>
      </c>
      <c r="AG724" s="2">
        <f ca="1"/>
        <v>0.72213834756029827</v>
      </c>
      <c r="AH724" s="2" t="str">
        <f ca="1"/>
        <v>Bad</v>
      </c>
    </row>
    <row r="725" spans="2:34" x14ac:dyDescent="0.2">
      <c r="B725" s="2">
        <f ca="1"/>
        <v>0.83770651260860562</v>
      </c>
      <c r="O725" s="2">
        <f ca="1"/>
        <v>-7.8294980707643916E-2</v>
      </c>
      <c r="X725" s="2">
        <f ca="1"/>
        <v>67.906662459822428</v>
      </c>
      <c r="AG725" s="2">
        <f ca="1"/>
        <v>0.86941637775530767</v>
      </c>
      <c r="AH725" s="2" t="str">
        <f ca="1"/>
        <v>Bad</v>
      </c>
    </row>
    <row r="726" spans="2:34" x14ac:dyDescent="0.2">
      <c r="B726" s="2">
        <f ca="1"/>
        <v>0.64689439573126628</v>
      </c>
      <c r="O726" s="2">
        <f ca="1"/>
        <v>-0.10028528628654416</v>
      </c>
      <c r="X726" s="2">
        <f ca="1"/>
        <v>53.705881909552751</v>
      </c>
      <c r="AG726" s="2">
        <f ca="1"/>
        <v>0.10779549881344108</v>
      </c>
      <c r="AH726" s="2" t="str">
        <f ca="1"/>
        <v>OK</v>
      </c>
    </row>
    <row r="727" spans="2:34" x14ac:dyDescent="0.2">
      <c r="B727" s="2">
        <f ca="1"/>
        <v>0.69009535348667361</v>
      </c>
      <c r="O727" s="2">
        <f ca="1"/>
        <v>0.15731809069184552</v>
      </c>
      <c r="X727" s="2">
        <f ca="1"/>
        <v>47.202958488614343</v>
      </c>
      <c r="AG727" s="2">
        <f ca="1"/>
        <v>0.76566237163158446</v>
      </c>
      <c r="AH727" s="2" t="str">
        <f ca="1"/>
        <v>Bad</v>
      </c>
    </row>
    <row r="728" spans="2:34" x14ac:dyDescent="0.2">
      <c r="B728" s="2">
        <f ca="1"/>
        <v>0.86418807563692401</v>
      </c>
      <c r="O728" s="2">
        <f ca="1"/>
        <v>0.75145347281482544</v>
      </c>
      <c r="X728" s="2">
        <f ca="1"/>
        <v>40.361860094766371</v>
      </c>
      <c r="AG728" s="2">
        <f ca="1"/>
        <v>0.70344634564467712</v>
      </c>
      <c r="AH728" s="2" t="str">
        <f ca="1"/>
        <v>Bad</v>
      </c>
    </row>
    <row r="729" spans="2:34" x14ac:dyDescent="0.2">
      <c r="B729" s="2">
        <f ca="1"/>
        <v>9.0467107540624481E-2</v>
      </c>
      <c r="O729" s="2">
        <f ca="1"/>
        <v>-0.51607393464151152</v>
      </c>
      <c r="X729" s="2">
        <f ca="1"/>
        <v>40.906948578310761</v>
      </c>
      <c r="AG729" s="2">
        <f ca="1"/>
        <v>7.7511633186186035E-2</v>
      </c>
      <c r="AH729" s="2" t="str">
        <f ca="1"/>
        <v>OK</v>
      </c>
    </row>
    <row r="730" spans="2:34" x14ac:dyDescent="0.2">
      <c r="B730" s="2">
        <f ca="1"/>
        <v>0.42343758893132866</v>
      </c>
      <c r="O730" s="2">
        <f ca="1"/>
        <v>-0.61696371052362597</v>
      </c>
      <c r="X730" s="2">
        <f ca="1"/>
        <v>81.101917560480544</v>
      </c>
      <c r="AG730" s="2">
        <f ca="1"/>
        <v>0.16468776612264424</v>
      </c>
      <c r="AH730" s="2" t="str">
        <f ca="1"/>
        <v>OK</v>
      </c>
    </row>
    <row r="731" spans="2:34" x14ac:dyDescent="0.2">
      <c r="B731" s="2">
        <f ca="1"/>
        <v>2.2560420650606483E-2</v>
      </c>
      <c r="O731" s="2">
        <f ca="1"/>
        <v>1.0511355623302787</v>
      </c>
      <c r="X731" s="2">
        <f ca="1"/>
        <v>62.52483249066082</v>
      </c>
      <c r="AG731" s="2">
        <f ca="1"/>
        <v>0.73951695416560725</v>
      </c>
      <c r="AH731" s="2" t="str">
        <f ca="1"/>
        <v>Bad</v>
      </c>
    </row>
    <row r="732" spans="2:34" x14ac:dyDescent="0.2">
      <c r="B732" s="2">
        <f ca="1"/>
        <v>0.47685198222884595</v>
      </c>
      <c r="O732" s="2">
        <f ca="1"/>
        <v>0.94339909313971715</v>
      </c>
      <c r="X732" s="2">
        <f ca="1"/>
        <v>55.625939951073249</v>
      </c>
      <c r="AG732" s="2">
        <f ca="1"/>
        <v>0.21673910549612585</v>
      </c>
      <c r="AH732" s="2" t="str">
        <f ca="1"/>
        <v>OK</v>
      </c>
    </row>
    <row r="733" spans="2:34" x14ac:dyDescent="0.2">
      <c r="B733" s="2">
        <f ca="1"/>
        <v>0.48007135535124656</v>
      </c>
      <c r="O733" s="2">
        <f ca="1"/>
        <v>0.77062175152172785</v>
      </c>
      <c r="X733" s="2">
        <f ca="1"/>
        <v>42.496036419119903</v>
      </c>
      <c r="AG733" s="2">
        <f ca="1"/>
        <v>0.30861479208493492</v>
      </c>
      <c r="AH733" s="2" t="str">
        <f ca="1"/>
        <v>OK</v>
      </c>
    </row>
    <row r="734" spans="2:34" x14ac:dyDescent="0.2">
      <c r="B734" s="2">
        <f ca="1"/>
        <v>0.20781781277421496</v>
      </c>
      <c r="O734" s="2">
        <f ca="1"/>
        <v>0.48695919050550129</v>
      </c>
      <c r="X734" s="2">
        <f ca="1"/>
        <v>66.535966637659243</v>
      </c>
      <c r="AG734" s="2">
        <f ca="1"/>
        <v>0.24023734536190244</v>
      </c>
      <c r="AH734" s="2" t="str">
        <f ca="1"/>
        <v>OK</v>
      </c>
    </row>
    <row r="735" spans="2:34" x14ac:dyDescent="0.2">
      <c r="B735" s="2">
        <f ca="1"/>
        <v>0.89943043494134201</v>
      </c>
      <c r="O735" s="2">
        <f ca="1"/>
        <v>0.71504537032302573</v>
      </c>
      <c r="X735" s="2">
        <f ca="1"/>
        <v>77.938176058301011</v>
      </c>
      <c r="AG735" s="2">
        <f ca="1"/>
        <v>0.72408984022021716</v>
      </c>
      <c r="AH735" s="2" t="str">
        <f ca="1"/>
        <v>Bad</v>
      </c>
    </row>
    <row r="736" spans="2:34" x14ac:dyDescent="0.2">
      <c r="B736" s="2">
        <f ca="1"/>
        <v>0.53572813800348928</v>
      </c>
      <c r="O736" s="2">
        <f ca="1"/>
        <v>0.88876111183147644</v>
      </c>
      <c r="X736" s="2">
        <f ca="1"/>
        <v>34.654680627478477</v>
      </c>
      <c r="AG736" s="2">
        <f ca="1"/>
        <v>0.14567789406941678</v>
      </c>
      <c r="AH736" s="2" t="str">
        <f ca="1"/>
        <v>OK</v>
      </c>
    </row>
    <row r="737" spans="2:34" x14ac:dyDescent="0.2">
      <c r="B737" s="2">
        <f ca="1"/>
        <v>0.13045036270994248</v>
      </c>
      <c r="O737" s="2">
        <f ca="1"/>
        <v>-1.1639948780683262</v>
      </c>
      <c r="X737" s="2">
        <f ca="1"/>
        <v>39.041586590192125</v>
      </c>
      <c r="AG737" s="2">
        <f ca="1"/>
        <v>0.90901307394194641</v>
      </c>
      <c r="AH737" s="2" t="str">
        <f ca="1"/>
        <v>Bad</v>
      </c>
    </row>
    <row r="738" spans="2:34" x14ac:dyDescent="0.2">
      <c r="B738" s="2">
        <f ca="1"/>
        <v>0.93612173899957596</v>
      </c>
      <c r="O738" s="2">
        <f ca="1"/>
        <v>-0.76562860864379112</v>
      </c>
      <c r="X738" s="2">
        <f ca="1"/>
        <v>79.719511920585148</v>
      </c>
      <c r="AG738" s="2">
        <f ca="1"/>
        <v>0.51440207942081306</v>
      </c>
      <c r="AH738" s="2" t="str">
        <f ca="1"/>
        <v>Bad</v>
      </c>
    </row>
    <row r="739" spans="2:34" x14ac:dyDescent="0.2">
      <c r="B739" s="2">
        <f ca="1"/>
        <v>0.66536375313903284</v>
      </c>
      <c r="O739" s="2">
        <f ca="1"/>
        <v>1.1820942208150371</v>
      </c>
      <c r="X739" s="2">
        <f ca="1"/>
        <v>55.288398066304232</v>
      </c>
      <c r="AG739" s="2">
        <f ca="1"/>
        <v>0.78459106424879299</v>
      </c>
      <c r="AH739" s="2" t="str">
        <f ca="1"/>
        <v>Bad</v>
      </c>
    </row>
    <row r="740" spans="2:34" x14ac:dyDescent="0.2">
      <c r="B740" s="2">
        <f ca="1"/>
        <v>3.5586404002690086E-2</v>
      </c>
      <c r="O740" s="2">
        <f ca="1"/>
        <v>-0.17590272669862103</v>
      </c>
      <c r="X740" s="2">
        <f ca="1"/>
        <v>50.519067655228824</v>
      </c>
      <c r="AG740" s="2">
        <f ca="1"/>
        <v>0.42233374469555551</v>
      </c>
      <c r="AH740" s="2" t="str">
        <f ca="1"/>
        <v>Bad</v>
      </c>
    </row>
    <row r="741" spans="2:34" x14ac:dyDescent="0.2">
      <c r="B741" s="2">
        <f ca="1"/>
        <v>0.34406342850785077</v>
      </c>
      <c r="O741" s="2">
        <f ca="1"/>
        <v>0.65097532993245466</v>
      </c>
      <c r="X741" s="2">
        <f ca="1"/>
        <v>57.22264972059078</v>
      </c>
      <c r="AG741" s="2">
        <f ca="1"/>
        <v>0.20980146724453808</v>
      </c>
      <c r="AH741" s="2" t="str">
        <f ca="1"/>
        <v>OK</v>
      </c>
    </row>
    <row r="742" spans="2:34" x14ac:dyDescent="0.2">
      <c r="B742" s="2">
        <f ca="1"/>
        <v>0.37799842024543628</v>
      </c>
      <c r="O742" s="2">
        <f ca="1"/>
        <v>-0.6789235486142845</v>
      </c>
      <c r="X742" s="2">
        <f ca="1"/>
        <v>21.69262290940399</v>
      </c>
      <c r="AG742" s="2">
        <f ca="1"/>
        <v>0.13774772033526772</v>
      </c>
      <c r="AH742" s="2" t="str">
        <f ca="1"/>
        <v>OK</v>
      </c>
    </row>
    <row r="743" spans="2:34" x14ac:dyDescent="0.2">
      <c r="B743" s="2">
        <f ca="1"/>
        <v>0.93558938436377237</v>
      </c>
      <c r="O743" s="2">
        <f ca="1"/>
        <v>7.5343385528504808E-2</v>
      </c>
      <c r="X743" s="2">
        <f ca="1"/>
        <v>58.303082572620767</v>
      </c>
      <c r="AG743" s="2">
        <f ca="1"/>
        <v>0.75545394399456356</v>
      </c>
      <c r="AH743" s="2" t="str">
        <f ca="1"/>
        <v>Bad</v>
      </c>
    </row>
    <row r="744" spans="2:34" x14ac:dyDescent="0.2">
      <c r="B744" s="2">
        <f ca="1"/>
        <v>0.31498816999868229</v>
      </c>
      <c r="O744" s="2">
        <f ca="1"/>
        <v>-1.4667657675607835</v>
      </c>
      <c r="X744" s="2">
        <f ca="1"/>
        <v>36.849995002393328</v>
      </c>
      <c r="AG744" s="2">
        <f ca="1"/>
        <v>0.67040187397419149</v>
      </c>
      <c r="AH744" s="2" t="str">
        <f ca="1"/>
        <v>Bad</v>
      </c>
    </row>
    <row r="745" spans="2:34" x14ac:dyDescent="0.2">
      <c r="B745" s="2">
        <f ca="1"/>
        <v>0.73680980386854622</v>
      </c>
      <c r="O745" s="2">
        <f ca="1"/>
        <v>1.0918092973692237</v>
      </c>
      <c r="X745" s="2">
        <f ca="1"/>
        <v>97.472821916502156</v>
      </c>
      <c r="AG745" s="2">
        <f ca="1"/>
        <v>0.72570641410272829</v>
      </c>
      <c r="AH745" s="2" t="str">
        <f ca="1"/>
        <v>Bad</v>
      </c>
    </row>
    <row r="746" spans="2:34" x14ac:dyDescent="0.2">
      <c r="B746" s="2">
        <f ca="1"/>
        <v>0.61588079729220402</v>
      </c>
      <c r="O746" s="2">
        <f ca="1"/>
        <v>-4.222613068486044E-2</v>
      </c>
      <c r="X746" s="2">
        <f ca="1"/>
        <v>46.613362094327073</v>
      </c>
      <c r="AG746" s="2">
        <f ca="1"/>
        <v>0.14190202386775197</v>
      </c>
      <c r="AH746" s="2" t="str">
        <f ca="1"/>
        <v>OK</v>
      </c>
    </row>
    <row r="747" spans="2:34" x14ac:dyDescent="0.2">
      <c r="B747" s="2">
        <f ca="1"/>
        <v>0.91167291924539073</v>
      </c>
      <c r="O747" s="2">
        <f ca="1"/>
        <v>-1.8240171643929788</v>
      </c>
      <c r="X747" s="2">
        <f ca="1"/>
        <v>35.918094086179295</v>
      </c>
      <c r="AG747" s="2">
        <f ca="1"/>
        <v>8.4131331681098764E-2</v>
      </c>
      <c r="AH747" s="2" t="str">
        <f ca="1"/>
        <v>OK</v>
      </c>
    </row>
    <row r="748" spans="2:34" x14ac:dyDescent="0.2">
      <c r="B748" s="2">
        <f ca="1"/>
        <v>0.27475043697790924</v>
      </c>
      <c r="O748" s="2">
        <f ca="1"/>
        <v>0.100482251703067</v>
      </c>
      <c r="X748" s="2">
        <f ca="1"/>
        <v>64.11276548650639</v>
      </c>
      <c r="AG748" s="2">
        <f ca="1"/>
        <v>0.24348484232753931</v>
      </c>
      <c r="AH748" s="2" t="str">
        <f ca="1"/>
        <v>OK</v>
      </c>
    </row>
    <row r="749" spans="2:34" x14ac:dyDescent="0.2">
      <c r="B749" s="2">
        <f ca="1"/>
        <v>0.38466545141229513</v>
      </c>
      <c r="O749" s="2">
        <f ca="1"/>
        <v>-1.4426408261264436</v>
      </c>
      <c r="X749" s="2">
        <f ca="1"/>
        <v>47.856160949212594</v>
      </c>
      <c r="AG749" s="2">
        <f ca="1"/>
        <v>0.29956995576233791</v>
      </c>
      <c r="AH749" s="2" t="str">
        <f ca="1"/>
        <v>OK</v>
      </c>
    </row>
    <row r="750" spans="2:34" x14ac:dyDescent="0.2">
      <c r="B750" s="2">
        <f ca="1"/>
        <v>0.77776468719392988</v>
      </c>
      <c r="O750" s="2">
        <f ca="1"/>
        <v>-0.42262819332997248</v>
      </c>
      <c r="X750" s="2">
        <f ca="1"/>
        <v>41.705690949564755</v>
      </c>
      <c r="AG750" s="2">
        <f ca="1"/>
        <v>0.29872098869098052</v>
      </c>
      <c r="AH750" s="2" t="str">
        <f ca="1"/>
        <v>OK</v>
      </c>
    </row>
    <row r="751" spans="2:34" x14ac:dyDescent="0.2">
      <c r="B751" s="2">
        <f ca="1"/>
        <v>0.33812904651579023</v>
      </c>
      <c r="O751" s="2">
        <f ca="1"/>
        <v>-0.85158500985536267</v>
      </c>
      <c r="X751" s="2">
        <f ca="1"/>
        <v>48.433219548036639</v>
      </c>
      <c r="AG751" s="2">
        <f ca="1"/>
        <v>2.5764799870341859E-2</v>
      </c>
      <c r="AH751" s="2" t="str">
        <f ca="1"/>
        <v>Good</v>
      </c>
    </row>
    <row r="752" spans="2:34" x14ac:dyDescent="0.2">
      <c r="B752" s="2">
        <f ca="1"/>
        <v>0.4678176712382156</v>
      </c>
      <c r="O752" s="2">
        <f ca="1"/>
        <v>-0.51376286052584919</v>
      </c>
      <c r="X752" s="2">
        <f ca="1"/>
        <v>47.718901382149312</v>
      </c>
      <c r="AG752" s="2">
        <f ca="1"/>
        <v>0.49308113244906049</v>
      </c>
      <c r="AH752" s="2" t="str">
        <f ca="1"/>
        <v>Bad</v>
      </c>
    </row>
    <row r="753" spans="2:34" x14ac:dyDescent="0.2">
      <c r="B753" s="2">
        <f ca="1"/>
        <v>0.35118534905081766</v>
      </c>
      <c r="O753" s="2">
        <f ca="1"/>
        <v>0.38023240860024915</v>
      </c>
      <c r="X753" s="2">
        <f ca="1"/>
        <v>35.960237185289998</v>
      </c>
      <c r="AG753" s="2">
        <f ca="1"/>
        <v>0.67468314157025988</v>
      </c>
      <c r="AH753" s="2" t="str">
        <f ca="1"/>
        <v>Bad</v>
      </c>
    </row>
    <row r="754" spans="2:34" x14ac:dyDescent="0.2">
      <c r="B754" s="2">
        <f ca="1"/>
        <v>3.5881425889147556E-2</v>
      </c>
      <c r="O754" s="2">
        <f ca="1"/>
        <v>1.3373558396243432</v>
      </c>
      <c r="X754" s="2">
        <f ca="1"/>
        <v>60.540493180031369</v>
      </c>
      <c r="AG754" s="2">
        <f ca="1"/>
        <v>0.65873964738517254</v>
      </c>
      <c r="AH754" s="2" t="str">
        <f ca="1"/>
        <v>Bad</v>
      </c>
    </row>
    <row r="755" spans="2:34" x14ac:dyDescent="0.2">
      <c r="B755" s="2">
        <f ca="1"/>
        <v>0.81701195143772232</v>
      </c>
      <c r="O755" s="2">
        <f ca="1"/>
        <v>-1.1163199842091822</v>
      </c>
      <c r="X755" s="2">
        <f ca="1"/>
        <v>40.801545403995398</v>
      </c>
      <c r="AG755" s="2">
        <f ca="1"/>
        <v>9.3196321011945304E-2</v>
      </c>
      <c r="AH755" s="2" t="str">
        <f ca="1"/>
        <v>OK</v>
      </c>
    </row>
    <row r="756" spans="2:34" x14ac:dyDescent="0.2">
      <c r="B756" s="2">
        <f ca="1"/>
        <v>0.20789617304977948</v>
      </c>
      <c r="O756" s="2">
        <f ca="1"/>
        <v>-2.1504578308627611</v>
      </c>
      <c r="X756" s="2">
        <f ca="1"/>
        <v>45.177356137671367</v>
      </c>
      <c r="AG756" s="2">
        <f ca="1"/>
        <v>0.84807571337434107</v>
      </c>
      <c r="AH756" s="2" t="str">
        <f ca="1"/>
        <v>Bad</v>
      </c>
    </row>
    <row r="757" spans="2:34" x14ac:dyDescent="0.2">
      <c r="B757" s="2">
        <f ca="1"/>
        <v>0.62781897906066608</v>
      </c>
      <c r="O757" s="2">
        <f ca="1"/>
        <v>-2.2566996455091242</v>
      </c>
      <c r="X757" s="2">
        <f ca="1"/>
        <v>52.999153257348567</v>
      </c>
      <c r="AG757" s="2">
        <f ca="1"/>
        <v>0.60078076941436676</v>
      </c>
      <c r="AH757" s="2" t="str">
        <f ca="1"/>
        <v>Bad</v>
      </c>
    </row>
    <row r="758" spans="2:34" x14ac:dyDescent="0.2">
      <c r="B758" s="2">
        <f ca="1"/>
        <v>0.28784742765427818</v>
      </c>
      <c r="O758" s="2">
        <f ca="1"/>
        <v>-1.2559828690835826</v>
      </c>
      <c r="X758" s="2">
        <f ca="1"/>
        <v>29.327249194394387</v>
      </c>
      <c r="AG758" s="2">
        <f ca="1"/>
        <v>0.92860617765884079</v>
      </c>
      <c r="AH758" s="2" t="str">
        <f ca="1"/>
        <v>Bad</v>
      </c>
    </row>
    <row r="759" spans="2:34" x14ac:dyDescent="0.2">
      <c r="B759" s="2">
        <f ca="1"/>
        <v>0.77620045415230376</v>
      </c>
      <c r="O759" s="2">
        <f ca="1"/>
        <v>-0.10863888106372831</v>
      </c>
      <c r="X759" s="2">
        <f ca="1"/>
        <v>69.288355708659665</v>
      </c>
      <c r="AG759" s="2">
        <f ca="1"/>
        <v>0.29139589847538439</v>
      </c>
      <c r="AH759" s="2" t="str">
        <f ca="1"/>
        <v>OK</v>
      </c>
    </row>
    <row r="760" spans="2:34" x14ac:dyDescent="0.2">
      <c r="B760" s="2">
        <f ca="1"/>
        <v>0.6262178293861107</v>
      </c>
      <c r="O760" s="2">
        <f ca="1"/>
        <v>1.5765564759676602E-2</v>
      </c>
      <c r="X760" s="2">
        <f ca="1"/>
        <v>69.873404854294591</v>
      </c>
      <c r="AG760" s="2">
        <f ca="1"/>
        <v>0.15547877688898915</v>
      </c>
      <c r="AH760" s="2" t="str">
        <f ca="1"/>
        <v>OK</v>
      </c>
    </row>
    <row r="761" spans="2:34" x14ac:dyDescent="0.2">
      <c r="B761" s="2">
        <f ca="1"/>
        <v>0.9505361805729835</v>
      </c>
      <c r="O761" s="2">
        <f ca="1"/>
        <v>-0.34080233318385372</v>
      </c>
      <c r="X761" s="2">
        <f ca="1"/>
        <v>35.381433962732977</v>
      </c>
      <c r="AG761" s="2">
        <f ca="1"/>
        <v>0.10608972552662466</v>
      </c>
      <c r="AH761" s="2" t="str">
        <f ca="1"/>
        <v>OK</v>
      </c>
    </row>
    <row r="762" spans="2:34" x14ac:dyDescent="0.2">
      <c r="B762" s="2">
        <f ca="1"/>
        <v>0.16219916649078669</v>
      </c>
      <c r="O762" s="2">
        <f ca="1"/>
        <v>-0.38242788921783788</v>
      </c>
      <c r="X762" s="2">
        <f ca="1"/>
        <v>115.44398864212786</v>
      </c>
      <c r="AG762" s="2">
        <f ca="1"/>
        <v>0.79700306152616673</v>
      </c>
      <c r="AH762" s="2" t="str">
        <f ca="1"/>
        <v>Bad</v>
      </c>
    </row>
    <row r="763" spans="2:34" x14ac:dyDescent="0.2">
      <c r="B763" s="2">
        <f ca="1"/>
        <v>0.29363412278436063</v>
      </c>
      <c r="O763" s="2">
        <f ca="1"/>
        <v>-0.89094334101285111</v>
      </c>
      <c r="X763" s="2">
        <f ca="1"/>
        <v>46.586435447604984</v>
      </c>
      <c r="AG763" s="2">
        <f ca="1"/>
        <v>0.97154369725208367</v>
      </c>
      <c r="AH763" s="2" t="str">
        <f ca="1"/>
        <v>Bad</v>
      </c>
    </row>
    <row r="764" spans="2:34" x14ac:dyDescent="0.2">
      <c r="B764" s="2">
        <f ca="1"/>
        <v>0.77753280915765499</v>
      </c>
      <c r="O764" s="2">
        <f ca="1"/>
        <v>-3.015807803069078</v>
      </c>
      <c r="X764" s="2">
        <f ca="1"/>
        <v>40.274509190036213</v>
      </c>
      <c r="AG764" s="2">
        <f ca="1"/>
        <v>2.672107715256633E-2</v>
      </c>
      <c r="AH764" s="2" t="str">
        <f ca="1"/>
        <v>Good</v>
      </c>
    </row>
    <row r="765" spans="2:34" x14ac:dyDescent="0.2">
      <c r="B765" s="2">
        <f ca="1"/>
        <v>0.5362103578719013</v>
      </c>
      <c r="O765" s="2">
        <f ca="1"/>
        <v>0.31379002292967806</v>
      </c>
      <c r="X765" s="2">
        <f ca="1"/>
        <v>54.055971322147577</v>
      </c>
      <c r="AG765" s="2">
        <f ca="1"/>
        <v>0.77992072502496046</v>
      </c>
      <c r="AH765" s="2" t="str">
        <f ca="1"/>
        <v>Bad</v>
      </c>
    </row>
    <row r="766" spans="2:34" x14ac:dyDescent="0.2">
      <c r="B766" s="2">
        <f ca="1"/>
        <v>0.74639071892694209</v>
      </c>
      <c r="O766" s="2">
        <f ca="1"/>
        <v>0.62814143618110807</v>
      </c>
      <c r="X766" s="2">
        <f ca="1"/>
        <v>43.474313041038869</v>
      </c>
      <c r="AG766" s="2">
        <f ca="1"/>
        <v>0.78074803098321688</v>
      </c>
      <c r="AH766" s="2" t="str">
        <f ca="1"/>
        <v>Bad</v>
      </c>
    </row>
    <row r="767" spans="2:34" x14ac:dyDescent="0.2">
      <c r="B767" s="2">
        <f ca="1"/>
        <v>0.10785745895987753</v>
      </c>
      <c r="O767" s="2">
        <f ca="1"/>
        <v>-0.99288042898821482</v>
      </c>
      <c r="X767" s="2">
        <f ca="1"/>
        <v>52.197541910133928</v>
      </c>
      <c r="AG767" s="2">
        <f ca="1"/>
        <v>0.36663701051246633</v>
      </c>
      <c r="AH767" s="2" t="str">
        <f ca="1"/>
        <v>OK</v>
      </c>
    </row>
    <row r="768" spans="2:34" x14ac:dyDescent="0.2">
      <c r="B768" s="2">
        <f ca="1"/>
        <v>0.76614348887178041</v>
      </c>
      <c r="O768" s="2">
        <f ca="1"/>
        <v>1.192503687331369</v>
      </c>
      <c r="X768" s="2">
        <f ca="1"/>
        <v>40.277409533576012</v>
      </c>
      <c r="AG768" s="2">
        <f ca="1"/>
        <v>0.43604281312486437</v>
      </c>
      <c r="AH768" s="2" t="str">
        <f ca="1"/>
        <v>Bad</v>
      </c>
    </row>
    <row r="769" spans="2:34" x14ac:dyDescent="0.2">
      <c r="B769" s="2">
        <f ca="1"/>
        <v>0.77949170302100512</v>
      </c>
      <c r="O769" s="2">
        <f ca="1"/>
        <v>0.80623873812166291</v>
      </c>
      <c r="X769" s="2">
        <f ca="1"/>
        <v>54.290657671692927</v>
      </c>
      <c r="AG769" s="2">
        <f ca="1"/>
        <v>0.67695904216061886</v>
      </c>
      <c r="AH769" s="2" t="str">
        <f ca="1"/>
        <v>Bad</v>
      </c>
    </row>
    <row r="770" spans="2:34" x14ac:dyDescent="0.2">
      <c r="B770" s="2">
        <f ca="1"/>
        <v>0.99051767147185044</v>
      </c>
      <c r="O770" s="2">
        <f ca="1"/>
        <v>0.30245398303719456</v>
      </c>
      <c r="X770" s="2">
        <f ca="1"/>
        <v>61.783883266675382</v>
      </c>
      <c r="AG770" s="2">
        <f ca="1"/>
        <v>2.9781566527306236E-2</v>
      </c>
      <c r="AH770" s="2" t="str">
        <f ca="1"/>
        <v>Good</v>
      </c>
    </row>
    <row r="771" spans="2:34" x14ac:dyDescent="0.2">
      <c r="B771" s="2">
        <f ca="1"/>
        <v>0.70061828204064835</v>
      </c>
      <c r="O771" s="2">
        <f ca="1"/>
        <v>-0.78042364185396673</v>
      </c>
      <c r="X771" s="2">
        <f ca="1"/>
        <v>48.421017100060403</v>
      </c>
      <c r="AG771" s="2">
        <f ca="1"/>
        <v>0.1928190501106315</v>
      </c>
      <c r="AH771" s="2" t="str">
        <f ca="1"/>
        <v>OK</v>
      </c>
    </row>
    <row r="772" spans="2:34" x14ac:dyDescent="0.2">
      <c r="B772" s="2">
        <f ca="1"/>
        <v>0.80616350669505521</v>
      </c>
      <c r="O772" s="2">
        <f ca="1"/>
        <v>0.24554370818548235</v>
      </c>
      <c r="X772" s="2">
        <f ca="1"/>
        <v>53.276884766030861</v>
      </c>
      <c r="AG772" s="2">
        <f ca="1"/>
        <v>0.54012680854601003</v>
      </c>
      <c r="AH772" s="2" t="str">
        <f ca="1"/>
        <v>Bad</v>
      </c>
    </row>
    <row r="773" spans="2:34" x14ac:dyDescent="0.2">
      <c r="B773" s="2">
        <f ca="1"/>
        <v>0.55250520659250513</v>
      </c>
      <c r="O773" s="2">
        <f ca="1"/>
        <v>0.44059230910073144</v>
      </c>
      <c r="X773" s="2">
        <f ca="1"/>
        <v>53.004259105547149</v>
      </c>
      <c r="AG773" s="2">
        <f ca="1"/>
        <v>0.94923146435393146</v>
      </c>
      <c r="AH773" s="2" t="str">
        <f ca="1"/>
        <v>Bad</v>
      </c>
    </row>
    <row r="774" spans="2:34" x14ac:dyDescent="0.2">
      <c r="B774" s="2">
        <f ca="1"/>
        <v>0.79124487184766212</v>
      </c>
      <c r="O774" s="2">
        <f ca="1"/>
        <v>0.33584770846109524</v>
      </c>
      <c r="X774" s="2">
        <f ca="1"/>
        <v>55.174504192310948</v>
      </c>
      <c r="AG774" s="2">
        <f ca="1"/>
        <v>0.91610993431563426</v>
      </c>
      <c r="AH774" s="2" t="str">
        <f ca="1"/>
        <v>Bad</v>
      </c>
    </row>
    <row r="775" spans="2:34" x14ac:dyDescent="0.2">
      <c r="B775" s="2">
        <f ca="1"/>
        <v>0.41273359379308583</v>
      </c>
      <c r="O775" s="2">
        <f ca="1"/>
        <v>-1.3485100245606121</v>
      </c>
      <c r="X775" s="2">
        <f ca="1"/>
        <v>60.930593149471967</v>
      </c>
      <c r="AG775" s="2">
        <f ca="1"/>
        <v>0.56464689369942822</v>
      </c>
      <c r="AH775" s="2" t="str">
        <f ca="1"/>
        <v>Bad</v>
      </c>
    </row>
    <row r="776" spans="2:34" x14ac:dyDescent="0.2">
      <c r="B776" s="2">
        <f ca="1"/>
        <v>0.13404392161714518</v>
      </c>
      <c r="O776" s="2">
        <f ca="1"/>
        <v>0.37737993616529741</v>
      </c>
      <c r="X776" s="2">
        <f ca="1"/>
        <v>62.176619255326251</v>
      </c>
      <c r="AG776" s="2">
        <f ca="1"/>
        <v>3.0872840553481273E-2</v>
      </c>
      <c r="AH776" s="2" t="str">
        <f ca="1"/>
        <v>Good</v>
      </c>
    </row>
    <row r="777" spans="2:34" x14ac:dyDescent="0.2">
      <c r="B777" s="2">
        <f ca="1"/>
        <v>0.51938127275902124</v>
      </c>
      <c r="O777" s="2">
        <f ca="1"/>
        <v>-0.76685274023839045</v>
      </c>
      <c r="X777" s="2">
        <f ca="1"/>
        <v>83.666172811606359</v>
      </c>
      <c r="AG777" s="2">
        <f ca="1"/>
        <v>0.61611680364387156</v>
      </c>
      <c r="AH777" s="2" t="str">
        <f ca="1"/>
        <v>Bad</v>
      </c>
    </row>
    <row r="778" spans="2:34" x14ac:dyDescent="0.2">
      <c r="B778" s="2">
        <f ca="1"/>
        <v>0.99757716243781158</v>
      </c>
      <c r="O778" s="2">
        <f ca="1"/>
        <v>-8.5566484285233932E-2</v>
      </c>
      <c r="X778" s="2">
        <f ca="1"/>
        <v>55.530893667479965</v>
      </c>
      <c r="AG778" s="2">
        <f ca="1"/>
        <v>0.67186416863647502</v>
      </c>
      <c r="AH778" s="2" t="str">
        <f ca="1"/>
        <v>Bad</v>
      </c>
    </row>
    <row r="779" spans="2:34" x14ac:dyDescent="0.2">
      <c r="B779" s="2">
        <f ca="1"/>
        <v>0.68168426539059856</v>
      </c>
      <c r="O779" s="2">
        <f ca="1"/>
        <v>0.43144000476317124</v>
      </c>
      <c r="X779" s="2">
        <f ca="1"/>
        <v>32.596672905561014</v>
      </c>
      <c r="AG779" s="2">
        <f ca="1"/>
        <v>0.43141817420932993</v>
      </c>
      <c r="AH779" s="2" t="str">
        <f ca="1"/>
        <v>Bad</v>
      </c>
    </row>
    <row r="780" spans="2:34" x14ac:dyDescent="0.2">
      <c r="B780" s="2">
        <f ca="1"/>
        <v>0.15125544717546391</v>
      </c>
      <c r="O780" s="2">
        <f ca="1"/>
        <v>-0.39994005800050947</v>
      </c>
      <c r="X780" s="2">
        <f ca="1"/>
        <v>53.187109336065753</v>
      </c>
      <c r="AG780" s="2">
        <f ca="1"/>
        <v>0.94559404003330871</v>
      </c>
      <c r="AH780" s="2" t="str">
        <f ca="1"/>
        <v>Bad</v>
      </c>
    </row>
    <row r="781" spans="2:34" x14ac:dyDescent="0.2">
      <c r="B781" s="2">
        <f ca="1"/>
        <v>0.73708383610476469</v>
      </c>
      <c r="O781" s="2">
        <f ca="1"/>
        <v>-1.2548149519777989</v>
      </c>
      <c r="X781" s="2">
        <f ca="1"/>
        <v>57.350085381858008</v>
      </c>
      <c r="AG781" s="2">
        <f ca="1"/>
        <v>0.37503103808536764</v>
      </c>
      <c r="AH781" s="2" t="str">
        <f ca="1"/>
        <v>OK</v>
      </c>
    </row>
    <row r="782" spans="2:34" x14ac:dyDescent="0.2">
      <c r="B782" s="2">
        <f ca="1"/>
        <v>0.88667191647468302</v>
      </c>
      <c r="O782" s="2">
        <f ca="1"/>
        <v>0.27943810106099637</v>
      </c>
      <c r="X782" s="2">
        <f ca="1"/>
        <v>44.837580495507503</v>
      </c>
      <c r="AG782" s="2">
        <f ca="1"/>
        <v>0.64603056289856209</v>
      </c>
      <c r="AH782" s="2" t="str">
        <f ca="1"/>
        <v>Bad</v>
      </c>
    </row>
    <row r="783" spans="2:34" x14ac:dyDescent="0.2">
      <c r="B783" s="2">
        <f ca="1"/>
        <v>0.55383294411824813</v>
      </c>
      <c r="O783" s="2">
        <f ca="1"/>
        <v>6.3872957007057027E-4</v>
      </c>
      <c r="X783" s="2">
        <f ca="1"/>
        <v>49.83322435105439</v>
      </c>
      <c r="AG783" s="2">
        <f ca="1"/>
        <v>0.70624010274200533</v>
      </c>
      <c r="AH783" s="2" t="str">
        <f ca="1"/>
        <v>Bad</v>
      </c>
    </row>
    <row r="784" spans="2:34" x14ac:dyDescent="0.2">
      <c r="B784" s="2">
        <f ca="1"/>
        <v>5.3181288150214279E-2</v>
      </c>
      <c r="O784" s="2">
        <f ca="1"/>
        <v>-0.17327387411383732</v>
      </c>
      <c r="X784" s="2">
        <f ca="1"/>
        <v>45.631668900638822</v>
      </c>
      <c r="AG784" s="2">
        <f ca="1"/>
        <v>0.131841155529135</v>
      </c>
      <c r="AH784" s="2" t="str">
        <f ca="1"/>
        <v>OK</v>
      </c>
    </row>
    <row r="785" spans="2:34" x14ac:dyDescent="0.2">
      <c r="B785" s="2">
        <f ca="1"/>
        <v>0.64977374313100755</v>
      </c>
      <c r="O785" s="2">
        <f ca="1"/>
        <v>-1.3446588586699109</v>
      </c>
      <c r="X785" s="2">
        <f ca="1"/>
        <v>60.769767148623536</v>
      </c>
      <c r="AG785" s="2">
        <f ca="1"/>
        <v>1.4290929997253565E-2</v>
      </c>
      <c r="AH785" s="2" t="str">
        <f ca="1"/>
        <v>Good</v>
      </c>
    </row>
    <row r="786" spans="2:34" x14ac:dyDescent="0.2">
      <c r="B786" s="2">
        <f ca="1"/>
        <v>0.95294102717285556</v>
      </c>
      <c r="O786" s="2">
        <f ca="1"/>
        <v>0.53606072868164933</v>
      </c>
      <c r="X786" s="2">
        <f ca="1"/>
        <v>53.107608206976593</v>
      </c>
      <c r="AG786" s="2">
        <f ca="1"/>
        <v>0.52437208046305273</v>
      </c>
      <c r="AH786" s="2" t="str">
        <f ca="1"/>
        <v>Bad</v>
      </c>
    </row>
    <row r="787" spans="2:34" x14ac:dyDescent="0.2">
      <c r="B787" s="2">
        <f ca="1"/>
        <v>0.4831430629633966</v>
      </c>
      <c r="O787" s="2">
        <f ca="1"/>
        <v>0.70759827337111303</v>
      </c>
      <c r="X787" s="2">
        <f ca="1"/>
        <v>50.867563216480995</v>
      </c>
      <c r="AG787" s="2">
        <f ca="1"/>
        <v>0.11296070875237496</v>
      </c>
      <c r="AH787" s="2" t="str">
        <f ca="1"/>
        <v>OK</v>
      </c>
    </row>
    <row r="788" spans="2:34" x14ac:dyDescent="0.2">
      <c r="B788" s="2">
        <f ca="1"/>
        <v>3.8318612787912265E-2</v>
      </c>
      <c r="O788" s="2">
        <f ca="1"/>
        <v>-1.0996926257785036</v>
      </c>
      <c r="X788" s="2">
        <f ca="1"/>
        <v>58.312209696956778</v>
      </c>
      <c r="AG788" s="2">
        <f ca="1"/>
        <v>0.26967732671945788</v>
      </c>
      <c r="AH788" s="2" t="str">
        <f ca="1"/>
        <v>OK</v>
      </c>
    </row>
    <row r="789" spans="2:34" x14ac:dyDescent="0.2">
      <c r="B789" s="2">
        <f ca="1"/>
        <v>0.78217535678623662</v>
      </c>
      <c r="O789" s="2">
        <f ca="1"/>
        <v>0.84642942655536302</v>
      </c>
      <c r="X789" s="2">
        <f ca="1"/>
        <v>38.516495752650364</v>
      </c>
      <c r="AG789" s="2">
        <f ca="1"/>
        <v>0.80744147737272431</v>
      </c>
      <c r="AH789" s="2" t="str">
        <f ca="1"/>
        <v>Bad</v>
      </c>
    </row>
    <row r="790" spans="2:34" x14ac:dyDescent="0.2">
      <c r="B790" s="2">
        <f ca="1"/>
        <v>0.543327423257711</v>
      </c>
      <c r="O790" s="2">
        <f ca="1"/>
        <v>6.4879494369666335E-2</v>
      </c>
      <c r="X790" s="2">
        <f ca="1"/>
        <v>42.322859417735891</v>
      </c>
      <c r="AG790" s="2">
        <f ca="1"/>
        <v>0.42164450964731093</v>
      </c>
      <c r="AH790" s="2" t="str">
        <f ca="1"/>
        <v>Bad</v>
      </c>
    </row>
    <row r="791" spans="2:34" x14ac:dyDescent="0.2">
      <c r="B791" s="2">
        <f ca="1"/>
        <v>0.96236862024064074</v>
      </c>
      <c r="O791" s="2">
        <f ca="1"/>
        <v>-3.2826504659829032</v>
      </c>
      <c r="X791" s="2">
        <f ca="1"/>
        <v>58.241126130731857</v>
      </c>
      <c r="AG791" s="2">
        <f ca="1"/>
        <v>0.29238896709587925</v>
      </c>
      <c r="AH791" s="2" t="str">
        <f ca="1"/>
        <v>OK</v>
      </c>
    </row>
    <row r="792" spans="2:34" x14ac:dyDescent="0.2">
      <c r="B792" s="2">
        <f ca="1"/>
        <v>0.30320921586441063</v>
      </c>
      <c r="O792" s="2">
        <f ca="1"/>
        <v>-0.4711486492153093</v>
      </c>
      <c r="X792" s="2">
        <f ca="1"/>
        <v>58.356579509914809</v>
      </c>
      <c r="AG792" s="2">
        <f ca="1"/>
        <v>0.24487234038798222</v>
      </c>
      <c r="AH792" s="2" t="str">
        <f ca="1"/>
        <v>OK</v>
      </c>
    </row>
    <row r="793" spans="2:34" x14ac:dyDescent="0.2">
      <c r="B793" s="2">
        <f ca="1"/>
        <v>0.78779056019814075</v>
      </c>
      <c r="O793" s="2">
        <f ca="1"/>
        <v>-1.0737817555021381</v>
      </c>
      <c r="X793" s="2">
        <f ca="1"/>
        <v>34.320751257418472</v>
      </c>
      <c r="AG793" s="2">
        <f ca="1"/>
        <v>0.23517120158410587</v>
      </c>
      <c r="AH793" s="2" t="str">
        <f ca="1"/>
        <v>OK</v>
      </c>
    </row>
    <row r="794" spans="2:34" x14ac:dyDescent="0.2">
      <c r="B794" s="2">
        <f ca="1"/>
        <v>0.33820162484049487</v>
      </c>
      <c r="O794" s="2">
        <f ca="1"/>
        <v>-0.91781022868231477</v>
      </c>
      <c r="X794" s="2">
        <f ca="1"/>
        <v>54.024834293172333</v>
      </c>
      <c r="AG794" s="2">
        <f ca="1"/>
        <v>0.61713399138334757</v>
      </c>
      <c r="AH794" s="2" t="str">
        <f ca="1"/>
        <v>Bad</v>
      </c>
    </row>
    <row r="795" spans="2:34" x14ac:dyDescent="0.2">
      <c r="B795" s="2">
        <f ca="1"/>
        <v>0.47322713454418319</v>
      </c>
      <c r="O795" s="2">
        <f ca="1"/>
        <v>0.63631857973510986</v>
      </c>
      <c r="X795" s="2">
        <f ca="1"/>
        <v>54.839132253537613</v>
      </c>
      <c r="AG795" s="2">
        <f ca="1"/>
        <v>0.39982757764430565</v>
      </c>
      <c r="AH795" s="2" t="str">
        <f ca="1"/>
        <v>OK</v>
      </c>
    </row>
    <row r="796" spans="2:34" x14ac:dyDescent="0.2">
      <c r="B796" s="2">
        <f ca="1"/>
        <v>0.59663753028671129</v>
      </c>
      <c r="O796" s="2">
        <f ca="1"/>
        <v>0.60011561550149495</v>
      </c>
      <c r="X796" s="2">
        <f ca="1"/>
        <v>27.104270278800527</v>
      </c>
      <c r="AG796" s="2">
        <f ca="1"/>
        <v>0.23690121809542064</v>
      </c>
      <c r="AH796" s="2" t="str">
        <f ca="1"/>
        <v>OK</v>
      </c>
    </row>
    <row r="797" spans="2:34" x14ac:dyDescent="0.2">
      <c r="B797" s="2">
        <f ca="1"/>
        <v>0.48354220578641605</v>
      </c>
      <c r="O797" s="2">
        <f ca="1"/>
        <v>0.67380732433247859</v>
      </c>
      <c r="X797" s="2">
        <f ca="1"/>
        <v>35.134865903263432</v>
      </c>
      <c r="AG797" s="2">
        <f ca="1"/>
        <v>0.89350266287337843</v>
      </c>
      <c r="AH797" s="2" t="str">
        <f ca="1"/>
        <v>Bad</v>
      </c>
    </row>
    <row r="798" spans="2:34" x14ac:dyDescent="0.2">
      <c r="B798" s="2">
        <f ca="1"/>
        <v>0.24161848798538998</v>
      </c>
      <c r="O798" s="2">
        <f ca="1"/>
        <v>-0.58485520425320758</v>
      </c>
      <c r="X798" s="2">
        <f ca="1"/>
        <v>62.248246738738828</v>
      </c>
      <c r="AG798" s="2">
        <f ca="1"/>
        <v>0.86406108199970921</v>
      </c>
      <c r="AH798" s="2" t="str">
        <f ca="1"/>
        <v>Bad</v>
      </c>
    </row>
    <row r="799" spans="2:34" x14ac:dyDescent="0.2">
      <c r="B799" s="2">
        <f ca="1"/>
        <v>0.1753198261333162</v>
      </c>
      <c r="O799" s="2">
        <f ca="1"/>
        <v>-0.17160707226863056</v>
      </c>
      <c r="X799" s="2">
        <f ca="1"/>
        <v>41.982626978486607</v>
      </c>
      <c r="AG799" s="2">
        <f ca="1"/>
        <v>0.53487450053448993</v>
      </c>
      <c r="AH799" s="2" t="str">
        <f ca="1"/>
        <v>Bad</v>
      </c>
    </row>
    <row r="800" spans="2:34" x14ac:dyDescent="0.2">
      <c r="B800" s="2">
        <f ca="1"/>
        <v>0.2535698337744543</v>
      </c>
      <c r="O800" s="2">
        <f ca="1"/>
        <v>0.37195437047976004</v>
      </c>
      <c r="X800" s="2">
        <f ca="1"/>
        <v>44.168456415119984</v>
      </c>
      <c r="AG800" s="2">
        <f ca="1"/>
        <v>0.77202124933773852</v>
      </c>
      <c r="AH800" s="2" t="str">
        <f ca="1"/>
        <v>Bad</v>
      </c>
    </row>
    <row r="801" spans="2:34" x14ac:dyDescent="0.2">
      <c r="B801" s="2">
        <f ca="1"/>
        <v>0.37026039984510328</v>
      </c>
      <c r="O801" s="2">
        <f ca="1"/>
        <v>-1.6857952902972722</v>
      </c>
      <c r="X801" s="2">
        <f ca="1"/>
        <v>48.655073102230801</v>
      </c>
      <c r="AG801" s="2">
        <f ca="1"/>
        <v>0.87482265544850213</v>
      </c>
      <c r="AH801" s="2" t="str">
        <f ca="1"/>
        <v>Bad</v>
      </c>
    </row>
    <row r="802" spans="2:34" x14ac:dyDescent="0.2">
      <c r="B802" s="2">
        <f ca="1"/>
        <v>0.40269907685151973</v>
      </c>
      <c r="O802" s="2">
        <f ca="1"/>
        <v>1.3363386672957112</v>
      </c>
      <c r="X802" s="2">
        <f ca="1"/>
        <v>46.655495573722945</v>
      </c>
      <c r="AG802" s="2">
        <f ca="1"/>
        <v>0.99191600883377995</v>
      </c>
      <c r="AH802" s="2" t="str">
        <f ca="1"/>
        <v>Bad</v>
      </c>
    </row>
    <row r="803" spans="2:34" x14ac:dyDescent="0.2">
      <c r="B803" s="2">
        <f ca="1"/>
        <v>0.45125651625372099</v>
      </c>
      <c r="O803" s="2">
        <f ca="1"/>
        <v>0.8374339655325721</v>
      </c>
      <c r="X803" s="2">
        <f ca="1"/>
        <v>75.32158390568317</v>
      </c>
      <c r="AG803" s="2">
        <f ca="1"/>
        <v>0.52176322172105483</v>
      </c>
      <c r="AH803" s="2" t="str">
        <f ca="1"/>
        <v>Bad</v>
      </c>
    </row>
    <row r="804" spans="2:34" x14ac:dyDescent="0.2">
      <c r="B804" s="2">
        <f ca="1"/>
        <v>0.96646998020793373</v>
      </c>
      <c r="O804" s="2">
        <f ca="1"/>
        <v>0.17408354658888606</v>
      </c>
      <c r="X804" s="2">
        <f ca="1"/>
        <v>52.828581474737113</v>
      </c>
      <c r="AG804" s="2">
        <f ca="1"/>
        <v>0.57721373319652347</v>
      </c>
      <c r="AH804" s="2" t="str">
        <f ca="1"/>
        <v>Bad</v>
      </c>
    </row>
    <row r="805" spans="2:34" x14ac:dyDescent="0.2">
      <c r="B805" s="2">
        <f ca="1"/>
        <v>0.90257737297303575</v>
      </c>
      <c r="O805" s="2">
        <f ca="1"/>
        <v>-1.1434779003748894</v>
      </c>
      <c r="X805" s="2">
        <f ca="1"/>
        <v>34.766582190184174</v>
      </c>
      <c r="AG805" s="2">
        <f ca="1"/>
        <v>0.21602114291095798</v>
      </c>
      <c r="AH805" s="2" t="str">
        <f ca="1"/>
        <v>OK</v>
      </c>
    </row>
    <row r="806" spans="2:34" x14ac:dyDescent="0.2">
      <c r="B806" s="2">
        <f ca="1"/>
        <v>0.21607583905637817</v>
      </c>
      <c r="O806" s="2">
        <f ca="1"/>
        <v>-2.1999087860771663E-2</v>
      </c>
      <c r="X806" s="2">
        <f ca="1"/>
        <v>39.627373490496808</v>
      </c>
      <c r="AG806" s="2">
        <f ca="1"/>
        <v>0.62266148547306965</v>
      </c>
      <c r="AH806" s="2" t="str">
        <f ca="1"/>
        <v>Bad</v>
      </c>
    </row>
    <row r="807" spans="2:34" x14ac:dyDescent="0.2">
      <c r="B807" s="2">
        <f ca="1"/>
        <v>0.83708270591610234</v>
      </c>
      <c r="O807" s="2">
        <f ca="1"/>
        <v>0.67911956613250657</v>
      </c>
      <c r="X807" s="2">
        <f ca="1"/>
        <v>45.70788470999625</v>
      </c>
      <c r="AG807" s="2">
        <f ca="1"/>
        <v>0.59982555019658745</v>
      </c>
      <c r="AH807" s="2" t="str">
        <f ca="1"/>
        <v>Bad</v>
      </c>
    </row>
    <row r="808" spans="2:34" x14ac:dyDescent="0.2">
      <c r="B808" s="2">
        <f ca="1"/>
        <v>0.19941728105964773</v>
      </c>
      <c r="O808" s="2">
        <f ca="1"/>
        <v>-0.24260422233986187</v>
      </c>
      <c r="X808" s="2">
        <f ca="1"/>
        <v>69.341467180124312</v>
      </c>
      <c r="AG808" s="2">
        <f ca="1"/>
        <v>0.105383811180076</v>
      </c>
      <c r="AH808" s="2" t="str">
        <f ca="1"/>
        <v>OK</v>
      </c>
    </row>
    <row r="809" spans="2:34" x14ac:dyDescent="0.2">
      <c r="B809" s="2">
        <f ca="1"/>
        <v>0.69418469971734376</v>
      </c>
      <c r="O809" s="2">
        <f ca="1"/>
        <v>-2.0868103551968562</v>
      </c>
      <c r="X809" s="2">
        <f ca="1"/>
        <v>57.382668472062257</v>
      </c>
      <c r="AG809" s="2">
        <f ca="1"/>
        <v>0.79170526121698859</v>
      </c>
      <c r="AH809" s="2" t="str">
        <f ca="1"/>
        <v>Bad</v>
      </c>
    </row>
    <row r="810" spans="2:34" x14ac:dyDescent="0.2">
      <c r="B810" s="2">
        <f ca="1"/>
        <v>9.16112860626912E-2</v>
      </c>
      <c r="O810" s="2">
        <f ca="1"/>
        <v>0.66413459479012493</v>
      </c>
      <c r="X810" s="2">
        <f ca="1"/>
        <v>29.692239783906512</v>
      </c>
      <c r="AG810" s="2">
        <f ca="1"/>
        <v>0.81772771496456742</v>
      </c>
      <c r="AH810" s="2" t="str">
        <f ca="1"/>
        <v>Bad</v>
      </c>
    </row>
    <row r="811" spans="2:34" x14ac:dyDescent="0.2">
      <c r="B811" s="2">
        <f ca="1"/>
        <v>0.35657432825333513</v>
      </c>
      <c r="O811" s="2">
        <f ca="1"/>
        <v>0.17957704116248543</v>
      </c>
      <c r="X811" s="2">
        <f ca="1"/>
        <v>41.991686973152689</v>
      </c>
      <c r="AG811" s="2">
        <f ca="1"/>
        <v>5.1272396657326968E-2</v>
      </c>
      <c r="AH811" s="2" t="str">
        <f ca="1"/>
        <v>OK</v>
      </c>
    </row>
    <row r="812" spans="2:34" x14ac:dyDescent="0.2">
      <c r="B812" s="2">
        <f ca="1"/>
        <v>6.0047229378750178E-2</v>
      </c>
      <c r="O812" s="2">
        <f ca="1"/>
        <v>0.34227195647381164</v>
      </c>
      <c r="X812" s="2">
        <f ca="1"/>
        <v>29.352690657073197</v>
      </c>
      <c r="AG812" s="2">
        <f ca="1"/>
        <v>0.43104093377119534</v>
      </c>
      <c r="AH812" s="2" t="str">
        <f ca="1"/>
        <v>Bad</v>
      </c>
    </row>
    <row r="813" spans="2:34" x14ac:dyDescent="0.2">
      <c r="B813" s="2">
        <f ca="1"/>
        <v>0.36446249955314047</v>
      </c>
      <c r="O813" s="2">
        <f ca="1"/>
        <v>-0.80292087167772697</v>
      </c>
      <c r="X813" s="2">
        <f ca="1"/>
        <v>39.225758007541046</v>
      </c>
      <c r="AG813" s="2">
        <f ca="1"/>
        <v>0.47858866227173125</v>
      </c>
      <c r="AH813" s="2" t="str">
        <f ca="1"/>
        <v>Bad</v>
      </c>
    </row>
    <row r="814" spans="2:34" x14ac:dyDescent="0.2">
      <c r="B814" s="2">
        <f ca="1"/>
        <v>0.17701755168886102</v>
      </c>
      <c r="O814" s="2">
        <f ca="1"/>
        <v>0.71222404429855557</v>
      </c>
      <c r="X814" s="2">
        <f ca="1"/>
        <v>61.427398829794839</v>
      </c>
      <c r="AG814" s="2">
        <f ca="1"/>
        <v>0.83393681792009677</v>
      </c>
      <c r="AH814" s="2" t="str">
        <f ca="1"/>
        <v>Bad</v>
      </c>
    </row>
    <row r="815" spans="2:34" x14ac:dyDescent="0.2">
      <c r="B815" s="2">
        <f ca="1"/>
        <v>0.26036371362245814</v>
      </c>
      <c r="O815" s="2">
        <f ca="1"/>
        <v>0.73065542958449592</v>
      </c>
      <c r="X815" s="2">
        <f ca="1"/>
        <v>71.372979455200948</v>
      </c>
      <c r="AG815" s="2">
        <f ca="1"/>
        <v>0.83492220019555519</v>
      </c>
      <c r="AH815" s="2" t="str">
        <f ca="1"/>
        <v>Bad</v>
      </c>
    </row>
    <row r="816" spans="2:34" x14ac:dyDescent="0.2">
      <c r="B816" s="2">
        <f ca="1"/>
        <v>0.69317430969955018</v>
      </c>
      <c r="O816" s="2">
        <f ca="1"/>
        <v>0.91352209463710432</v>
      </c>
      <c r="X816" s="2">
        <f ca="1"/>
        <v>55.662477587457673</v>
      </c>
      <c r="AG816" s="2">
        <f ca="1"/>
        <v>0.3301450084686155</v>
      </c>
      <c r="AH816" s="2" t="str">
        <f ca="1"/>
        <v>OK</v>
      </c>
    </row>
    <row r="817" spans="2:34" x14ac:dyDescent="0.2">
      <c r="B817" s="2">
        <f ca="1"/>
        <v>0.91214214453391063</v>
      </c>
      <c r="O817" s="2">
        <f ca="1"/>
        <v>-1.2853990425037776</v>
      </c>
      <c r="X817" s="2">
        <f ca="1"/>
        <v>43.908778954560987</v>
      </c>
      <c r="AG817" s="2">
        <f ca="1"/>
        <v>0.32775860589780881</v>
      </c>
      <c r="AH817" s="2" t="str">
        <f ca="1"/>
        <v>OK</v>
      </c>
    </row>
    <row r="818" spans="2:34" x14ac:dyDescent="0.2">
      <c r="B818" s="2">
        <f ca="1"/>
        <v>0.61174980748052765</v>
      </c>
      <c r="O818" s="2">
        <f ca="1"/>
        <v>0.95199774916954172</v>
      </c>
      <c r="X818" s="2">
        <f ca="1"/>
        <v>60.547261871147384</v>
      </c>
      <c r="AG818" s="2">
        <f ca="1"/>
        <v>0.30465828591408828</v>
      </c>
      <c r="AH818" s="2" t="str">
        <f ca="1"/>
        <v>OK</v>
      </c>
    </row>
    <row r="819" spans="2:34" x14ac:dyDescent="0.2">
      <c r="B819" s="2">
        <f ca="1"/>
        <v>4.3496126755760089E-2</v>
      </c>
      <c r="O819" s="2">
        <f ca="1"/>
        <v>0.92481492097942852</v>
      </c>
      <c r="X819" s="2">
        <f ca="1"/>
        <v>39.005527271171118</v>
      </c>
      <c r="AG819" s="2">
        <f ca="1"/>
        <v>0.15947152502973827</v>
      </c>
      <c r="AH819" s="2" t="str">
        <f ca="1"/>
        <v>OK</v>
      </c>
    </row>
    <row r="820" spans="2:34" x14ac:dyDescent="0.2">
      <c r="B820" s="2">
        <f ca="1"/>
        <v>0.81140859933325249</v>
      </c>
      <c r="O820" s="2">
        <f ca="1"/>
        <v>-3.9245576186799629E-2</v>
      </c>
      <c r="X820" s="2">
        <f ca="1"/>
        <v>61.443016173914991</v>
      </c>
      <c r="AG820" s="2">
        <f ca="1"/>
        <v>5.356021853186177E-2</v>
      </c>
      <c r="AH820" s="2" t="str">
        <f ca="1"/>
        <v>OK</v>
      </c>
    </row>
    <row r="821" spans="2:34" x14ac:dyDescent="0.2">
      <c r="B821" s="2">
        <f ca="1"/>
        <v>7.5907795864239791E-2</v>
      </c>
      <c r="O821" s="2">
        <f ca="1"/>
        <v>0.49835353549712103</v>
      </c>
      <c r="X821" s="2">
        <f ca="1"/>
        <v>51.185386061177887</v>
      </c>
      <c r="AG821" s="2">
        <f ca="1"/>
        <v>0.86812233694937646</v>
      </c>
      <c r="AH821" s="2" t="str">
        <f ca="1"/>
        <v>Bad</v>
      </c>
    </row>
    <row r="822" spans="2:34" x14ac:dyDescent="0.2">
      <c r="B822" s="2">
        <f ca="1"/>
        <v>0.12472707461159405</v>
      </c>
      <c r="O822" s="2">
        <f ca="1"/>
        <v>-1.0646265838068534</v>
      </c>
      <c r="X822" s="2">
        <f ca="1"/>
        <v>54.229763777815066</v>
      </c>
      <c r="AG822" s="2">
        <f ca="1"/>
        <v>0.89034874071459691</v>
      </c>
      <c r="AH822" s="2" t="str">
        <f ca="1"/>
        <v>Bad</v>
      </c>
    </row>
    <row r="823" spans="2:34" x14ac:dyDescent="0.2">
      <c r="B823" s="2">
        <f ca="1"/>
        <v>0.81902239245447483</v>
      </c>
      <c r="O823" s="2">
        <f ca="1"/>
        <v>-0.33601044784835959</v>
      </c>
      <c r="X823" s="2">
        <f ca="1"/>
        <v>52.936670220079421</v>
      </c>
      <c r="AG823" s="2">
        <f ca="1"/>
        <v>0.49504171355332649</v>
      </c>
      <c r="AH823" s="2" t="str">
        <f ca="1"/>
        <v>Bad</v>
      </c>
    </row>
    <row r="824" spans="2:34" x14ac:dyDescent="0.2">
      <c r="B824" s="2">
        <f ca="1"/>
        <v>0.89228523771807811</v>
      </c>
      <c r="O824" s="2">
        <f ca="1"/>
        <v>-0.4317993818101088</v>
      </c>
      <c r="X824" s="2">
        <f ca="1"/>
        <v>34.618753151883325</v>
      </c>
      <c r="AG824" s="2">
        <f ca="1"/>
        <v>0.66483936050784065</v>
      </c>
      <c r="AH824" s="2" t="str">
        <f ca="1"/>
        <v>Bad</v>
      </c>
    </row>
    <row r="825" spans="2:34" x14ac:dyDescent="0.2">
      <c r="B825" s="2">
        <f ca="1"/>
        <v>0.19762587833764234</v>
      </c>
      <c r="O825" s="2">
        <f ca="1"/>
        <v>-0.33957662552402723</v>
      </c>
      <c r="X825" s="2">
        <f ca="1"/>
        <v>40.644183231033509</v>
      </c>
      <c r="AG825" s="2">
        <f ca="1"/>
        <v>0.54860685542210486</v>
      </c>
      <c r="AH825" s="2" t="str">
        <f ca="1"/>
        <v>Bad</v>
      </c>
    </row>
    <row r="826" spans="2:34" x14ac:dyDescent="0.2">
      <c r="B826" s="2">
        <f ca="1"/>
        <v>0.36618970954203967</v>
      </c>
      <c r="O826" s="2">
        <f ca="1"/>
        <v>-3.5165689050431208E-2</v>
      </c>
      <c r="X826" s="2">
        <f ca="1"/>
        <v>87.618530880910228</v>
      </c>
      <c r="AG826" s="2">
        <f ca="1"/>
        <v>0.82419408747402501</v>
      </c>
      <c r="AH826" s="2" t="str">
        <f ca="1"/>
        <v>Bad</v>
      </c>
    </row>
    <row r="827" spans="2:34" x14ac:dyDescent="0.2">
      <c r="B827" s="2">
        <f ca="1"/>
        <v>0.742673526828727</v>
      </c>
      <c r="O827" s="2">
        <f ca="1"/>
        <v>-0.77440357335979548</v>
      </c>
      <c r="X827" s="2">
        <f ca="1"/>
        <v>66.722578386205655</v>
      </c>
      <c r="AG827" s="2">
        <f ca="1"/>
        <v>3.8762379022308835E-2</v>
      </c>
      <c r="AH827" s="2" t="str">
        <f ca="1"/>
        <v>Good</v>
      </c>
    </row>
    <row r="828" spans="2:34" x14ac:dyDescent="0.2">
      <c r="B828" s="2">
        <f ca="1"/>
        <v>8.6160658883918328E-2</v>
      </c>
      <c r="O828" s="2">
        <f ca="1"/>
        <v>-0.59534971847520413</v>
      </c>
      <c r="X828" s="2">
        <f ca="1"/>
        <v>40.204935973566037</v>
      </c>
      <c r="AG828" s="2">
        <f ca="1"/>
        <v>0.50236960990444213</v>
      </c>
      <c r="AH828" s="2" t="str">
        <f ca="1"/>
        <v>Bad</v>
      </c>
    </row>
    <row r="829" spans="2:34" x14ac:dyDescent="0.2">
      <c r="B829" s="2">
        <f ca="1"/>
        <v>0.78687116639651533</v>
      </c>
      <c r="O829" s="2">
        <f ca="1"/>
        <v>0.29691465810980783</v>
      </c>
      <c r="X829" s="2">
        <f ca="1"/>
        <v>62.3199491512012</v>
      </c>
      <c r="AG829" s="2">
        <f ca="1"/>
        <v>0.43838110776042827</v>
      </c>
      <c r="AH829" s="2" t="str">
        <f ca="1"/>
        <v>Bad</v>
      </c>
    </row>
    <row r="830" spans="2:34" x14ac:dyDescent="0.2">
      <c r="B830" s="2">
        <f ca="1"/>
        <v>0.54181843713098332</v>
      </c>
      <c r="O830" s="2">
        <f ca="1"/>
        <v>-9.0012279101873385E-2</v>
      </c>
      <c r="X830" s="2">
        <f ca="1"/>
        <v>47.0361973718881</v>
      </c>
      <c r="AG830" s="2">
        <f ca="1"/>
        <v>0.29348924391001852</v>
      </c>
      <c r="AH830" s="2" t="str">
        <f ca="1"/>
        <v>OK</v>
      </c>
    </row>
    <row r="831" spans="2:34" x14ac:dyDescent="0.2">
      <c r="B831" s="2">
        <f ca="1"/>
        <v>0.45290664676467363</v>
      </c>
      <c r="O831" s="2">
        <f ca="1"/>
        <v>-0.37324320379326925</v>
      </c>
      <c r="X831" s="2">
        <f ca="1"/>
        <v>89.856566232580889</v>
      </c>
      <c r="AG831" s="2">
        <f ca="1"/>
        <v>0.81717743733314929</v>
      </c>
      <c r="AH831" s="2" t="str">
        <f ca="1"/>
        <v>Bad</v>
      </c>
    </row>
    <row r="832" spans="2:34" x14ac:dyDescent="0.2">
      <c r="B832" s="2">
        <f ca="1"/>
        <v>0.14929699807967989</v>
      </c>
      <c r="O832" s="2">
        <f ca="1"/>
        <v>7.3354464127644486E-2</v>
      </c>
      <c r="X832" s="2">
        <f ca="1"/>
        <v>27.320674263721095</v>
      </c>
      <c r="AG832" s="2">
        <f ca="1"/>
        <v>0.10000106473039461</v>
      </c>
      <c r="AH832" s="2" t="str">
        <f ca="1"/>
        <v>OK</v>
      </c>
    </row>
    <row r="833" spans="2:34" x14ac:dyDescent="0.2">
      <c r="B833" s="2">
        <f ca="1"/>
        <v>0.61157082747697</v>
      </c>
      <c r="O833" s="2">
        <f ca="1"/>
        <v>1.35179506024995</v>
      </c>
      <c r="X833" s="2">
        <f ca="1"/>
        <v>47.275829334197169</v>
      </c>
      <c r="AG833" s="2">
        <f ca="1"/>
        <v>0.88878390313900235</v>
      </c>
      <c r="AH833" s="2" t="str">
        <f ca="1"/>
        <v>Bad</v>
      </c>
    </row>
    <row r="834" spans="2:34" x14ac:dyDescent="0.2">
      <c r="B834" s="2">
        <f ca="1"/>
        <v>0.27340850084258572</v>
      </c>
      <c r="O834" s="2">
        <f ca="1"/>
        <v>0.42075994400769123</v>
      </c>
      <c r="X834" s="2">
        <f ca="1"/>
        <v>31.957371957227107</v>
      </c>
      <c r="AG834" s="2">
        <f ca="1"/>
        <v>0.79411943215688607</v>
      </c>
      <c r="AH834" s="2" t="str">
        <f ca="1"/>
        <v>Bad</v>
      </c>
    </row>
    <row r="835" spans="2:34" x14ac:dyDescent="0.2">
      <c r="B835" s="2">
        <f ca="1"/>
        <v>0.8759207538235434</v>
      </c>
      <c r="O835" s="2">
        <f ca="1"/>
        <v>-0.14977076412485366</v>
      </c>
      <c r="X835" s="2">
        <f ca="1"/>
        <v>27.116239966778281</v>
      </c>
      <c r="AG835" s="2">
        <f ca="1"/>
        <v>0.60968086454653903</v>
      </c>
      <c r="AH835" s="2" t="str">
        <f ca="1"/>
        <v>Bad</v>
      </c>
    </row>
    <row r="836" spans="2:34" x14ac:dyDescent="0.2">
      <c r="B836" s="2">
        <f ca="1"/>
        <v>0.10449368126877445</v>
      </c>
      <c r="O836" s="2">
        <f ca="1"/>
        <v>-0.97599898847233935</v>
      </c>
      <c r="X836" s="2">
        <f ca="1"/>
        <v>21.96648494228085</v>
      </c>
      <c r="AG836" s="2">
        <f ca="1"/>
        <v>0.52245996711984066</v>
      </c>
      <c r="AH836" s="2" t="str">
        <f ca="1"/>
        <v>Bad</v>
      </c>
    </row>
    <row r="837" spans="2:34" x14ac:dyDescent="0.2">
      <c r="B837" s="2">
        <f ca="1"/>
        <v>0.57246401912520528</v>
      </c>
      <c r="O837" s="2">
        <f ca="1"/>
        <v>-1.2334043244765154</v>
      </c>
      <c r="X837" s="2">
        <f ca="1"/>
        <v>46.958340157384256</v>
      </c>
      <c r="AG837" s="2">
        <f ca="1"/>
        <v>0.3648998949574831</v>
      </c>
      <c r="AH837" s="2" t="str">
        <f ca="1"/>
        <v>OK</v>
      </c>
    </row>
    <row r="838" spans="2:34" x14ac:dyDescent="0.2">
      <c r="B838" s="2">
        <f ca="1"/>
        <v>0.76882650160746402</v>
      </c>
      <c r="O838" s="2">
        <f ca="1"/>
        <v>1.1378125853055567</v>
      </c>
      <c r="X838" s="2">
        <f ca="1"/>
        <v>38.649935969539698</v>
      </c>
      <c r="AG838" s="2">
        <f ca="1"/>
        <v>0.58986298092953549</v>
      </c>
      <c r="AH838" s="2" t="str">
        <f ca="1"/>
        <v>Bad</v>
      </c>
    </row>
    <row r="839" spans="2:34" x14ac:dyDescent="0.2">
      <c r="B839" s="2">
        <f ca="1"/>
        <v>0.52748437072100685</v>
      </c>
      <c r="O839" s="2">
        <f ca="1"/>
        <v>0.64007914824552958</v>
      </c>
      <c r="X839" s="2">
        <f ca="1"/>
        <v>97.499044583589495</v>
      </c>
      <c r="AG839" s="2">
        <f ca="1"/>
        <v>0.40592015279789306</v>
      </c>
      <c r="AH839" s="2" t="str">
        <f ca="1"/>
        <v>Bad</v>
      </c>
    </row>
    <row r="840" spans="2:34" x14ac:dyDescent="0.2">
      <c r="B840" s="2">
        <f ca="1"/>
        <v>0.31118820293373073</v>
      </c>
      <c r="O840" s="2">
        <f ca="1"/>
        <v>0.26739895439578626</v>
      </c>
      <c r="X840" s="2">
        <f ca="1"/>
        <v>85.322967816136497</v>
      </c>
      <c r="AG840" s="2">
        <f ca="1"/>
        <v>5.6898887854485158E-2</v>
      </c>
      <c r="AH840" s="2" t="str">
        <f ca="1"/>
        <v>OK</v>
      </c>
    </row>
    <row r="841" spans="2:34" x14ac:dyDescent="0.2">
      <c r="B841" s="2">
        <f ca="1"/>
        <v>0.80086394421393248</v>
      </c>
      <c r="O841" s="2">
        <f ca="1"/>
        <v>1.2182725074736009</v>
      </c>
      <c r="X841" s="2">
        <f ca="1"/>
        <v>50.782871544454864</v>
      </c>
      <c r="AG841" s="2">
        <f ca="1"/>
        <v>0.72545503472615147</v>
      </c>
      <c r="AH841" s="2" t="str">
        <f ca="1"/>
        <v>Bad</v>
      </c>
    </row>
    <row r="842" spans="2:34" x14ac:dyDescent="0.2">
      <c r="B842" s="2">
        <f ca="1"/>
        <v>6.9510511132224062E-2</v>
      </c>
      <c r="O842" s="2">
        <f ca="1"/>
        <v>0.4256830268932339</v>
      </c>
      <c r="X842" s="2">
        <f ca="1"/>
        <v>63.624510551867516</v>
      </c>
      <c r="AG842" s="2">
        <f ca="1"/>
        <v>0.71193912045145447</v>
      </c>
      <c r="AH842" s="2" t="str">
        <f ca="1"/>
        <v>Bad</v>
      </c>
    </row>
    <row r="843" spans="2:34" x14ac:dyDescent="0.2">
      <c r="B843" s="2">
        <f ca="1"/>
        <v>0.31715884053570975</v>
      </c>
      <c r="O843" s="2">
        <f ca="1"/>
        <v>-1.4613908893103187</v>
      </c>
      <c r="X843" s="2">
        <f ca="1"/>
        <v>65.418837385753207</v>
      </c>
      <c r="AG843" s="2">
        <f ca="1"/>
        <v>0.66770908759460768</v>
      </c>
      <c r="AH843" s="2" t="str">
        <f ca="1"/>
        <v>Bad</v>
      </c>
    </row>
    <row r="844" spans="2:34" x14ac:dyDescent="0.2">
      <c r="B844" s="2">
        <f ca="1"/>
        <v>0.78801197656896682</v>
      </c>
      <c r="O844" s="2">
        <f ca="1"/>
        <v>-1.0915765821450361</v>
      </c>
      <c r="X844" s="2">
        <f ca="1"/>
        <v>37.811932874135834</v>
      </c>
      <c r="AG844" s="2">
        <f ca="1"/>
        <v>0.73970857079661889</v>
      </c>
      <c r="AH844" s="2" t="str">
        <f ca="1"/>
        <v>Bad</v>
      </c>
    </row>
    <row r="845" spans="2:34" x14ac:dyDescent="0.2">
      <c r="B845" s="2">
        <f ca="1"/>
        <v>0.13964502291808678</v>
      </c>
      <c r="O845" s="2">
        <f ca="1"/>
        <v>1.1128753607006829</v>
      </c>
      <c r="X845" s="2">
        <f ca="1"/>
        <v>65.750559892825279</v>
      </c>
      <c r="AG845" s="2">
        <f ca="1"/>
        <v>0.61318200595894301</v>
      </c>
      <c r="AH845" s="2" t="str">
        <f ca="1"/>
        <v>Bad</v>
      </c>
    </row>
    <row r="846" spans="2:34" x14ac:dyDescent="0.2">
      <c r="B846" s="2">
        <f ca="1"/>
        <v>0.16872954571021492</v>
      </c>
      <c r="O846" s="2">
        <f ca="1"/>
        <v>0.76466365654919433</v>
      </c>
      <c r="X846" s="2">
        <f ca="1"/>
        <v>62.341037012357646</v>
      </c>
      <c r="AG846" s="2">
        <f ca="1"/>
        <v>1.1340544960353194E-2</v>
      </c>
      <c r="AH846" s="2" t="str">
        <f ca="1"/>
        <v>Good</v>
      </c>
    </row>
    <row r="847" spans="2:34" x14ac:dyDescent="0.2">
      <c r="B847" s="2">
        <f ca="1"/>
        <v>0.77432720574222502</v>
      </c>
      <c r="O847" s="2">
        <f ca="1"/>
        <v>-0.89140488579763133</v>
      </c>
      <c r="X847" s="2">
        <f ca="1"/>
        <v>40.916144422238091</v>
      </c>
      <c r="AG847" s="2">
        <f ca="1"/>
        <v>0.42587460316504888</v>
      </c>
      <c r="AH847" s="2" t="str">
        <f ca="1"/>
        <v>Bad</v>
      </c>
    </row>
    <row r="848" spans="2:34" x14ac:dyDescent="0.2">
      <c r="B848" s="2">
        <f ca="1"/>
        <v>0.89494236804702365</v>
      </c>
      <c r="O848" s="2">
        <f ca="1"/>
        <v>0.5222437680028903</v>
      </c>
      <c r="X848" s="2">
        <f ca="1"/>
        <v>21.825454137344078</v>
      </c>
      <c r="AG848" s="2">
        <f ca="1"/>
        <v>0.98590311426071708</v>
      </c>
      <c r="AH848" s="2" t="str">
        <f ca="1"/>
        <v>Bad</v>
      </c>
    </row>
    <row r="849" spans="2:34" x14ac:dyDescent="0.2">
      <c r="B849" s="2">
        <f ca="1"/>
        <v>0.68215334932706551</v>
      </c>
      <c r="O849" s="2">
        <f ca="1"/>
        <v>-0.18421392740607861</v>
      </c>
      <c r="X849" s="2">
        <f ca="1"/>
        <v>44.001749592156472</v>
      </c>
      <c r="AG849" s="2">
        <f ca="1"/>
        <v>0.67029443448543913</v>
      </c>
      <c r="AH849" s="2" t="str">
        <f ca="1"/>
        <v>Bad</v>
      </c>
    </row>
    <row r="850" spans="2:34" x14ac:dyDescent="0.2">
      <c r="B850" s="2">
        <f ca="1"/>
        <v>0.91201307407701115</v>
      </c>
      <c r="O850" s="2">
        <f ca="1"/>
        <v>-0.5147890177049349</v>
      </c>
      <c r="X850" s="2">
        <f ca="1"/>
        <v>42.926754865955147</v>
      </c>
      <c r="AG850" s="2">
        <f ca="1"/>
        <v>0.71383330694556157</v>
      </c>
      <c r="AH850" s="2" t="str">
        <f ca="1"/>
        <v>Bad</v>
      </c>
    </row>
    <row r="851" spans="2:34" x14ac:dyDescent="0.2">
      <c r="B851" s="2">
        <f ca="1"/>
        <v>1.8836826680954433E-2</v>
      </c>
      <c r="O851" s="2">
        <f ca="1"/>
        <v>-7.6758321100082016E-2</v>
      </c>
      <c r="X851" s="2">
        <f ca="1"/>
        <v>33.840011144157607</v>
      </c>
      <c r="AG851" s="2">
        <f ca="1"/>
        <v>0.14608921200735492</v>
      </c>
      <c r="AH851" s="2" t="str">
        <f ca="1"/>
        <v>OK</v>
      </c>
    </row>
    <row r="852" spans="2:34" x14ac:dyDescent="0.2">
      <c r="B852" s="2">
        <f ca="1"/>
        <v>0.41687335458036867</v>
      </c>
      <c r="O852" s="2">
        <f ca="1"/>
        <v>0.98338399558470269</v>
      </c>
      <c r="X852" s="2">
        <f ca="1"/>
        <v>76.967410121697895</v>
      </c>
      <c r="AG852" s="2">
        <f ca="1"/>
        <v>0.82717187617201771</v>
      </c>
      <c r="AH852" s="2" t="str">
        <f ca="1"/>
        <v>Bad</v>
      </c>
    </row>
    <row r="853" spans="2:34" x14ac:dyDescent="0.2">
      <c r="B853" s="2">
        <f ca="1"/>
        <v>0.23454562382493305</v>
      </c>
      <c r="O853" s="2">
        <f ca="1"/>
        <v>1.5955634204425697</v>
      </c>
      <c r="X853" s="2">
        <f ca="1"/>
        <v>28.489476546559665</v>
      </c>
      <c r="AG853" s="2">
        <f ca="1"/>
        <v>0.86955446658569091</v>
      </c>
      <c r="AH853" s="2" t="str">
        <f ca="1"/>
        <v>Bad</v>
      </c>
    </row>
    <row r="854" spans="2:34" x14ac:dyDescent="0.2">
      <c r="B854" s="2">
        <f ca="1"/>
        <v>0.49536062953320004</v>
      </c>
      <c r="O854" s="2">
        <f ca="1"/>
        <v>0.19081600829854242</v>
      </c>
      <c r="X854" s="2">
        <f ca="1"/>
        <v>31.42359403909273</v>
      </c>
      <c r="AG854" s="2">
        <f ca="1"/>
        <v>0.66644727179394492</v>
      </c>
      <c r="AH854" s="2" t="str">
        <f ca="1"/>
        <v>Bad</v>
      </c>
    </row>
    <row r="855" spans="2:34" x14ac:dyDescent="0.2">
      <c r="B855" s="2">
        <f ca="1"/>
        <v>0.76139654756211694</v>
      </c>
      <c r="O855" s="2">
        <f ca="1"/>
        <v>-1.532272184713654</v>
      </c>
      <c r="X855" s="2">
        <f ca="1"/>
        <v>61.421674833026643</v>
      </c>
      <c r="AG855" s="2">
        <f ca="1"/>
        <v>0.6054274722524593</v>
      </c>
      <c r="AH855" s="2" t="str">
        <f ca="1"/>
        <v>Bad</v>
      </c>
    </row>
    <row r="856" spans="2:34" x14ac:dyDescent="0.2">
      <c r="B856" s="2">
        <f ca="1"/>
        <v>0.9550644631705405</v>
      </c>
      <c r="O856" s="2">
        <f ca="1"/>
        <v>-0.12372903944659622</v>
      </c>
      <c r="X856" s="2">
        <f ca="1"/>
        <v>38.067816926851911</v>
      </c>
      <c r="AG856" s="2">
        <f ca="1"/>
        <v>0.83934024717472044</v>
      </c>
      <c r="AH856" s="2" t="str">
        <f ca="1"/>
        <v>Bad</v>
      </c>
    </row>
    <row r="857" spans="2:34" x14ac:dyDescent="0.2">
      <c r="B857" s="2">
        <f ca="1"/>
        <v>0.3415355700299858</v>
      </c>
      <c r="O857" s="2">
        <f ca="1"/>
        <v>0.79671633778590556</v>
      </c>
      <c r="X857" s="2">
        <f ca="1"/>
        <v>53.739800702297885</v>
      </c>
      <c r="AG857" s="2">
        <f ca="1"/>
        <v>0.82134939179375976</v>
      </c>
      <c r="AH857" s="2" t="str">
        <f ca="1"/>
        <v>Bad</v>
      </c>
    </row>
    <row r="858" spans="2:34" x14ac:dyDescent="0.2">
      <c r="B858" s="2">
        <f ca="1"/>
        <v>0.98264447394540011</v>
      </c>
      <c r="O858" s="2">
        <f ca="1"/>
        <v>-0.71977806512679798</v>
      </c>
      <c r="X858" s="2">
        <f ca="1"/>
        <v>54.516593789126432</v>
      </c>
      <c r="AG858" s="2">
        <f ca="1"/>
        <v>0.25248203732054431</v>
      </c>
      <c r="AH858" s="2" t="str">
        <f ca="1"/>
        <v>OK</v>
      </c>
    </row>
    <row r="859" spans="2:34" x14ac:dyDescent="0.2">
      <c r="B859" s="2">
        <f ca="1"/>
        <v>0.14906058462515004</v>
      </c>
      <c r="O859" s="2">
        <f ca="1"/>
        <v>0.90877442960147736</v>
      </c>
      <c r="X859" s="2">
        <f ca="1"/>
        <v>49.253896731220941</v>
      </c>
      <c r="AG859" s="2">
        <f ca="1"/>
        <v>3.6046116547834295E-3</v>
      </c>
      <c r="AH859" s="2" t="str">
        <f ca="1"/>
        <v>Good</v>
      </c>
    </row>
    <row r="860" spans="2:34" x14ac:dyDescent="0.2">
      <c r="B860" s="2">
        <f ca="1"/>
        <v>0.3598918640306219</v>
      </c>
      <c r="O860" s="2">
        <f ca="1"/>
        <v>-1.5934112599192485</v>
      </c>
      <c r="X860" s="2">
        <f ca="1"/>
        <v>64.127607482192886</v>
      </c>
      <c r="AG860" s="2">
        <f ca="1"/>
        <v>0.73535819385346546</v>
      </c>
      <c r="AH860" s="2" t="str">
        <f ca="1"/>
        <v>Bad</v>
      </c>
    </row>
    <row r="861" spans="2:34" x14ac:dyDescent="0.2">
      <c r="B861" s="2">
        <f ca="1"/>
        <v>0.22758740853674153</v>
      </c>
      <c r="O861" s="2">
        <f ca="1"/>
        <v>0.80716715141233075</v>
      </c>
      <c r="X861" s="2">
        <f ca="1"/>
        <v>38.778617171205013</v>
      </c>
      <c r="AG861" s="2">
        <f ca="1"/>
        <v>0.60699621631510547</v>
      </c>
      <c r="AH861" s="2" t="str">
        <f ca="1"/>
        <v>Bad</v>
      </c>
    </row>
    <row r="862" spans="2:34" x14ac:dyDescent="0.2">
      <c r="B862" s="2">
        <f ca="1"/>
        <v>0.28156608762118718</v>
      </c>
      <c r="O862" s="2">
        <f ca="1"/>
        <v>1.7240056405310482</v>
      </c>
      <c r="X862" s="2">
        <f ca="1"/>
        <v>21.768802305912956</v>
      </c>
      <c r="AG862" s="2">
        <f ca="1"/>
        <v>0.56450513256365231</v>
      </c>
      <c r="AH862" s="2" t="str">
        <f ca="1"/>
        <v>Bad</v>
      </c>
    </row>
    <row r="863" spans="2:34" x14ac:dyDescent="0.2">
      <c r="B863" s="2">
        <f ca="1"/>
        <v>0.28833098435178384</v>
      </c>
      <c r="O863" s="2">
        <f ca="1"/>
        <v>-0.37925400060128195</v>
      </c>
      <c r="X863" s="2">
        <f ca="1"/>
        <v>70.017913703823766</v>
      </c>
      <c r="AG863" s="2">
        <f ca="1"/>
        <v>8.3359538951193857E-2</v>
      </c>
      <c r="AH863" s="2" t="str">
        <f ca="1"/>
        <v>OK</v>
      </c>
    </row>
    <row r="864" spans="2:34" x14ac:dyDescent="0.2">
      <c r="B864" s="2">
        <f ca="1"/>
        <v>0.88943320058842801</v>
      </c>
      <c r="O864" s="2">
        <f ca="1"/>
        <v>0.56204232595135051</v>
      </c>
      <c r="X864" s="2">
        <f ca="1"/>
        <v>78.446851267660008</v>
      </c>
      <c r="AG864" s="2">
        <f ca="1"/>
        <v>0.6032287019036382</v>
      </c>
      <c r="AH864" s="2" t="str">
        <f ca="1"/>
        <v>Bad</v>
      </c>
    </row>
    <row r="865" spans="2:34" x14ac:dyDescent="0.2">
      <c r="B865" s="2">
        <f ca="1"/>
        <v>0.29254546951523075</v>
      </c>
      <c r="O865" s="2">
        <f ca="1"/>
        <v>-4.44967971695375E-2</v>
      </c>
      <c r="X865" s="2">
        <f ca="1"/>
        <v>57.431100773279333</v>
      </c>
      <c r="AG865" s="2">
        <f ca="1"/>
        <v>0.52148979915171512</v>
      </c>
      <c r="AH865" s="2" t="str">
        <f ca="1"/>
        <v>Bad</v>
      </c>
    </row>
    <row r="866" spans="2:34" x14ac:dyDescent="0.2">
      <c r="B866" s="2">
        <f ca="1"/>
        <v>0.4761071769196934</v>
      </c>
      <c r="O866" s="2">
        <f ca="1"/>
        <v>0.37049700719148548</v>
      </c>
      <c r="X866" s="2">
        <f ca="1"/>
        <v>36.358662827081211</v>
      </c>
      <c r="AG866" s="2">
        <f ca="1"/>
        <v>0.79342598885908866</v>
      </c>
      <c r="AH866" s="2" t="str">
        <f ca="1"/>
        <v>Bad</v>
      </c>
    </row>
    <row r="867" spans="2:34" x14ac:dyDescent="0.2">
      <c r="B867" s="2">
        <f ca="1"/>
        <v>0.30019325675233621</v>
      </c>
      <c r="O867" s="2">
        <f ca="1"/>
        <v>-2.1849701018990655</v>
      </c>
      <c r="X867" s="2">
        <f ca="1"/>
        <v>66.120205747197772</v>
      </c>
      <c r="AG867" s="2">
        <f ca="1"/>
        <v>0.11488049610730289</v>
      </c>
      <c r="AH867" s="2" t="str">
        <f ca="1"/>
        <v>OK</v>
      </c>
    </row>
    <row r="868" spans="2:34" x14ac:dyDescent="0.2">
      <c r="B868" s="2">
        <f ca="1"/>
        <v>0.98114903867332148</v>
      </c>
      <c r="O868" s="2">
        <f ca="1"/>
        <v>0.32760824280903161</v>
      </c>
      <c r="X868" s="2">
        <f ca="1"/>
        <v>39.560868196003966</v>
      </c>
      <c r="AG868" s="2">
        <f ca="1"/>
        <v>0.67538187476303668</v>
      </c>
      <c r="AH868" s="2" t="str">
        <f ca="1"/>
        <v>Bad</v>
      </c>
    </row>
    <row r="869" spans="2:34" x14ac:dyDescent="0.2">
      <c r="B869" s="2">
        <f ca="1"/>
        <v>0.97136011358732244</v>
      </c>
      <c r="O869" s="2">
        <f ca="1"/>
        <v>0.87045907096136699</v>
      </c>
      <c r="X869" s="2">
        <f ca="1"/>
        <v>34.503911035817282</v>
      </c>
      <c r="AG869" s="2">
        <f ca="1"/>
        <v>0.87775864881423526</v>
      </c>
      <c r="AH869" s="2" t="str">
        <f ca="1"/>
        <v>Bad</v>
      </c>
    </row>
    <row r="870" spans="2:34" x14ac:dyDescent="0.2">
      <c r="B870" s="2">
        <f ca="1"/>
        <v>9.6293209600827545E-2</v>
      </c>
      <c r="O870" s="2">
        <f ca="1"/>
        <v>0.15023821547870855</v>
      </c>
      <c r="X870" s="2">
        <f ca="1"/>
        <v>42.095016555076626</v>
      </c>
      <c r="AG870" s="2">
        <f ca="1"/>
        <v>0.42795625820885097</v>
      </c>
      <c r="AH870" s="2" t="str">
        <f ca="1"/>
        <v>Bad</v>
      </c>
    </row>
    <row r="871" spans="2:34" x14ac:dyDescent="0.2">
      <c r="B871" s="2">
        <f ca="1"/>
        <v>0.51032091844048399</v>
      </c>
      <c r="O871" s="2">
        <f ca="1"/>
        <v>0.96629625274457731</v>
      </c>
      <c r="X871" s="2">
        <f ca="1"/>
        <v>49.986609713704276</v>
      </c>
      <c r="AG871" s="2">
        <f ca="1"/>
        <v>0.84957196074946184</v>
      </c>
      <c r="AH871" s="2" t="str">
        <f ca="1"/>
        <v>Bad</v>
      </c>
    </row>
    <row r="872" spans="2:34" x14ac:dyDescent="0.2">
      <c r="B872" s="2">
        <f ca="1"/>
        <v>0.29252396156263738</v>
      </c>
      <c r="O872" s="2">
        <f ca="1"/>
        <v>-0.60231490838274682</v>
      </c>
      <c r="X872" s="2">
        <f ca="1"/>
        <v>88.477927034278082</v>
      </c>
      <c r="AG872" s="2">
        <f ca="1"/>
        <v>0.26464296578829583</v>
      </c>
      <c r="AH872" s="2" t="str">
        <f ca="1"/>
        <v>OK</v>
      </c>
    </row>
    <row r="873" spans="2:34" x14ac:dyDescent="0.2">
      <c r="B873" s="2">
        <f ca="1"/>
        <v>0.88493490085708837</v>
      </c>
      <c r="O873" s="2">
        <f ca="1"/>
        <v>-0.7856726008943975</v>
      </c>
      <c r="X873" s="2">
        <f ca="1"/>
        <v>56.558300370097101</v>
      </c>
      <c r="AG873" s="2">
        <f ca="1"/>
        <v>0.30154432993646751</v>
      </c>
      <c r="AH873" s="2" t="str">
        <f ca="1"/>
        <v>OK</v>
      </c>
    </row>
    <row r="874" spans="2:34" x14ac:dyDescent="0.2">
      <c r="B874" s="2">
        <f ca="1"/>
        <v>0.84790635316872676</v>
      </c>
      <c r="O874" s="2">
        <f ca="1"/>
        <v>-0.68482195789254663</v>
      </c>
      <c r="X874" s="2">
        <f ca="1"/>
        <v>39.043255712818869</v>
      </c>
      <c r="AG874" s="2">
        <f ca="1"/>
        <v>0.4145445110974193</v>
      </c>
      <c r="AH874" s="2" t="str">
        <f ca="1"/>
        <v>Bad</v>
      </c>
    </row>
    <row r="875" spans="2:34" x14ac:dyDescent="0.2">
      <c r="B875" s="2">
        <f ca="1"/>
        <v>1.03487010070904E-2</v>
      </c>
      <c r="O875" s="2">
        <f ca="1"/>
        <v>1.1701538949777344</v>
      </c>
      <c r="X875" s="2">
        <f ca="1"/>
        <v>31.447504795887681</v>
      </c>
      <c r="AG875" s="2">
        <f ca="1"/>
        <v>0.85807317690181151</v>
      </c>
      <c r="AH875" s="2" t="str">
        <f ca="1"/>
        <v>Bad</v>
      </c>
    </row>
    <row r="876" spans="2:34" x14ac:dyDescent="0.2">
      <c r="B876" s="2">
        <f ca="1"/>
        <v>0.12650112830857019</v>
      </c>
      <c r="O876" s="2">
        <f ca="1"/>
        <v>-1.557986012220824</v>
      </c>
      <c r="X876" s="2">
        <f ca="1"/>
        <v>32.560856805015334</v>
      </c>
      <c r="AG876" s="2">
        <f ca="1"/>
        <v>0.67979771831956581</v>
      </c>
      <c r="AH876" s="2" t="str">
        <f ca="1"/>
        <v>Bad</v>
      </c>
    </row>
    <row r="877" spans="2:34" x14ac:dyDescent="0.2">
      <c r="B877" s="2">
        <f ca="1"/>
        <v>0.89695937423501149</v>
      </c>
      <c r="O877" s="2">
        <f ca="1"/>
        <v>-0.41500739017872201</v>
      </c>
      <c r="X877" s="2">
        <f ca="1"/>
        <v>27.406840286623716</v>
      </c>
      <c r="AG877" s="2">
        <f ca="1"/>
        <v>0.79486152514326314</v>
      </c>
      <c r="AH877" s="2" t="str">
        <f ca="1"/>
        <v>Bad</v>
      </c>
    </row>
    <row r="878" spans="2:34" x14ac:dyDescent="0.2">
      <c r="B878" s="2">
        <f ca="1"/>
        <v>0.71994278569841019</v>
      </c>
      <c r="O878" s="2">
        <f ca="1"/>
        <v>-0.90637689914881681</v>
      </c>
      <c r="X878" s="2">
        <f ca="1"/>
        <v>35.505458030542258</v>
      </c>
      <c r="AG878" s="2">
        <f ca="1"/>
        <v>0.37929590948175629</v>
      </c>
      <c r="AH878" s="2" t="str">
        <f ca="1"/>
        <v>OK</v>
      </c>
    </row>
    <row r="879" spans="2:34" x14ac:dyDescent="0.2">
      <c r="B879" s="2">
        <f ca="1"/>
        <v>0.52059911176239271</v>
      </c>
      <c r="O879" s="2">
        <f ca="1"/>
        <v>-0.12499073679361776</v>
      </c>
      <c r="X879" s="2">
        <f ca="1"/>
        <v>78.351281032171684</v>
      </c>
      <c r="AG879" s="2">
        <f ca="1"/>
        <v>0.11999471797537686</v>
      </c>
      <c r="AH879" s="2" t="str">
        <f ca="1"/>
        <v>OK</v>
      </c>
    </row>
    <row r="880" spans="2:34" x14ac:dyDescent="0.2">
      <c r="B880" s="2">
        <f ca="1"/>
        <v>0.55768140188527915</v>
      </c>
      <c r="O880" s="2">
        <f ca="1"/>
        <v>0.550131607973396</v>
      </c>
      <c r="X880" s="2">
        <f ca="1"/>
        <v>67.010594906425155</v>
      </c>
      <c r="AG880" s="2">
        <f ca="1"/>
        <v>0.18980354199988225</v>
      </c>
      <c r="AH880" s="2" t="str">
        <f ca="1"/>
        <v>OK</v>
      </c>
    </row>
    <row r="881" spans="2:34" x14ac:dyDescent="0.2">
      <c r="B881" s="2">
        <f ca="1"/>
        <v>0.57994408105123618</v>
      </c>
      <c r="O881" s="2">
        <f ca="1"/>
        <v>-1.0833252908113105</v>
      </c>
      <c r="X881" s="2">
        <f ca="1"/>
        <v>52.600211207402346</v>
      </c>
      <c r="AG881" s="2">
        <f ca="1"/>
        <v>7.7649087782954762E-2</v>
      </c>
      <c r="AH881" s="2" t="str">
        <f ca="1"/>
        <v>OK</v>
      </c>
    </row>
    <row r="882" spans="2:34" x14ac:dyDescent="0.2">
      <c r="B882" s="2">
        <f ca="1"/>
        <v>0.72313062190875188</v>
      </c>
      <c r="O882" s="2">
        <f ca="1"/>
        <v>0.19167552622853659</v>
      </c>
      <c r="X882" s="2">
        <f ca="1"/>
        <v>28.39010690202841</v>
      </c>
      <c r="AG882" s="2">
        <f ca="1"/>
        <v>0.15823258089574321</v>
      </c>
      <c r="AH882" s="2" t="str">
        <f ca="1"/>
        <v>OK</v>
      </c>
    </row>
    <row r="883" spans="2:34" x14ac:dyDescent="0.2">
      <c r="B883" s="2">
        <f ca="1"/>
        <v>0.2598834714233047</v>
      </c>
      <c r="O883" s="2">
        <f ca="1"/>
        <v>0.2377531013387624</v>
      </c>
      <c r="X883" s="2">
        <f ca="1"/>
        <v>51.63015853427838</v>
      </c>
      <c r="AG883" s="2">
        <f ca="1"/>
        <v>0.52571336927053469</v>
      </c>
      <c r="AH883" s="2" t="str">
        <f ca="1"/>
        <v>Bad</v>
      </c>
    </row>
    <row r="884" spans="2:34" x14ac:dyDescent="0.2">
      <c r="B884" s="2">
        <f ca="1"/>
        <v>0.16159014558935914</v>
      </c>
      <c r="O884" s="2">
        <f ca="1"/>
        <v>4.5797409799239793E-3</v>
      </c>
      <c r="X884" s="2">
        <f ca="1"/>
        <v>56.723948704843892</v>
      </c>
      <c r="AG884" s="2">
        <f ca="1"/>
        <v>0.14894936170144168</v>
      </c>
      <c r="AH884" s="2" t="str">
        <f ca="1"/>
        <v>OK</v>
      </c>
    </row>
    <row r="885" spans="2:34" x14ac:dyDescent="0.2">
      <c r="B885" s="2">
        <f ca="1"/>
        <v>0.92993157626781953</v>
      </c>
      <c r="O885" s="2">
        <f ca="1"/>
        <v>0.69341698957500109</v>
      </c>
      <c r="X885" s="2">
        <f ca="1"/>
        <v>38.917292175729862</v>
      </c>
      <c r="AG885" s="2">
        <f ca="1"/>
        <v>0.29509847302441505</v>
      </c>
      <c r="AH885" s="2" t="str">
        <f ca="1"/>
        <v>OK</v>
      </c>
    </row>
    <row r="886" spans="2:34" x14ac:dyDescent="0.2">
      <c r="B886" s="2">
        <f ca="1"/>
        <v>5.9109321367600165E-2</v>
      </c>
      <c r="O886" s="2">
        <f ca="1"/>
        <v>-1.3288715563353835</v>
      </c>
      <c r="X886" s="2">
        <f ca="1"/>
        <v>50.590010346434191</v>
      </c>
      <c r="AG886" s="2">
        <f ca="1"/>
        <v>0.3699806897710074</v>
      </c>
      <c r="AH886" s="2" t="str">
        <f ca="1"/>
        <v>OK</v>
      </c>
    </row>
    <row r="887" spans="2:34" x14ac:dyDescent="0.2">
      <c r="B887" s="2">
        <f ca="1"/>
        <v>0.31161639466672608</v>
      </c>
      <c r="O887" s="2">
        <f ca="1"/>
        <v>0.24503566542669331</v>
      </c>
      <c r="X887" s="2">
        <f ca="1"/>
        <v>53.064591967286098</v>
      </c>
      <c r="AG887" s="2">
        <f ca="1"/>
        <v>0.97563998157197562</v>
      </c>
      <c r="AH887" s="2" t="str">
        <f ca="1"/>
        <v>Bad</v>
      </c>
    </row>
    <row r="888" spans="2:34" x14ac:dyDescent="0.2">
      <c r="B888" s="2">
        <f ca="1"/>
        <v>0.73678185911822447</v>
      </c>
      <c r="O888" s="2">
        <f ca="1"/>
        <v>1.3560876743877235</v>
      </c>
      <c r="X888" s="2">
        <f ca="1"/>
        <v>53.713477376448147</v>
      </c>
      <c r="AG888" s="2">
        <f ca="1"/>
        <v>0.3524878967200531</v>
      </c>
      <c r="AH888" s="2" t="str">
        <f ca="1"/>
        <v>OK</v>
      </c>
    </row>
    <row r="889" spans="2:34" x14ac:dyDescent="0.2">
      <c r="B889" s="2">
        <f ca="1"/>
        <v>0.64923808445535425</v>
      </c>
      <c r="O889" s="2">
        <f ca="1"/>
        <v>2.0676182861785679</v>
      </c>
      <c r="X889" s="2">
        <f ca="1"/>
        <v>71.436804720045529</v>
      </c>
      <c r="AG889" s="2">
        <f ca="1"/>
        <v>9.3763301579394609E-2</v>
      </c>
      <c r="AH889" s="2" t="str">
        <f ca="1"/>
        <v>OK</v>
      </c>
    </row>
    <row r="890" spans="2:34" x14ac:dyDescent="0.2">
      <c r="B890" s="2">
        <f ca="1"/>
        <v>0.63815810292954067</v>
      </c>
      <c r="O890" s="2">
        <f ca="1"/>
        <v>-9.2820849360833631E-3</v>
      </c>
      <c r="X890" s="2">
        <f ca="1"/>
        <v>49.434935690887727</v>
      </c>
      <c r="AG890" s="2">
        <f ca="1"/>
        <v>0.13026351395527791</v>
      </c>
      <c r="AH890" s="2" t="str">
        <f ca="1"/>
        <v>OK</v>
      </c>
    </row>
    <row r="891" spans="2:34" x14ac:dyDescent="0.2">
      <c r="B891" s="2">
        <f ca="1"/>
        <v>0.80478602718397219</v>
      </c>
      <c r="O891" s="2">
        <f ca="1"/>
        <v>-7.2877643368996756E-2</v>
      </c>
      <c r="X891" s="2">
        <f ca="1"/>
        <v>63.360355114476903</v>
      </c>
      <c r="AG891" s="2">
        <f ca="1"/>
        <v>0.33276256867988363</v>
      </c>
      <c r="AH891" s="2" t="str">
        <f ca="1"/>
        <v>OK</v>
      </c>
    </row>
    <row r="892" spans="2:34" x14ac:dyDescent="0.2">
      <c r="B892" s="2">
        <f ca="1"/>
        <v>0.95337288990025448</v>
      </c>
      <c r="O892" s="2">
        <f ca="1"/>
        <v>-0.72860849119687499</v>
      </c>
      <c r="X892" s="2">
        <f ca="1"/>
        <v>29.042345377056797</v>
      </c>
      <c r="AG892" s="2">
        <f ca="1"/>
        <v>0.7413048636184103</v>
      </c>
      <c r="AH892" s="2" t="str">
        <f ca="1"/>
        <v>Bad</v>
      </c>
    </row>
    <row r="893" spans="2:34" x14ac:dyDescent="0.2">
      <c r="B893" s="2">
        <f ca="1"/>
        <v>0.5418287106712516</v>
      </c>
      <c r="O893" s="2">
        <f ca="1"/>
        <v>0.19371423642206109</v>
      </c>
      <c r="X893" s="2">
        <f ca="1"/>
        <v>31.958456423798879</v>
      </c>
      <c r="AG893" s="2">
        <f ca="1"/>
        <v>0.5142224532231856</v>
      </c>
      <c r="AH893" s="2" t="str">
        <f ca="1"/>
        <v>Bad</v>
      </c>
    </row>
    <row r="894" spans="2:34" x14ac:dyDescent="0.2">
      <c r="B894" s="2">
        <f ca="1"/>
        <v>0.85311189375829355</v>
      </c>
      <c r="O894" s="2">
        <f ca="1"/>
        <v>-1.450223700905934</v>
      </c>
      <c r="X894" s="2">
        <f ca="1"/>
        <v>55.222700097534144</v>
      </c>
      <c r="AG894" s="2">
        <f ca="1"/>
        <v>0.29938390394327374</v>
      </c>
      <c r="AH894" s="2" t="str">
        <f ca="1"/>
        <v>OK</v>
      </c>
    </row>
    <row r="895" spans="2:34" x14ac:dyDescent="0.2">
      <c r="B895" s="2">
        <f ca="1"/>
        <v>0.44562678609423978</v>
      </c>
      <c r="O895" s="2">
        <f ca="1"/>
        <v>0.74562823639922171</v>
      </c>
      <c r="X895" s="2">
        <f ca="1"/>
        <v>43.276284946111772</v>
      </c>
      <c r="AG895" s="2">
        <f ca="1"/>
        <v>0.2827973315299912</v>
      </c>
      <c r="AH895" s="2" t="str">
        <f ca="1"/>
        <v>OK</v>
      </c>
    </row>
    <row r="896" spans="2:34" x14ac:dyDescent="0.2">
      <c r="B896" s="2">
        <f ca="1"/>
        <v>0.38328900791591769</v>
      </c>
      <c r="O896" s="2">
        <f ca="1"/>
        <v>1.410007096671374</v>
      </c>
      <c r="X896" s="2">
        <f ca="1"/>
        <v>50.462855746495158</v>
      </c>
      <c r="AG896" s="2">
        <f ca="1"/>
        <v>0.1199893557341809</v>
      </c>
      <c r="AH896" s="2" t="str">
        <f ca="1"/>
        <v>OK</v>
      </c>
    </row>
    <row r="897" spans="2:34" x14ac:dyDescent="0.2">
      <c r="B897" s="2">
        <f ca="1"/>
        <v>0.66631316465003465</v>
      </c>
      <c r="O897" s="2">
        <f ca="1"/>
        <v>-0.70026690372753864</v>
      </c>
      <c r="X897" s="2">
        <f ca="1"/>
        <v>80.064329818772791</v>
      </c>
      <c r="AG897" s="2">
        <f ca="1"/>
        <v>9.7924513229672216E-2</v>
      </c>
      <c r="AH897" s="2" t="str">
        <f ca="1"/>
        <v>OK</v>
      </c>
    </row>
    <row r="898" spans="2:34" x14ac:dyDescent="0.2">
      <c r="B898" s="2">
        <f ca="1"/>
        <v>0.5655017309592274</v>
      </c>
      <c r="O898" s="2">
        <f ca="1"/>
        <v>-1.184209973565741</v>
      </c>
      <c r="X898" s="2">
        <f ca="1"/>
        <v>64.182118890389418</v>
      </c>
      <c r="AG898" s="2">
        <f ca="1"/>
        <v>0.19465552361435434</v>
      </c>
      <c r="AH898" s="2" t="str">
        <f ca="1"/>
        <v>OK</v>
      </c>
    </row>
    <row r="899" spans="2:34" x14ac:dyDescent="0.2">
      <c r="B899" s="2">
        <f ca="1"/>
        <v>0.17886022123306722</v>
      </c>
      <c r="O899" s="2">
        <f ca="1"/>
        <v>0.14023621545533155</v>
      </c>
      <c r="X899" s="2">
        <f ca="1"/>
        <v>40.424484197583965</v>
      </c>
      <c r="AG899" s="2">
        <f ca="1"/>
        <v>0.64496943003063856</v>
      </c>
      <c r="AH899" s="2" t="str">
        <f ca="1"/>
        <v>Bad</v>
      </c>
    </row>
    <row r="900" spans="2:34" x14ac:dyDescent="0.2">
      <c r="B900" s="2">
        <f ca="1"/>
        <v>0.57551521541037931</v>
      </c>
      <c r="O900" s="2">
        <f ca="1"/>
        <v>-0.52667069060512295</v>
      </c>
      <c r="X900" s="2">
        <f ca="1"/>
        <v>33.491904036688986</v>
      </c>
      <c r="AG900" s="2">
        <f ca="1"/>
        <v>7.9638723017840141E-2</v>
      </c>
      <c r="AH900" s="2" t="str">
        <f ca="1"/>
        <v>OK</v>
      </c>
    </row>
    <row r="901" spans="2:34" x14ac:dyDescent="0.2">
      <c r="B901" s="2">
        <f ca="1"/>
        <v>0.27804108088844703</v>
      </c>
      <c r="O901" s="2">
        <f ca="1"/>
        <v>0.20396647372539778</v>
      </c>
      <c r="X901" s="2">
        <f ca="1"/>
        <v>72.293113283596981</v>
      </c>
      <c r="AG901" s="2">
        <f ca="1"/>
        <v>0.99105621718608883</v>
      </c>
      <c r="AH901" s="2" t="str">
        <f ca="1"/>
        <v>Bad</v>
      </c>
    </row>
    <row r="902" spans="2:34" x14ac:dyDescent="0.2">
      <c r="B902" s="2">
        <f ca="1"/>
        <v>0.25761439347379578</v>
      </c>
      <c r="O902" s="2">
        <f ca="1"/>
        <v>0.18071780517497835</v>
      </c>
      <c r="X902" s="2">
        <f ca="1"/>
        <v>41.019166665883702</v>
      </c>
      <c r="AG902" s="2">
        <f ca="1"/>
        <v>0.42736568664223595</v>
      </c>
      <c r="AH902" s="2" t="str">
        <f ca="1"/>
        <v>Bad</v>
      </c>
    </row>
    <row r="903" spans="2:34" x14ac:dyDescent="0.2">
      <c r="B903" s="2">
        <f ca="1"/>
        <v>0.3027998620179666</v>
      </c>
      <c r="O903" s="2">
        <f ca="1"/>
        <v>-1.443651360374463</v>
      </c>
      <c r="X903" s="2">
        <f ca="1"/>
        <v>33.529247122906185</v>
      </c>
      <c r="AG903" s="2">
        <f ca="1"/>
        <v>0.98872165836241721</v>
      </c>
      <c r="AH903" s="2" t="str">
        <f ca="1"/>
        <v>Bad</v>
      </c>
    </row>
    <row r="904" spans="2:34" x14ac:dyDescent="0.2">
      <c r="B904" s="2">
        <f ca="1"/>
        <v>0.81166647263875324</v>
      </c>
      <c r="O904" s="2">
        <f ca="1"/>
        <v>1.2658727932228586</v>
      </c>
      <c r="X904" s="2">
        <f ca="1"/>
        <v>22.692460316191713</v>
      </c>
      <c r="AG904" s="2">
        <f ca="1"/>
        <v>0.61565535831868412</v>
      </c>
      <c r="AH904" s="2" t="str">
        <f ca="1"/>
        <v>Bad</v>
      </c>
    </row>
    <row r="905" spans="2:34" x14ac:dyDescent="0.2">
      <c r="B905" s="2">
        <f ca="1"/>
        <v>4.6277588152895621E-2</v>
      </c>
      <c r="O905" s="2">
        <f ca="1"/>
        <v>-0.39573571465762986</v>
      </c>
      <c r="X905" s="2">
        <f ca="1"/>
        <v>66.862527295532544</v>
      </c>
      <c r="AG905" s="2">
        <f ca="1"/>
        <v>0.84785376522000599</v>
      </c>
      <c r="AH905" s="2" t="str">
        <f ca="1"/>
        <v>Bad</v>
      </c>
    </row>
    <row r="906" spans="2:34" x14ac:dyDescent="0.2">
      <c r="B906" s="2">
        <f ca="1"/>
        <v>0.5087561869917383</v>
      </c>
      <c r="O906" s="2">
        <f ca="1"/>
        <v>-1.1318529313248713</v>
      </c>
      <c r="X906" s="2">
        <f ca="1"/>
        <v>64.75056587996265</v>
      </c>
      <c r="AG906" s="2">
        <f ca="1"/>
        <v>0.39687817755368515</v>
      </c>
      <c r="AH906" s="2" t="str">
        <f ca="1"/>
        <v>OK</v>
      </c>
    </row>
    <row r="907" spans="2:34" x14ac:dyDescent="0.2">
      <c r="B907" s="2">
        <f ca="1"/>
        <v>0.75541603779646516</v>
      </c>
      <c r="O907" s="2">
        <f ca="1"/>
        <v>1.6132018297220385E-2</v>
      </c>
      <c r="X907" s="2">
        <f ca="1"/>
        <v>52.905511001514903</v>
      </c>
      <c r="AG907" s="2">
        <f ca="1"/>
        <v>0.96174499242816847</v>
      </c>
      <c r="AH907" s="2" t="str">
        <f ca="1"/>
        <v>Bad</v>
      </c>
    </row>
    <row r="908" spans="2:34" x14ac:dyDescent="0.2">
      <c r="B908" s="2">
        <f ca="1"/>
        <v>0.87167422270057782</v>
      </c>
      <c r="O908" s="2">
        <f ca="1"/>
        <v>2.1099624765327809E-2</v>
      </c>
      <c r="X908" s="2">
        <f ca="1"/>
        <v>53.758578896570313</v>
      </c>
      <c r="AG908" s="2">
        <f ca="1"/>
        <v>0.79445475598053572</v>
      </c>
      <c r="AH908" s="2" t="str">
        <f ca="1"/>
        <v>Bad</v>
      </c>
    </row>
    <row r="909" spans="2:34" x14ac:dyDescent="0.2">
      <c r="B909" s="2">
        <f ca="1"/>
        <v>0.33656778723064718</v>
      </c>
      <c r="O909" s="2">
        <f ca="1"/>
        <v>-0.69067820253660617</v>
      </c>
      <c r="X909" s="2">
        <f ca="1"/>
        <v>46.519562844372253</v>
      </c>
      <c r="AG909" s="2">
        <f ca="1"/>
        <v>1.0690531684796944E-2</v>
      </c>
      <c r="AH909" s="2" t="str">
        <f ca="1"/>
        <v>Good</v>
      </c>
    </row>
    <row r="910" spans="2:34" x14ac:dyDescent="0.2">
      <c r="B910" s="2">
        <f ca="1"/>
        <v>0.47898976680720273</v>
      </c>
      <c r="O910" s="2">
        <f ca="1"/>
        <v>0.83062388188488501</v>
      </c>
      <c r="X910" s="2">
        <f ca="1"/>
        <v>41.780960592507256</v>
      </c>
      <c r="AG910" s="2">
        <f ca="1"/>
        <v>0.36361160417616678</v>
      </c>
      <c r="AH910" s="2" t="str">
        <f ca="1"/>
        <v>OK</v>
      </c>
    </row>
    <row r="911" spans="2:34" x14ac:dyDescent="0.2">
      <c r="B911" s="2">
        <f ca="1"/>
        <v>0.59018455937347958</v>
      </c>
      <c r="O911" s="2">
        <f ca="1"/>
        <v>-1.2092177057425706</v>
      </c>
      <c r="X911" s="2">
        <f ca="1"/>
        <v>82.508679237776192</v>
      </c>
      <c r="AG911" s="2">
        <f ca="1"/>
        <v>0.28366889180796817</v>
      </c>
      <c r="AH911" s="2" t="str">
        <f ca="1"/>
        <v>OK</v>
      </c>
    </row>
    <row r="912" spans="2:34" x14ac:dyDescent="0.2">
      <c r="B912" s="2">
        <f ca="1"/>
        <v>0.54800440842127007</v>
      </c>
      <c r="O912" s="2">
        <f ca="1"/>
        <v>0.44957754133721645</v>
      </c>
      <c r="X912" s="2">
        <f ca="1"/>
        <v>29.24875831705905</v>
      </c>
      <c r="AG912" s="2">
        <f ca="1"/>
        <v>0.52447088048964918</v>
      </c>
      <c r="AH912" s="2" t="str">
        <f ca="1"/>
        <v>Bad</v>
      </c>
    </row>
    <row r="913" spans="2:34" x14ac:dyDescent="0.2">
      <c r="B913" s="2">
        <f ca="1"/>
        <v>0.80739283580207322</v>
      </c>
      <c r="O913" s="2">
        <f ca="1"/>
        <v>-1.829444540729704</v>
      </c>
      <c r="X913" s="2">
        <f ca="1"/>
        <v>45.438421029340084</v>
      </c>
      <c r="AG913" s="2">
        <f ca="1"/>
        <v>0.98000747575289426</v>
      </c>
      <c r="AH913" s="2" t="str">
        <f ca="1"/>
        <v>Bad</v>
      </c>
    </row>
    <row r="914" spans="2:34" x14ac:dyDescent="0.2">
      <c r="B914" s="2">
        <f ca="1"/>
        <v>0.88496737007819237</v>
      </c>
      <c r="O914" s="2">
        <f ca="1"/>
        <v>1.1195797863311472</v>
      </c>
      <c r="X914" s="2">
        <f ca="1"/>
        <v>32.01725488706623</v>
      </c>
      <c r="AG914" s="2">
        <f ca="1"/>
        <v>0.87666775177611855</v>
      </c>
      <c r="AH914" s="2" t="str">
        <f ca="1"/>
        <v>Bad</v>
      </c>
    </row>
    <row r="915" spans="2:34" x14ac:dyDescent="0.2">
      <c r="B915" s="2">
        <f ca="1"/>
        <v>0.3120157378058015</v>
      </c>
      <c r="O915" s="2">
        <f ca="1"/>
        <v>-0.90696648487984621</v>
      </c>
      <c r="X915" s="2">
        <f ca="1"/>
        <v>58.30584870549869</v>
      </c>
      <c r="AG915" s="2">
        <f ca="1"/>
        <v>0.15826296909323689</v>
      </c>
      <c r="AH915" s="2" t="str">
        <f ca="1"/>
        <v>OK</v>
      </c>
    </row>
    <row r="916" spans="2:34" x14ac:dyDescent="0.2">
      <c r="B916" s="2">
        <f ca="1"/>
        <v>0.27513741740319131</v>
      </c>
      <c r="O916" s="2">
        <f ca="1"/>
        <v>-0.92388752806375551</v>
      </c>
      <c r="X916" s="2">
        <f ca="1"/>
        <v>38.145616063389568</v>
      </c>
      <c r="AG916" s="2">
        <f ca="1"/>
        <v>4.4355754018899907E-2</v>
      </c>
      <c r="AH916" s="2" t="str">
        <f ca="1"/>
        <v>Good</v>
      </c>
    </row>
    <row r="917" spans="2:34" x14ac:dyDescent="0.2">
      <c r="B917" s="2">
        <f ca="1"/>
        <v>0.92125867119175986</v>
      </c>
      <c r="O917" s="2">
        <f ca="1"/>
        <v>1.0898071160896674</v>
      </c>
      <c r="X917" s="2">
        <f ca="1"/>
        <v>57.192295367434753</v>
      </c>
      <c r="AG917" s="2">
        <f ca="1"/>
        <v>0.15749521939819</v>
      </c>
      <c r="AH917" s="2" t="str">
        <f ca="1"/>
        <v>OK</v>
      </c>
    </row>
    <row r="918" spans="2:34" x14ac:dyDescent="0.2">
      <c r="B918" s="2">
        <f ca="1"/>
        <v>0.48632316701968237</v>
      </c>
      <c r="O918" s="2">
        <f ca="1"/>
        <v>-1.3758257482240301</v>
      </c>
      <c r="X918" s="2">
        <f ca="1"/>
        <v>50.299417129685494</v>
      </c>
      <c r="AG918" s="2">
        <f ca="1"/>
        <v>0.82971919256427573</v>
      </c>
      <c r="AH918" s="2" t="str">
        <f ca="1"/>
        <v>Bad</v>
      </c>
    </row>
    <row r="919" spans="2:34" x14ac:dyDescent="0.2">
      <c r="B919" s="2">
        <f ca="1"/>
        <v>0.15089849860151694</v>
      </c>
      <c r="O919" s="2">
        <f ca="1"/>
        <v>-0.11339701871026935</v>
      </c>
      <c r="X919" s="2">
        <f ca="1"/>
        <v>35.181592241867541</v>
      </c>
      <c r="AG919" s="2">
        <f ca="1"/>
        <v>0.51541798078750545</v>
      </c>
      <c r="AH919" s="2" t="str">
        <f ca="1"/>
        <v>Bad</v>
      </c>
    </row>
    <row r="920" spans="2:34" x14ac:dyDescent="0.2">
      <c r="B920" s="2">
        <f ca="1"/>
        <v>0.33872750735565726</v>
      </c>
      <c r="O920" s="2">
        <f ca="1"/>
        <v>0.47957096351398842</v>
      </c>
      <c r="X920" s="2">
        <f ca="1"/>
        <v>53.003779650502061</v>
      </c>
      <c r="AG920" s="2">
        <f ca="1"/>
        <v>0.34744893843089275</v>
      </c>
      <c r="AH920" s="2" t="str">
        <f ca="1"/>
        <v>OK</v>
      </c>
    </row>
    <row r="921" spans="2:34" x14ac:dyDescent="0.2">
      <c r="B921" s="2">
        <f ca="1"/>
        <v>0.42027908803184877</v>
      </c>
      <c r="O921" s="2">
        <f ca="1"/>
        <v>-0.83385800409830158</v>
      </c>
      <c r="X921" s="2">
        <f ca="1"/>
        <v>47.568635170558615</v>
      </c>
      <c r="AG921" s="2">
        <f ca="1"/>
        <v>0.19989284334059687</v>
      </c>
      <c r="AH921" s="2" t="str">
        <f ca="1"/>
        <v>OK</v>
      </c>
    </row>
    <row r="922" spans="2:34" x14ac:dyDescent="0.2">
      <c r="B922" s="2">
        <f ca="1"/>
        <v>0.99100143976935406</v>
      </c>
      <c r="O922" s="2">
        <f ca="1"/>
        <v>-0.79987868738214885</v>
      </c>
      <c r="X922" s="2">
        <f ca="1"/>
        <v>61.990137859758974</v>
      </c>
      <c r="AG922" s="2">
        <f ca="1"/>
        <v>0.14777102711087786</v>
      </c>
      <c r="AH922" s="2" t="str">
        <f ca="1"/>
        <v>OK</v>
      </c>
    </row>
    <row r="923" spans="2:34" x14ac:dyDescent="0.2">
      <c r="B923" s="2">
        <f ca="1"/>
        <v>0.31443350002343751</v>
      </c>
      <c r="O923" s="2">
        <f ca="1"/>
        <v>0.6767486018527149</v>
      </c>
      <c r="X923" s="2">
        <f ca="1"/>
        <v>31.518408754788648</v>
      </c>
      <c r="AG923" s="2">
        <f ca="1"/>
        <v>0.51455308407962597</v>
      </c>
      <c r="AH923" s="2" t="str">
        <f ca="1"/>
        <v>Bad</v>
      </c>
    </row>
    <row r="924" spans="2:34" x14ac:dyDescent="0.2">
      <c r="B924" s="2">
        <f ca="1"/>
        <v>0.7069052405524956</v>
      </c>
      <c r="O924" s="2">
        <f ca="1"/>
        <v>1.9718894918171608</v>
      </c>
      <c r="X924" s="2">
        <f ca="1"/>
        <v>61.636633882575893</v>
      </c>
      <c r="AG924" s="2">
        <f ca="1"/>
        <v>0.31203744402097966</v>
      </c>
      <c r="AH924" s="2" t="str">
        <f ca="1"/>
        <v>OK</v>
      </c>
    </row>
    <row r="925" spans="2:34" x14ac:dyDescent="0.2">
      <c r="B925" s="2">
        <f ca="1"/>
        <v>0.59543376755233202</v>
      </c>
      <c r="O925" s="2">
        <f ca="1"/>
        <v>0.33962260205130462</v>
      </c>
      <c r="X925" s="2">
        <f ca="1"/>
        <v>63.114454189975653</v>
      </c>
      <c r="AG925" s="2">
        <f ca="1"/>
        <v>0.15275173741866221</v>
      </c>
      <c r="AH925" s="2" t="str">
        <f ca="1"/>
        <v>OK</v>
      </c>
    </row>
    <row r="926" spans="2:34" x14ac:dyDescent="0.2">
      <c r="B926" s="2">
        <f ca="1"/>
        <v>0.97747598796140789</v>
      </c>
      <c r="O926" s="2">
        <f ca="1"/>
        <v>-0.41867619375413329</v>
      </c>
      <c r="X926" s="2">
        <f ca="1"/>
        <v>61.880395319936582</v>
      </c>
      <c r="AG926" s="2">
        <f ca="1"/>
        <v>0.52615195922396363</v>
      </c>
      <c r="AH926" s="2" t="str">
        <f ca="1"/>
        <v>Bad</v>
      </c>
    </row>
    <row r="927" spans="2:34" x14ac:dyDescent="0.2">
      <c r="B927" s="2">
        <f ca="1"/>
        <v>0.45984875255767133</v>
      </c>
      <c r="O927" s="2">
        <f ca="1"/>
        <v>-2.2832630322422389</v>
      </c>
      <c r="X927" s="2">
        <f ca="1"/>
        <v>49.007885496652079</v>
      </c>
      <c r="AG927" s="2">
        <f ca="1"/>
        <v>0.38034666562350372</v>
      </c>
      <c r="AH927" s="2" t="str">
        <f ca="1"/>
        <v>OK</v>
      </c>
    </row>
    <row r="928" spans="2:34" x14ac:dyDescent="0.2">
      <c r="B928" s="2">
        <f ca="1"/>
        <v>0.36780941553445357</v>
      </c>
      <c r="O928" s="2">
        <f ca="1"/>
        <v>-0.83850070342219996</v>
      </c>
      <c r="X928" s="2">
        <f ca="1"/>
        <v>45.699090118861918</v>
      </c>
      <c r="AG928" s="2">
        <f ca="1"/>
        <v>5.8638284111856676E-2</v>
      </c>
      <c r="AH928" s="2" t="str">
        <f ca="1"/>
        <v>OK</v>
      </c>
    </row>
    <row r="929" spans="2:34" x14ac:dyDescent="0.2">
      <c r="B929" s="2">
        <f ca="1"/>
        <v>0.8106215540011199</v>
      </c>
      <c r="O929" s="2">
        <f ca="1"/>
        <v>-1.4729856963453096</v>
      </c>
      <c r="X929" s="2">
        <f ca="1"/>
        <v>37.085793443974751</v>
      </c>
      <c r="AG929" s="2">
        <f ca="1"/>
        <v>0.19815588412742668</v>
      </c>
      <c r="AH929" s="2" t="str">
        <f ca="1"/>
        <v>OK</v>
      </c>
    </row>
    <row r="930" spans="2:34" x14ac:dyDescent="0.2">
      <c r="B930" s="2">
        <f ca="1"/>
        <v>0.9555957593170481</v>
      </c>
      <c r="O930" s="2">
        <f ca="1"/>
        <v>1.3748447331151983</v>
      </c>
      <c r="X930" s="2">
        <f ca="1"/>
        <v>34.740285808132953</v>
      </c>
      <c r="AG930" s="2">
        <f ca="1"/>
        <v>0.72576708949721969</v>
      </c>
      <c r="AH930" s="2" t="str">
        <f ca="1"/>
        <v>Bad</v>
      </c>
    </row>
    <row r="931" spans="2:34" x14ac:dyDescent="0.2">
      <c r="B931" s="2">
        <f ca="1"/>
        <v>0.31154296160553496</v>
      </c>
      <c r="O931" s="2">
        <f ca="1"/>
        <v>-0.94700706291454229</v>
      </c>
      <c r="X931" s="2">
        <f ca="1"/>
        <v>33.200105176313087</v>
      </c>
      <c r="AG931" s="2">
        <f ca="1"/>
        <v>0.19848133827198411</v>
      </c>
      <c r="AH931" s="2" t="str">
        <f ca="1"/>
        <v>OK</v>
      </c>
    </row>
    <row r="932" spans="2:34" x14ac:dyDescent="0.2">
      <c r="B932" s="2">
        <f ca="1"/>
        <v>0.45399265642379283</v>
      </c>
      <c r="O932" s="2">
        <f ca="1"/>
        <v>-0.56656189897466769</v>
      </c>
      <c r="X932" s="2">
        <f ca="1"/>
        <v>70.505282850079766</v>
      </c>
      <c r="AG932" s="2">
        <f ca="1"/>
        <v>0.36897616592475857</v>
      </c>
      <c r="AH932" s="2" t="str">
        <f ca="1"/>
        <v>OK</v>
      </c>
    </row>
    <row r="933" spans="2:34" x14ac:dyDescent="0.2">
      <c r="B933" s="2">
        <f ca="1"/>
        <v>0.28146734115150474</v>
      </c>
      <c r="O933" s="2">
        <f ca="1"/>
        <v>0.75234466233193176</v>
      </c>
      <c r="X933" s="2">
        <f ca="1"/>
        <v>41.394903568068813</v>
      </c>
      <c r="AG933" s="2">
        <f ca="1"/>
        <v>0.20134409838359146</v>
      </c>
      <c r="AH933" s="2" t="str">
        <f ca="1"/>
        <v>OK</v>
      </c>
    </row>
    <row r="934" spans="2:34" x14ac:dyDescent="0.2">
      <c r="B934" s="2">
        <f ca="1"/>
        <v>0.4006220048718061</v>
      </c>
      <c r="O934" s="2">
        <f ca="1"/>
        <v>1.1088882734006194</v>
      </c>
      <c r="X934" s="2">
        <f ca="1"/>
        <v>31.454661164283291</v>
      </c>
      <c r="AG934" s="2">
        <f ca="1"/>
        <v>0.44514858255395962</v>
      </c>
      <c r="AH934" s="2" t="str">
        <f ca="1"/>
        <v>Bad</v>
      </c>
    </row>
    <row r="935" spans="2:34" x14ac:dyDescent="0.2">
      <c r="B935" s="2">
        <f ca="1"/>
        <v>0.85554913050034354</v>
      </c>
      <c r="O935" s="2">
        <f ca="1"/>
        <v>0.58285889677983505</v>
      </c>
      <c r="X935" s="2">
        <f ca="1"/>
        <v>57.113094989394313</v>
      </c>
      <c r="AG935" s="2">
        <f ca="1"/>
        <v>0.84216786779028818</v>
      </c>
      <c r="AH935" s="2" t="str">
        <f ca="1"/>
        <v>Bad</v>
      </c>
    </row>
    <row r="936" spans="2:34" x14ac:dyDescent="0.2">
      <c r="B936" s="2">
        <f ca="1"/>
        <v>0.20603648431646993</v>
      </c>
      <c r="O936" s="2">
        <f ca="1"/>
        <v>0.85236997284049054</v>
      </c>
      <c r="X936" s="2">
        <f ca="1"/>
        <v>39.236336925805517</v>
      </c>
      <c r="AG936" s="2">
        <f ca="1"/>
        <v>0.48147783358898111</v>
      </c>
      <c r="AH936" s="2" t="str">
        <f ca="1"/>
        <v>Bad</v>
      </c>
    </row>
    <row r="937" spans="2:34" x14ac:dyDescent="0.2">
      <c r="B937" s="2">
        <f ca="1"/>
        <v>0.57233386909866613</v>
      </c>
      <c r="O937" s="2">
        <f ca="1"/>
        <v>1.4480492495947122</v>
      </c>
      <c r="X937" s="2">
        <f ca="1"/>
        <v>76.780915852760273</v>
      </c>
      <c r="AG937" s="2">
        <f ca="1"/>
        <v>0.94707726054447772</v>
      </c>
      <c r="AH937" s="2" t="str">
        <f ca="1"/>
        <v>Bad</v>
      </c>
    </row>
    <row r="938" spans="2:34" x14ac:dyDescent="0.2">
      <c r="B938" s="2">
        <f ca="1"/>
        <v>0.76941224872522884</v>
      </c>
      <c r="O938" s="2">
        <f ca="1"/>
        <v>2.1421414185008714</v>
      </c>
      <c r="X938" s="2">
        <f ca="1"/>
        <v>21.441370876710671</v>
      </c>
      <c r="AG938" s="2">
        <f ca="1"/>
        <v>0.90240514569376007</v>
      </c>
      <c r="AH938" s="2" t="str">
        <f ca="1"/>
        <v>Bad</v>
      </c>
    </row>
    <row r="939" spans="2:34" x14ac:dyDescent="0.2">
      <c r="B939" s="2">
        <f ca="1"/>
        <v>0.48679374757029881</v>
      </c>
      <c r="O939" s="2">
        <f ca="1"/>
        <v>-0.24807559707109175</v>
      </c>
      <c r="X939" s="2">
        <f ca="1"/>
        <v>54.172454093657166</v>
      </c>
      <c r="AG939" s="2">
        <f ca="1"/>
        <v>6.7356438238600491E-2</v>
      </c>
      <c r="AH939" s="2" t="str">
        <f ca="1"/>
        <v>OK</v>
      </c>
    </row>
    <row r="940" spans="2:34" x14ac:dyDescent="0.2">
      <c r="B940" s="2">
        <f ca="1"/>
        <v>0.92857341969916374</v>
      </c>
      <c r="O940" s="2">
        <f ca="1"/>
        <v>1.0833818206729044</v>
      </c>
      <c r="X940" s="2">
        <f ca="1"/>
        <v>35.640429771798836</v>
      </c>
      <c r="AG940" s="2">
        <f ca="1"/>
        <v>0.69572961264198496</v>
      </c>
      <c r="AH940" s="2" t="str">
        <f ca="1"/>
        <v>Bad</v>
      </c>
    </row>
    <row r="941" spans="2:34" x14ac:dyDescent="0.2">
      <c r="B941" s="2">
        <f ca="1"/>
        <v>0.20920499326840036</v>
      </c>
      <c r="O941" s="2">
        <f ca="1"/>
        <v>-0.16997105119360204</v>
      </c>
      <c r="X941" s="2">
        <f ca="1"/>
        <v>55.986413932371946</v>
      </c>
      <c r="AG941" s="2">
        <f ca="1"/>
        <v>0.6269789965186503</v>
      </c>
      <c r="AH941" s="2" t="str">
        <f ca="1"/>
        <v>Bad</v>
      </c>
    </row>
    <row r="942" spans="2:34" x14ac:dyDescent="0.2">
      <c r="B942" s="2">
        <f ca="1"/>
        <v>0.12413077873568579</v>
      </c>
      <c r="O942" s="2">
        <f ca="1"/>
        <v>0.81630890139960977</v>
      </c>
      <c r="X942" s="2">
        <f ca="1"/>
        <v>59.871726714253974</v>
      </c>
      <c r="AG942" s="2">
        <f ca="1"/>
        <v>0.28336253555029534</v>
      </c>
      <c r="AH942" s="2" t="str">
        <f ca="1"/>
        <v>OK</v>
      </c>
    </row>
    <row r="943" spans="2:34" x14ac:dyDescent="0.2">
      <c r="B943" s="2">
        <f ca="1"/>
        <v>0.59858886760532148</v>
      </c>
      <c r="O943" s="2">
        <f ca="1"/>
        <v>1.7304316696210547</v>
      </c>
      <c r="X943" s="2">
        <f ca="1"/>
        <v>78.592289375008917</v>
      </c>
      <c r="AG943" s="2">
        <f ca="1"/>
        <v>0.98060651125157272</v>
      </c>
      <c r="AH943" s="2" t="str">
        <f ca="1"/>
        <v>Bad</v>
      </c>
    </row>
    <row r="944" spans="2:34" x14ac:dyDescent="0.2">
      <c r="B944" s="2">
        <f ca="1"/>
        <v>0.16093758933445867</v>
      </c>
      <c r="O944" s="2">
        <f ca="1"/>
        <v>-0.13364531043926434</v>
      </c>
      <c r="X944" s="2">
        <f ca="1"/>
        <v>85.597347256809414</v>
      </c>
      <c r="AG944" s="2">
        <f ca="1"/>
        <v>0.43266418354443958</v>
      </c>
      <c r="AH944" s="2" t="str">
        <f ca="1"/>
        <v>Bad</v>
      </c>
    </row>
    <row r="945" spans="2:34" x14ac:dyDescent="0.2">
      <c r="B945" s="2">
        <f ca="1"/>
        <v>0.4772592270718059</v>
      </c>
      <c r="O945" s="2">
        <f ca="1"/>
        <v>-1.1700538534706728</v>
      </c>
      <c r="X945" s="2">
        <f ca="1"/>
        <v>65.634909885884355</v>
      </c>
      <c r="AG945" s="2">
        <f ca="1"/>
        <v>0.19708435067362751</v>
      </c>
      <c r="AH945" s="2" t="str">
        <f ca="1"/>
        <v>OK</v>
      </c>
    </row>
    <row r="946" spans="2:34" x14ac:dyDescent="0.2">
      <c r="B946" s="2">
        <f ca="1"/>
        <v>0.36063252935029677</v>
      </c>
      <c r="O946" s="2">
        <f ca="1"/>
        <v>0.63021622083070017</v>
      </c>
      <c r="X946" s="2">
        <f ca="1"/>
        <v>28.453355039247281</v>
      </c>
      <c r="AG946" s="2">
        <f ca="1"/>
        <v>0.95242057637649102</v>
      </c>
      <c r="AH946" s="2" t="str">
        <f ca="1"/>
        <v>Bad</v>
      </c>
    </row>
    <row r="947" spans="2:34" x14ac:dyDescent="0.2">
      <c r="B947" s="2">
        <f ca="1"/>
        <v>0.93974573446948217</v>
      </c>
      <c r="O947" s="2">
        <f ca="1"/>
        <v>0.82553897667379128</v>
      </c>
      <c r="X947" s="2">
        <f ca="1"/>
        <v>54.29734812714279</v>
      </c>
      <c r="AG947" s="2">
        <f ca="1"/>
        <v>0.14033277255318355</v>
      </c>
      <c r="AH947" s="2" t="str">
        <f ca="1"/>
        <v>OK</v>
      </c>
    </row>
    <row r="948" spans="2:34" x14ac:dyDescent="0.2">
      <c r="B948" s="2">
        <f ca="1"/>
        <v>1.9820718606151422E-2</v>
      </c>
      <c r="O948" s="2">
        <f ca="1"/>
        <v>5.3163140980021492E-2</v>
      </c>
      <c r="X948" s="2">
        <f ca="1"/>
        <v>51.441464747751965</v>
      </c>
      <c r="AG948" s="2">
        <f ca="1"/>
        <v>0.43120833216609067</v>
      </c>
      <c r="AH948" s="2" t="str">
        <f ca="1"/>
        <v>Bad</v>
      </c>
    </row>
    <row r="949" spans="2:34" x14ac:dyDescent="0.2">
      <c r="B949" s="2">
        <f ca="1"/>
        <v>0.13198869669826707</v>
      </c>
      <c r="O949" s="2">
        <f ca="1"/>
        <v>-0.43614407765207741</v>
      </c>
      <c r="X949" s="2">
        <f ca="1"/>
        <v>64.212376230397851</v>
      </c>
      <c r="AG949" s="2">
        <f ca="1"/>
        <v>0.49327560798043701</v>
      </c>
      <c r="AH949" s="2" t="str">
        <f ca="1"/>
        <v>Bad</v>
      </c>
    </row>
    <row r="950" spans="2:34" x14ac:dyDescent="0.2">
      <c r="B950" s="2">
        <f ca="1"/>
        <v>0.93137600935010201</v>
      </c>
      <c r="O950" s="2">
        <f ca="1"/>
        <v>-0.25603901328314582</v>
      </c>
      <c r="X950" s="2">
        <f ca="1"/>
        <v>38.339268286698108</v>
      </c>
      <c r="AG950" s="2">
        <f ca="1"/>
        <v>8.1691519542036461E-2</v>
      </c>
      <c r="AH950" s="2" t="str">
        <f ca="1"/>
        <v>OK</v>
      </c>
    </row>
    <row r="951" spans="2:34" x14ac:dyDescent="0.2">
      <c r="B951" s="2">
        <f ca="1"/>
        <v>0.78663796209462267</v>
      </c>
      <c r="O951" s="2">
        <f ca="1"/>
        <v>0.33642547258958327</v>
      </c>
      <c r="X951" s="2">
        <f ca="1"/>
        <v>46.233974262973504</v>
      </c>
      <c r="AG951" s="2">
        <f ca="1"/>
        <v>0.89227081668837505</v>
      </c>
      <c r="AH951" s="2" t="str">
        <f ca="1"/>
        <v>Bad</v>
      </c>
    </row>
    <row r="952" spans="2:34" x14ac:dyDescent="0.2">
      <c r="B952" s="2">
        <f ca="1"/>
        <v>0.69400051687982622</v>
      </c>
      <c r="O952" s="2">
        <f ca="1"/>
        <v>2.8501990307544439E-2</v>
      </c>
      <c r="X952" s="2">
        <f ca="1"/>
        <v>44.251092402218298</v>
      </c>
      <c r="AG952" s="2">
        <f ca="1"/>
        <v>0.98293322322712751</v>
      </c>
      <c r="AH952" s="2" t="str">
        <f ca="1"/>
        <v>Bad</v>
      </c>
    </row>
    <row r="953" spans="2:34" x14ac:dyDescent="0.2">
      <c r="B953" s="2">
        <f ca="1"/>
        <v>0.35975061053087543</v>
      </c>
      <c r="O953" s="2">
        <f ca="1"/>
        <v>1.1913872747837877</v>
      </c>
      <c r="X953" s="2">
        <f ca="1"/>
        <v>31.493117104530093</v>
      </c>
      <c r="AG953" s="2">
        <f ca="1"/>
        <v>0.93563674599819158</v>
      </c>
      <c r="AH953" s="2" t="str">
        <f ca="1"/>
        <v>Bad</v>
      </c>
    </row>
    <row r="954" spans="2:34" x14ac:dyDescent="0.2">
      <c r="B954" s="2">
        <f ca="1"/>
        <v>0.99186000569975263</v>
      </c>
      <c r="O954" s="2">
        <f ca="1"/>
        <v>-0.43783416614293225</v>
      </c>
      <c r="X954" s="2">
        <f ca="1"/>
        <v>41.162426556911939</v>
      </c>
      <c r="AG954" s="2">
        <f ca="1"/>
        <v>0.80424023423993907</v>
      </c>
      <c r="AH954" s="2" t="str">
        <f ca="1"/>
        <v>Bad</v>
      </c>
    </row>
    <row r="955" spans="2:34" x14ac:dyDescent="0.2">
      <c r="B955" s="2">
        <f ca="1"/>
        <v>0.71342577699536847</v>
      </c>
      <c r="O955" s="2">
        <f ca="1"/>
        <v>0.24403188722961747</v>
      </c>
      <c r="X955" s="2">
        <f ca="1"/>
        <v>24.925757184535499</v>
      </c>
      <c r="AG955" s="2">
        <f ca="1"/>
        <v>0.68641854900347354</v>
      </c>
      <c r="AH955" s="2" t="str">
        <f ca="1"/>
        <v>Bad</v>
      </c>
    </row>
    <row r="956" spans="2:34" x14ac:dyDescent="0.2">
      <c r="B956" s="2">
        <f ca="1"/>
        <v>0.83150207639782869</v>
      </c>
      <c r="O956" s="2">
        <f ca="1"/>
        <v>-0.10653319523648415</v>
      </c>
      <c r="X956" s="2">
        <f ca="1"/>
        <v>50.897245079740713</v>
      </c>
      <c r="AG956" s="2">
        <f ca="1"/>
        <v>0.35610398244758068</v>
      </c>
      <c r="AH956" s="2" t="str">
        <f ca="1"/>
        <v>OK</v>
      </c>
    </row>
    <row r="957" spans="2:34" x14ac:dyDescent="0.2">
      <c r="B957" s="2">
        <f ca="1"/>
        <v>4.6853295040871989E-2</v>
      </c>
      <c r="O957" s="2">
        <f ca="1"/>
        <v>0.93953780808550635</v>
      </c>
      <c r="X957" s="2">
        <f ca="1"/>
        <v>82.098308071731324</v>
      </c>
      <c r="AG957" s="2">
        <f ca="1"/>
        <v>0.61694119514341494</v>
      </c>
      <c r="AH957" s="2" t="str">
        <f ca="1"/>
        <v>Bad</v>
      </c>
    </row>
    <row r="958" spans="2:34" x14ac:dyDescent="0.2">
      <c r="B958" s="2">
        <f ca="1"/>
        <v>0.1269700934915996</v>
      </c>
      <c r="O958" s="2">
        <f ca="1"/>
        <v>-0.27812091550658247</v>
      </c>
      <c r="X958" s="2">
        <f ca="1"/>
        <v>57.851955770448946</v>
      </c>
      <c r="AG958" s="2">
        <f ca="1"/>
        <v>0.27058030629904595</v>
      </c>
      <c r="AH958" s="2" t="str">
        <f ca="1"/>
        <v>OK</v>
      </c>
    </row>
    <row r="959" spans="2:34" x14ac:dyDescent="0.2">
      <c r="B959" s="2">
        <f ca="1"/>
        <v>0.57295575008610089</v>
      </c>
      <c r="O959" s="2">
        <f ca="1"/>
        <v>-1.3534111146236598</v>
      </c>
      <c r="X959" s="2">
        <f ca="1"/>
        <v>44.833633677271926</v>
      </c>
      <c r="AG959" s="2">
        <f ca="1"/>
        <v>7.1719896570264785E-2</v>
      </c>
      <c r="AH959" s="2" t="str">
        <f ca="1"/>
        <v>OK</v>
      </c>
    </row>
    <row r="960" spans="2:34" x14ac:dyDescent="0.2">
      <c r="B960" s="2">
        <f ca="1"/>
        <v>0.34675680589229496</v>
      </c>
      <c r="O960" s="2">
        <f ca="1"/>
        <v>-0.63498132810112806</v>
      </c>
      <c r="X960" s="2">
        <f ca="1"/>
        <v>46.621978807965583</v>
      </c>
      <c r="AG960" s="2">
        <f ca="1"/>
        <v>0.63764947280047957</v>
      </c>
      <c r="AH960" s="2" t="str">
        <f ca="1"/>
        <v>Bad</v>
      </c>
    </row>
    <row r="961" spans="2:34" x14ac:dyDescent="0.2">
      <c r="B961" s="2">
        <f ca="1"/>
        <v>0.20250377863308455</v>
      </c>
      <c r="O961" s="2">
        <f ca="1"/>
        <v>0.27334611125822655</v>
      </c>
      <c r="X961" s="2">
        <f ca="1"/>
        <v>67.167317831357451</v>
      </c>
      <c r="AG961" s="2">
        <f ca="1"/>
        <v>0.83912614928306972</v>
      </c>
      <c r="AH961" s="2" t="str">
        <f ca="1"/>
        <v>Bad</v>
      </c>
    </row>
    <row r="962" spans="2:34" x14ac:dyDescent="0.2">
      <c r="B962" s="2">
        <f ca="1"/>
        <v>0.82562975423571561</v>
      </c>
      <c r="O962" s="2">
        <f ca="1"/>
        <v>-0.52003455916455099</v>
      </c>
      <c r="X962" s="2">
        <f ca="1"/>
        <v>68.583199032361094</v>
      </c>
      <c r="AG962" s="2">
        <f ca="1"/>
        <v>0.36649364193386114</v>
      </c>
      <c r="AH962" s="2" t="str">
        <f ca="1"/>
        <v>OK</v>
      </c>
    </row>
    <row r="963" spans="2:34" x14ac:dyDescent="0.2">
      <c r="B963" s="2">
        <f ca="1"/>
        <v>0.73856418261949397</v>
      </c>
      <c r="O963" s="2">
        <f ca="1"/>
        <v>0.48871958918070124</v>
      </c>
      <c r="X963" s="2">
        <f ca="1"/>
        <v>36.497558048911962</v>
      </c>
      <c r="AG963" s="2">
        <f ca="1"/>
        <v>0.2502638266246211</v>
      </c>
      <c r="AH963" s="2" t="str">
        <f ca="1"/>
        <v>OK</v>
      </c>
    </row>
    <row r="964" spans="2:34" x14ac:dyDescent="0.2">
      <c r="B964" s="2">
        <f ca="1"/>
        <v>0.90913973146828186</v>
      </c>
      <c r="O964" s="2">
        <f ca="1"/>
        <v>0.65682642117699608</v>
      </c>
      <c r="X964" s="2">
        <f ca="1"/>
        <v>47.45441600559657</v>
      </c>
      <c r="AG964" s="2">
        <f ca="1"/>
        <v>0.87415298355311744</v>
      </c>
      <c r="AH964" s="2" t="str">
        <f ca="1"/>
        <v>Bad</v>
      </c>
    </row>
    <row r="965" spans="2:34" x14ac:dyDescent="0.2">
      <c r="B965" s="2">
        <f ca="1"/>
        <v>0.36900016424447624</v>
      </c>
      <c r="O965" s="2">
        <f ca="1"/>
        <v>-1.2479370443551206E-2</v>
      </c>
      <c r="X965" s="2">
        <f ca="1"/>
        <v>46.582166546078128</v>
      </c>
      <c r="AG965" s="2">
        <f ca="1"/>
        <v>0.7617062421998948</v>
      </c>
      <c r="AH965" s="2" t="str">
        <f ca="1"/>
        <v>Bad</v>
      </c>
    </row>
    <row r="966" spans="2:34" x14ac:dyDescent="0.2">
      <c r="B966" s="2">
        <f ca="1"/>
        <v>0.32820596395029389</v>
      </c>
      <c r="O966" s="2">
        <f ca="1"/>
        <v>0.61120453930731722</v>
      </c>
      <c r="X966" s="2">
        <f ca="1"/>
        <v>52.319854330786136</v>
      </c>
      <c r="AG966" s="2">
        <f ca="1"/>
        <v>0.16880689365059776</v>
      </c>
      <c r="AH966" s="2" t="str">
        <f ca="1"/>
        <v>OK</v>
      </c>
    </row>
    <row r="967" spans="2:34" x14ac:dyDescent="0.2">
      <c r="B967" s="2">
        <f ca="1"/>
        <v>6.1478142830915683E-2</v>
      </c>
      <c r="O967" s="2">
        <f ca="1"/>
        <v>-1.5672209415947369</v>
      </c>
      <c r="X967" s="2">
        <f ca="1"/>
        <v>35.218043685739502</v>
      </c>
      <c r="AG967" s="2">
        <f ca="1"/>
        <v>0.99969296567103183</v>
      </c>
      <c r="AH967" s="2" t="str">
        <f ca="1"/>
        <v>Bad</v>
      </c>
    </row>
    <row r="968" spans="2:34" x14ac:dyDescent="0.2">
      <c r="B968" s="2">
        <f ca="1"/>
        <v>0.70387674023293134</v>
      </c>
      <c r="O968" s="2">
        <f ca="1"/>
        <v>0.26090578435984968</v>
      </c>
      <c r="X968" s="2">
        <f ca="1"/>
        <v>56.306500143260891</v>
      </c>
      <c r="AG968" s="2">
        <f ca="1"/>
        <v>0.99725685756227178</v>
      </c>
      <c r="AH968" s="2" t="str">
        <f ca="1"/>
        <v>Bad</v>
      </c>
    </row>
    <row r="969" spans="2:34" x14ac:dyDescent="0.2">
      <c r="B969" s="2">
        <f ca="1"/>
        <v>0.66300102540785266</v>
      </c>
      <c r="O969" s="2">
        <f ca="1"/>
        <v>0.52732789500726795</v>
      </c>
      <c r="X969" s="2">
        <f ca="1"/>
        <v>50.190347011994746</v>
      </c>
      <c r="AG969" s="2">
        <f ca="1"/>
        <v>0.42015610801982084</v>
      </c>
      <c r="AH969" s="2" t="str">
        <f ca="1"/>
        <v>Bad</v>
      </c>
    </row>
    <row r="970" spans="2:34" x14ac:dyDescent="0.2">
      <c r="B970" s="2">
        <f ca="1"/>
        <v>0.52024915921473913</v>
      </c>
      <c r="O970" s="2">
        <f ca="1"/>
        <v>-0.8320434855999902</v>
      </c>
      <c r="X970" s="2">
        <f ca="1"/>
        <v>31.443948616165191</v>
      </c>
      <c r="AG970" s="2">
        <f ca="1"/>
        <v>0.71192952669335297</v>
      </c>
      <c r="AH970" s="2" t="str">
        <f ca="1"/>
        <v>Bad</v>
      </c>
    </row>
    <row r="971" spans="2:34" x14ac:dyDescent="0.2">
      <c r="B971" s="2">
        <f ca="1"/>
        <v>0.30462368940388318</v>
      </c>
      <c r="O971" s="2">
        <f ca="1"/>
        <v>1.5445854245272228</v>
      </c>
      <c r="X971" s="2">
        <f ca="1"/>
        <v>32.978682281216017</v>
      </c>
      <c r="AG971" s="2">
        <f ca="1"/>
        <v>0.86043836762398174</v>
      </c>
      <c r="AH971" s="2" t="str">
        <f ca="1"/>
        <v>Bad</v>
      </c>
    </row>
    <row r="972" spans="2:34" x14ac:dyDescent="0.2">
      <c r="B972" s="2">
        <f ca="1"/>
        <v>0.62984619298272571</v>
      </c>
      <c r="O972" s="2">
        <f ca="1"/>
        <v>1.2968542786925097</v>
      </c>
      <c r="X972" s="2">
        <f ca="1"/>
        <v>78.035698145107602</v>
      </c>
      <c r="AG972" s="2">
        <f ca="1"/>
        <v>4.3252826386660725E-2</v>
      </c>
      <c r="AH972" s="2" t="str">
        <f ca="1"/>
        <v>Good</v>
      </c>
    </row>
    <row r="973" spans="2:34" x14ac:dyDescent="0.2">
      <c r="B973" s="2">
        <f ca="1"/>
        <v>0.90164710726703534</v>
      </c>
      <c r="O973" s="2">
        <f ca="1"/>
        <v>0.24645421217873473</v>
      </c>
      <c r="X973" s="2">
        <f ca="1"/>
        <v>48.850857186393227</v>
      </c>
      <c r="AG973" s="2">
        <f ca="1"/>
        <v>0.8708456594512437</v>
      </c>
      <c r="AH973" s="2" t="str">
        <f ca="1"/>
        <v>Bad</v>
      </c>
    </row>
    <row r="974" spans="2:34" x14ac:dyDescent="0.2">
      <c r="B974" s="2">
        <f ca="1"/>
        <v>0.13231588380196424</v>
      </c>
      <c r="O974" s="2">
        <f ca="1"/>
        <v>1.0171582148120162</v>
      </c>
      <c r="X974" s="2">
        <f ca="1"/>
        <v>55.986268585149617</v>
      </c>
      <c r="AG974" s="2">
        <f ca="1"/>
        <v>0.35590583778493512</v>
      </c>
      <c r="AH974" s="2" t="str">
        <f ca="1"/>
        <v>OK</v>
      </c>
    </row>
    <row r="975" spans="2:34" x14ac:dyDescent="0.2">
      <c r="B975" s="2">
        <f ca="1"/>
        <v>0.39212635788086581</v>
      </c>
      <c r="O975" s="2">
        <f ca="1"/>
        <v>-0.4136667788827007</v>
      </c>
      <c r="X975" s="2">
        <f ca="1"/>
        <v>50.2466704253372</v>
      </c>
      <c r="AG975" s="2">
        <f ca="1"/>
        <v>9.6777657709223863E-2</v>
      </c>
      <c r="AH975" s="2" t="str">
        <f ca="1"/>
        <v>OK</v>
      </c>
    </row>
    <row r="976" spans="2:34" x14ac:dyDescent="0.2">
      <c r="B976" s="2">
        <f ca="1"/>
        <v>0.40721810086851762</v>
      </c>
      <c r="O976" s="2">
        <f ca="1"/>
        <v>-0.14405032703374526</v>
      </c>
      <c r="X976" s="2">
        <f ca="1"/>
        <v>59.033788824197664</v>
      </c>
      <c r="AG976" s="2">
        <f ca="1"/>
        <v>0.61683715220168267</v>
      </c>
      <c r="AH976" s="2" t="str">
        <f ca="1"/>
        <v>Bad</v>
      </c>
    </row>
    <row r="977" spans="2:34" x14ac:dyDescent="0.2">
      <c r="B977" s="2">
        <f ca="1"/>
        <v>0.90790587431393543</v>
      </c>
      <c r="O977" s="2">
        <f ca="1"/>
        <v>-1.1263280963602493</v>
      </c>
      <c r="X977" s="2">
        <f ca="1"/>
        <v>51.392278896407547</v>
      </c>
      <c r="AG977" s="2">
        <f ca="1"/>
        <v>0.19817465904463005</v>
      </c>
      <c r="AH977" s="2" t="str">
        <f ca="1"/>
        <v>OK</v>
      </c>
    </row>
    <row r="978" spans="2:34" x14ac:dyDescent="0.2">
      <c r="B978" s="2">
        <f ca="1"/>
        <v>0.6124131350244526</v>
      </c>
      <c r="O978" s="2">
        <f ca="1"/>
        <v>0.54111797239786363</v>
      </c>
      <c r="X978" s="2">
        <f ca="1"/>
        <v>28.274190255695576</v>
      </c>
      <c r="AG978" s="2">
        <f ca="1"/>
        <v>0.17136597187795832</v>
      </c>
      <c r="AH978" s="2" t="str">
        <f ca="1"/>
        <v>OK</v>
      </c>
    </row>
    <row r="979" spans="2:34" x14ac:dyDescent="0.2">
      <c r="B979" s="2">
        <f ca="1"/>
        <v>0.52987758650202155</v>
      </c>
      <c r="O979" s="2">
        <f ca="1"/>
        <v>0.3611295593155962</v>
      </c>
      <c r="X979" s="2">
        <f ca="1"/>
        <v>33.509036950243605</v>
      </c>
      <c r="AG979" s="2">
        <f ca="1"/>
        <v>0.36846135346317288</v>
      </c>
      <c r="AH979" s="2" t="str">
        <f ca="1"/>
        <v>OK</v>
      </c>
    </row>
    <row r="980" spans="2:34" x14ac:dyDescent="0.2">
      <c r="B980" s="2">
        <f ca="1"/>
        <v>0.66335124765680109</v>
      </c>
      <c r="O980" s="2">
        <f ca="1"/>
        <v>-0.59338410283235632</v>
      </c>
      <c r="X980" s="2">
        <f ca="1"/>
        <v>28.382172741508469</v>
      </c>
      <c r="AG980" s="2">
        <f ca="1"/>
        <v>0.87747977978887959</v>
      </c>
      <c r="AH980" s="2" t="str">
        <f ca="1"/>
        <v>Bad</v>
      </c>
    </row>
    <row r="981" spans="2:34" x14ac:dyDescent="0.2">
      <c r="B981" s="2">
        <f ca="1"/>
        <v>0.9182372453968688</v>
      </c>
      <c r="O981" s="2">
        <f ca="1"/>
        <v>-1.2668040549314672</v>
      </c>
      <c r="X981" s="2">
        <f ca="1"/>
        <v>32.67313387353304</v>
      </c>
      <c r="AG981" s="2">
        <f ca="1"/>
        <v>0.72200937222606054</v>
      </c>
      <c r="AH981" s="2" t="str">
        <f ca="1"/>
        <v>Bad</v>
      </c>
    </row>
    <row r="982" spans="2:34" x14ac:dyDescent="0.2">
      <c r="B982" s="2">
        <f ca="1"/>
        <v>0.99713651689219462</v>
      </c>
      <c r="O982" s="2">
        <f ca="1"/>
        <v>0.37977920819702798</v>
      </c>
      <c r="X982" s="2">
        <f ca="1"/>
        <v>52.99754858419923</v>
      </c>
      <c r="AG982" s="2">
        <f ca="1"/>
        <v>0.5924289491585879</v>
      </c>
      <c r="AH982" s="2" t="str">
        <f ca="1"/>
        <v>Bad</v>
      </c>
    </row>
    <row r="983" spans="2:34" x14ac:dyDescent="0.2">
      <c r="B983" s="2">
        <f ca="1"/>
        <v>0.34842144051189083</v>
      </c>
      <c r="O983" s="2">
        <f ca="1"/>
        <v>1.6048601168891115</v>
      </c>
      <c r="X983" s="2">
        <f ca="1"/>
        <v>33.515171465607146</v>
      </c>
      <c r="AG983" s="2">
        <f ca="1"/>
        <v>0.90178146631256562</v>
      </c>
      <c r="AH983" s="2" t="str">
        <f ca="1"/>
        <v>Bad</v>
      </c>
    </row>
    <row r="984" spans="2:34" x14ac:dyDescent="0.2">
      <c r="B984" s="2">
        <f ca="1"/>
        <v>0.50296783574199422</v>
      </c>
      <c r="O984" s="2">
        <f ca="1"/>
        <v>1.0255397876273462</v>
      </c>
      <c r="X984" s="2">
        <f ca="1"/>
        <v>32.702736094822782</v>
      </c>
      <c r="AG984" s="2">
        <f ca="1"/>
        <v>0.78082974932314486</v>
      </c>
      <c r="AH984" s="2" t="str">
        <f ca="1"/>
        <v>Bad</v>
      </c>
    </row>
    <row r="985" spans="2:34" x14ac:dyDescent="0.2">
      <c r="B985" s="2">
        <f ca="1"/>
        <v>0.5484166243677846</v>
      </c>
      <c r="O985" s="2">
        <f ca="1"/>
        <v>-0.18951913658345715</v>
      </c>
      <c r="X985" s="2">
        <f ca="1"/>
        <v>36.232291921070491</v>
      </c>
      <c r="AG985" s="2">
        <f ca="1"/>
        <v>0.29964360530298695</v>
      </c>
      <c r="AH985" s="2" t="str">
        <f ca="1"/>
        <v>OK</v>
      </c>
    </row>
    <row r="986" spans="2:34" x14ac:dyDescent="0.2">
      <c r="B986" s="2">
        <f ca="1"/>
        <v>0.55459959558756355</v>
      </c>
      <c r="O986" s="2">
        <f ca="1"/>
        <v>-0.94924677852015493</v>
      </c>
      <c r="X986" s="2">
        <f ca="1"/>
        <v>49.470984484089144</v>
      </c>
      <c r="AG986" s="2">
        <f ca="1"/>
        <v>0.98072844611773369</v>
      </c>
      <c r="AH986" s="2" t="str">
        <f ca="1"/>
        <v>Bad</v>
      </c>
    </row>
    <row r="987" spans="2:34" x14ac:dyDescent="0.2">
      <c r="B987" s="2">
        <f ca="1"/>
        <v>0.97967032008226629</v>
      </c>
      <c r="O987" s="2">
        <f ca="1"/>
        <v>0.35206776395776496</v>
      </c>
      <c r="X987" s="2">
        <f ca="1"/>
        <v>63.935670272725758</v>
      </c>
      <c r="AG987" s="2">
        <f ca="1"/>
        <v>0.90540930491701443</v>
      </c>
      <c r="AH987" s="2" t="str">
        <f ca="1"/>
        <v>Bad</v>
      </c>
    </row>
    <row r="988" spans="2:34" x14ac:dyDescent="0.2">
      <c r="B988" s="2">
        <f ca="1"/>
        <v>0.95202820315992098</v>
      </c>
      <c r="O988" s="2">
        <f ca="1"/>
        <v>1.8836240857688444</v>
      </c>
      <c r="X988" s="2">
        <f ca="1"/>
        <v>57.931823196627981</v>
      </c>
      <c r="AG988" s="2">
        <f ca="1"/>
        <v>0.31263949319358453</v>
      </c>
      <c r="AH988" s="2" t="str">
        <f ca="1"/>
        <v>OK</v>
      </c>
    </row>
    <row r="989" spans="2:34" x14ac:dyDescent="0.2">
      <c r="B989" s="2">
        <f ca="1"/>
        <v>0.95156796136266819</v>
      </c>
      <c r="O989" s="2">
        <f ca="1"/>
        <v>0.46042529413355859</v>
      </c>
      <c r="X989" s="2">
        <f ca="1"/>
        <v>31.286420661784973</v>
      </c>
      <c r="AG989" s="2">
        <f ca="1"/>
        <v>0.68073576308001105</v>
      </c>
      <c r="AH989" s="2" t="str">
        <f ca="1"/>
        <v>Bad</v>
      </c>
    </row>
    <row r="990" spans="2:34" x14ac:dyDescent="0.2">
      <c r="B990" s="2">
        <f ca="1"/>
        <v>0.41085902861042789</v>
      </c>
      <c r="O990" s="2">
        <f ca="1"/>
        <v>0.91848043880630248</v>
      </c>
      <c r="X990" s="2">
        <f ca="1"/>
        <v>23.035126205799795</v>
      </c>
      <c r="AG990" s="2">
        <f ca="1"/>
        <v>0.83606563722690885</v>
      </c>
      <c r="AH990" s="2" t="str">
        <f ca="1"/>
        <v>Bad</v>
      </c>
    </row>
    <row r="991" spans="2:34" x14ac:dyDescent="0.2">
      <c r="B991" s="2">
        <f ca="1"/>
        <v>1.6216116149229798E-2</v>
      </c>
      <c r="O991" s="2">
        <f ca="1"/>
        <v>-1.250885668879465</v>
      </c>
      <c r="X991" s="2">
        <f ca="1"/>
        <v>43.61801344515294</v>
      </c>
      <c r="AG991" s="2">
        <f ca="1"/>
        <v>7.3651000159716595E-2</v>
      </c>
      <c r="AH991" s="2" t="str">
        <f ca="1"/>
        <v>OK</v>
      </c>
    </row>
    <row r="992" spans="2:34" x14ac:dyDescent="0.2">
      <c r="B992" s="2">
        <f ca="1"/>
        <v>0.86560524544008444</v>
      </c>
      <c r="O992" s="2">
        <f ca="1"/>
        <v>1.9255352411423672</v>
      </c>
      <c r="X992" s="2">
        <f ca="1"/>
        <v>67.57977614743973</v>
      </c>
      <c r="AG992" s="2">
        <f ca="1"/>
        <v>0.2914443440941894</v>
      </c>
      <c r="AH992" s="2" t="str">
        <f ca="1"/>
        <v>OK</v>
      </c>
    </row>
    <row r="993" spans="2:34" x14ac:dyDescent="0.2">
      <c r="B993" s="2">
        <f ca="1"/>
        <v>0.64540594280307784</v>
      </c>
      <c r="O993" s="2">
        <f ca="1"/>
        <v>0.23671079269687317</v>
      </c>
      <c r="X993" s="2">
        <f ca="1"/>
        <v>39.534781220432428</v>
      </c>
      <c r="AG993" s="2">
        <f ca="1"/>
        <v>0.64794209047682094</v>
      </c>
      <c r="AH993" s="2" t="str">
        <f ca="1"/>
        <v>Bad</v>
      </c>
    </row>
    <row r="994" spans="2:34" x14ac:dyDescent="0.2">
      <c r="B994" s="2">
        <f ca="1"/>
        <v>0.2169930062881531</v>
      </c>
      <c r="O994" s="2">
        <f ca="1"/>
        <v>-2.3011955095319179</v>
      </c>
      <c r="X994" s="2">
        <f ca="1"/>
        <v>30.053195174955572</v>
      </c>
      <c r="AG994" s="2">
        <f ca="1"/>
        <v>0.62153199352196298</v>
      </c>
      <c r="AH994" s="2" t="str">
        <f ca="1"/>
        <v>Bad</v>
      </c>
    </row>
    <row r="995" spans="2:34" x14ac:dyDescent="0.2">
      <c r="B995" s="2">
        <f ca="1"/>
        <v>0.65898762068657235</v>
      </c>
      <c r="O995" s="2">
        <f ca="1"/>
        <v>-7.9439931275776324E-2</v>
      </c>
      <c r="X995" s="2">
        <f ca="1"/>
        <v>43.425818111972134</v>
      </c>
      <c r="AG995" s="2">
        <f ca="1"/>
        <v>0.48430368766720844</v>
      </c>
      <c r="AH995" s="2" t="str">
        <f ca="1"/>
        <v>Bad</v>
      </c>
    </row>
    <row r="996" spans="2:34" x14ac:dyDescent="0.2">
      <c r="B996" s="2">
        <f ca="1"/>
        <v>0.24240527710737281</v>
      </c>
      <c r="O996" s="2">
        <f ca="1"/>
        <v>0.37929349711925031</v>
      </c>
      <c r="X996" s="2">
        <f ca="1"/>
        <v>46.319581309040444</v>
      </c>
      <c r="AG996" s="2">
        <f ca="1"/>
        <v>0.77739845174703026</v>
      </c>
      <c r="AH996" s="2" t="str">
        <f ca="1"/>
        <v>Bad</v>
      </c>
    </row>
    <row r="997" spans="2:34" x14ac:dyDescent="0.2">
      <c r="B997" s="2">
        <f ca="1"/>
        <v>0.28845216601189216</v>
      </c>
      <c r="O997" s="2">
        <f ca="1"/>
        <v>0.2551113561492056</v>
      </c>
      <c r="X997" s="2">
        <f ca="1"/>
        <v>41.108201062433281</v>
      </c>
      <c r="AG997" s="2">
        <f ca="1"/>
        <v>0.60784894491109398</v>
      </c>
      <c r="AH997" s="2" t="str">
        <f ca="1"/>
        <v>Bad</v>
      </c>
    </row>
    <row r="998" spans="2:34" x14ac:dyDescent="0.2">
      <c r="B998" s="2">
        <f ca="1"/>
        <v>0.84649570864796075</v>
      </c>
      <c r="O998" s="2">
        <f ca="1"/>
        <v>0.33661747121754138</v>
      </c>
      <c r="X998" s="2">
        <f ca="1"/>
        <v>33.110043318489659</v>
      </c>
      <c r="AG998" s="2">
        <f ca="1"/>
        <v>0.31530027028009622</v>
      </c>
      <c r="AH998" s="2" t="str">
        <f ca="1"/>
        <v>OK</v>
      </c>
    </row>
    <row r="999" spans="2:34" x14ac:dyDescent="0.2">
      <c r="B999" s="2">
        <f ca="1"/>
        <v>0.68511715719217081</v>
      </c>
      <c r="O999" s="2">
        <f ca="1"/>
        <v>0.38703208904079578</v>
      </c>
      <c r="X999" s="2">
        <f ca="1"/>
        <v>28.416081181254697</v>
      </c>
      <c r="AG999" s="2">
        <f ca="1"/>
        <v>0.51572035145126627</v>
      </c>
      <c r="AH999" s="2" t="str">
        <f ca="1"/>
        <v>Bad</v>
      </c>
    </row>
    <row r="1000" spans="2:34" x14ac:dyDescent="0.2">
      <c r="B1000" s="2">
        <f ca="1"/>
        <v>0.50476577751374885</v>
      </c>
      <c r="O1000" s="2">
        <f ca="1"/>
        <v>0.40956346135308264</v>
      </c>
      <c r="X1000" s="2">
        <f ca="1"/>
        <v>44.479898011485474</v>
      </c>
      <c r="AG1000" s="2">
        <f ca="1"/>
        <v>0.96553394840474249</v>
      </c>
      <c r="AH1000" s="2" t="str">
        <f ca="1"/>
        <v>Bad</v>
      </c>
    </row>
    <row r="1001" spans="2:34" x14ac:dyDescent="0.2">
      <c r="B1001" s="2">
        <f ca="1"/>
        <v>0.37711494537754109</v>
      </c>
      <c r="O1001" s="2">
        <f ca="1"/>
        <v>1.1597383181385725</v>
      </c>
      <c r="X1001" s="2">
        <f ca="1"/>
        <v>36.008963038183907</v>
      </c>
      <c r="AG1001" s="2">
        <f ca="1"/>
        <v>0.71279500961347342</v>
      </c>
      <c r="AH1001" s="2" t="str">
        <f ca="1"/>
        <v>Bad</v>
      </c>
    </row>
    <row r="1002" spans="2:34" x14ac:dyDescent="0.2">
      <c r="B1002" s="2">
        <f ca="1"/>
        <v>0.24575480074815403</v>
      </c>
      <c r="O1002" s="2">
        <f ca="1"/>
        <v>0.78184417348546986</v>
      </c>
      <c r="X1002" s="2">
        <f ca="1"/>
        <v>40.523045514682195</v>
      </c>
      <c r="AG1002" s="2">
        <f ca="1"/>
        <v>0.82296044749064379</v>
      </c>
      <c r="AH1002" s="2" t="str">
        <f ca="1"/>
        <v>Bad</v>
      </c>
    </row>
    <row r="1003" spans="2:34" x14ac:dyDescent="0.2">
      <c r="B1003" s="2">
        <f ca="1"/>
        <v>0.69102523588425036</v>
      </c>
      <c r="O1003" s="2">
        <f ca="1"/>
        <v>1.2475132336950845</v>
      </c>
      <c r="X1003" s="2">
        <f ca="1"/>
        <v>24.851229135324033</v>
      </c>
      <c r="AG1003" s="2">
        <f ca="1"/>
        <v>0.75361449519562984</v>
      </c>
      <c r="AH1003" s="2" t="str">
        <f ca="1"/>
        <v>Bad</v>
      </c>
    </row>
    <row r="1004" spans="2:34" x14ac:dyDescent="0.2">
      <c r="B1004" s="2">
        <f ca="1"/>
        <v>0.46447538533574639</v>
      </c>
      <c r="O1004" s="2">
        <f ca="1"/>
        <v>-5.8384857319502013E-2</v>
      </c>
      <c r="X1004" s="2">
        <f ca="1"/>
        <v>37.464313990581395</v>
      </c>
      <c r="AG1004" s="2">
        <f ca="1"/>
        <v>0.65790621663563531</v>
      </c>
      <c r="AH1004" s="2" t="str">
        <f ca="1"/>
        <v>Bad</v>
      </c>
    </row>
    <row r="1005" spans="2:34" x14ac:dyDescent="0.2">
      <c r="B1005" s="2">
        <f ca="1"/>
        <v>0.59029879298946142</v>
      </c>
      <c r="O1005" s="2">
        <f ca="1"/>
        <v>-0.27705720878744367</v>
      </c>
      <c r="X1005" s="2">
        <f ca="1"/>
        <v>66.046193849208066</v>
      </c>
      <c r="AG1005" s="2">
        <f ca="1"/>
        <v>0.63771857027922341</v>
      </c>
      <c r="AH1005" s="2" t="str">
        <f ca="1"/>
        <v>Bad</v>
      </c>
    </row>
    <row r="1006" spans="2:34" x14ac:dyDescent="0.2">
      <c r="B1006" s="2">
        <f ca="1"/>
        <v>0.63151860275161575</v>
      </c>
      <c r="O1006" s="2">
        <f ca="1"/>
        <v>-1.5124482679753586</v>
      </c>
      <c r="X1006" s="2">
        <f ca="1"/>
        <v>49.210183362074325</v>
      </c>
      <c r="AG1006" s="2">
        <f ca="1"/>
        <v>0.10153153386860581</v>
      </c>
      <c r="AH1006" s="2" t="str">
        <f ca="1"/>
        <v>OK</v>
      </c>
    </row>
    <row r="1007" spans="2:34" x14ac:dyDescent="0.2">
      <c r="B1007" s="2">
        <f ca="1"/>
        <v>0.93125625292554859</v>
      </c>
      <c r="O1007" s="2">
        <f ca="1"/>
        <v>0.42267871125868578</v>
      </c>
      <c r="X1007" s="2">
        <f ca="1"/>
        <v>56.717949462503476</v>
      </c>
      <c r="AG1007" s="2">
        <f ca="1"/>
        <v>0.61500825784630408</v>
      </c>
      <c r="AH1007" s="2" t="str">
        <f ca="1"/>
        <v>Bad</v>
      </c>
    </row>
    <row r="1008" spans="2:34" x14ac:dyDescent="0.2">
      <c r="B1008" s="2">
        <f ca="1"/>
        <v>0.46143921247839748</v>
      </c>
      <c r="O1008" s="2">
        <f ca="1"/>
        <v>-1.1148279973262232</v>
      </c>
      <c r="X1008" s="2">
        <f ca="1"/>
        <v>62.313118237810976</v>
      </c>
      <c r="AG1008" s="2">
        <f ca="1"/>
        <v>0.59588338876228186</v>
      </c>
      <c r="AH1008" s="2" t="str">
        <f ca="1"/>
        <v>Bad</v>
      </c>
    </row>
    <row r="1009" spans="2:34" x14ac:dyDescent="0.2">
      <c r="B1009" s="2">
        <f ca="1"/>
        <v>0.97147446132992243</v>
      </c>
      <c r="O1009" s="2">
        <f ca="1"/>
        <v>-0.94143768882524703</v>
      </c>
      <c r="X1009" s="2">
        <f ca="1"/>
        <v>56.617501756757456</v>
      </c>
      <c r="AG1009" s="2">
        <f ca="1"/>
        <v>6.4183230118137757E-2</v>
      </c>
      <c r="AH1009" s="2" t="str">
        <f ca="1"/>
        <v>OK</v>
      </c>
    </row>
    <row r="1010" spans="2:34" x14ac:dyDescent="0.2">
      <c r="B1010" s="2">
        <f ca="1"/>
        <v>0.46562549939899478</v>
      </c>
      <c r="O1010" s="2">
        <f ca="1"/>
        <v>-0.72190024408854581</v>
      </c>
      <c r="X1010" s="2">
        <f ca="1"/>
        <v>50.207118397972231</v>
      </c>
      <c r="AG1010" s="2">
        <f ca="1"/>
        <v>0.31448271882135836</v>
      </c>
      <c r="AH1010" s="2" t="str">
        <f ca="1"/>
        <v>OK</v>
      </c>
    </row>
    <row r="1011" spans="2:34" x14ac:dyDescent="0.2">
      <c r="B1011" s="2">
        <f ca="1"/>
        <v>0.44685084995664592</v>
      </c>
      <c r="O1011" s="2">
        <f ca="1"/>
        <v>0.52782339792850352</v>
      </c>
      <c r="X1011" s="2">
        <f ca="1"/>
        <v>33.666993636752117</v>
      </c>
      <c r="AG1011" s="2">
        <f ca="1"/>
        <v>7.6600765883131361E-2</v>
      </c>
      <c r="AH1011" s="2" t="str">
        <f ca="1"/>
        <v>OK</v>
      </c>
    </row>
    <row r="1012" spans="2:34" x14ac:dyDescent="0.2">
      <c r="B1012" s="2">
        <f ca="1"/>
        <v>0.54985301672183939</v>
      </c>
      <c r="O1012" s="2">
        <f ca="1"/>
        <v>-1.9398843371013894</v>
      </c>
      <c r="X1012" s="2">
        <f ca="1"/>
        <v>24.46806476691231</v>
      </c>
      <c r="AG1012" s="2">
        <f ca="1"/>
        <v>0.61203808276548211</v>
      </c>
      <c r="AH1012" s="2" t="str">
        <f ca="1"/>
        <v>Bad</v>
      </c>
    </row>
    <row r="1013" spans="2:34" x14ac:dyDescent="0.2">
      <c r="B1013" s="2">
        <f ca="1"/>
        <v>0.54130259986987905</v>
      </c>
      <c r="O1013" s="2">
        <f ca="1"/>
        <v>1.2844851726696027</v>
      </c>
      <c r="X1013" s="2">
        <f ca="1"/>
        <v>26.245393309902646</v>
      </c>
      <c r="AG1013" s="2">
        <f ca="1"/>
        <v>0.95511135547032011</v>
      </c>
      <c r="AH1013" s="2" t="str">
        <f ca="1"/>
        <v>Bad</v>
      </c>
    </row>
    <row r="1014" spans="2:34" x14ac:dyDescent="0.2">
      <c r="B1014" s="2">
        <f ca="1"/>
        <v>0.37076812414997473</v>
      </c>
      <c r="O1014" s="2">
        <f ca="1"/>
        <v>4.2792721212257634E-2</v>
      </c>
      <c r="X1014" s="2">
        <f ca="1"/>
        <v>44.881741574372072</v>
      </c>
      <c r="AG1014" s="2">
        <f ca="1"/>
        <v>0.93202711018058615</v>
      </c>
      <c r="AH1014" s="2" t="str">
        <f ca="1"/>
        <v>Bad</v>
      </c>
    </row>
    <row r="1015" spans="2:34" x14ac:dyDescent="0.2">
      <c r="B1015" s="2">
        <f ca="1"/>
        <v>0.39314554030160531</v>
      </c>
      <c r="O1015" s="2">
        <f ca="1"/>
        <v>-1.2197070220630875</v>
      </c>
      <c r="X1015" s="2">
        <f ca="1"/>
        <v>65.338833741152328</v>
      </c>
      <c r="AG1015" s="2">
        <f ca="1"/>
        <v>0.37751803631428071</v>
      </c>
      <c r="AH1015" s="2" t="str">
        <f ca="1"/>
        <v>OK</v>
      </c>
    </row>
    <row r="1016" spans="2:34" x14ac:dyDescent="0.2">
      <c r="B1016" s="2">
        <f ca="1"/>
        <v>0.15328392404483426</v>
      </c>
      <c r="O1016" s="2">
        <f ca="1"/>
        <v>0.10138331086400866</v>
      </c>
      <c r="X1016" s="2">
        <f ca="1"/>
        <v>37.933198178622973</v>
      </c>
      <c r="AG1016" s="2">
        <f ca="1"/>
        <v>0.73590547603106216</v>
      </c>
      <c r="AH1016" s="2" t="str">
        <f ca="1"/>
        <v>Bad</v>
      </c>
    </row>
    <row r="1017" spans="2:34" x14ac:dyDescent="0.2">
      <c r="B1017" s="2">
        <f ca="1"/>
        <v>0.20473851725613779</v>
      </c>
      <c r="O1017" s="2">
        <f ca="1"/>
        <v>-0.82945719611039304</v>
      </c>
      <c r="X1017" s="2">
        <f ca="1"/>
        <v>30.088596294160944</v>
      </c>
      <c r="AG1017" s="2">
        <f ca="1"/>
        <v>0.57926603357881512</v>
      </c>
      <c r="AH1017" s="2" t="str">
        <f ca="1"/>
        <v>Bad</v>
      </c>
    </row>
    <row r="1018" spans="2:34" x14ac:dyDescent="0.2">
      <c r="B1018" s="2">
        <f ca="1"/>
        <v>0.80340315072099489</v>
      </c>
      <c r="O1018" s="2">
        <f ca="1"/>
        <v>0.32629643711157608</v>
      </c>
      <c r="X1018" s="2">
        <f ca="1"/>
        <v>60.085797160747049</v>
      </c>
      <c r="AG1018" s="2">
        <f ca="1"/>
        <v>0.43889931953782035</v>
      </c>
      <c r="AH1018" s="2" t="str">
        <f ca="1"/>
        <v>Bad</v>
      </c>
    </row>
    <row r="1019" spans="2:34" x14ac:dyDescent="0.2">
      <c r="B1019" s="2">
        <f ca="1"/>
        <v>4.8396115305145981E-2</v>
      </c>
      <c r="O1019" s="2">
        <f ca="1"/>
        <v>1.3366456242081952</v>
      </c>
      <c r="X1019" s="2">
        <f ca="1"/>
        <v>39.10280463419064</v>
      </c>
      <c r="AG1019" s="2">
        <f ca="1"/>
        <v>0.78703184118130309</v>
      </c>
      <c r="AH1019" s="2" t="str">
        <f ca="1"/>
        <v>Bad</v>
      </c>
    </row>
    <row r="1020" spans="2:34" x14ac:dyDescent="0.2">
      <c r="B1020" s="2">
        <f ca="1"/>
        <v>0.7725339608059909</v>
      </c>
      <c r="O1020" s="2">
        <f ca="1"/>
        <v>-5.8486462681917865E-2</v>
      </c>
      <c r="X1020" s="2">
        <f ca="1"/>
        <v>48.559059148557012</v>
      </c>
      <c r="AG1020" s="2">
        <f ca="1"/>
        <v>0.62657099432863728</v>
      </c>
      <c r="AH1020" s="2" t="str">
        <f ca="1"/>
        <v>Bad</v>
      </c>
    </row>
    <row r="1021" spans="2:34" x14ac:dyDescent="0.2">
      <c r="B1021" s="2">
        <f ca="1"/>
        <v>0.91135310217068399</v>
      </c>
      <c r="O1021" s="2">
        <f ca="1"/>
        <v>-1.9693746114070625</v>
      </c>
      <c r="X1021" s="2">
        <f ca="1"/>
        <v>28.598387305793743</v>
      </c>
      <c r="AG1021" s="2">
        <f ca="1"/>
        <v>0.70480415012089637</v>
      </c>
      <c r="AH1021" s="2" t="str">
        <f ca="1"/>
        <v>Bad</v>
      </c>
    </row>
    <row r="1022" spans="2:34" x14ac:dyDescent="0.2">
      <c r="B1022" s="2">
        <f ca="1"/>
        <v>0.67377547063707177</v>
      </c>
      <c r="O1022" s="2">
        <f ca="1"/>
        <v>-1.1474582465690097</v>
      </c>
      <c r="X1022" s="2">
        <f ca="1"/>
        <v>36.424247459221561</v>
      </c>
      <c r="AG1022" s="2">
        <f ca="1"/>
        <v>0.26824818146655138</v>
      </c>
      <c r="AH1022" s="2" t="str">
        <f ca="1"/>
        <v>OK</v>
      </c>
    </row>
    <row r="1023" spans="2:34" x14ac:dyDescent="0.2">
      <c r="B1023" s="2">
        <f ca="1"/>
        <v>0.9149077239838046</v>
      </c>
      <c r="O1023" s="2">
        <f ca="1"/>
        <v>-1.2272460059961241</v>
      </c>
      <c r="X1023" s="2">
        <f ca="1"/>
        <v>48.0922577837839</v>
      </c>
      <c r="AG1023" s="2">
        <f ca="1"/>
        <v>6.2877791370718805E-2</v>
      </c>
      <c r="AH1023" s="2" t="str">
        <f ca="1"/>
        <v>OK</v>
      </c>
    </row>
    <row r="1024" spans="2:34" x14ac:dyDescent="0.2">
      <c r="B1024" s="2">
        <f ca="1"/>
        <v>8.1403633194536695E-3</v>
      </c>
      <c r="O1024" s="2">
        <f ca="1"/>
        <v>-1.9064104912697521</v>
      </c>
      <c r="X1024" s="2">
        <f ca="1"/>
        <v>69.76834683576466</v>
      </c>
      <c r="AG1024" s="2">
        <f ca="1"/>
        <v>0.9780755812677544</v>
      </c>
      <c r="AH1024" s="2" t="str">
        <f ca="1"/>
        <v>Bad</v>
      </c>
    </row>
    <row r="1025" spans="2:34" x14ac:dyDescent="0.2">
      <c r="B1025" s="2">
        <f ca="1"/>
        <v>0.17807812606797269</v>
      </c>
      <c r="O1025" s="2">
        <f ca="1"/>
        <v>1.4067069532930989E-2</v>
      </c>
      <c r="X1025" s="2">
        <f ca="1"/>
        <v>41.4760359238212</v>
      </c>
      <c r="AG1025" s="2">
        <f ca="1"/>
        <v>6.545748029607612E-2</v>
      </c>
      <c r="AH1025" s="2" t="str">
        <f ca="1"/>
        <v>OK</v>
      </c>
    </row>
    <row r="1026" spans="2:34" x14ac:dyDescent="0.2">
      <c r="B1026" s="2">
        <f ca="1"/>
        <v>0.41146727092960811</v>
      </c>
      <c r="O1026" s="2">
        <f ca="1"/>
        <v>-5.8553266984466786E-2</v>
      </c>
      <c r="X1026" s="2">
        <f ca="1"/>
        <v>91.718226828990169</v>
      </c>
      <c r="AG1026" s="2">
        <f ca="1"/>
        <v>0.26130826008082209</v>
      </c>
      <c r="AH1026" s="2" t="str">
        <f ca="1"/>
        <v>OK</v>
      </c>
    </row>
    <row r="1027" spans="2:34" x14ac:dyDescent="0.2">
      <c r="B1027" s="2">
        <f ca="1"/>
        <v>0.21626751102679975</v>
      </c>
      <c r="O1027" s="2">
        <f ca="1"/>
        <v>-0.65737858029266893</v>
      </c>
      <c r="X1027" s="2">
        <f ca="1"/>
        <v>48.047487150764724</v>
      </c>
      <c r="AG1027" s="2">
        <f ca="1"/>
        <v>6.3245081532512515E-3</v>
      </c>
      <c r="AH1027" s="2" t="str">
        <f ca="1"/>
        <v>Good</v>
      </c>
    </row>
    <row r="1028" spans="2:34" x14ac:dyDescent="0.2">
      <c r="B1028" s="2">
        <f ca="1"/>
        <v>2.690972749585141E-2</v>
      </c>
      <c r="O1028" s="2">
        <f ca="1"/>
        <v>0.48011606597796974</v>
      </c>
      <c r="X1028" s="2">
        <f ca="1"/>
        <v>91.854131469233693</v>
      </c>
      <c r="AG1028" s="2">
        <f ca="1"/>
        <v>0.10803157373676431</v>
      </c>
      <c r="AH1028" s="2" t="str">
        <f ca="1"/>
        <v>OK</v>
      </c>
    </row>
    <row r="1029" spans="2:34" x14ac:dyDescent="0.2">
      <c r="B1029" s="2">
        <f ca="1"/>
        <v>0.48410551346925557</v>
      </c>
      <c r="O1029" s="2">
        <f ca="1"/>
        <v>-1.6318531989825233</v>
      </c>
      <c r="X1029" s="2">
        <f ca="1"/>
        <v>46.1183354769082</v>
      </c>
      <c r="AG1029" s="2">
        <f ca="1"/>
        <v>0.30577348168701901</v>
      </c>
      <c r="AH1029" s="2" t="str">
        <f ca="1"/>
        <v>OK</v>
      </c>
    </row>
    <row r="1030" spans="2:34" x14ac:dyDescent="0.2">
      <c r="B1030" s="2">
        <f ca="1"/>
        <v>0.44194139145147249</v>
      </c>
      <c r="O1030" s="2">
        <f ca="1"/>
        <v>-1.5496146591157327</v>
      </c>
      <c r="X1030" s="2">
        <f ca="1"/>
        <v>55.540542674297001</v>
      </c>
      <c r="AG1030" s="2">
        <f ca="1"/>
        <v>0.12180977455413755</v>
      </c>
      <c r="AH1030" s="2" t="str">
        <f ca="1"/>
        <v>OK</v>
      </c>
    </row>
    <row r="1031" spans="2:34" x14ac:dyDescent="0.2">
      <c r="B1031" s="2">
        <f ca="1"/>
        <v>0.24436407246530689</v>
      </c>
      <c r="O1031" s="2">
        <f ca="1"/>
        <v>0.44413299919004917</v>
      </c>
      <c r="X1031" s="2">
        <f ca="1"/>
        <v>58.790103275388084</v>
      </c>
      <c r="AG1031" s="2">
        <f ca="1"/>
        <v>0.60243882970850771</v>
      </c>
      <c r="AH1031" s="2" t="str">
        <f ca="1"/>
        <v>Bad</v>
      </c>
    </row>
    <row r="1032" spans="2:34" x14ac:dyDescent="0.2">
      <c r="B1032" s="2">
        <f ca="1"/>
        <v>0.79882522021999391</v>
      </c>
      <c r="O1032" s="2">
        <f ca="1"/>
        <v>0.81705975710239143</v>
      </c>
      <c r="X1032" s="2">
        <f ca="1"/>
        <v>67.696932894558756</v>
      </c>
      <c r="AG1032" s="2">
        <f ca="1"/>
        <v>0.37798000897503692</v>
      </c>
      <c r="AH1032" s="2" t="str">
        <f ca="1"/>
        <v>OK</v>
      </c>
    </row>
    <row r="1033" spans="2:34" x14ac:dyDescent="0.2">
      <c r="B1033" s="2">
        <f ca="1"/>
        <v>5.1818479388737071E-2</v>
      </c>
      <c r="O1033" s="2">
        <f ca="1"/>
        <v>-0.47635510225215477</v>
      </c>
      <c r="X1033" s="2">
        <f ca="1"/>
        <v>43.55907411351896</v>
      </c>
      <c r="AG1033" s="2">
        <f ca="1"/>
        <v>0.76235880193757466</v>
      </c>
      <c r="AH1033" s="2" t="str">
        <f ca="1"/>
        <v>Bad</v>
      </c>
    </row>
    <row r="1034" spans="2:34" x14ac:dyDescent="0.2">
      <c r="B1034" s="2">
        <f ca="1"/>
        <v>0.15227042042049699</v>
      </c>
      <c r="O1034" s="2">
        <f ca="1"/>
        <v>-1.8492377614926296</v>
      </c>
      <c r="X1034" s="2">
        <f ca="1"/>
        <v>52.331847837470121</v>
      </c>
      <c r="AG1034" s="2">
        <f ca="1"/>
        <v>0.63832079036941924</v>
      </c>
      <c r="AH1034" s="2" t="str">
        <f ca="1"/>
        <v>Bad</v>
      </c>
    </row>
    <row r="1035" spans="2:34" x14ac:dyDescent="0.2">
      <c r="B1035" s="2">
        <f ca="1"/>
        <v>0.61262361505580087</v>
      </c>
      <c r="O1035" s="2">
        <f ca="1"/>
        <v>1.256492617866112</v>
      </c>
      <c r="X1035" s="2">
        <f ca="1"/>
        <v>57.777976166256039</v>
      </c>
      <c r="AG1035" s="2">
        <f ca="1"/>
        <v>0.44495898021615177</v>
      </c>
      <c r="AH1035" s="2" t="str">
        <f ca="1"/>
        <v>Bad</v>
      </c>
    </row>
    <row r="1036" spans="2:34" x14ac:dyDescent="0.2">
      <c r="B1036" s="2">
        <f ca="1"/>
        <v>0.43533877855076852</v>
      </c>
      <c r="O1036" s="2">
        <f ca="1"/>
        <v>-0.31270848432740339</v>
      </c>
      <c r="X1036" s="2">
        <f ca="1"/>
        <v>24.508263372070807</v>
      </c>
      <c r="AG1036" s="2">
        <f ca="1"/>
        <v>0.96313842547508277</v>
      </c>
      <c r="AH1036" s="2" t="str">
        <f ca="1"/>
        <v>Bad</v>
      </c>
    </row>
    <row r="1037" spans="2:34" x14ac:dyDescent="0.2">
      <c r="B1037" s="2">
        <f ca="1"/>
        <v>0.2888473809893437</v>
      </c>
      <c r="O1037" s="2">
        <f ca="1"/>
        <v>-0.35314144957250443</v>
      </c>
      <c r="X1037" s="2">
        <f ca="1"/>
        <v>37.965210910152919</v>
      </c>
      <c r="AG1037" s="2">
        <f ca="1"/>
        <v>0.88900228755906507</v>
      </c>
      <c r="AH1037" s="2" t="str">
        <f ca="1"/>
        <v>Bad</v>
      </c>
    </row>
    <row r="1038" spans="2:34" x14ac:dyDescent="0.2">
      <c r="B1038" s="2">
        <f ca="1"/>
        <v>0.83016430186434964</v>
      </c>
      <c r="O1038" s="2">
        <f ca="1"/>
        <v>0.15861018476149499</v>
      </c>
      <c r="X1038" s="2">
        <f ca="1"/>
        <v>53.815775929582955</v>
      </c>
      <c r="AG1038" s="2">
        <f ca="1"/>
        <v>0.7120155848405596</v>
      </c>
      <c r="AH1038" s="2" t="str">
        <f ca="1"/>
        <v>Bad</v>
      </c>
    </row>
    <row r="1039" spans="2:34" x14ac:dyDescent="0.2">
      <c r="B1039" s="2">
        <f ca="1"/>
        <v>0.13282118881272287</v>
      </c>
      <c r="O1039" s="2">
        <f ca="1"/>
        <v>2.0083145310044137</v>
      </c>
      <c r="X1039" s="2">
        <f ca="1"/>
        <v>49.856639325029548</v>
      </c>
      <c r="AG1039" s="2">
        <f ca="1"/>
        <v>0.25614802174364026</v>
      </c>
      <c r="AH1039" s="2" t="str">
        <f ca="1"/>
        <v>OK</v>
      </c>
    </row>
    <row r="1040" spans="2:34" x14ac:dyDescent="0.2">
      <c r="B1040" s="2">
        <f ca="1"/>
        <v>0.83217156850126628</v>
      </c>
      <c r="O1040" s="2">
        <f ca="1"/>
        <v>0.53726454019815739</v>
      </c>
      <c r="X1040" s="2">
        <f ca="1"/>
        <v>40.95760833187714</v>
      </c>
      <c r="AG1040" s="2">
        <f ca="1"/>
        <v>0.13215165784908578</v>
      </c>
      <c r="AH1040" s="2" t="str">
        <f ca="1"/>
        <v>OK</v>
      </c>
    </row>
    <row r="1041" spans="2:34" x14ac:dyDescent="0.2">
      <c r="B1041" s="2">
        <f ca="1"/>
        <v>0.6644255000438577</v>
      </c>
      <c r="O1041" s="2">
        <f ca="1"/>
        <v>9.6187304130274418E-2</v>
      </c>
      <c r="X1041" s="2">
        <f ca="1"/>
        <v>28.812626452363475</v>
      </c>
      <c r="AG1041" s="2">
        <f ca="1"/>
        <v>0.33587688612213396</v>
      </c>
      <c r="AH1041" s="2" t="str">
        <f ca="1"/>
        <v>OK</v>
      </c>
    </row>
    <row r="1042" spans="2:34" x14ac:dyDescent="0.2">
      <c r="B1042" s="2">
        <f ca="1"/>
        <v>0.20993420031517607</v>
      </c>
      <c r="O1042" s="2">
        <f ca="1"/>
        <v>-0.80838492608266421</v>
      </c>
      <c r="X1042" s="2">
        <f ca="1"/>
        <v>27.696643076218837</v>
      </c>
      <c r="AG1042" s="2">
        <f ca="1"/>
        <v>0.18182780810670107</v>
      </c>
      <c r="AH1042" s="2" t="str">
        <f ca="1"/>
        <v>OK</v>
      </c>
    </row>
    <row r="1043" spans="2:34" x14ac:dyDescent="0.2">
      <c r="B1043" s="2">
        <f ca="1"/>
        <v>0.30254162319093236</v>
      </c>
      <c r="O1043" s="2">
        <f ca="1"/>
        <v>7.7239500333499467E-2</v>
      </c>
      <c r="X1043" s="2">
        <f ca="1"/>
        <v>66.685294664796345</v>
      </c>
      <c r="AG1043" s="2">
        <f ca="1"/>
        <v>0.56181887802810038</v>
      </c>
      <c r="AH1043" s="2" t="str">
        <f ca="1"/>
        <v>Bad</v>
      </c>
    </row>
    <row r="1044" spans="2:34" x14ac:dyDescent="0.2">
      <c r="B1044" s="2">
        <f ca="1"/>
        <v>0.51217928922625311</v>
      </c>
      <c r="O1044" s="2">
        <f ca="1"/>
        <v>0.11395652540562866</v>
      </c>
      <c r="X1044" s="2">
        <f ca="1"/>
        <v>32.286918485286698</v>
      </c>
      <c r="AG1044" s="2">
        <f ca="1"/>
        <v>0.64706340959612163</v>
      </c>
      <c r="AH1044" s="2" t="str">
        <f ca="1"/>
        <v>Bad</v>
      </c>
    </row>
    <row r="1045" spans="2:34" x14ac:dyDescent="0.2">
      <c r="B1045" s="2">
        <f ca="1"/>
        <v>0.66885398730507073</v>
      </c>
      <c r="O1045" s="2">
        <f ca="1"/>
        <v>-0.28372472369893215</v>
      </c>
      <c r="X1045" s="2">
        <f ca="1"/>
        <v>58.998981346541903</v>
      </c>
      <c r="AG1045" s="2">
        <f ca="1"/>
        <v>0.40635602043339403</v>
      </c>
      <c r="AH1045" s="2" t="str">
        <f ca="1"/>
        <v>Bad</v>
      </c>
    </row>
    <row r="1046" spans="2:34" x14ac:dyDescent="0.2">
      <c r="B1046" s="2">
        <f ca="1"/>
        <v>0.82668126306069034</v>
      </c>
      <c r="O1046" s="2">
        <f ca="1"/>
        <v>-0.73413623321014509</v>
      </c>
      <c r="X1046" s="2">
        <f ca="1"/>
        <v>63.667412726971484</v>
      </c>
      <c r="AG1046" s="2">
        <f ca="1"/>
        <v>0.9723417363875706</v>
      </c>
      <c r="AH1046" s="2" t="str">
        <f ca="1"/>
        <v>Bad</v>
      </c>
    </row>
    <row r="1047" spans="2:34" x14ac:dyDescent="0.2">
      <c r="B1047" s="2">
        <f ca="1"/>
        <v>0.43827261775117332</v>
      </c>
      <c r="O1047" s="2">
        <f ca="1"/>
        <v>1.1197389429296976</v>
      </c>
      <c r="X1047" s="2">
        <f ca="1"/>
        <v>71.417843638126257</v>
      </c>
      <c r="AG1047" s="2">
        <f ca="1"/>
        <v>0.3120598683122171</v>
      </c>
      <c r="AH1047" s="2" t="str">
        <f ca="1"/>
        <v>OK</v>
      </c>
    </row>
    <row r="1048" spans="2:34" x14ac:dyDescent="0.2">
      <c r="B1048" s="2">
        <f ca="1"/>
        <v>0.99997056540745755</v>
      </c>
      <c r="O1048" s="2">
        <f ca="1"/>
        <v>0.39921428823397631</v>
      </c>
      <c r="X1048" s="2">
        <f ca="1"/>
        <v>44.955806764862928</v>
      </c>
      <c r="AG1048" s="2">
        <f ca="1"/>
        <v>0.90067642035620388</v>
      </c>
      <c r="AH1048" s="2" t="str">
        <f ca="1"/>
        <v>Bad</v>
      </c>
    </row>
    <row r="1049" spans="2:34" x14ac:dyDescent="0.2">
      <c r="B1049" s="2">
        <f ca="1"/>
        <v>0.58277100500393519</v>
      </c>
      <c r="O1049" s="2">
        <f ca="1"/>
        <v>0.28256182537756486</v>
      </c>
      <c r="X1049" s="2">
        <f ca="1"/>
        <v>33.899155818944998</v>
      </c>
      <c r="AG1049" s="2">
        <f ca="1"/>
        <v>0.49971324630055713</v>
      </c>
      <c r="AH1049" s="2" t="str">
        <f ca="1"/>
        <v>Bad</v>
      </c>
    </row>
    <row r="1050" spans="2:34" x14ac:dyDescent="0.2">
      <c r="B1050" s="2">
        <f ca="1"/>
        <v>0.12565889597685698</v>
      </c>
      <c r="O1050" s="2">
        <f ca="1"/>
        <v>-1.8855394233747544</v>
      </c>
      <c r="X1050" s="2">
        <f ca="1"/>
        <v>60.143073246306074</v>
      </c>
      <c r="AG1050" s="2">
        <f ca="1"/>
        <v>0.90081213039800279</v>
      </c>
      <c r="AH1050" s="2" t="str">
        <f ca="1"/>
        <v>Bad</v>
      </c>
    </row>
    <row r="1051" spans="2:34" x14ac:dyDescent="0.2">
      <c r="B1051" s="2">
        <f ca="1"/>
        <v>0.28315611869243695</v>
      </c>
      <c r="O1051" s="2">
        <f ca="1"/>
        <v>0.61211370440798252</v>
      </c>
      <c r="X1051" s="2">
        <f ca="1"/>
        <v>57.104839080052798</v>
      </c>
      <c r="AG1051" s="2">
        <f ca="1"/>
        <v>0.95355743334281695</v>
      </c>
      <c r="AH1051" s="2" t="str">
        <f ca="1"/>
        <v>Bad</v>
      </c>
    </row>
    <row r="1052" spans="2:34" x14ac:dyDescent="0.2">
      <c r="B1052" s="2">
        <f ca="1"/>
        <v>0.32128822688175473</v>
      </c>
      <c r="O1052" s="2">
        <f ca="1"/>
        <v>1.2562728916317656</v>
      </c>
      <c r="X1052" s="2">
        <f ca="1"/>
        <v>49.193299486435606</v>
      </c>
      <c r="AG1052" s="2">
        <f ca="1"/>
        <v>0.85388982754691445</v>
      </c>
      <c r="AH1052" s="2" t="str">
        <f ca="1"/>
        <v>Bad</v>
      </c>
    </row>
    <row r="1053" spans="2:34" x14ac:dyDescent="0.2">
      <c r="B1053" s="2">
        <f ca="1"/>
        <v>0.45197091141500634</v>
      </c>
      <c r="O1053" s="2">
        <f ca="1"/>
        <v>0.3124254822604185</v>
      </c>
      <c r="X1053" s="2">
        <f ca="1"/>
        <v>47.501816660560038</v>
      </c>
      <c r="AG1053" s="2">
        <f ca="1"/>
        <v>0.27357801306361362</v>
      </c>
      <c r="AH1053" s="2" t="str">
        <f ca="1"/>
        <v>OK</v>
      </c>
    </row>
    <row r="1054" spans="2:34" x14ac:dyDescent="0.2">
      <c r="B1054" s="2">
        <f ca="1"/>
        <v>0.39727470372521911</v>
      </c>
      <c r="O1054" s="2">
        <f ca="1"/>
        <v>-1.0665633336713443</v>
      </c>
      <c r="X1054" s="2">
        <f ca="1"/>
        <v>33.695361520666431</v>
      </c>
      <c r="AG1054" s="2">
        <f ca="1"/>
        <v>0.31177899847380486</v>
      </c>
      <c r="AH1054" s="2" t="str">
        <f ca="1"/>
        <v>OK</v>
      </c>
    </row>
    <row r="1055" spans="2:34" x14ac:dyDescent="0.2">
      <c r="B1055" s="2">
        <f ca="1"/>
        <v>0.16688127860177326</v>
      </c>
      <c r="O1055" s="2">
        <f ca="1"/>
        <v>0.69596723878455347</v>
      </c>
      <c r="X1055" s="2">
        <f ca="1"/>
        <v>37.796491396240668</v>
      </c>
      <c r="AG1055" s="2">
        <f ca="1"/>
        <v>0.24617696087966423</v>
      </c>
      <c r="AH1055" s="2" t="str">
        <f ca="1"/>
        <v>OK</v>
      </c>
    </row>
    <row r="1056" spans="2:34" x14ac:dyDescent="0.2">
      <c r="B1056" s="2">
        <f ca="1"/>
        <v>0.26806388059622566</v>
      </c>
      <c r="O1056" s="2">
        <f ca="1"/>
        <v>1.9432735917183113</v>
      </c>
      <c r="X1056" s="2">
        <f ca="1"/>
        <v>147.56299604329212</v>
      </c>
      <c r="AG1056" s="2">
        <f ca="1"/>
        <v>9.0949841416179567E-2</v>
      </c>
      <c r="AH1056" s="2" t="str">
        <f ca="1"/>
        <v>OK</v>
      </c>
    </row>
    <row r="1057" spans="2:34" x14ac:dyDescent="0.2">
      <c r="B1057" s="2">
        <f ca="1"/>
        <v>0.64968949582220037</v>
      </c>
      <c r="O1057" s="2">
        <f ca="1"/>
        <v>3.3230089585238771E-2</v>
      </c>
      <c r="X1057" s="2">
        <f ca="1"/>
        <v>38.729722445316561</v>
      </c>
      <c r="AG1057" s="2">
        <f ca="1"/>
        <v>0.74754728588067221</v>
      </c>
      <c r="AH1057" s="2" t="str">
        <f ca="1"/>
        <v>Bad</v>
      </c>
    </row>
    <row r="1058" spans="2:34" x14ac:dyDescent="0.2">
      <c r="B1058" s="2">
        <f ca="1"/>
        <v>1.6199662977800511E-3</v>
      </c>
      <c r="O1058" s="2">
        <f ca="1"/>
        <v>-0.10309626872388838</v>
      </c>
      <c r="X1058" s="2">
        <f ca="1"/>
        <v>43.090072349455149</v>
      </c>
      <c r="AG1058" s="2">
        <f ca="1"/>
        <v>6.5839703394591442E-2</v>
      </c>
      <c r="AH1058" s="2" t="str">
        <f ca="1"/>
        <v>OK</v>
      </c>
    </row>
    <row r="1059" spans="2:34" x14ac:dyDescent="0.2">
      <c r="B1059" s="2">
        <f ca="1"/>
        <v>0.19044340396320147</v>
      </c>
      <c r="O1059" s="2">
        <f ca="1"/>
        <v>0.70580662996429577</v>
      </c>
      <c r="X1059" s="2">
        <f ca="1"/>
        <v>34.761525159683394</v>
      </c>
      <c r="AG1059" s="2">
        <f ca="1"/>
        <v>0.82041559826998633</v>
      </c>
      <c r="AH1059" s="2" t="str">
        <f ca="1"/>
        <v>Bad</v>
      </c>
    </row>
    <row r="1060" spans="2:34" x14ac:dyDescent="0.2">
      <c r="B1060" s="2">
        <f ca="1"/>
        <v>0.73200557441521696</v>
      </c>
      <c r="O1060" s="2">
        <f ca="1"/>
        <v>1.1568429742558221E-2</v>
      </c>
      <c r="X1060" s="2">
        <f ca="1"/>
        <v>47.501902657736792</v>
      </c>
      <c r="AG1060" s="2">
        <f ca="1"/>
        <v>0.66978126896426282</v>
      </c>
      <c r="AH1060" s="2" t="str">
        <f ca="1"/>
        <v>Bad</v>
      </c>
    </row>
    <row r="1061" spans="2:34" x14ac:dyDescent="0.2">
      <c r="B1061" s="2">
        <f ca="1"/>
        <v>0.99324693754896809</v>
      </c>
      <c r="O1061" s="2">
        <f ca="1"/>
        <v>0.90647841619548453</v>
      </c>
      <c r="X1061" s="2">
        <f ca="1"/>
        <v>26.252724176459346</v>
      </c>
      <c r="AG1061" s="2">
        <f ca="1"/>
        <v>0.21216069827215844</v>
      </c>
      <c r="AH1061" s="2" t="str">
        <f ca="1"/>
        <v>OK</v>
      </c>
    </row>
    <row r="1062" spans="2:34" x14ac:dyDescent="0.2">
      <c r="B1062" s="2">
        <f ca="1"/>
        <v>0.50699585472003306</v>
      </c>
      <c r="O1062" s="2">
        <f ca="1"/>
        <v>1.0247507257607988</v>
      </c>
      <c r="X1062" s="2">
        <f ca="1"/>
        <v>43.935730067173139</v>
      </c>
      <c r="AG1062" s="2">
        <f ca="1"/>
        <v>0.9788478158311027</v>
      </c>
      <c r="AH1062" s="2" t="str">
        <f ca="1"/>
        <v>Bad</v>
      </c>
    </row>
    <row r="1063" spans="2:34" x14ac:dyDescent="0.2">
      <c r="B1063" s="2">
        <f ca="1"/>
        <v>0.46505937711860934</v>
      </c>
      <c r="O1063" s="2">
        <f ca="1"/>
        <v>-0.550197914480407</v>
      </c>
      <c r="X1063" s="2">
        <f ca="1"/>
        <v>63.216413629783816</v>
      </c>
      <c r="AG1063" s="2">
        <f ca="1"/>
        <v>0.75818440561636691</v>
      </c>
      <c r="AH1063" s="2" t="str">
        <f ca="1"/>
        <v>Bad</v>
      </c>
    </row>
    <row r="1064" spans="2:34" x14ac:dyDescent="0.2">
      <c r="B1064" s="2">
        <f ca="1"/>
        <v>0.95145649560986101</v>
      </c>
      <c r="O1064" s="2">
        <f ca="1"/>
        <v>0.83356840033082324</v>
      </c>
      <c r="X1064" s="2">
        <f ca="1"/>
        <v>48.45237690522525</v>
      </c>
      <c r="AG1064" s="2">
        <f ca="1"/>
        <v>0.38186049855957838</v>
      </c>
      <c r="AH1064" s="2" t="str">
        <f ca="1"/>
        <v>OK</v>
      </c>
    </row>
    <row r="1065" spans="2:34" x14ac:dyDescent="0.2">
      <c r="B1065" s="2">
        <f ca="1"/>
        <v>0.70077676472917183</v>
      </c>
      <c r="O1065" s="2">
        <f ca="1"/>
        <v>0.43863180237629357</v>
      </c>
      <c r="X1065" s="2">
        <f ca="1"/>
        <v>38.436963399296552</v>
      </c>
      <c r="AG1065" s="2">
        <f ca="1"/>
        <v>0.13573351432724512</v>
      </c>
      <c r="AH1065" s="2" t="str">
        <f ca="1"/>
        <v>OK</v>
      </c>
    </row>
    <row r="1066" spans="2:34" x14ac:dyDescent="0.2">
      <c r="B1066" s="2">
        <f ca="1"/>
        <v>0.17257219548773706</v>
      </c>
      <c r="O1066" s="2">
        <f ca="1"/>
        <v>-0.6111162637729044</v>
      </c>
      <c r="X1066" s="2">
        <f ca="1"/>
        <v>44.278008705573612</v>
      </c>
      <c r="AG1066" s="2">
        <f ca="1"/>
        <v>0.81756962513727571</v>
      </c>
      <c r="AH1066" s="2" t="str">
        <f ca="1"/>
        <v>Bad</v>
      </c>
    </row>
    <row r="1067" spans="2:34" x14ac:dyDescent="0.2">
      <c r="B1067" s="2">
        <f ca="1"/>
        <v>0.19779425511978577</v>
      </c>
      <c r="O1067" s="2">
        <f ca="1"/>
        <v>2.605096040197576E-2</v>
      </c>
      <c r="X1067" s="2">
        <f ca="1"/>
        <v>34.520604617179231</v>
      </c>
      <c r="AG1067" s="2">
        <f ca="1"/>
        <v>0.72439106073112125</v>
      </c>
      <c r="AH1067" s="2" t="str">
        <f ca="1"/>
        <v>Bad</v>
      </c>
    </row>
    <row r="1068" spans="2:34" x14ac:dyDescent="0.2">
      <c r="B1068" s="2">
        <f ca="1"/>
        <v>0.43738499438531608</v>
      </c>
      <c r="O1068" s="2">
        <f ca="1"/>
        <v>1.4884612860171171</v>
      </c>
      <c r="X1068" s="2">
        <f ca="1"/>
        <v>48.751890016874235</v>
      </c>
      <c r="AG1068" s="2">
        <f ca="1"/>
        <v>0.630073629225399</v>
      </c>
      <c r="AH1068" s="2" t="str">
        <f ca="1"/>
        <v>Bad</v>
      </c>
    </row>
    <row r="1069" spans="2:34" x14ac:dyDescent="0.2">
      <c r="B1069" s="2">
        <f ca="1"/>
        <v>0.5322364481529287</v>
      </c>
      <c r="O1069" s="2">
        <f ca="1"/>
        <v>0.49374909353908536</v>
      </c>
      <c r="X1069" s="2">
        <f ca="1"/>
        <v>44.955972773243218</v>
      </c>
      <c r="AG1069" s="2">
        <f ca="1"/>
        <v>0.20735852738860672</v>
      </c>
      <c r="AH1069" s="2" t="str">
        <f ca="1"/>
        <v>OK</v>
      </c>
    </row>
    <row r="1070" spans="2:34" x14ac:dyDescent="0.2">
      <c r="B1070" s="2">
        <f ca="1"/>
        <v>0.68395874436525306</v>
      </c>
      <c r="O1070" s="2">
        <f ca="1"/>
        <v>-0.66829789438636067</v>
      </c>
      <c r="X1070" s="2">
        <f ca="1"/>
        <v>18.184021259802677</v>
      </c>
      <c r="AG1070" s="2">
        <f ca="1"/>
        <v>0.35040512097122889</v>
      </c>
      <c r="AH1070" s="2" t="str">
        <f ca="1"/>
        <v>OK</v>
      </c>
    </row>
    <row r="1071" spans="2:34" x14ac:dyDescent="0.2">
      <c r="B1071" s="2">
        <f ca="1"/>
        <v>2.3794692938102324E-2</v>
      </c>
      <c r="O1071" s="2">
        <f ca="1"/>
        <v>1.02887935104701</v>
      </c>
      <c r="X1071" s="2">
        <f ca="1"/>
        <v>36.472188973005103</v>
      </c>
      <c r="AG1071" s="2">
        <f ca="1"/>
        <v>0.8009208761795128</v>
      </c>
      <c r="AH1071" s="2" t="str">
        <f ca="1"/>
        <v>Bad</v>
      </c>
    </row>
    <row r="1072" spans="2:34" x14ac:dyDescent="0.2">
      <c r="B1072" s="2">
        <f ca="1"/>
        <v>0.20609347835177894</v>
      </c>
      <c r="O1072" s="2">
        <f ca="1"/>
        <v>1.8993381657881194</v>
      </c>
      <c r="X1072" s="2">
        <f ca="1"/>
        <v>41.007938959173352</v>
      </c>
      <c r="AG1072" s="2">
        <f ca="1"/>
        <v>9.3276140283125031E-3</v>
      </c>
      <c r="AH1072" s="2" t="str">
        <f ca="1"/>
        <v>Good</v>
      </c>
    </row>
    <row r="1073" spans="2:34" x14ac:dyDescent="0.2">
      <c r="B1073" s="2">
        <f ca="1"/>
        <v>0.53386847947071181</v>
      </c>
      <c r="O1073" s="2">
        <f ca="1"/>
        <v>-0.41037981019229258</v>
      </c>
      <c r="X1073" s="2">
        <f ca="1"/>
        <v>44.608859461247697</v>
      </c>
      <c r="AG1073" s="2">
        <f ca="1"/>
        <v>0.87785306915791317</v>
      </c>
      <c r="AH1073" s="2" t="str">
        <f ca="1"/>
        <v>Bad</v>
      </c>
    </row>
    <row r="1074" spans="2:34" x14ac:dyDescent="0.2">
      <c r="B1074" s="2">
        <f ca="1"/>
        <v>0.17571728771906825</v>
      </c>
      <c r="O1074" s="2">
        <f ca="1"/>
        <v>-3.8248600008418988E-2</v>
      </c>
      <c r="X1074" s="2">
        <f ca="1"/>
        <v>60.918339064805323</v>
      </c>
      <c r="AG1074" s="2">
        <f ca="1"/>
        <v>0.23529300982918033</v>
      </c>
      <c r="AH1074" s="2" t="str">
        <f ca="1"/>
        <v>OK</v>
      </c>
    </row>
    <row r="1075" spans="2:34" x14ac:dyDescent="0.2">
      <c r="B1075" s="2">
        <f ca="1"/>
        <v>0.53324049438352783</v>
      </c>
      <c r="O1075" s="2">
        <f ca="1"/>
        <v>-0.21748997487832045</v>
      </c>
      <c r="X1075" s="2">
        <f ca="1"/>
        <v>59.980111166153129</v>
      </c>
      <c r="AG1075" s="2">
        <f ca="1"/>
        <v>0.26402247929933065</v>
      </c>
      <c r="AH1075" s="2" t="str">
        <f ca="1"/>
        <v>OK</v>
      </c>
    </row>
    <row r="1076" spans="2:34" x14ac:dyDescent="0.2">
      <c r="B1076" s="2">
        <f ca="1"/>
        <v>0.12873457685695056</v>
      </c>
      <c r="O1076" s="2">
        <f ca="1"/>
        <v>-1.5960585809946561</v>
      </c>
      <c r="X1076" s="2">
        <f ca="1"/>
        <v>40.385563471744149</v>
      </c>
      <c r="AG1076" s="2">
        <f ca="1"/>
        <v>0.4648578741922007</v>
      </c>
      <c r="AH1076" s="2" t="str">
        <f ca="1"/>
        <v>Bad</v>
      </c>
    </row>
    <row r="1077" spans="2:34" x14ac:dyDescent="0.2">
      <c r="B1077" s="2">
        <f ca="1"/>
        <v>0.66562741075418241</v>
      </c>
      <c r="O1077" s="2">
        <f ca="1"/>
        <v>-0.49571761024226785</v>
      </c>
      <c r="X1077" s="2">
        <f ca="1"/>
        <v>71.419864984595563</v>
      </c>
      <c r="AG1077" s="2">
        <f ca="1"/>
        <v>0.76799610451143208</v>
      </c>
      <c r="AH1077" s="2" t="str">
        <f ca="1"/>
        <v>Bad</v>
      </c>
    </row>
    <row r="1078" spans="2:34" x14ac:dyDescent="0.2">
      <c r="B1078" s="2">
        <f ca="1"/>
        <v>0.69886693270507427</v>
      </c>
      <c r="O1078" s="2">
        <f ca="1"/>
        <v>1.3135204548004296E-2</v>
      </c>
      <c r="X1078" s="2">
        <f ca="1"/>
        <v>48.056985985745222</v>
      </c>
      <c r="AG1078" s="2">
        <f ca="1"/>
        <v>0.58232778544400321</v>
      </c>
      <c r="AH1078" s="2" t="str">
        <f ca="1"/>
        <v>Bad</v>
      </c>
    </row>
    <row r="1079" spans="2:34" x14ac:dyDescent="0.2">
      <c r="B1079" s="2">
        <f ca="1"/>
        <v>0.49357712935727727</v>
      </c>
      <c r="O1079" s="2">
        <f ca="1"/>
        <v>-0.89600539631918241</v>
      </c>
      <c r="X1079" s="2">
        <f ca="1"/>
        <v>54.715060217707965</v>
      </c>
      <c r="AG1079" s="2">
        <f ca="1"/>
        <v>0.55777707969557433</v>
      </c>
      <c r="AH1079" s="2" t="str">
        <f ca="1"/>
        <v>Bad</v>
      </c>
    </row>
    <row r="1080" spans="2:34" x14ac:dyDescent="0.2">
      <c r="B1080" s="2">
        <f ca="1"/>
        <v>6.7966126978958208E-2</v>
      </c>
      <c r="O1080" s="2">
        <f ca="1"/>
        <v>0.28528359636501921</v>
      </c>
      <c r="X1080" s="2">
        <f ca="1"/>
        <v>36.219553680235109</v>
      </c>
      <c r="AG1080" s="2">
        <f ca="1"/>
        <v>0.14350014886626705</v>
      </c>
      <c r="AH1080" s="2" t="str">
        <f ca="1"/>
        <v>OK</v>
      </c>
    </row>
    <row r="1081" spans="2:34" x14ac:dyDescent="0.2">
      <c r="B1081" s="2">
        <f ca="1"/>
        <v>0.6434022555890615</v>
      </c>
      <c r="O1081" s="2">
        <f ca="1"/>
        <v>0.7040130617252589</v>
      </c>
      <c r="X1081" s="2">
        <f ca="1"/>
        <v>63.17724287453828</v>
      </c>
      <c r="AG1081" s="2">
        <f ca="1"/>
        <v>0.64416237376329999</v>
      </c>
      <c r="AH1081" s="2" t="str">
        <f ca="1"/>
        <v>Bad</v>
      </c>
    </row>
    <row r="1082" spans="2:34" x14ac:dyDescent="0.2">
      <c r="B1082" s="2">
        <f ca="1"/>
        <v>0.67647484469943842</v>
      </c>
      <c r="O1082" s="2">
        <f ca="1"/>
        <v>0.44389703310452683</v>
      </c>
      <c r="X1082" s="2">
        <f ca="1"/>
        <v>45.224869424726073</v>
      </c>
      <c r="AG1082" s="2">
        <f ca="1"/>
        <v>0.72192676611011297</v>
      </c>
      <c r="AH1082" s="2" t="str">
        <f ca="1"/>
        <v>Bad</v>
      </c>
    </row>
    <row r="1083" spans="2:34" x14ac:dyDescent="0.2">
      <c r="B1083" s="2">
        <f ca="1"/>
        <v>0.94295036958692835</v>
      </c>
      <c r="O1083" s="2">
        <f ca="1"/>
        <v>1.1157246286593012</v>
      </c>
      <c r="X1083" s="2">
        <f ca="1"/>
        <v>31.761506415226574</v>
      </c>
      <c r="AG1083" s="2">
        <f ca="1"/>
        <v>0.60696803869423954</v>
      </c>
      <c r="AH1083" s="2" t="str">
        <f ca="1"/>
        <v>Bad</v>
      </c>
    </row>
    <row r="1084" spans="2:34" x14ac:dyDescent="0.2">
      <c r="B1084" s="2">
        <f ca="1"/>
        <v>0.44751667826041941</v>
      </c>
      <c r="O1084" s="2">
        <f ca="1"/>
        <v>5.8744874652067396E-2</v>
      </c>
      <c r="X1084" s="2">
        <f ca="1"/>
        <v>31.981712332820305</v>
      </c>
      <c r="AG1084" s="2">
        <f ca="1"/>
        <v>0.90913176135537688</v>
      </c>
      <c r="AH1084" s="2" t="str">
        <f ca="1"/>
        <v>Bad</v>
      </c>
    </row>
    <row r="1085" spans="2:34" x14ac:dyDescent="0.2">
      <c r="B1085" s="2">
        <f ca="1"/>
        <v>0.84343445940925199</v>
      </c>
      <c r="O1085" s="2">
        <f ca="1"/>
        <v>0.1225508599224025</v>
      </c>
      <c r="X1085" s="2">
        <f ca="1"/>
        <v>55.95718272257006</v>
      </c>
      <c r="AG1085" s="2">
        <f ca="1"/>
        <v>0.86382954244792676</v>
      </c>
      <c r="AH1085" s="2" t="str">
        <f ca="1"/>
        <v>Bad</v>
      </c>
    </row>
    <row r="1086" spans="2:34" x14ac:dyDescent="0.2">
      <c r="B1086" s="2">
        <f ca="1"/>
        <v>0.28736925849065287</v>
      </c>
      <c r="O1086" s="2">
        <f ca="1"/>
        <v>0.76445793040792409</v>
      </c>
      <c r="X1086" s="2">
        <f ca="1"/>
        <v>59.650280561136306</v>
      </c>
      <c r="AG1086" s="2">
        <f ca="1"/>
        <v>0.15169933882311293</v>
      </c>
      <c r="AH1086" s="2" t="str">
        <f ca="1"/>
        <v>OK</v>
      </c>
    </row>
    <row r="1087" spans="2:34" x14ac:dyDescent="0.2">
      <c r="B1087" s="2">
        <f ca="1"/>
        <v>0.37518598618370125</v>
      </c>
      <c r="O1087" s="2">
        <f ca="1"/>
        <v>-0.16942649284612696</v>
      </c>
      <c r="X1087" s="2">
        <f ca="1"/>
        <v>64.263364244876726</v>
      </c>
      <c r="AG1087" s="2">
        <f ca="1"/>
        <v>0.58887994352438122</v>
      </c>
      <c r="AH1087" s="2" t="str">
        <f ca="1"/>
        <v>Bad</v>
      </c>
    </row>
    <row r="1088" spans="2:34" x14ac:dyDescent="0.2">
      <c r="B1088" s="2">
        <f ca="1"/>
        <v>0.52114418249075323</v>
      </c>
      <c r="O1088" s="2">
        <f ca="1"/>
        <v>0.17575640381255914</v>
      </c>
      <c r="X1088" s="2">
        <f ca="1"/>
        <v>52.090527832814651</v>
      </c>
      <c r="AG1088" s="2">
        <f ca="1"/>
        <v>0.91934466926032488</v>
      </c>
      <c r="AH1088" s="2" t="str">
        <f ca="1"/>
        <v>Bad</v>
      </c>
    </row>
    <row r="1089" spans="2:34" x14ac:dyDescent="0.2">
      <c r="B1089" s="2">
        <f ca="1"/>
        <v>0.72434342911071736</v>
      </c>
      <c r="O1089" s="2">
        <f ca="1"/>
        <v>-1.9162645069318187</v>
      </c>
      <c r="X1089" s="2">
        <f ca="1"/>
        <v>51.605588418263217</v>
      </c>
      <c r="AG1089" s="2">
        <f ca="1"/>
        <v>0.83861066479491719</v>
      </c>
      <c r="AH1089" s="2" t="str">
        <f ca="1"/>
        <v>Bad</v>
      </c>
    </row>
    <row r="1090" spans="2:34" x14ac:dyDescent="0.2">
      <c r="B1090" s="2">
        <f ca="1"/>
        <v>0.43927655030776602</v>
      </c>
      <c r="O1090" s="2">
        <f ca="1"/>
        <v>1.088107682913878</v>
      </c>
      <c r="X1090" s="2">
        <f ca="1"/>
        <v>67.308770951609858</v>
      </c>
      <c r="AG1090" s="2">
        <f ca="1"/>
        <v>0.53125190455461224</v>
      </c>
      <c r="AH1090" s="2" t="str">
        <f ca="1"/>
        <v>Bad</v>
      </c>
    </row>
    <row r="1091" spans="2:34" x14ac:dyDescent="0.2">
      <c r="B1091" s="2">
        <f ca="1"/>
        <v>0.81238063109911152</v>
      </c>
      <c r="O1091" s="2">
        <f ca="1"/>
        <v>0.55568719612022632</v>
      </c>
      <c r="X1091" s="2">
        <f ca="1"/>
        <v>38.661235099501312</v>
      </c>
      <c r="AG1091" s="2">
        <f ca="1"/>
        <v>0.2859696139230461</v>
      </c>
      <c r="AH1091" s="2" t="str">
        <f ca="1"/>
        <v>OK</v>
      </c>
    </row>
    <row r="1092" spans="2:34" x14ac:dyDescent="0.2">
      <c r="B1092" s="2">
        <f ca="1"/>
        <v>0.91749454936737895</v>
      </c>
      <c r="O1092" s="2">
        <f ca="1"/>
        <v>1.2940019472622197</v>
      </c>
      <c r="X1092" s="2">
        <f ca="1"/>
        <v>36.28686530703397</v>
      </c>
      <c r="AG1092" s="2">
        <f ca="1"/>
        <v>0.50641263044817975</v>
      </c>
      <c r="AH1092" s="2" t="str">
        <f ca="1"/>
        <v>Bad</v>
      </c>
    </row>
    <row r="1093" spans="2:34" x14ac:dyDescent="0.2">
      <c r="B1093" s="2">
        <f ca="1"/>
        <v>2.0306426279943723E-2</v>
      </c>
      <c r="O1093" s="2">
        <f ca="1"/>
        <v>6.3166063845015025E-2</v>
      </c>
      <c r="X1093" s="2">
        <f ca="1"/>
        <v>36.013189473198274</v>
      </c>
      <c r="AG1093" s="2">
        <f ca="1"/>
        <v>0.55565369073574145</v>
      </c>
      <c r="AH1093" s="2" t="str">
        <f ca="1"/>
        <v>Bad</v>
      </c>
    </row>
    <row r="1094" spans="2:34" x14ac:dyDescent="0.2">
      <c r="B1094" s="2">
        <f ca="1"/>
        <v>0.93862359412363827</v>
      </c>
      <c r="O1094" s="2">
        <f ca="1"/>
        <v>1.5490265631237932</v>
      </c>
      <c r="X1094" s="2">
        <f ca="1"/>
        <v>44.600048135038655</v>
      </c>
      <c r="AG1094" s="2">
        <f ca="1"/>
        <v>0.48159360327674317</v>
      </c>
      <c r="AH1094" s="2" t="str">
        <f ca="1"/>
        <v>Bad</v>
      </c>
    </row>
    <row r="1095" spans="2:34" x14ac:dyDescent="0.2">
      <c r="B1095" s="2">
        <f ca="1"/>
        <v>0.64715167743155888</v>
      </c>
      <c r="O1095" s="2">
        <f ca="1"/>
        <v>-0.47774594546503313</v>
      </c>
      <c r="X1095" s="2">
        <f ca="1"/>
        <v>39.484896283259665</v>
      </c>
      <c r="AG1095" s="2">
        <f ca="1"/>
        <v>0.30389028057119938</v>
      </c>
      <c r="AH1095" s="2" t="str">
        <f ca="1"/>
        <v>OK</v>
      </c>
    </row>
    <row r="1096" spans="2:34" x14ac:dyDescent="0.2">
      <c r="B1096" s="2">
        <f ca="1"/>
        <v>0.87255111407729213</v>
      </c>
      <c r="O1096" s="2">
        <f ca="1"/>
        <v>0.77441536638037134</v>
      </c>
      <c r="X1096" s="2">
        <f ca="1"/>
        <v>38.804258397882819</v>
      </c>
      <c r="AG1096" s="2">
        <f ca="1"/>
        <v>0.19385307291402332</v>
      </c>
      <c r="AH1096" s="2" t="str">
        <f ca="1"/>
        <v>OK</v>
      </c>
    </row>
    <row r="1097" spans="2:34" x14ac:dyDescent="0.2">
      <c r="B1097" s="2">
        <f ca="1"/>
        <v>0.68015094233005935</v>
      </c>
      <c r="O1097" s="2">
        <f ca="1"/>
        <v>0.62842921329597012</v>
      </c>
      <c r="X1097" s="2">
        <f ca="1"/>
        <v>74.012332671593626</v>
      </c>
      <c r="AG1097" s="2">
        <f ca="1"/>
        <v>6.1768661561242499E-2</v>
      </c>
      <c r="AH1097" s="2" t="str">
        <f ca="1"/>
        <v>OK</v>
      </c>
    </row>
    <row r="1098" spans="2:34" x14ac:dyDescent="0.2">
      <c r="B1098" s="2">
        <f ca="1"/>
        <v>0.38466271925721895</v>
      </c>
      <c r="O1098" s="2">
        <f ca="1"/>
        <v>-0.36910157184601317</v>
      </c>
      <c r="X1098" s="2">
        <f ca="1"/>
        <v>52.707169795427546</v>
      </c>
      <c r="AG1098" s="2">
        <f ca="1"/>
        <v>0.94363010651170809</v>
      </c>
      <c r="AH1098" s="2" t="str">
        <f ca="1"/>
        <v>Bad</v>
      </c>
    </row>
    <row r="1099" spans="2:34" x14ac:dyDescent="0.2">
      <c r="B1099" s="2">
        <f ca="1"/>
        <v>0.86588859609811064</v>
      </c>
      <c r="O1099" s="2">
        <f ca="1"/>
        <v>-3.8899708925722858E-2</v>
      </c>
      <c r="X1099" s="2">
        <f ca="1"/>
        <v>51.494397150364328</v>
      </c>
      <c r="AG1099" s="2">
        <f ca="1"/>
        <v>0.84448215966619022</v>
      </c>
      <c r="AH1099" s="2" t="str">
        <f ca="1"/>
        <v>Bad</v>
      </c>
    </row>
    <row r="1100" spans="2:34" x14ac:dyDescent="0.2">
      <c r="B1100" s="2">
        <f ca="1"/>
        <v>0.34999522268349104</v>
      </c>
      <c r="O1100" s="2">
        <f ca="1"/>
        <v>-1.0029003914532695</v>
      </c>
      <c r="X1100" s="2">
        <f ca="1"/>
        <v>60.676422914857184</v>
      </c>
      <c r="AG1100" s="2">
        <f ca="1"/>
        <v>0.79361714343104817</v>
      </c>
      <c r="AH1100" s="2" t="str">
        <f ca="1"/>
        <v>Bad</v>
      </c>
    </row>
    <row r="1101" spans="2:34" x14ac:dyDescent="0.2">
      <c r="B1101" s="2">
        <f ca="1"/>
        <v>0.48029611253240456</v>
      </c>
      <c r="O1101" s="2">
        <f ca="1"/>
        <v>-0.25448393251753887</v>
      </c>
      <c r="X1101" s="2">
        <f ca="1"/>
        <v>52.464210796644764</v>
      </c>
      <c r="AG1101" s="2">
        <f ca="1"/>
        <v>0.53834985569996308</v>
      </c>
      <c r="AH1101" s="2" t="str">
        <f ca="1"/>
        <v>Bad</v>
      </c>
    </row>
    <row r="1102" spans="2:34" x14ac:dyDescent="0.2">
      <c r="B1102" s="2">
        <f ca="1"/>
        <v>0.69787854139427696</v>
      </c>
      <c r="O1102" s="2">
        <f ca="1"/>
        <v>-0.80500175049281097</v>
      </c>
      <c r="X1102" s="2">
        <f ca="1"/>
        <v>129.62393863676292</v>
      </c>
      <c r="AG1102" s="2">
        <f ca="1"/>
        <v>0.15850649004133421</v>
      </c>
      <c r="AH1102" s="2" t="str">
        <f ca="1"/>
        <v>OK</v>
      </c>
    </row>
    <row r="1103" spans="2:34" x14ac:dyDescent="0.2">
      <c r="B1103" s="2">
        <f ca="1"/>
        <v>0.39609377404798685</v>
      </c>
      <c r="O1103" s="2">
        <f ca="1"/>
        <v>0.86673807008328874</v>
      </c>
      <c r="X1103" s="2">
        <f ca="1"/>
        <v>33.710602247534801</v>
      </c>
      <c r="AG1103" s="2">
        <f ca="1"/>
        <v>3.1555826614327209E-2</v>
      </c>
      <c r="AH1103" s="2" t="str">
        <f ca="1"/>
        <v>Good</v>
      </c>
    </row>
    <row r="1104" spans="2:34" x14ac:dyDescent="0.2">
      <c r="B1104" s="2">
        <f ca="1"/>
        <v>0.24149867278839388</v>
      </c>
      <c r="O1104" s="2">
        <f ca="1"/>
        <v>-1.0168182346974985</v>
      </c>
      <c r="X1104" s="2">
        <f ca="1"/>
        <v>85.904923858328729</v>
      </c>
      <c r="AG1104" s="2">
        <f ca="1"/>
        <v>0.18926141008788022</v>
      </c>
      <c r="AH1104" s="2" t="str">
        <f ca="1"/>
        <v>OK</v>
      </c>
    </row>
    <row r="1105" spans="2:34" x14ac:dyDescent="0.2">
      <c r="B1105" s="2">
        <f ca="1"/>
        <v>0.93865401832363515</v>
      </c>
      <c r="O1105" s="2">
        <f ca="1"/>
        <v>-2.1097631213913539</v>
      </c>
      <c r="X1105" s="2">
        <f ca="1"/>
        <v>49.03914008178063</v>
      </c>
      <c r="AG1105" s="2">
        <f ca="1"/>
        <v>0.54118670984260531</v>
      </c>
      <c r="AH1105" s="2" t="str">
        <f ca="1"/>
        <v>Bad</v>
      </c>
    </row>
    <row r="1106" spans="2:34" x14ac:dyDescent="0.2">
      <c r="B1106" s="2">
        <f ca="1"/>
        <v>0.823080795046363</v>
      </c>
      <c r="O1106" s="2">
        <f ca="1"/>
        <v>-1.0371295497282735</v>
      </c>
      <c r="X1106" s="2">
        <f ca="1"/>
        <v>43.701253800700115</v>
      </c>
      <c r="AG1106" s="2">
        <f ca="1"/>
        <v>0.6349701988560037</v>
      </c>
      <c r="AH1106" s="2" t="str">
        <f ca="1"/>
        <v>Bad</v>
      </c>
    </row>
    <row r="1107" spans="2:34" x14ac:dyDescent="0.2">
      <c r="B1107" s="2">
        <f ca="1"/>
        <v>0.9168877641351616</v>
      </c>
      <c r="O1107" s="2">
        <f ca="1"/>
        <v>2.0727394754524475</v>
      </c>
      <c r="X1107" s="2">
        <f ca="1"/>
        <v>66.758285394338486</v>
      </c>
      <c r="AG1107" s="2">
        <f ca="1"/>
        <v>0.78484562241056577</v>
      </c>
      <c r="AH1107" s="2" t="str">
        <f ca="1"/>
        <v>Bad</v>
      </c>
    </row>
    <row r="1108" spans="2:34" x14ac:dyDescent="0.2">
      <c r="B1108" s="2">
        <f ca="1"/>
        <v>4.2686804839768833E-3</v>
      </c>
      <c r="O1108" s="2">
        <f ca="1"/>
        <v>-0.45150406817020633</v>
      </c>
      <c r="X1108" s="2">
        <f ca="1"/>
        <v>60.395469633295221</v>
      </c>
      <c r="AG1108" s="2">
        <f ca="1"/>
        <v>0.69717087889844831</v>
      </c>
      <c r="AH1108" s="2" t="str">
        <f ca="1"/>
        <v>Bad</v>
      </c>
    </row>
    <row r="1109" spans="2:34" x14ac:dyDescent="0.2">
      <c r="B1109" s="2">
        <f ca="1"/>
        <v>0.91135331884201798</v>
      </c>
      <c r="O1109" s="2">
        <f ca="1"/>
        <v>-1.0983494524563677</v>
      </c>
      <c r="X1109" s="2">
        <f ca="1"/>
        <v>63.34096490178311</v>
      </c>
      <c r="AG1109" s="2">
        <f ca="1"/>
        <v>0.53433212280420328</v>
      </c>
      <c r="AH1109" s="2" t="str">
        <f ca="1"/>
        <v>Bad</v>
      </c>
    </row>
    <row r="1110" spans="2:34" x14ac:dyDescent="0.2">
      <c r="B1110" s="2">
        <f ca="1"/>
        <v>0.58198354375915162</v>
      </c>
      <c r="O1110" s="2">
        <f ca="1"/>
        <v>0.54778564617916381</v>
      </c>
      <c r="X1110" s="2">
        <f ca="1"/>
        <v>54.855160177996808</v>
      </c>
      <c r="AG1110" s="2">
        <f ca="1"/>
        <v>0.19829599095267936</v>
      </c>
      <c r="AH1110" s="2" t="str">
        <f ca="1"/>
        <v>OK</v>
      </c>
    </row>
    <row r="1111" spans="2:34" x14ac:dyDescent="0.2">
      <c r="B1111" s="2">
        <f ca="1"/>
        <v>0.68308432594809698</v>
      </c>
      <c r="O1111" s="2">
        <f ca="1"/>
        <v>0.78437665130118883</v>
      </c>
      <c r="X1111" s="2">
        <f ca="1"/>
        <v>33.826379948782602</v>
      </c>
      <c r="AG1111" s="2">
        <f ca="1"/>
        <v>0.70580999904875519</v>
      </c>
      <c r="AH1111" s="2" t="str">
        <f ca="1"/>
        <v>Bad</v>
      </c>
    </row>
    <row r="1112" spans="2:34" x14ac:dyDescent="0.2">
      <c r="B1112" s="2">
        <f ca="1"/>
        <v>0.47698113096925066</v>
      </c>
      <c r="O1112" s="2">
        <f ca="1"/>
        <v>-0.39675214878367998</v>
      </c>
      <c r="X1112" s="2">
        <f ca="1"/>
        <v>32.913147759172034</v>
      </c>
      <c r="AG1112" s="2">
        <f ca="1"/>
        <v>8.7993545551011021E-2</v>
      </c>
      <c r="AH1112" s="2" t="str">
        <f ca="1"/>
        <v>OK</v>
      </c>
    </row>
    <row r="1113" spans="2:34" x14ac:dyDescent="0.2">
      <c r="B1113" s="2">
        <f ca="1"/>
        <v>0.62077747850232678</v>
      </c>
      <c r="O1113" s="2">
        <f ca="1"/>
        <v>-1.2626837067588224</v>
      </c>
      <c r="X1113" s="2">
        <f ca="1"/>
        <v>16.782612632820179</v>
      </c>
      <c r="AG1113" s="2">
        <f ca="1"/>
        <v>0.85638384004821932</v>
      </c>
      <c r="AH1113" s="2" t="str">
        <f ca="1"/>
        <v>Bad</v>
      </c>
    </row>
    <row r="1114" spans="2:34" x14ac:dyDescent="0.2">
      <c r="B1114" s="2">
        <f ca="1"/>
        <v>0.93181757300496715</v>
      </c>
      <c r="O1114" s="2">
        <f ca="1"/>
        <v>1.038705425287799</v>
      </c>
      <c r="X1114" s="2">
        <f ca="1"/>
        <v>45.563645287930825</v>
      </c>
      <c r="AG1114" s="2">
        <f ca="1"/>
        <v>0.32829034984816752</v>
      </c>
      <c r="AH1114" s="2" t="str">
        <f ca="1"/>
        <v>OK</v>
      </c>
    </row>
    <row r="1115" spans="2:34" x14ac:dyDescent="0.2">
      <c r="B1115" s="2">
        <f ca="1"/>
        <v>0.31301549205409507</v>
      </c>
      <c r="O1115" s="2">
        <f ca="1"/>
        <v>0.76156139164695247</v>
      </c>
      <c r="X1115" s="2">
        <f ca="1"/>
        <v>56.986384972568054</v>
      </c>
      <c r="AG1115" s="2">
        <f ca="1"/>
        <v>0.74625607939263627</v>
      </c>
      <c r="AH1115" s="2" t="str">
        <f ca="1"/>
        <v>Bad</v>
      </c>
    </row>
    <row r="1116" spans="2:34" x14ac:dyDescent="0.2">
      <c r="B1116" s="2">
        <f ca="1"/>
        <v>0.55407684218218356</v>
      </c>
      <c r="O1116" s="2">
        <f ca="1"/>
        <v>1.0595112327329133</v>
      </c>
      <c r="X1116" s="2">
        <f ca="1"/>
        <v>52.757039089335692</v>
      </c>
      <c r="AG1116" s="2">
        <f ca="1"/>
        <v>9.2137686038129996E-2</v>
      </c>
      <c r="AH1116" s="2" t="str">
        <f ca="1"/>
        <v>OK</v>
      </c>
    </row>
    <row r="1117" spans="2:34" x14ac:dyDescent="0.2">
      <c r="B1117" s="2">
        <f ca="1"/>
        <v>0.19091983093328024</v>
      </c>
      <c r="O1117" s="2">
        <f ca="1"/>
        <v>0.60462985780148215</v>
      </c>
      <c r="X1117" s="2">
        <f ca="1"/>
        <v>33.597273208601592</v>
      </c>
      <c r="AG1117" s="2">
        <f ca="1"/>
        <v>0.68349624161828548</v>
      </c>
      <c r="AH1117" s="2" t="str">
        <f ca="1"/>
        <v>Bad</v>
      </c>
    </row>
    <row r="1118" spans="2:34" x14ac:dyDescent="0.2">
      <c r="B1118" s="2">
        <f ca="1"/>
        <v>0.60344764463052214</v>
      </c>
      <c r="O1118" s="2">
        <f ca="1"/>
        <v>-6.9038807112872969E-2</v>
      </c>
      <c r="X1118" s="2">
        <f ca="1"/>
        <v>52.219248293111718</v>
      </c>
      <c r="AG1118" s="2">
        <f ca="1"/>
        <v>0.5607939441494012</v>
      </c>
      <c r="AH1118" s="2" t="str">
        <f ca="1"/>
        <v>Bad</v>
      </c>
    </row>
    <row r="1119" spans="2:34" x14ac:dyDescent="0.2">
      <c r="B1119" s="2">
        <f ca="1"/>
        <v>0.32405459198804354</v>
      </c>
      <c r="O1119" s="2">
        <f ca="1"/>
        <v>1.5283356850958598</v>
      </c>
      <c r="X1119" s="2">
        <f ca="1"/>
        <v>79.07983807811047</v>
      </c>
      <c r="AG1119" s="2">
        <f ca="1"/>
        <v>0.99076825448804584</v>
      </c>
      <c r="AH1119" s="2" t="str">
        <f ca="1"/>
        <v>Bad</v>
      </c>
    </row>
    <row r="1120" spans="2:34" x14ac:dyDescent="0.2">
      <c r="B1120" s="2">
        <f ca="1"/>
        <v>0.53836207477011855</v>
      </c>
      <c r="O1120" s="2">
        <f ca="1"/>
        <v>-1.0278485943120415</v>
      </c>
      <c r="X1120" s="2">
        <f ca="1"/>
        <v>40.849010047036401</v>
      </c>
      <c r="AG1120" s="2">
        <f ca="1"/>
        <v>0.27328913220630002</v>
      </c>
      <c r="AH1120" s="2" t="str">
        <f ca="1"/>
        <v>OK</v>
      </c>
    </row>
    <row r="1121" spans="2:34" x14ac:dyDescent="0.2">
      <c r="B1121" s="2">
        <f ca="1"/>
        <v>0.77834568261390391</v>
      </c>
      <c r="O1121" s="2">
        <f ca="1"/>
        <v>0.56585560318027817</v>
      </c>
      <c r="X1121" s="2">
        <f ca="1"/>
        <v>65.007367075935733</v>
      </c>
      <c r="AG1121" s="2">
        <f ca="1"/>
        <v>0.46609387016487958</v>
      </c>
      <c r="AH1121" s="2" t="str">
        <f ca="1"/>
        <v>Bad</v>
      </c>
    </row>
    <row r="1122" spans="2:34" x14ac:dyDescent="0.2">
      <c r="B1122" s="2">
        <f ca="1"/>
        <v>0.75478456493798207</v>
      </c>
      <c r="O1122" s="2">
        <f ca="1"/>
        <v>0.68016104770487307</v>
      </c>
      <c r="X1122" s="2">
        <f ca="1"/>
        <v>51.565897123100008</v>
      </c>
      <c r="AG1122" s="2">
        <f ca="1"/>
        <v>0.48403708345669649</v>
      </c>
      <c r="AH1122" s="2" t="str">
        <f ca="1"/>
        <v>Bad</v>
      </c>
    </row>
    <row r="1123" spans="2:34" x14ac:dyDescent="0.2">
      <c r="B1123" s="2">
        <f ca="1"/>
        <v>4.9285790438048149E-2</v>
      </c>
      <c r="O1123" s="2">
        <f ca="1"/>
        <v>0.18002887512701654</v>
      </c>
      <c r="X1123" s="2">
        <f ca="1"/>
        <v>78.02902228650656</v>
      </c>
      <c r="AG1123" s="2">
        <f ca="1"/>
        <v>4.5667180973153698E-2</v>
      </c>
      <c r="AH1123" s="2" t="str">
        <f ca="1"/>
        <v>Good</v>
      </c>
    </row>
    <row r="1124" spans="2:34" x14ac:dyDescent="0.2">
      <c r="B1124" s="2">
        <f ca="1"/>
        <v>0.13323189466736296</v>
      </c>
      <c r="O1124" s="2">
        <f ca="1"/>
        <v>0.99438027634401116</v>
      </c>
      <c r="X1124" s="2">
        <f ca="1"/>
        <v>50.929409498855598</v>
      </c>
      <c r="AG1124" s="2">
        <f ca="1"/>
        <v>0.81858375800568917</v>
      </c>
      <c r="AH1124" s="2" t="str">
        <f ca="1"/>
        <v>Bad</v>
      </c>
    </row>
    <row r="1125" spans="2:34" x14ac:dyDescent="0.2">
      <c r="B1125" s="2">
        <f ca="1"/>
        <v>0.10089050019437207</v>
      </c>
      <c r="O1125" s="2">
        <f ca="1"/>
        <v>0.95912925827843154</v>
      </c>
      <c r="X1125" s="2">
        <f ca="1"/>
        <v>50.05889893720866</v>
      </c>
      <c r="AG1125" s="2">
        <f ca="1"/>
        <v>0.56353463434903395</v>
      </c>
      <c r="AH1125" s="2" t="str">
        <f ca="1"/>
        <v>Bad</v>
      </c>
    </row>
    <row r="1126" spans="2:34" x14ac:dyDescent="0.2">
      <c r="B1126" s="2">
        <f ca="1"/>
        <v>0.60818461416951841</v>
      </c>
      <c r="O1126" s="2">
        <f ca="1"/>
        <v>1.4786396728465314</v>
      </c>
      <c r="X1126" s="2">
        <f ca="1"/>
        <v>44.088155823323739</v>
      </c>
      <c r="AG1126" s="2">
        <f ca="1"/>
        <v>0.40765807426563327</v>
      </c>
      <c r="AH1126" s="2" t="str">
        <f ca="1"/>
        <v>Bad</v>
      </c>
    </row>
    <row r="1127" spans="2:34" x14ac:dyDescent="0.2">
      <c r="B1127" s="2">
        <f ca="1"/>
        <v>0.57076906486081525</v>
      </c>
      <c r="O1127" s="2">
        <f ca="1"/>
        <v>1.1440355612112809</v>
      </c>
      <c r="X1127" s="2">
        <f ca="1"/>
        <v>42.533776216053013</v>
      </c>
      <c r="AG1127" s="2">
        <f ca="1"/>
        <v>0.60080739335977573</v>
      </c>
      <c r="AH1127" s="2" t="str">
        <f ca="1"/>
        <v>Bad</v>
      </c>
    </row>
    <row r="1128" spans="2:34" x14ac:dyDescent="0.2">
      <c r="B1128" s="2">
        <f ca="1"/>
        <v>0.84364400595438882</v>
      </c>
      <c r="O1128" s="2">
        <f ca="1"/>
        <v>1.4230189441963881</v>
      </c>
      <c r="X1128" s="2">
        <f ca="1"/>
        <v>55.736730005335843</v>
      </c>
      <c r="AG1128" s="2">
        <f ca="1"/>
        <v>0.55318175374971323</v>
      </c>
      <c r="AH1128" s="2" t="str">
        <f ca="1"/>
        <v>Bad</v>
      </c>
    </row>
    <row r="1129" spans="2:34" x14ac:dyDescent="0.2">
      <c r="B1129" s="2">
        <f ca="1"/>
        <v>0.70664123722142058</v>
      </c>
      <c r="O1129" s="2">
        <f ca="1"/>
        <v>-2.3661305839844622</v>
      </c>
      <c r="X1129" s="2">
        <f ca="1"/>
        <v>30.994828732123857</v>
      </c>
      <c r="AG1129" s="2">
        <f ca="1"/>
        <v>0.79639534929678724</v>
      </c>
      <c r="AH1129" s="2" t="str">
        <f ca="1"/>
        <v>Bad</v>
      </c>
    </row>
    <row r="1130" spans="2:34" x14ac:dyDescent="0.2">
      <c r="B1130" s="2">
        <f ca="1"/>
        <v>0.80212697366995767</v>
      </c>
      <c r="O1130" s="2">
        <f ca="1"/>
        <v>-0.79879798001029301</v>
      </c>
      <c r="X1130" s="2">
        <f ca="1"/>
        <v>39.449598487631519</v>
      </c>
      <c r="AG1130" s="2">
        <f ca="1"/>
        <v>0.62857659665877241</v>
      </c>
      <c r="AH1130" s="2" t="str">
        <f ca="1"/>
        <v>Bad</v>
      </c>
    </row>
    <row r="1131" spans="2:34" x14ac:dyDescent="0.2">
      <c r="B1131" s="2">
        <f ca="1"/>
        <v>0.73780573359843471</v>
      </c>
      <c r="O1131" s="2">
        <f ca="1"/>
        <v>-0.57750740427611591</v>
      </c>
      <c r="X1131" s="2">
        <f ca="1"/>
        <v>41.057997637200423</v>
      </c>
      <c r="AG1131" s="2">
        <f ca="1"/>
        <v>0.32944924303888756</v>
      </c>
      <c r="AH1131" s="2" t="str">
        <f ca="1"/>
        <v>OK</v>
      </c>
    </row>
    <row r="1132" spans="2:34" x14ac:dyDescent="0.2">
      <c r="B1132" s="2">
        <f ca="1"/>
        <v>0.64889050678202964</v>
      </c>
      <c r="O1132" s="2">
        <f ca="1"/>
        <v>0.10592185421760575</v>
      </c>
      <c r="X1132" s="2">
        <f ca="1"/>
        <v>62.469404937190916</v>
      </c>
      <c r="AG1132" s="2">
        <f ca="1"/>
        <v>0.49919505442991441</v>
      </c>
      <c r="AH1132" s="2" t="str">
        <f ca="1"/>
        <v>Bad</v>
      </c>
    </row>
    <row r="1133" spans="2:34" x14ac:dyDescent="0.2">
      <c r="B1133" s="2">
        <f ca="1"/>
        <v>0.31145529823074503</v>
      </c>
      <c r="O1133" s="2">
        <f ca="1"/>
        <v>0.48713536531601204</v>
      </c>
      <c r="X1133" s="2">
        <f ca="1"/>
        <v>48.248227085196973</v>
      </c>
      <c r="AG1133" s="2">
        <f ca="1"/>
        <v>0.63485814271747998</v>
      </c>
      <c r="AH1133" s="2" t="str">
        <f ca="1"/>
        <v>Bad</v>
      </c>
    </row>
    <row r="1134" spans="2:34" x14ac:dyDescent="0.2">
      <c r="B1134" s="2">
        <f ca="1"/>
        <v>0.37958592891913367</v>
      </c>
      <c r="O1134" s="2">
        <f ca="1"/>
        <v>-0.57276840293735443</v>
      </c>
      <c r="X1134" s="2">
        <f ca="1"/>
        <v>39.318503665084222</v>
      </c>
      <c r="AG1134" s="2">
        <f ca="1"/>
        <v>5.8078004386979742E-2</v>
      </c>
      <c r="AH1134" s="2" t="str">
        <f ca="1"/>
        <v>OK</v>
      </c>
    </row>
    <row r="1135" spans="2:34" x14ac:dyDescent="0.2">
      <c r="B1135" s="2">
        <f ca="1"/>
        <v>0.46168556698023266</v>
      </c>
      <c r="O1135" s="2">
        <f ca="1"/>
        <v>1.616673627463775</v>
      </c>
      <c r="X1135" s="2">
        <f ca="1"/>
        <v>47.60604039769855</v>
      </c>
      <c r="AG1135" s="2">
        <f ca="1"/>
        <v>0.93395415764162637</v>
      </c>
      <c r="AH1135" s="2" t="str">
        <f ca="1"/>
        <v>Bad</v>
      </c>
    </row>
    <row r="1136" spans="2:34" x14ac:dyDescent="0.2">
      <c r="B1136" s="2">
        <f ca="1"/>
        <v>0.41219079857426855</v>
      </c>
      <c r="O1136" s="2">
        <f ca="1"/>
        <v>1.8081482054525897</v>
      </c>
      <c r="X1136" s="2">
        <f ca="1"/>
        <v>43.249067713035998</v>
      </c>
      <c r="AG1136" s="2">
        <f ca="1"/>
        <v>0.50330019007893201</v>
      </c>
      <c r="AH1136" s="2" t="str">
        <f ca="1"/>
        <v>Bad</v>
      </c>
    </row>
    <row r="1137" spans="2:34" x14ac:dyDescent="0.2">
      <c r="B1137" s="2">
        <f ca="1"/>
        <v>0.59875571966199037</v>
      </c>
      <c r="O1137" s="2">
        <f ca="1"/>
        <v>1.2477940878180285</v>
      </c>
      <c r="X1137" s="2">
        <f ca="1"/>
        <v>35.03898189789804</v>
      </c>
      <c r="AG1137" s="2">
        <f ca="1"/>
        <v>0.48894281184891497</v>
      </c>
      <c r="AH1137" s="2" t="str">
        <f ca="1"/>
        <v>Bad</v>
      </c>
    </row>
    <row r="1138" spans="2:34" x14ac:dyDescent="0.2">
      <c r="B1138" s="2">
        <f ca="1"/>
        <v>0.96743118028299602</v>
      </c>
      <c r="O1138" s="2">
        <f ca="1"/>
        <v>-0.58480654398700704</v>
      </c>
      <c r="X1138" s="2">
        <f ca="1"/>
        <v>46.094994281130219</v>
      </c>
      <c r="AG1138" s="2">
        <f ca="1"/>
        <v>0.47826905828360355</v>
      </c>
      <c r="AH1138" s="2" t="str">
        <f ca="1"/>
        <v>Bad</v>
      </c>
    </row>
    <row r="1139" spans="2:34" x14ac:dyDescent="0.2">
      <c r="B1139" s="2">
        <f ca="1"/>
        <v>0.89955044076809032</v>
      </c>
      <c r="O1139" s="2">
        <f ca="1"/>
        <v>0.56713987185669545</v>
      </c>
      <c r="X1139" s="2">
        <f ca="1"/>
        <v>50.169180989278665</v>
      </c>
      <c r="AG1139" s="2">
        <f ca="1"/>
        <v>0.19637021383983178</v>
      </c>
      <c r="AH1139" s="2" t="str">
        <f ca="1"/>
        <v>OK</v>
      </c>
    </row>
    <row r="1140" spans="2:34" x14ac:dyDescent="0.2">
      <c r="B1140" s="2">
        <f ca="1"/>
        <v>0.42322527386727304</v>
      </c>
      <c r="O1140" s="2">
        <f ca="1"/>
        <v>-1.0256158716969734</v>
      </c>
      <c r="X1140" s="2">
        <f ca="1"/>
        <v>39.231934153348107</v>
      </c>
      <c r="AG1140" s="2">
        <f ca="1"/>
        <v>0.76325948051977011</v>
      </c>
      <c r="AH1140" s="2" t="str">
        <f ca="1"/>
        <v>Bad</v>
      </c>
    </row>
    <row r="1141" spans="2:34" x14ac:dyDescent="0.2">
      <c r="B1141" s="2">
        <f ca="1"/>
        <v>0.29129351032598549</v>
      </c>
      <c r="O1141" s="2">
        <f ca="1"/>
        <v>0.52988159129789292</v>
      </c>
      <c r="X1141" s="2">
        <f ca="1"/>
        <v>53.371975207904327</v>
      </c>
      <c r="AG1141" s="2">
        <f ca="1"/>
        <v>5.9807162754486942E-2</v>
      </c>
      <c r="AH1141" s="2" t="str">
        <f ca="1"/>
        <v>OK</v>
      </c>
    </row>
    <row r="1142" spans="2:34" x14ac:dyDescent="0.2">
      <c r="B1142" s="2">
        <f ca="1"/>
        <v>0.69499164342381747</v>
      </c>
      <c r="O1142" s="2">
        <f ca="1"/>
        <v>1.4606748648126178</v>
      </c>
      <c r="X1142" s="2">
        <f ca="1"/>
        <v>30.231236379098906</v>
      </c>
      <c r="AG1142" s="2">
        <f ca="1"/>
        <v>0.8282674546810691</v>
      </c>
      <c r="AH1142" s="2" t="str">
        <f ca="1"/>
        <v>Bad</v>
      </c>
    </row>
    <row r="1143" spans="2:34" x14ac:dyDescent="0.2">
      <c r="B1143" s="2">
        <f ca="1"/>
        <v>0.17584126839285807</v>
      </c>
      <c r="O1143" s="2">
        <f ca="1"/>
        <v>-0.2754839212907142</v>
      </c>
      <c r="X1143" s="2">
        <f ca="1"/>
        <v>32.407404985693027</v>
      </c>
      <c r="AG1143" s="2">
        <f ca="1"/>
        <v>0.6421818218044486</v>
      </c>
      <c r="AH1143" s="2" t="str">
        <f ca="1"/>
        <v>Bad</v>
      </c>
    </row>
    <row r="1144" spans="2:34" x14ac:dyDescent="0.2">
      <c r="B1144" s="2">
        <f ca="1"/>
        <v>0.71748208427150706</v>
      </c>
      <c r="O1144" s="2">
        <f ca="1"/>
        <v>0.75769728667691938</v>
      </c>
      <c r="X1144" s="2">
        <f ca="1"/>
        <v>39.482701139912123</v>
      </c>
      <c r="AG1144" s="2">
        <f ca="1"/>
        <v>0.87701943975124963</v>
      </c>
      <c r="AH1144" s="2" t="str">
        <f ca="1"/>
        <v>Bad</v>
      </c>
    </row>
    <row r="1145" spans="2:34" x14ac:dyDescent="0.2">
      <c r="B1145" s="2">
        <f ca="1"/>
        <v>0.48195725176416659</v>
      </c>
      <c r="O1145" s="2">
        <f ca="1"/>
        <v>-0.66401181301105816</v>
      </c>
      <c r="X1145" s="2">
        <f ca="1"/>
        <v>38.597681752179113</v>
      </c>
      <c r="AG1145" s="2">
        <f ca="1"/>
        <v>0.63824577068328048</v>
      </c>
      <c r="AH1145" s="2" t="str">
        <f ca="1"/>
        <v>Bad</v>
      </c>
    </row>
    <row r="1146" spans="2:34" x14ac:dyDescent="0.2">
      <c r="B1146" s="2">
        <f ca="1"/>
        <v>0.43148018561264512</v>
      </c>
      <c r="O1146" s="2">
        <f ca="1"/>
        <v>0.90345632841484147</v>
      </c>
      <c r="X1146" s="2">
        <f ca="1"/>
        <v>81.097184480674386</v>
      </c>
      <c r="AG1146" s="2">
        <f ca="1"/>
        <v>0.39751681383577919</v>
      </c>
      <c r="AH1146" s="2" t="str">
        <f ca="1"/>
        <v>OK</v>
      </c>
    </row>
    <row r="1147" spans="2:34" x14ac:dyDescent="0.2">
      <c r="B1147" s="2">
        <f ca="1"/>
        <v>0.17634892351263143</v>
      </c>
      <c r="O1147" s="2">
        <f ca="1"/>
        <v>0.56825196963645497</v>
      </c>
      <c r="X1147" s="2">
        <f ca="1"/>
        <v>55.367486048018115</v>
      </c>
      <c r="AG1147" s="2">
        <f ca="1"/>
        <v>0.20362171364655079</v>
      </c>
      <c r="AH1147" s="2" t="str">
        <f ca="1"/>
        <v>OK</v>
      </c>
    </row>
    <row r="1148" spans="2:34" x14ac:dyDescent="0.2">
      <c r="B1148" s="2">
        <f ca="1"/>
        <v>0.43964202517365192</v>
      </c>
      <c r="O1148" s="2">
        <f ca="1"/>
        <v>-0.69816607444832146</v>
      </c>
      <c r="X1148" s="2">
        <f ca="1"/>
        <v>41.82358143965147</v>
      </c>
      <c r="AG1148" s="2">
        <f ca="1"/>
        <v>0.65146092219306562</v>
      </c>
      <c r="AH1148" s="2" t="str">
        <f ca="1"/>
        <v>Bad</v>
      </c>
    </row>
    <row r="1149" spans="2:34" x14ac:dyDescent="0.2">
      <c r="B1149" s="2">
        <f ca="1"/>
        <v>0.83007604928676337</v>
      </c>
      <c r="O1149" s="2">
        <f ca="1"/>
        <v>-0.61099363788591399</v>
      </c>
      <c r="X1149" s="2">
        <f ca="1"/>
        <v>59.224977065912981</v>
      </c>
      <c r="AG1149" s="2">
        <f ca="1"/>
        <v>0.96110237936498</v>
      </c>
      <c r="AH1149" s="2" t="str">
        <f ca="1"/>
        <v>Bad</v>
      </c>
    </row>
    <row r="1150" spans="2:34" x14ac:dyDescent="0.2">
      <c r="B1150" s="2">
        <f ca="1"/>
        <v>0.35869402446262089</v>
      </c>
      <c r="O1150" s="2">
        <f ca="1"/>
        <v>-0.52888068668408506</v>
      </c>
      <c r="X1150" s="2">
        <f ca="1"/>
        <v>68.584871572401084</v>
      </c>
      <c r="AG1150" s="2">
        <f ca="1"/>
        <v>0.10019748902905645</v>
      </c>
      <c r="AH1150" s="2" t="str">
        <f ca="1"/>
        <v>OK</v>
      </c>
    </row>
    <row r="1151" spans="2:34" x14ac:dyDescent="0.2">
      <c r="B1151" s="2">
        <f ca="1"/>
        <v>0.7720201813023766</v>
      </c>
      <c r="O1151" s="2">
        <f ca="1"/>
        <v>-0.5554309671933837</v>
      </c>
      <c r="X1151" s="2">
        <f ca="1"/>
        <v>32.627741564809526</v>
      </c>
      <c r="AG1151" s="2">
        <f ca="1"/>
        <v>0.33428347031608596</v>
      </c>
      <c r="AH1151" s="2" t="str">
        <f ca="1"/>
        <v>OK</v>
      </c>
    </row>
    <row r="1152" spans="2:34" x14ac:dyDescent="0.2">
      <c r="B1152" s="2">
        <f ca="1"/>
        <v>0.24506116147987611</v>
      </c>
      <c r="O1152" s="2">
        <f ca="1"/>
        <v>-2.3870722280972374</v>
      </c>
      <c r="X1152" s="2">
        <f ca="1"/>
        <v>50.09475768180436</v>
      </c>
      <c r="AG1152" s="2">
        <f ca="1"/>
        <v>0.14112132149305956</v>
      </c>
      <c r="AH1152" s="2" t="str">
        <f ca="1"/>
        <v>OK</v>
      </c>
    </row>
    <row r="1153" spans="2:34" x14ac:dyDescent="0.2">
      <c r="B1153" s="2">
        <f ca="1"/>
        <v>0.11875528681895653</v>
      </c>
      <c r="O1153" s="2">
        <f ca="1"/>
        <v>-0.61106282606970064</v>
      </c>
      <c r="X1153" s="2">
        <f ca="1"/>
        <v>65.282018069694999</v>
      </c>
      <c r="AG1153" s="2">
        <f ca="1"/>
        <v>0.58935536964941049</v>
      </c>
      <c r="AH1153" s="2" t="str">
        <f ca="1"/>
        <v>Bad</v>
      </c>
    </row>
    <row r="1154" spans="2:34" x14ac:dyDescent="0.2">
      <c r="B1154" s="2">
        <f ca="1"/>
        <v>5.1682424851959841E-3</v>
      </c>
      <c r="O1154" s="2">
        <f ca="1"/>
        <v>2.4836363215529355E-2</v>
      </c>
      <c r="X1154" s="2">
        <f ca="1"/>
        <v>48.007350656431001</v>
      </c>
      <c r="AG1154" s="2">
        <f ca="1"/>
        <v>0.87221115840342711</v>
      </c>
      <c r="AH1154" s="2" t="str">
        <f ca="1"/>
        <v>Bad</v>
      </c>
    </row>
    <row r="1155" spans="2:34" x14ac:dyDescent="0.2">
      <c r="B1155" s="2">
        <f ca="1"/>
        <v>0.68326030715704045</v>
      </c>
      <c r="O1155" s="2">
        <f ca="1"/>
        <v>-1.4385569229325823</v>
      </c>
      <c r="X1155" s="2">
        <f ca="1"/>
        <v>36.078674889126106</v>
      </c>
      <c r="AG1155" s="2">
        <f ca="1"/>
        <v>5.784858443177221E-2</v>
      </c>
      <c r="AH1155" s="2" t="str">
        <f ca="1"/>
        <v>OK</v>
      </c>
    </row>
    <row r="1156" spans="2:34" x14ac:dyDescent="0.2">
      <c r="B1156" s="2">
        <f ca="1"/>
        <v>0.97652531288562194</v>
      </c>
      <c r="O1156" s="2">
        <f ca="1"/>
        <v>-0.74973579786826661</v>
      </c>
      <c r="X1156" s="2">
        <f ca="1"/>
        <v>54.040923548416458</v>
      </c>
      <c r="AG1156" s="2">
        <f ca="1"/>
        <v>0.23957826536506022</v>
      </c>
      <c r="AH1156" s="2" t="str">
        <f ca="1"/>
        <v>OK</v>
      </c>
    </row>
    <row r="1157" spans="2:34" x14ac:dyDescent="0.2">
      <c r="B1157" s="2">
        <f ca="1"/>
        <v>0.85176297214547514</v>
      </c>
      <c r="O1157" s="2">
        <f ca="1"/>
        <v>-0.133858377683166</v>
      </c>
      <c r="X1157" s="2">
        <f ca="1"/>
        <v>68.223416536824899</v>
      </c>
      <c r="AG1157" s="2">
        <f ca="1"/>
        <v>0.29629219680909613</v>
      </c>
      <c r="AH1157" s="2" t="str">
        <f ca="1"/>
        <v>OK</v>
      </c>
    </row>
    <row r="1158" spans="2:34" x14ac:dyDescent="0.2">
      <c r="B1158" s="2">
        <f ca="1"/>
        <v>0.57979708754541881</v>
      </c>
      <c r="O1158" s="2">
        <f ca="1"/>
        <v>-2.082977553407265</v>
      </c>
      <c r="X1158" s="2">
        <f ca="1"/>
        <v>70.829053552149873</v>
      </c>
      <c r="AG1158" s="2">
        <f ca="1"/>
        <v>0.28970911920002318</v>
      </c>
      <c r="AH1158" s="2" t="str">
        <f ca="1"/>
        <v>OK</v>
      </c>
    </row>
    <row r="1159" spans="2:34" x14ac:dyDescent="0.2">
      <c r="B1159" s="2">
        <f ca="1"/>
        <v>0.33084535256442549</v>
      </c>
      <c r="O1159" s="2">
        <f ca="1"/>
        <v>0.58579724883954809</v>
      </c>
      <c r="X1159" s="2">
        <f ca="1"/>
        <v>52.38664938877848</v>
      </c>
      <c r="AG1159" s="2">
        <f ca="1"/>
        <v>0.79504969166500628</v>
      </c>
      <c r="AH1159" s="2" t="str">
        <f ca="1"/>
        <v>Bad</v>
      </c>
    </row>
    <row r="1160" spans="2:34" x14ac:dyDescent="0.2">
      <c r="B1160" s="2">
        <f ca="1"/>
        <v>0.94547768865208948</v>
      </c>
      <c r="O1160" s="2">
        <f ca="1"/>
        <v>-7.6122992821702026E-2</v>
      </c>
      <c r="X1160" s="2">
        <f ca="1"/>
        <v>28.669866640206187</v>
      </c>
      <c r="AG1160" s="2">
        <f ca="1"/>
        <v>0.13572914704437888</v>
      </c>
      <c r="AH1160" s="2" t="str">
        <f ca="1"/>
        <v>OK</v>
      </c>
    </row>
    <row r="1161" spans="2:34" x14ac:dyDescent="0.2">
      <c r="B1161" s="2">
        <f ca="1"/>
        <v>0.37181130516511907</v>
      </c>
      <c r="O1161" s="2">
        <f ca="1"/>
        <v>-0.82615163339513409</v>
      </c>
      <c r="X1161" s="2">
        <f ca="1"/>
        <v>60.664107431620877</v>
      </c>
      <c r="AG1161" s="2">
        <f ca="1"/>
        <v>0.76107590827390004</v>
      </c>
      <c r="AH1161" s="2" t="str">
        <f ca="1"/>
        <v>Bad</v>
      </c>
    </row>
    <row r="1162" spans="2:34" x14ac:dyDescent="0.2">
      <c r="B1162" s="2">
        <f ca="1"/>
        <v>0.1290828965389561</v>
      </c>
      <c r="O1162" s="2">
        <f ca="1"/>
        <v>0.10318660110787477</v>
      </c>
      <c r="X1162" s="2">
        <f ca="1"/>
        <v>68.143595921142392</v>
      </c>
      <c r="AG1162" s="2">
        <f ca="1"/>
        <v>0.18268404566232443</v>
      </c>
      <c r="AH1162" s="2" t="str">
        <f ca="1"/>
        <v>OK</v>
      </c>
    </row>
    <row r="1163" spans="2:34" x14ac:dyDescent="0.2">
      <c r="B1163" s="2">
        <f ca="1"/>
        <v>3.1870920414712733E-2</v>
      </c>
      <c r="O1163" s="2">
        <f ca="1"/>
        <v>-0.43973604253718152</v>
      </c>
      <c r="X1163" s="2">
        <f ca="1"/>
        <v>46.304175348074601</v>
      </c>
      <c r="AG1163" s="2">
        <f ca="1"/>
        <v>0.38761695838895416</v>
      </c>
      <c r="AH1163" s="2" t="str">
        <f ca="1"/>
        <v>OK</v>
      </c>
    </row>
    <row r="1164" spans="2:34" x14ac:dyDescent="0.2">
      <c r="B1164" s="2">
        <f ca="1"/>
        <v>0.73351470049525758</v>
      </c>
      <c r="O1164" s="2">
        <f ca="1"/>
        <v>-2.1712328542794728</v>
      </c>
      <c r="X1164" s="2">
        <f ca="1"/>
        <v>51.41061486242905</v>
      </c>
      <c r="AG1164" s="2">
        <f ca="1"/>
        <v>0.7141038391846124</v>
      </c>
      <c r="AH1164" s="2" t="str">
        <f ca="1"/>
        <v>Bad</v>
      </c>
    </row>
    <row r="1165" spans="2:34" x14ac:dyDescent="0.2">
      <c r="B1165" s="2">
        <f ca="1"/>
        <v>0.33466714511600748</v>
      </c>
      <c r="O1165" s="2">
        <f ca="1"/>
        <v>-0.12524161199365558</v>
      </c>
      <c r="X1165" s="2">
        <f ca="1"/>
        <v>29.13765328868309</v>
      </c>
      <c r="AG1165" s="2">
        <f ca="1"/>
        <v>0.46800345757638029</v>
      </c>
      <c r="AH1165" s="2" t="str">
        <f ca="1"/>
        <v>Bad</v>
      </c>
    </row>
    <row r="1166" spans="2:34" x14ac:dyDescent="0.2">
      <c r="B1166" s="2">
        <f ca="1"/>
        <v>0.69147363563457875</v>
      </c>
      <c r="O1166" s="2">
        <f ca="1"/>
        <v>-3.8401431971696848E-2</v>
      </c>
      <c r="X1166" s="2">
        <f ca="1"/>
        <v>53.175172643061998</v>
      </c>
      <c r="AG1166" s="2">
        <f ca="1"/>
        <v>0.71455170518865141</v>
      </c>
      <c r="AH1166" s="2" t="str">
        <f ca="1"/>
        <v>Bad</v>
      </c>
    </row>
    <row r="1167" spans="2:34" x14ac:dyDescent="0.2">
      <c r="B1167" s="2">
        <f ca="1"/>
        <v>0.53447171798600035</v>
      </c>
      <c r="O1167" s="2">
        <f ca="1"/>
        <v>-0.22371537155704149</v>
      </c>
      <c r="X1167" s="2">
        <f ca="1"/>
        <v>52.322194517427583</v>
      </c>
      <c r="AG1167" s="2">
        <f ca="1"/>
        <v>0.8929127683680782</v>
      </c>
      <c r="AH1167" s="2" t="str">
        <f ca="1"/>
        <v>Bad</v>
      </c>
    </row>
    <row r="1168" spans="2:34" x14ac:dyDescent="0.2">
      <c r="B1168" s="2">
        <f ca="1"/>
        <v>0.7569089246680254</v>
      </c>
      <c r="O1168" s="2">
        <f ca="1"/>
        <v>-0.51016144673234143</v>
      </c>
      <c r="X1168" s="2">
        <f ca="1"/>
        <v>58.268941666216385</v>
      </c>
      <c r="AG1168" s="2">
        <f ca="1"/>
        <v>0.54732864990139141</v>
      </c>
      <c r="AH1168" s="2" t="str">
        <f ca="1"/>
        <v>Bad</v>
      </c>
    </row>
    <row r="1169" spans="2:34" x14ac:dyDescent="0.2">
      <c r="B1169" s="2">
        <f ca="1"/>
        <v>0.49750526706036147</v>
      </c>
      <c r="O1169" s="2">
        <f ca="1"/>
        <v>-0.51341301186574839</v>
      </c>
      <c r="X1169" s="2">
        <f ca="1"/>
        <v>34.71965164177535</v>
      </c>
      <c r="AG1169" s="2">
        <f ca="1"/>
        <v>0.78274270235744692</v>
      </c>
      <c r="AH1169" s="2" t="str">
        <f ca="1"/>
        <v>Bad</v>
      </c>
    </row>
    <row r="1170" spans="2:34" x14ac:dyDescent="0.2">
      <c r="B1170" s="2">
        <f ca="1"/>
        <v>0.59828135434324459</v>
      </c>
      <c r="O1170" s="2">
        <f ca="1"/>
        <v>-0.22088460862396098</v>
      </c>
      <c r="X1170" s="2">
        <f ca="1"/>
        <v>34.794237524238937</v>
      </c>
      <c r="AG1170" s="2">
        <f ca="1"/>
        <v>0.44277883408330854</v>
      </c>
      <c r="AH1170" s="2" t="str">
        <f ca="1"/>
        <v>Bad</v>
      </c>
    </row>
    <row r="1171" spans="2:34" x14ac:dyDescent="0.2">
      <c r="B1171" s="2">
        <f ca="1"/>
        <v>0.50366635797009018</v>
      </c>
      <c r="O1171" s="2">
        <f ca="1"/>
        <v>1.7779933656087092</v>
      </c>
      <c r="X1171" s="2">
        <f ca="1"/>
        <v>48.334306489368188</v>
      </c>
      <c r="AG1171" s="2">
        <f ca="1"/>
        <v>0.24185617973868578</v>
      </c>
      <c r="AH1171" s="2" t="str">
        <f ca="1"/>
        <v>OK</v>
      </c>
    </row>
    <row r="1172" spans="2:34" x14ac:dyDescent="0.2">
      <c r="B1172" s="2">
        <f ca="1"/>
        <v>0.95857884243128288</v>
      </c>
      <c r="O1172" s="2">
        <f ca="1"/>
        <v>-0.37354716506937191</v>
      </c>
      <c r="X1172" s="2">
        <f ca="1"/>
        <v>37.457768153158348</v>
      </c>
      <c r="AG1172" s="2">
        <f ca="1"/>
        <v>0.41394822399394116</v>
      </c>
      <c r="AH1172" s="2" t="str">
        <f ca="1"/>
        <v>Bad</v>
      </c>
    </row>
    <row r="1173" spans="2:34" x14ac:dyDescent="0.2">
      <c r="B1173" s="2">
        <f ca="1"/>
        <v>0.8326544744232558</v>
      </c>
      <c r="O1173" s="2">
        <f ca="1"/>
        <v>1.3140545873916663</v>
      </c>
      <c r="X1173" s="2">
        <f ca="1"/>
        <v>41.812438982100261</v>
      </c>
      <c r="AG1173" s="2">
        <f ca="1"/>
        <v>0.7650331404808135</v>
      </c>
      <c r="AH1173" s="2" t="str">
        <f ca="1"/>
        <v>Bad</v>
      </c>
    </row>
    <row r="1174" spans="2:34" x14ac:dyDescent="0.2">
      <c r="B1174" s="2">
        <f ca="1"/>
        <v>0.24697379652264462</v>
      </c>
      <c r="O1174" s="2">
        <f ca="1"/>
        <v>-0.84932767470014803</v>
      </c>
      <c r="X1174" s="2">
        <f ca="1"/>
        <v>87.59001103924129</v>
      </c>
      <c r="AG1174" s="2">
        <f ca="1"/>
        <v>0.73364651198220576</v>
      </c>
      <c r="AH1174" s="2" t="str">
        <f ca="1"/>
        <v>Bad</v>
      </c>
    </row>
    <row r="1175" spans="2:34" x14ac:dyDescent="0.2">
      <c r="B1175" s="2">
        <f ca="1"/>
        <v>0.59975414481327061</v>
      </c>
      <c r="O1175" s="2">
        <f ca="1"/>
        <v>7.7580401184511413E-2</v>
      </c>
      <c r="X1175" s="2">
        <f ca="1"/>
        <v>43.263314179662459</v>
      </c>
      <c r="AG1175" s="2">
        <f ca="1"/>
        <v>9.9967546137083474E-2</v>
      </c>
      <c r="AH1175" s="2" t="str">
        <f ca="1"/>
        <v>OK</v>
      </c>
    </row>
    <row r="1176" spans="2:34" x14ac:dyDescent="0.2">
      <c r="B1176" s="2">
        <f ca="1"/>
        <v>0.134494344097976</v>
      </c>
      <c r="O1176" s="2">
        <f ca="1"/>
        <v>0.63489230573763644</v>
      </c>
      <c r="X1176" s="2">
        <f ca="1"/>
        <v>44.945914889729991</v>
      </c>
      <c r="AG1176" s="2">
        <f ca="1"/>
        <v>0.55798055201358765</v>
      </c>
      <c r="AH1176" s="2" t="str">
        <f ca="1"/>
        <v>Bad</v>
      </c>
    </row>
    <row r="1177" spans="2:34" x14ac:dyDescent="0.2">
      <c r="B1177" s="2">
        <f ca="1"/>
        <v>0.11525585061264199</v>
      </c>
      <c r="O1177" s="2">
        <f ca="1"/>
        <v>2.2100363244759506E-2</v>
      </c>
      <c r="X1177" s="2">
        <f ca="1"/>
        <v>47.171043496741831</v>
      </c>
      <c r="AG1177" s="2">
        <f ca="1"/>
        <v>0.50712121153798995</v>
      </c>
      <c r="AH1177" s="2" t="str">
        <f ca="1"/>
        <v>Bad</v>
      </c>
    </row>
    <row r="1178" spans="2:34" x14ac:dyDescent="0.2">
      <c r="B1178" s="2">
        <f ca="1"/>
        <v>0.58906149473773906</v>
      </c>
      <c r="O1178" s="2">
        <f ca="1"/>
        <v>0.73080761686584461</v>
      </c>
      <c r="X1178" s="2">
        <f ca="1"/>
        <v>35.443233350958579</v>
      </c>
      <c r="AG1178" s="2">
        <f ca="1"/>
        <v>0.20489327360991161</v>
      </c>
      <c r="AH1178" s="2" t="str">
        <f ca="1"/>
        <v>OK</v>
      </c>
    </row>
    <row r="1179" spans="2:34" x14ac:dyDescent="0.2">
      <c r="B1179" s="2">
        <f ca="1"/>
        <v>0.12784125695192561</v>
      </c>
      <c r="O1179" s="2">
        <f ca="1"/>
        <v>0.49540014599209697</v>
      </c>
      <c r="X1179" s="2">
        <f ca="1"/>
        <v>62.836459380771288</v>
      </c>
      <c r="AG1179" s="2">
        <f ca="1"/>
        <v>0.66808217353215515</v>
      </c>
      <c r="AH1179" s="2" t="str">
        <f ca="1"/>
        <v>Bad</v>
      </c>
    </row>
    <row r="1180" spans="2:34" x14ac:dyDescent="0.2">
      <c r="B1180" s="2">
        <f ca="1"/>
        <v>0.95184694721425744</v>
      </c>
      <c r="O1180" s="2">
        <f ca="1"/>
        <v>0.2174545663418769</v>
      </c>
      <c r="X1180" s="2">
        <f ca="1"/>
        <v>33.857406607507478</v>
      </c>
      <c r="AG1180" s="2">
        <f ca="1"/>
        <v>0.93716983963576928</v>
      </c>
      <c r="AH1180" s="2" t="str">
        <f ca="1"/>
        <v>Bad</v>
      </c>
    </row>
    <row r="1181" spans="2:34" x14ac:dyDescent="0.2">
      <c r="B1181" s="2">
        <f ca="1"/>
        <v>0.75723467372418618</v>
      </c>
      <c r="O1181" s="2">
        <f ca="1"/>
        <v>0.43814039864205334</v>
      </c>
      <c r="X1181" s="2">
        <f ca="1"/>
        <v>44.192398936643265</v>
      </c>
      <c r="AG1181" s="2">
        <f ca="1"/>
        <v>0.8407125709633636</v>
      </c>
      <c r="AH1181" s="2" t="str">
        <f ca="1"/>
        <v>Bad</v>
      </c>
    </row>
    <row r="1182" spans="2:34" x14ac:dyDescent="0.2">
      <c r="B1182" s="2">
        <f ca="1"/>
        <v>0.73557968617859082</v>
      </c>
      <c r="O1182" s="2">
        <f ca="1"/>
        <v>1.6809913481584347</v>
      </c>
      <c r="X1182" s="2">
        <f ca="1"/>
        <v>47.731607689074032</v>
      </c>
      <c r="AG1182" s="2">
        <f ca="1"/>
        <v>2.099001170892123E-4</v>
      </c>
      <c r="AH1182" s="2" t="str">
        <f ca="1"/>
        <v>Good</v>
      </c>
    </row>
    <row r="1183" spans="2:34" x14ac:dyDescent="0.2">
      <c r="B1183" s="2">
        <f ca="1"/>
        <v>0.72261616479563506</v>
      </c>
      <c r="O1183" s="2">
        <f ca="1"/>
        <v>2.2890065722468211E-2</v>
      </c>
      <c r="X1183" s="2">
        <f ca="1"/>
        <v>75.973037110056197</v>
      </c>
      <c r="AG1183" s="2">
        <f ca="1"/>
        <v>0.18188954096252519</v>
      </c>
      <c r="AH1183" s="2" t="str">
        <f ca="1"/>
        <v>OK</v>
      </c>
    </row>
    <row r="1184" spans="2:34" x14ac:dyDescent="0.2">
      <c r="B1184" s="2">
        <f ca="1"/>
        <v>0.52049485204054857</v>
      </c>
      <c r="O1184" s="2">
        <f ca="1"/>
        <v>1.6177979162521465</v>
      </c>
      <c r="X1184" s="2">
        <f ca="1"/>
        <v>32.967262605681121</v>
      </c>
      <c r="AG1184" s="2">
        <f ca="1"/>
        <v>0.48566116686670679</v>
      </c>
      <c r="AH1184" s="2" t="str">
        <f ca="1"/>
        <v>Bad</v>
      </c>
    </row>
    <row r="1185" spans="2:34" x14ac:dyDescent="0.2">
      <c r="B1185" s="2">
        <f ca="1"/>
        <v>0.66365141036341546</v>
      </c>
      <c r="O1185" s="2">
        <f ca="1"/>
        <v>-0.56926311010975139</v>
      </c>
      <c r="X1185" s="2">
        <f ca="1"/>
        <v>27.202542226608912</v>
      </c>
      <c r="AG1185" s="2">
        <f ca="1"/>
        <v>0.86248265576198158</v>
      </c>
      <c r="AH1185" s="2" t="str">
        <f ca="1"/>
        <v>Bad</v>
      </c>
    </row>
    <row r="1186" spans="2:34" x14ac:dyDescent="0.2">
      <c r="B1186" s="2">
        <f ca="1"/>
        <v>0.87683572366205165</v>
      </c>
      <c r="O1186" s="2">
        <f ca="1"/>
        <v>-6.0885338403772325E-2</v>
      </c>
      <c r="X1186" s="2">
        <f ca="1"/>
        <v>46.067324628000812</v>
      </c>
      <c r="AG1186" s="2">
        <f ca="1"/>
        <v>0.80659538037880529</v>
      </c>
      <c r="AH1186" s="2" t="str">
        <f ca="1"/>
        <v>Bad</v>
      </c>
    </row>
    <row r="1187" spans="2:34" x14ac:dyDescent="0.2">
      <c r="B1187" s="2">
        <f ca="1"/>
        <v>0.26829957927547499</v>
      </c>
      <c r="O1187" s="2">
        <f ca="1"/>
        <v>1.329985176915611</v>
      </c>
      <c r="X1187" s="2">
        <f ca="1"/>
        <v>47.634162844662896</v>
      </c>
      <c r="AG1187" s="2">
        <f ca="1"/>
        <v>0.5551022012489828</v>
      </c>
      <c r="AH1187" s="2" t="str">
        <f ca="1"/>
        <v>Bad</v>
      </c>
    </row>
    <row r="1188" spans="2:34" x14ac:dyDescent="0.2">
      <c r="B1188" s="2">
        <f ca="1"/>
        <v>0.52168888629507104</v>
      </c>
      <c r="O1188" s="2">
        <f ca="1"/>
        <v>1.3717969968693831</v>
      </c>
      <c r="X1188" s="2">
        <f ca="1"/>
        <v>40.709422970339766</v>
      </c>
      <c r="AG1188" s="2">
        <f ca="1"/>
        <v>1.5024103003274281E-2</v>
      </c>
      <c r="AH1188" s="2" t="str">
        <f ca="1"/>
        <v>Good</v>
      </c>
    </row>
    <row r="1189" spans="2:34" x14ac:dyDescent="0.2">
      <c r="B1189" s="2">
        <f ca="1"/>
        <v>0.27943963591137</v>
      </c>
      <c r="O1189" s="2">
        <f ca="1"/>
        <v>-1.6130209335225845</v>
      </c>
      <c r="X1189" s="2">
        <f ca="1"/>
        <v>62.295138583894627</v>
      </c>
      <c r="AG1189" s="2">
        <f ca="1"/>
        <v>0.51150797038616602</v>
      </c>
      <c r="AH1189" s="2" t="str">
        <f ca="1"/>
        <v>Bad</v>
      </c>
    </row>
    <row r="1190" spans="2:34" x14ac:dyDescent="0.2">
      <c r="B1190" s="2">
        <f ca="1"/>
        <v>0.27314036103374195</v>
      </c>
      <c r="O1190" s="2">
        <f ca="1"/>
        <v>0.55795907211792484</v>
      </c>
      <c r="X1190" s="2">
        <f ca="1"/>
        <v>47.830593195021663</v>
      </c>
      <c r="AG1190" s="2">
        <f ca="1"/>
        <v>0.51285948056169595</v>
      </c>
      <c r="AH1190" s="2" t="str">
        <f ca="1"/>
        <v>Bad</v>
      </c>
    </row>
    <row r="1191" spans="2:34" x14ac:dyDescent="0.2">
      <c r="B1191" s="2">
        <f ca="1"/>
        <v>1.264496473789789E-3</v>
      </c>
      <c r="O1191" s="2">
        <f ca="1"/>
        <v>0.967511247111423</v>
      </c>
      <c r="X1191" s="2">
        <f ca="1"/>
        <v>49.672053851449611</v>
      </c>
      <c r="AG1191" s="2">
        <f ca="1"/>
        <v>0.95765424839157443</v>
      </c>
      <c r="AH1191" s="2" t="str">
        <f ca="1"/>
        <v>Bad</v>
      </c>
    </row>
    <row r="1192" spans="2:34" x14ac:dyDescent="0.2">
      <c r="B1192" s="2">
        <f ca="1"/>
        <v>0.88682877936629811</v>
      </c>
      <c r="O1192" s="2">
        <f ca="1"/>
        <v>0.46847506171087977</v>
      </c>
      <c r="X1192" s="2">
        <f ca="1"/>
        <v>62.760568682887993</v>
      </c>
      <c r="AG1192" s="2">
        <f ca="1"/>
        <v>0.84500716512174812</v>
      </c>
      <c r="AH1192" s="2" t="str">
        <f ca="1"/>
        <v>Bad</v>
      </c>
    </row>
    <row r="1193" spans="2:34" x14ac:dyDescent="0.2">
      <c r="B1193" s="2">
        <f ca="1"/>
        <v>0.30946813904959325</v>
      </c>
      <c r="O1193" s="2">
        <f ca="1"/>
        <v>0.17101272843452761</v>
      </c>
      <c r="X1193" s="2">
        <f ca="1"/>
        <v>25.194061040779452</v>
      </c>
      <c r="AG1193" s="2">
        <f ca="1"/>
        <v>0.27160752630228568</v>
      </c>
      <c r="AH1193" s="2" t="str">
        <f ca="1"/>
        <v>OK</v>
      </c>
    </row>
    <row r="1194" spans="2:34" x14ac:dyDescent="0.2">
      <c r="B1194" s="2">
        <f ca="1"/>
        <v>0.17443207714197562</v>
      </c>
      <c r="O1194" s="2">
        <f ca="1"/>
        <v>0.77083670958573836</v>
      </c>
      <c r="X1194" s="2">
        <f ca="1"/>
        <v>43.386735912133048</v>
      </c>
      <c r="AG1194" s="2">
        <f ca="1"/>
        <v>0.38274044663805951</v>
      </c>
      <c r="AH1194" s="2" t="str">
        <f ca="1"/>
        <v>OK</v>
      </c>
    </row>
    <row r="1195" spans="2:34" x14ac:dyDescent="0.2">
      <c r="B1195" s="2">
        <f ca="1"/>
        <v>0.49452715994581276</v>
      </c>
      <c r="O1195" s="2">
        <f ca="1"/>
        <v>-0.68801616298141555</v>
      </c>
      <c r="X1195" s="2">
        <f ca="1"/>
        <v>45.518638014685358</v>
      </c>
      <c r="AG1195" s="2">
        <f ca="1"/>
        <v>0.57266634315223253</v>
      </c>
      <c r="AH1195" s="2" t="str">
        <f ca="1"/>
        <v>Bad</v>
      </c>
    </row>
    <row r="1196" spans="2:34" x14ac:dyDescent="0.2">
      <c r="B1196" s="2">
        <f ca="1"/>
        <v>0.57152712799075811</v>
      </c>
      <c r="O1196" s="2">
        <f ca="1"/>
        <v>0.91029687896843825</v>
      </c>
      <c r="X1196" s="2">
        <f ca="1"/>
        <v>67.522967960722553</v>
      </c>
      <c r="AG1196" s="2">
        <f ca="1"/>
        <v>0.76530522304892856</v>
      </c>
      <c r="AH1196" s="2" t="str">
        <f ca="1"/>
        <v>Bad</v>
      </c>
    </row>
    <row r="1197" spans="2:34" x14ac:dyDescent="0.2">
      <c r="B1197" s="2">
        <f ca="1"/>
        <v>0.99455801700324464</v>
      </c>
      <c r="O1197" s="2">
        <f ca="1"/>
        <v>1.7450858735551324</v>
      </c>
      <c r="X1197" s="2">
        <f ca="1"/>
        <v>35.298851453226348</v>
      </c>
      <c r="AG1197" s="2">
        <f ca="1"/>
        <v>0.33057676424421301</v>
      </c>
      <c r="AH1197" s="2" t="str">
        <f ca="1"/>
        <v>OK</v>
      </c>
    </row>
    <row r="1198" spans="2:34" x14ac:dyDescent="0.2">
      <c r="B1198" s="2">
        <f ca="1"/>
        <v>0.52977923041089614</v>
      </c>
      <c r="O1198" s="2">
        <f ca="1"/>
        <v>0.64088540800919702</v>
      </c>
      <c r="X1198" s="2">
        <f ca="1"/>
        <v>40.959255894711688</v>
      </c>
      <c r="AG1198" s="2">
        <f ca="1"/>
        <v>0.69245246315649123</v>
      </c>
      <c r="AH1198" s="2" t="str">
        <f ca="1"/>
        <v>Bad</v>
      </c>
    </row>
    <row r="1199" spans="2:34" x14ac:dyDescent="0.2">
      <c r="B1199" s="2">
        <f ca="1"/>
        <v>2.354615030562468E-2</v>
      </c>
      <c r="O1199" s="2">
        <f ca="1"/>
        <v>-0.12869206705908351</v>
      </c>
      <c r="X1199" s="2">
        <f ca="1"/>
        <v>54.6475921307986</v>
      </c>
      <c r="AG1199" s="2">
        <f ca="1"/>
        <v>0.75387599675276773</v>
      </c>
      <c r="AH1199" s="2" t="str">
        <f ca="1"/>
        <v>Bad</v>
      </c>
    </row>
    <row r="1200" spans="2:34" x14ac:dyDescent="0.2">
      <c r="B1200" s="2">
        <f ca="1"/>
        <v>0.20703726113942222</v>
      </c>
      <c r="O1200" s="2">
        <f ca="1"/>
        <v>-1.2329245939023432</v>
      </c>
      <c r="X1200" s="2">
        <f ca="1"/>
        <v>56.925680776572847</v>
      </c>
      <c r="AG1200" s="2">
        <f ca="1"/>
        <v>0.99798414792017254</v>
      </c>
      <c r="AH1200" s="2" t="str">
        <f ca="1"/>
        <v>Bad</v>
      </c>
    </row>
    <row r="1201" spans="2:34" x14ac:dyDescent="0.2">
      <c r="B1201" s="2">
        <f ca="1"/>
        <v>0.37237758614509597</v>
      </c>
      <c r="O1201" s="2">
        <f ca="1"/>
        <v>0.49578100857524926</v>
      </c>
      <c r="X1201" s="2">
        <f ca="1"/>
        <v>57.64288618213974</v>
      </c>
      <c r="AG1201" s="2">
        <f ca="1"/>
        <v>0.36649547668244731</v>
      </c>
      <c r="AH1201" s="2" t="str">
        <f ca="1"/>
        <v>OK</v>
      </c>
    </row>
    <row r="1202" spans="2:34" x14ac:dyDescent="0.2">
      <c r="B1202" s="2">
        <f ca="1"/>
        <v>0.71992392123580129</v>
      </c>
      <c r="O1202" s="2">
        <f ca="1"/>
        <v>0.2973618663219052</v>
      </c>
      <c r="X1202" s="2">
        <f ca="1"/>
        <v>43.002379666879371</v>
      </c>
      <c r="AG1202" s="2">
        <f ca="1"/>
        <v>0.94346428594499776</v>
      </c>
      <c r="AH1202" s="2" t="str">
        <f ca="1"/>
        <v>Bad</v>
      </c>
    </row>
    <row r="1203" spans="2:34" x14ac:dyDescent="0.2">
      <c r="B1203" s="2">
        <f ca="1"/>
        <v>0.63976871397089541</v>
      </c>
      <c r="O1203" s="2">
        <f ca="1"/>
        <v>-0.52162570872356018</v>
      </c>
      <c r="X1203" s="2">
        <f ca="1"/>
        <v>66.185083433823394</v>
      </c>
      <c r="AG1203" s="2">
        <f ca="1"/>
        <v>0.49882371341106957</v>
      </c>
      <c r="AH1203" s="2" t="str">
        <f ca="1"/>
        <v>Bad</v>
      </c>
    </row>
    <row r="1204" spans="2:34" x14ac:dyDescent="0.2">
      <c r="B1204" s="2">
        <f ca="1"/>
        <v>7.4042236983456133E-2</v>
      </c>
      <c r="O1204" s="2">
        <f ca="1"/>
        <v>-0.56465820035485303</v>
      </c>
      <c r="X1204" s="2">
        <f ca="1"/>
        <v>36.682693622791113</v>
      </c>
      <c r="AG1204" s="2">
        <f ca="1"/>
        <v>0.65250748405621262</v>
      </c>
      <c r="AH1204" s="2" t="str">
        <f ca="1"/>
        <v>Bad</v>
      </c>
    </row>
    <row r="1205" spans="2:34" x14ac:dyDescent="0.2">
      <c r="B1205" s="2">
        <f ca="1"/>
        <v>0.51768171124772455</v>
      </c>
      <c r="O1205" s="2">
        <f ca="1"/>
        <v>-1.9990267546665386</v>
      </c>
      <c r="X1205" s="2">
        <f ca="1"/>
        <v>38.111558060091788</v>
      </c>
      <c r="AG1205" s="2">
        <f ca="1"/>
        <v>0.6894974147638806</v>
      </c>
      <c r="AH1205" s="2" t="str">
        <f ca="1"/>
        <v>Bad</v>
      </c>
    </row>
    <row r="1206" spans="2:34" x14ac:dyDescent="0.2">
      <c r="B1206" s="2">
        <f ca="1"/>
        <v>0.43670759250001567</v>
      </c>
      <c r="O1206" s="2">
        <f ca="1"/>
        <v>1.2502043966786505</v>
      </c>
      <c r="X1206" s="2">
        <f ca="1"/>
        <v>66.6382111592862</v>
      </c>
      <c r="AG1206" s="2">
        <f ca="1"/>
        <v>0.22572196999844318</v>
      </c>
      <c r="AH1206" s="2" t="str">
        <f ca="1"/>
        <v>OK</v>
      </c>
    </row>
    <row r="1207" spans="2:34" x14ac:dyDescent="0.2">
      <c r="B1207" s="2">
        <f ca="1"/>
        <v>0.48077676783828971</v>
      </c>
      <c r="O1207" s="2">
        <f ca="1"/>
        <v>-2.7300332183410174</v>
      </c>
      <c r="X1207" s="2">
        <f ca="1"/>
        <v>52.243053001763798</v>
      </c>
      <c r="AG1207" s="2">
        <f ca="1"/>
        <v>0.54456768651518273</v>
      </c>
      <c r="AH1207" s="2" t="str">
        <f ca="1"/>
        <v>Bad</v>
      </c>
    </row>
    <row r="1208" spans="2:34" x14ac:dyDescent="0.2">
      <c r="B1208" s="2">
        <f ca="1"/>
        <v>0.33509958542685347</v>
      </c>
      <c r="O1208" s="2">
        <f ca="1"/>
        <v>-0.71848771880180895</v>
      </c>
      <c r="X1208" s="2">
        <f ca="1"/>
        <v>34.208444183660582</v>
      </c>
      <c r="AG1208" s="2">
        <f ca="1"/>
        <v>2.1085492779424619E-3</v>
      </c>
      <c r="AH1208" s="2" t="str">
        <f ca="1"/>
        <v>Good</v>
      </c>
    </row>
    <row r="1209" spans="2:34" x14ac:dyDescent="0.2">
      <c r="B1209" s="2">
        <f ca="1"/>
        <v>0.32129888873202916</v>
      </c>
      <c r="O1209" s="2">
        <f ca="1"/>
        <v>2.6050919434336168</v>
      </c>
      <c r="X1209" s="2">
        <f ca="1"/>
        <v>65.692372099306041</v>
      </c>
      <c r="AG1209" s="2">
        <f ca="1"/>
        <v>0.70323085251913042</v>
      </c>
      <c r="AH1209" s="2" t="str">
        <f ca="1"/>
        <v>Bad</v>
      </c>
    </row>
    <row r="1210" spans="2:34" x14ac:dyDescent="0.2">
      <c r="B1210" s="2">
        <f ca="1"/>
        <v>0.81149221775841585</v>
      </c>
      <c r="O1210" s="2">
        <f ca="1"/>
        <v>-0.94702628061166283</v>
      </c>
      <c r="X1210" s="2">
        <f ca="1"/>
        <v>58.853862993357026</v>
      </c>
      <c r="AG1210" s="2">
        <f ca="1"/>
        <v>0.38793879601150216</v>
      </c>
      <c r="AH1210" s="2" t="str">
        <f ca="1"/>
        <v>OK</v>
      </c>
    </row>
    <row r="1211" spans="2:34" x14ac:dyDescent="0.2">
      <c r="B1211" s="2">
        <f ca="1"/>
        <v>0.80677322865100942</v>
      </c>
      <c r="O1211" s="2">
        <f ca="1"/>
        <v>3.1833578180332127</v>
      </c>
      <c r="X1211" s="2">
        <f ca="1"/>
        <v>60.811855354840027</v>
      </c>
      <c r="AG1211" s="2">
        <f ca="1"/>
        <v>0.28077572283946606</v>
      </c>
      <c r="AH1211" s="2" t="str">
        <f ca="1"/>
        <v>OK</v>
      </c>
    </row>
    <row r="1212" spans="2:34" x14ac:dyDescent="0.2">
      <c r="B1212" s="2">
        <f ca="1"/>
        <v>0.62303698157533804</v>
      </c>
      <c r="O1212" s="2">
        <f ca="1"/>
        <v>-2.0232780228384284</v>
      </c>
      <c r="X1212" s="2">
        <f ca="1"/>
        <v>53.662430198064172</v>
      </c>
      <c r="AG1212" s="2">
        <f ca="1"/>
        <v>0.47505008626280865</v>
      </c>
      <c r="AH1212" s="2" t="str">
        <f ca="1"/>
        <v>Bad</v>
      </c>
    </row>
    <row r="1213" spans="2:34" x14ac:dyDescent="0.2">
      <c r="B1213" s="2">
        <f ca="1"/>
        <v>0.19873136163077265</v>
      </c>
      <c r="O1213" s="2">
        <f ca="1"/>
        <v>0.63510596802265695</v>
      </c>
      <c r="X1213" s="2">
        <f ca="1"/>
        <v>40.892793568004784</v>
      </c>
      <c r="AG1213" s="2">
        <f ca="1"/>
        <v>0.43517694261735662</v>
      </c>
      <c r="AH1213" s="2" t="str">
        <f ca="1"/>
        <v>Bad</v>
      </c>
    </row>
    <row r="1214" spans="2:34" x14ac:dyDescent="0.2">
      <c r="B1214" s="2">
        <f ca="1"/>
        <v>0.84740013411838411</v>
      </c>
      <c r="O1214" s="2">
        <f ca="1"/>
        <v>0.90868653930381427</v>
      </c>
      <c r="X1214" s="2">
        <f ca="1"/>
        <v>26.796968996095302</v>
      </c>
      <c r="AG1214" s="2">
        <f ca="1"/>
        <v>0.64500276613400409</v>
      </c>
      <c r="AH1214" s="2" t="str">
        <f ca="1"/>
        <v>Bad</v>
      </c>
    </row>
    <row r="1215" spans="2:34" x14ac:dyDescent="0.2">
      <c r="B1215" s="2">
        <f ca="1"/>
        <v>0.70111486972202486</v>
      </c>
      <c r="O1215" s="2">
        <f ca="1"/>
        <v>-0.72357148337059041</v>
      </c>
      <c r="X1215" s="2">
        <f ca="1"/>
        <v>32.902304676251312</v>
      </c>
      <c r="AG1215" s="2">
        <f ca="1"/>
        <v>0.96074353795984546</v>
      </c>
      <c r="AH1215" s="2" t="str">
        <f ca="1"/>
        <v>Bad</v>
      </c>
    </row>
    <row r="1216" spans="2:34" x14ac:dyDescent="0.2">
      <c r="B1216" s="2">
        <f ca="1"/>
        <v>0.98490990184032579</v>
      </c>
      <c r="O1216" s="2">
        <f ca="1"/>
        <v>-1.8263134162673007</v>
      </c>
      <c r="X1216" s="2">
        <f ca="1"/>
        <v>53.623187656245932</v>
      </c>
      <c r="AG1216" s="2">
        <f ca="1"/>
        <v>0.81456387843988276</v>
      </c>
      <c r="AH1216" s="2" t="str">
        <f ca="1"/>
        <v>Bad</v>
      </c>
    </row>
    <row r="1217" spans="2:34" x14ac:dyDescent="0.2">
      <c r="B1217" s="2">
        <f ca="1"/>
        <v>0.52978580183390855</v>
      </c>
      <c r="O1217" s="2">
        <f ca="1"/>
        <v>0.30109870329165939</v>
      </c>
      <c r="X1217" s="2">
        <f ca="1"/>
        <v>44.329680960464671</v>
      </c>
      <c r="AG1217" s="2">
        <f ca="1"/>
        <v>0.610945695637507</v>
      </c>
      <c r="AH1217" s="2" t="str">
        <f ca="1"/>
        <v>Bad</v>
      </c>
    </row>
    <row r="1218" spans="2:34" x14ac:dyDescent="0.2">
      <c r="B1218" s="2">
        <f ca="1"/>
        <v>0.82503652184116305</v>
      </c>
      <c r="O1218" s="2">
        <f ca="1"/>
        <v>-0.9507127261272893</v>
      </c>
      <c r="X1218" s="2">
        <f ca="1"/>
        <v>35.964780164199304</v>
      </c>
      <c r="AG1218" s="2">
        <f ca="1"/>
        <v>0.85520057511793812</v>
      </c>
      <c r="AH1218" s="2" t="str">
        <f ca="1"/>
        <v>Bad</v>
      </c>
    </row>
    <row r="1219" spans="2:34" x14ac:dyDescent="0.2">
      <c r="B1219" s="2">
        <f ca="1"/>
        <v>0.57434683793275032</v>
      </c>
      <c r="O1219" s="2">
        <f ca="1"/>
        <v>0.71216469411286221</v>
      </c>
      <c r="X1219" s="2">
        <f ca="1"/>
        <v>34.648056381891386</v>
      </c>
      <c r="AG1219" s="2">
        <f ca="1"/>
        <v>0.37253018936435311</v>
      </c>
      <c r="AH1219" s="2" t="str">
        <f ca="1"/>
        <v>OK</v>
      </c>
    </row>
    <row r="1220" spans="2:34" x14ac:dyDescent="0.2">
      <c r="B1220" s="2">
        <f ca="1"/>
        <v>0.95936765940498758</v>
      </c>
      <c r="O1220" s="2">
        <f ca="1"/>
        <v>-0.28857292638721604</v>
      </c>
      <c r="X1220" s="2">
        <f ca="1"/>
        <v>73.656348072506887</v>
      </c>
      <c r="AG1220" s="2">
        <f ca="1"/>
        <v>3.8181260898489944E-2</v>
      </c>
      <c r="AH1220" s="2" t="str">
        <f ca="1"/>
        <v>Good</v>
      </c>
    </row>
    <row r="1221" spans="2:34" x14ac:dyDescent="0.2">
      <c r="B1221" s="2">
        <f ca="1"/>
        <v>0.40976272312191075</v>
      </c>
      <c r="O1221" s="2">
        <f ca="1"/>
        <v>-1.0569020105297042</v>
      </c>
      <c r="X1221" s="2">
        <f ca="1"/>
        <v>33.807031338782998</v>
      </c>
      <c r="AG1221" s="2">
        <f ca="1"/>
        <v>3.884513271271417E-2</v>
      </c>
      <c r="AH1221" s="2" t="str">
        <f ca="1"/>
        <v>Good</v>
      </c>
    </row>
    <row r="1222" spans="2:34" x14ac:dyDescent="0.2">
      <c r="B1222" s="2">
        <f ca="1"/>
        <v>0.56775744049788002</v>
      </c>
      <c r="O1222" s="2">
        <f ca="1"/>
        <v>-0.94061678247257863</v>
      </c>
      <c r="X1222" s="2">
        <f ca="1"/>
        <v>37.968969514950494</v>
      </c>
      <c r="AG1222" s="2">
        <f ca="1"/>
        <v>0.3800347428773585</v>
      </c>
      <c r="AH1222" s="2" t="str">
        <f ca="1"/>
        <v>OK</v>
      </c>
    </row>
    <row r="1223" spans="2:34" x14ac:dyDescent="0.2">
      <c r="B1223" s="2">
        <f ca="1"/>
        <v>7.7037790750373869E-3</v>
      </c>
      <c r="O1223" s="2">
        <f ca="1"/>
        <v>-0.40577806878327455</v>
      </c>
      <c r="X1223" s="2">
        <f ca="1"/>
        <v>39.410508348240178</v>
      </c>
      <c r="AG1223" s="2">
        <f ca="1"/>
        <v>0.65331339413607203</v>
      </c>
      <c r="AH1223" s="2" t="str">
        <f ca="1"/>
        <v>Bad</v>
      </c>
    </row>
    <row r="1224" spans="2:34" x14ac:dyDescent="0.2">
      <c r="B1224" s="2">
        <f ca="1"/>
        <v>0.33948509563664508</v>
      </c>
      <c r="O1224" s="2">
        <f ca="1"/>
        <v>1.4460423859323686</v>
      </c>
      <c r="X1224" s="2">
        <f ca="1"/>
        <v>41.216921614255924</v>
      </c>
      <c r="AG1224" s="2">
        <f ca="1"/>
        <v>0.64423671726638232</v>
      </c>
      <c r="AH1224" s="2" t="str">
        <f ca="1"/>
        <v>Bad</v>
      </c>
    </row>
    <row r="1225" spans="2:34" x14ac:dyDescent="0.2">
      <c r="B1225" s="2">
        <f ca="1"/>
        <v>0.79516161601662039</v>
      </c>
      <c r="O1225" s="2">
        <f ca="1"/>
        <v>0.19132943400936223</v>
      </c>
      <c r="X1225" s="2">
        <f ca="1"/>
        <v>55.904563483881034</v>
      </c>
      <c r="AG1225" s="2">
        <f ca="1"/>
        <v>0.84784291123737954</v>
      </c>
      <c r="AH1225" s="2" t="str">
        <f ca="1"/>
        <v>Bad</v>
      </c>
    </row>
    <row r="1226" spans="2:34" x14ac:dyDescent="0.2">
      <c r="B1226" s="2">
        <f ca="1"/>
        <v>0.67072584868836738</v>
      </c>
      <c r="O1226" s="2">
        <f ca="1"/>
        <v>-0.3424337245200943</v>
      </c>
      <c r="X1226" s="2">
        <f ca="1"/>
        <v>63.985051620395211</v>
      </c>
      <c r="AG1226" s="2">
        <f ca="1"/>
        <v>0.85144333644173731</v>
      </c>
      <c r="AH1226" s="2" t="str">
        <f ca="1"/>
        <v>Bad</v>
      </c>
    </row>
    <row r="1227" spans="2:34" x14ac:dyDescent="0.2">
      <c r="B1227" s="2">
        <f ca="1"/>
        <v>0.64459291431142818</v>
      </c>
      <c r="O1227" s="2">
        <f ca="1"/>
        <v>0.98735228931436492</v>
      </c>
      <c r="X1227" s="2">
        <f ca="1"/>
        <v>79.048488035769225</v>
      </c>
      <c r="AG1227" s="2">
        <f ca="1"/>
        <v>0.43434065986774173</v>
      </c>
      <c r="AH1227" s="2" t="str">
        <f ca="1"/>
        <v>Bad</v>
      </c>
    </row>
    <row r="1228" spans="2:34" x14ac:dyDescent="0.2">
      <c r="B1228" s="2">
        <f ca="1"/>
        <v>0.47046522597253815</v>
      </c>
      <c r="O1228" s="2">
        <f ca="1"/>
        <v>-0.15649390484522213</v>
      </c>
      <c r="X1228" s="2">
        <f ca="1"/>
        <v>65.832004124497644</v>
      </c>
      <c r="AG1228" s="2">
        <f ca="1"/>
        <v>0.77825026236341044</v>
      </c>
      <c r="AH1228" s="2" t="str">
        <f ca="1"/>
        <v>Bad</v>
      </c>
    </row>
    <row r="1229" spans="2:34" x14ac:dyDescent="0.2">
      <c r="B1229" s="2">
        <f ca="1"/>
        <v>8.0144371488036992E-2</v>
      </c>
      <c r="O1229" s="2">
        <f ca="1"/>
        <v>-1.2995992172987891</v>
      </c>
      <c r="X1229" s="2">
        <f ca="1"/>
        <v>75.622456916199766</v>
      </c>
      <c r="AG1229" s="2">
        <f ca="1"/>
        <v>1.4912014066242207E-2</v>
      </c>
      <c r="AH1229" s="2" t="str">
        <f ca="1"/>
        <v>Good</v>
      </c>
    </row>
    <row r="1230" spans="2:34" x14ac:dyDescent="0.2">
      <c r="B1230" s="2">
        <f ca="1"/>
        <v>0.60478583822661136</v>
      </c>
      <c r="O1230" s="2">
        <f ca="1"/>
        <v>1.9288446959578116</v>
      </c>
      <c r="X1230" s="2">
        <f ca="1"/>
        <v>64.252927133889884</v>
      </c>
      <c r="AG1230" s="2">
        <f ca="1"/>
        <v>6.8587102327349658E-2</v>
      </c>
      <c r="AH1230" s="2" t="str">
        <f ca="1"/>
        <v>OK</v>
      </c>
    </row>
    <row r="1231" spans="2:34" x14ac:dyDescent="0.2">
      <c r="B1231" s="2">
        <f ca="1"/>
        <v>0.51715926590958516</v>
      </c>
      <c r="O1231" s="2">
        <f ca="1"/>
        <v>5.7200339315609063E-2</v>
      </c>
      <c r="X1231" s="2">
        <f ca="1"/>
        <v>49.508589992543797</v>
      </c>
      <c r="AG1231" s="2">
        <f ca="1"/>
        <v>0.446863646812383</v>
      </c>
      <c r="AH1231" s="2" t="str">
        <f ca="1"/>
        <v>Bad</v>
      </c>
    </row>
    <row r="1232" spans="2:34" x14ac:dyDescent="0.2">
      <c r="B1232" s="2">
        <f ca="1"/>
        <v>0.47291894419732938</v>
      </c>
      <c r="O1232" s="2">
        <f ca="1"/>
        <v>0.16627437471122974</v>
      </c>
      <c r="X1232" s="2">
        <f ca="1"/>
        <v>105.72390598972495</v>
      </c>
      <c r="AG1232" s="2">
        <f ca="1"/>
        <v>0.19865600139832718</v>
      </c>
      <c r="AH1232" s="2" t="str">
        <f ca="1"/>
        <v>OK</v>
      </c>
    </row>
    <row r="1233" spans="2:34" x14ac:dyDescent="0.2">
      <c r="B1233" s="2">
        <f ca="1"/>
        <v>0.33576352545307575</v>
      </c>
      <c r="O1233" s="2">
        <f ca="1"/>
        <v>-1.5271645744296616</v>
      </c>
      <c r="X1233" s="2">
        <f ca="1"/>
        <v>57.165461251835396</v>
      </c>
      <c r="AG1233" s="2">
        <f ca="1"/>
        <v>0.44111550236659247</v>
      </c>
      <c r="AH1233" s="2" t="str">
        <f ca="1"/>
        <v>Bad</v>
      </c>
    </row>
    <row r="1234" spans="2:34" x14ac:dyDescent="0.2">
      <c r="B1234" s="2">
        <f ca="1"/>
        <v>0.32004726749810364</v>
      </c>
      <c r="O1234" s="2">
        <f ca="1"/>
        <v>-0.42754237276361268</v>
      </c>
      <c r="X1234" s="2">
        <f ca="1"/>
        <v>36.575306155303558</v>
      </c>
      <c r="AG1234" s="2">
        <f ca="1"/>
        <v>0.63220224084795351</v>
      </c>
      <c r="AH1234" s="2" t="str">
        <f ca="1"/>
        <v>Bad</v>
      </c>
    </row>
    <row r="1235" spans="2:34" x14ac:dyDescent="0.2">
      <c r="B1235" s="2">
        <f ca="1"/>
        <v>0.46706893644002978</v>
      </c>
      <c r="O1235" s="2">
        <f ca="1"/>
        <v>0.3277356792799142</v>
      </c>
      <c r="X1235" s="2">
        <f ca="1"/>
        <v>16.57001415679953</v>
      </c>
      <c r="AG1235" s="2">
        <f ca="1"/>
        <v>0.63410060100111854</v>
      </c>
      <c r="AH1235" s="2" t="str">
        <f ca="1"/>
        <v>Bad</v>
      </c>
    </row>
    <row r="1236" spans="2:34" x14ac:dyDescent="0.2">
      <c r="B1236" s="2">
        <f ca="1"/>
        <v>0.98777553945579588</v>
      </c>
      <c r="O1236" s="2">
        <f ca="1"/>
        <v>0.97052461398605583</v>
      </c>
      <c r="X1236" s="2">
        <f ca="1"/>
        <v>33.434645475475875</v>
      </c>
      <c r="AG1236" s="2">
        <f ca="1"/>
        <v>0.56253835907319538</v>
      </c>
      <c r="AH1236" s="2" t="str">
        <f ca="1"/>
        <v>Bad</v>
      </c>
    </row>
    <row r="1237" spans="2:34" x14ac:dyDescent="0.2">
      <c r="B1237" s="2">
        <f ca="1"/>
        <v>4.7550754425649266E-2</v>
      </c>
      <c r="O1237" s="2">
        <f ca="1"/>
        <v>-0.14850414812849733</v>
      </c>
      <c r="X1237" s="2">
        <f ca="1"/>
        <v>71.555451708712241</v>
      </c>
      <c r="AG1237" s="2">
        <f ca="1"/>
        <v>0.41377536448680474</v>
      </c>
      <c r="AH1237" s="2" t="str">
        <f ca="1"/>
        <v>Bad</v>
      </c>
    </row>
    <row r="1238" spans="2:34" x14ac:dyDescent="0.2">
      <c r="B1238" s="2">
        <f ca="1"/>
        <v>0.67996971685106677</v>
      </c>
      <c r="O1238" s="2">
        <f ca="1"/>
        <v>0.24962151866868199</v>
      </c>
      <c r="X1238" s="2">
        <f ca="1"/>
        <v>74.0813516395269</v>
      </c>
      <c r="AG1238" s="2">
        <f ca="1"/>
        <v>0.95327208797587848</v>
      </c>
      <c r="AH1238" s="2" t="str">
        <f ca="1"/>
        <v>Bad</v>
      </c>
    </row>
    <row r="1239" spans="2:34" x14ac:dyDescent="0.2">
      <c r="B1239" s="2">
        <f ca="1"/>
        <v>0.28200607338386563</v>
      </c>
      <c r="O1239" s="2">
        <f ca="1"/>
        <v>-1.4808026035210851</v>
      </c>
      <c r="X1239" s="2">
        <f ca="1"/>
        <v>31.47475866909534</v>
      </c>
      <c r="AG1239" s="2">
        <f ca="1"/>
        <v>0.91550483665998228</v>
      </c>
      <c r="AH1239" s="2" t="str">
        <f ca="1"/>
        <v>Bad</v>
      </c>
    </row>
    <row r="1240" spans="2:34" x14ac:dyDescent="0.2">
      <c r="B1240" s="2">
        <f ca="1"/>
        <v>0.65762220084397138</v>
      </c>
      <c r="O1240" s="2">
        <f ca="1"/>
        <v>0.52213399811477446</v>
      </c>
      <c r="X1240" s="2">
        <f ca="1"/>
        <v>27.765631551686273</v>
      </c>
      <c r="AG1240" s="2">
        <f ca="1"/>
        <v>0.73872848093236643</v>
      </c>
      <c r="AH1240" s="2" t="str">
        <f ca="1"/>
        <v>Bad</v>
      </c>
    </row>
    <row r="1241" spans="2:34" x14ac:dyDescent="0.2">
      <c r="B1241" s="2">
        <f ca="1"/>
        <v>0.34707205414885034</v>
      </c>
      <c r="O1241" s="2">
        <f ca="1"/>
        <v>-1.0040939066197343</v>
      </c>
      <c r="X1241" s="2">
        <f ca="1"/>
        <v>32.590391513858464</v>
      </c>
      <c r="AG1241" s="2">
        <f ca="1"/>
        <v>0.13601770327904439</v>
      </c>
      <c r="AH1241" s="2" t="str">
        <f ca="1"/>
        <v>OK</v>
      </c>
    </row>
    <row r="1242" spans="2:34" x14ac:dyDescent="0.2">
      <c r="B1242" s="2">
        <f ca="1"/>
        <v>0.2768231787378892</v>
      </c>
      <c r="O1242" s="2">
        <f ca="1"/>
        <v>0.59436577239025767</v>
      </c>
      <c r="X1242" s="2">
        <f ca="1"/>
        <v>58.342463994795054</v>
      </c>
      <c r="AG1242" s="2">
        <f ca="1"/>
        <v>0.58470482235595722</v>
      </c>
      <c r="AH1242" s="2" t="str">
        <f ca="1"/>
        <v>Bad</v>
      </c>
    </row>
    <row r="1243" spans="2:34" x14ac:dyDescent="0.2">
      <c r="B1243" s="2">
        <f ca="1"/>
        <v>0.49052736855861157</v>
      </c>
      <c r="O1243" s="2">
        <f ca="1"/>
        <v>2.3094278547059525E-2</v>
      </c>
      <c r="X1243" s="2">
        <f ca="1"/>
        <v>65.143952863108112</v>
      </c>
      <c r="AG1243" s="2">
        <f ca="1"/>
        <v>0.31688248415835774</v>
      </c>
      <c r="AH1243" s="2" t="str">
        <f ca="1"/>
        <v>OK</v>
      </c>
    </row>
    <row r="1244" spans="2:34" x14ac:dyDescent="0.2">
      <c r="B1244" s="2">
        <f ca="1"/>
        <v>0.70557428022939428</v>
      </c>
      <c r="O1244" s="2">
        <f ca="1"/>
        <v>0.85998413473345003</v>
      </c>
      <c r="X1244" s="2">
        <f ca="1"/>
        <v>34.169827257120787</v>
      </c>
      <c r="AG1244" s="2">
        <f ca="1"/>
        <v>0.69663178844571783</v>
      </c>
      <c r="AH1244" s="2" t="str">
        <f ca="1"/>
        <v>Bad</v>
      </c>
    </row>
    <row r="1245" spans="2:34" x14ac:dyDescent="0.2">
      <c r="B1245" s="2">
        <f ca="1"/>
        <v>7.3684526355166868E-2</v>
      </c>
      <c r="O1245" s="2">
        <f ca="1"/>
        <v>-2.2676485030385432</v>
      </c>
      <c r="X1245" s="2">
        <f ca="1"/>
        <v>41.967095096876022</v>
      </c>
      <c r="AG1245" s="2">
        <f ca="1"/>
        <v>0.31838301491473575</v>
      </c>
      <c r="AH1245" s="2" t="str">
        <f ca="1"/>
        <v>OK</v>
      </c>
    </row>
    <row r="1246" spans="2:34" x14ac:dyDescent="0.2">
      <c r="B1246" s="2">
        <f ca="1"/>
        <v>0.52526269036540252</v>
      </c>
      <c r="O1246" s="2">
        <f ca="1"/>
        <v>-0.71891805636017136</v>
      </c>
      <c r="X1246" s="2">
        <f ca="1"/>
        <v>61.019610385255902</v>
      </c>
      <c r="AG1246" s="2">
        <f ca="1"/>
        <v>0.66086885303643972</v>
      </c>
      <c r="AH1246" s="2" t="str">
        <f ca="1"/>
        <v>Bad</v>
      </c>
    </row>
    <row r="1247" spans="2:34" x14ac:dyDescent="0.2">
      <c r="B1247" s="2">
        <f ca="1"/>
        <v>0.15887203722477738</v>
      </c>
      <c r="O1247" s="2">
        <f ca="1"/>
        <v>0.63646532783438958</v>
      </c>
      <c r="X1247" s="2">
        <f ca="1"/>
        <v>74.424897094472755</v>
      </c>
      <c r="AG1247" s="2">
        <f ca="1"/>
        <v>0.60975700932521981</v>
      </c>
      <c r="AH1247" s="2" t="str">
        <f ca="1"/>
        <v>Bad</v>
      </c>
    </row>
    <row r="1248" spans="2:34" x14ac:dyDescent="0.2">
      <c r="B1248" s="2">
        <f ca="1"/>
        <v>0.52966886684897996</v>
      </c>
      <c r="O1248" s="2">
        <f ca="1"/>
        <v>0.68450375840519051</v>
      </c>
      <c r="X1248" s="2">
        <f ca="1"/>
        <v>51.057206293730246</v>
      </c>
      <c r="AG1248" s="2">
        <f ca="1"/>
        <v>0.70828604195220923</v>
      </c>
      <c r="AH1248" s="2" t="str">
        <f ca="1"/>
        <v>Bad</v>
      </c>
    </row>
    <row r="1249" spans="2:34" x14ac:dyDescent="0.2">
      <c r="B1249" s="2">
        <f ca="1"/>
        <v>0.93336097302948429</v>
      </c>
      <c r="O1249" s="2">
        <f ca="1"/>
        <v>-0.36801097452430082</v>
      </c>
      <c r="X1249" s="2">
        <f ca="1"/>
        <v>46.460353142450366</v>
      </c>
      <c r="AG1249" s="2">
        <f ca="1"/>
        <v>0.97817877469101711</v>
      </c>
      <c r="AH1249" s="2" t="str">
        <f ca="1"/>
        <v>Bad</v>
      </c>
    </row>
    <row r="1250" spans="2:34" x14ac:dyDescent="0.2">
      <c r="B1250" s="2">
        <f ca="1"/>
        <v>0.4003260604288259</v>
      </c>
      <c r="O1250" s="2">
        <f ca="1"/>
        <v>-0.8897750234976316</v>
      </c>
      <c r="X1250" s="2">
        <f ca="1"/>
        <v>54.203288178122556</v>
      </c>
      <c r="AG1250" s="2">
        <f ca="1"/>
        <v>0.58531246213517574</v>
      </c>
      <c r="AH1250" s="2" t="str">
        <f ca="1"/>
        <v>Bad</v>
      </c>
    </row>
    <row r="1251" spans="2:34" x14ac:dyDescent="0.2">
      <c r="B1251" s="2">
        <f ca="1"/>
        <v>0.98142368277255643</v>
      </c>
      <c r="O1251" s="2">
        <f ca="1"/>
        <v>-0.33403165460104683</v>
      </c>
      <c r="X1251" s="2">
        <f ca="1"/>
        <v>68.762353768968765</v>
      </c>
      <c r="AG1251" s="2">
        <f ca="1"/>
        <v>0.46504943142040478</v>
      </c>
      <c r="AH1251" s="2" t="str">
        <f ca="1"/>
        <v>Bad</v>
      </c>
    </row>
    <row r="1252" spans="2:34" x14ac:dyDescent="0.2">
      <c r="B1252" s="2">
        <f ca="1"/>
        <v>0.59627896313537332</v>
      </c>
      <c r="O1252" s="2">
        <f ca="1"/>
        <v>-7.2702604820919253E-2</v>
      </c>
      <c r="X1252" s="2">
        <f ca="1"/>
        <v>23.38852396294503</v>
      </c>
      <c r="AG1252" s="2">
        <f ca="1"/>
        <v>9.7245706817737254E-2</v>
      </c>
      <c r="AH1252" s="2" t="str">
        <f ca="1"/>
        <v>OK</v>
      </c>
    </row>
    <row r="1253" spans="2:34" x14ac:dyDescent="0.2">
      <c r="B1253" s="2">
        <f ca="1"/>
        <v>0.12075446504623111</v>
      </c>
      <c r="O1253" s="2">
        <f ca="1"/>
        <v>-7.3932489580850372E-2</v>
      </c>
      <c r="X1253" s="2">
        <f ca="1"/>
        <v>58.929558432172556</v>
      </c>
      <c r="AG1253" s="2">
        <f ca="1"/>
        <v>0.76773993955042097</v>
      </c>
      <c r="AH1253" s="2" t="str">
        <f ca="1"/>
        <v>Bad</v>
      </c>
    </row>
    <row r="1254" spans="2:34" x14ac:dyDescent="0.2">
      <c r="B1254" s="2">
        <f ca="1"/>
        <v>0.72992338181059235</v>
      </c>
      <c r="O1254" s="2">
        <f ca="1"/>
        <v>1.6599977444397482</v>
      </c>
      <c r="X1254" s="2">
        <f ca="1"/>
        <v>52.579677977800223</v>
      </c>
      <c r="AG1254" s="2">
        <f ca="1"/>
        <v>0.92627019700997848</v>
      </c>
      <c r="AH1254" s="2" t="str">
        <f ca="1"/>
        <v>Bad</v>
      </c>
    </row>
    <row r="1255" spans="2:34" x14ac:dyDescent="0.2">
      <c r="B1255" s="2">
        <f ca="1"/>
        <v>0.85322927563279349</v>
      </c>
      <c r="O1255" s="2">
        <f ca="1"/>
        <v>1.0977003974942539</v>
      </c>
      <c r="X1255" s="2">
        <f ca="1"/>
        <v>54.553690547211843</v>
      </c>
      <c r="AG1255" s="2">
        <f ca="1"/>
        <v>0.69794713525833219</v>
      </c>
      <c r="AH1255" s="2" t="str">
        <f ca="1"/>
        <v>Bad</v>
      </c>
    </row>
    <row r="1256" spans="2:34" x14ac:dyDescent="0.2">
      <c r="B1256" s="2">
        <f ca="1"/>
        <v>0.59705073199342662</v>
      </c>
      <c r="O1256" s="2">
        <f ca="1"/>
        <v>1.9047114228299584</v>
      </c>
      <c r="X1256" s="2">
        <f ca="1"/>
        <v>62.617789000661276</v>
      </c>
      <c r="AG1256" s="2">
        <f ca="1"/>
        <v>0.23833813109316093</v>
      </c>
      <c r="AH1256" s="2" t="str">
        <f ca="1"/>
        <v>OK</v>
      </c>
    </row>
    <row r="1257" spans="2:34" x14ac:dyDescent="0.2">
      <c r="B1257" s="2">
        <f ca="1"/>
        <v>4.8435325315847821E-2</v>
      </c>
      <c r="O1257" s="2">
        <f ca="1"/>
        <v>0.45060523674192038</v>
      </c>
      <c r="X1257" s="2">
        <f ca="1"/>
        <v>35.835714393529102</v>
      </c>
      <c r="AG1257" s="2">
        <f ca="1"/>
        <v>7.5174673885116672E-3</v>
      </c>
      <c r="AH1257" s="2" t="str">
        <f ca="1"/>
        <v>Good</v>
      </c>
    </row>
    <row r="1258" spans="2:34" x14ac:dyDescent="0.2">
      <c r="B1258" s="2">
        <f ca="1"/>
        <v>0.42917519240286506</v>
      </c>
      <c r="O1258" s="2">
        <f ca="1"/>
        <v>-0.24608255378477745</v>
      </c>
      <c r="X1258" s="2">
        <f ca="1"/>
        <v>42.926542644040254</v>
      </c>
      <c r="AG1258" s="2">
        <f ca="1"/>
        <v>0.19457457127057753</v>
      </c>
      <c r="AH1258" s="2" t="str">
        <f ca="1"/>
        <v>OK</v>
      </c>
    </row>
    <row r="1259" spans="2:34" x14ac:dyDescent="0.2">
      <c r="B1259" s="2">
        <f ca="1"/>
        <v>0.6415749130896129</v>
      </c>
      <c r="O1259" s="2">
        <f ca="1"/>
        <v>0.46417384678566648</v>
      </c>
      <c r="X1259" s="2">
        <f ca="1"/>
        <v>55.65254678315452</v>
      </c>
      <c r="AG1259" s="2">
        <f ca="1"/>
        <v>0.27516117624370651</v>
      </c>
      <c r="AH1259" s="2" t="str">
        <f ca="1"/>
        <v>OK</v>
      </c>
    </row>
    <row r="1260" spans="2:34" x14ac:dyDescent="0.2">
      <c r="B1260" s="2">
        <f ca="1"/>
        <v>0.90837150012830614</v>
      </c>
      <c r="O1260" s="2">
        <f ca="1"/>
        <v>-0.40199790817527015</v>
      </c>
      <c r="X1260" s="2">
        <f ca="1"/>
        <v>54.270918624063341</v>
      </c>
      <c r="AG1260" s="2">
        <f ca="1"/>
        <v>0.4866588933082352</v>
      </c>
      <c r="AH1260" s="2" t="str">
        <f ca="1"/>
        <v>Bad</v>
      </c>
    </row>
    <row r="1261" spans="2:34" x14ac:dyDescent="0.2">
      <c r="B1261" s="2">
        <f ca="1"/>
        <v>0.62003329060334123</v>
      </c>
      <c r="O1261" s="2">
        <f ca="1"/>
        <v>-0.70447934311454408</v>
      </c>
      <c r="X1261" s="2">
        <f ca="1"/>
        <v>52.929152991485331</v>
      </c>
      <c r="AG1261" s="2">
        <f ca="1"/>
        <v>0.25681410537615523</v>
      </c>
      <c r="AH1261" s="2" t="str">
        <f ca="1"/>
        <v>OK</v>
      </c>
    </row>
    <row r="1262" spans="2:34" x14ac:dyDescent="0.2">
      <c r="B1262" s="2">
        <f ca="1"/>
        <v>0.44497252742041016</v>
      </c>
      <c r="O1262" s="2">
        <f ca="1"/>
        <v>1.4749574537478713</v>
      </c>
      <c r="X1262" s="2">
        <f ca="1"/>
        <v>53.372946261119303</v>
      </c>
      <c r="AG1262" s="2">
        <f ca="1"/>
        <v>0.48145924633870574</v>
      </c>
      <c r="AH1262" s="2" t="str">
        <f ca="1"/>
        <v>Bad</v>
      </c>
    </row>
    <row r="1263" spans="2:34" x14ac:dyDescent="0.2">
      <c r="B1263" s="2">
        <f ca="1"/>
        <v>0.77936801800838373</v>
      </c>
      <c r="O1263" s="2">
        <f ca="1"/>
        <v>0.29409406806012217</v>
      </c>
      <c r="X1263" s="2">
        <f ca="1"/>
        <v>46.332147587772198</v>
      </c>
      <c r="AG1263" s="2">
        <f ca="1"/>
        <v>6.1321401250135299E-2</v>
      </c>
      <c r="AH1263" s="2" t="str">
        <f ca="1"/>
        <v>OK</v>
      </c>
    </row>
    <row r="1264" spans="2:34" x14ac:dyDescent="0.2">
      <c r="B1264" s="2">
        <f ca="1"/>
        <v>3.6305205196447865E-2</v>
      </c>
      <c r="O1264" s="2">
        <f ca="1"/>
        <v>0.39198891193978846</v>
      </c>
      <c r="X1264" s="2">
        <f ca="1"/>
        <v>35.014955588356152</v>
      </c>
      <c r="AG1264" s="2">
        <f ca="1"/>
        <v>0.94131691114235738</v>
      </c>
      <c r="AH1264" s="2" t="str">
        <f ca="1"/>
        <v>Bad</v>
      </c>
    </row>
    <row r="1265" spans="2:34" x14ac:dyDescent="0.2">
      <c r="B1265" s="2">
        <f ca="1"/>
        <v>0.25464954167952603</v>
      </c>
      <c r="O1265" s="2">
        <f ca="1"/>
        <v>0.44280088978016868</v>
      </c>
      <c r="X1265" s="2">
        <f ca="1"/>
        <v>36.239164309044881</v>
      </c>
      <c r="AG1265" s="2">
        <f ca="1"/>
        <v>0.35909204467028055</v>
      </c>
      <c r="AH1265" s="2" t="str">
        <f ca="1"/>
        <v>OK</v>
      </c>
    </row>
    <row r="1266" spans="2:34" x14ac:dyDescent="0.2">
      <c r="B1266" s="2">
        <f ca="1"/>
        <v>0.62760936232110276</v>
      </c>
      <c r="O1266" s="2">
        <f ca="1"/>
        <v>-2.244351741384762</v>
      </c>
      <c r="X1266" s="2">
        <f ca="1"/>
        <v>53.850317558965358</v>
      </c>
      <c r="AG1266" s="2">
        <f ca="1"/>
        <v>0.85785975379368939</v>
      </c>
      <c r="AH1266" s="2" t="str">
        <f ca="1"/>
        <v>Bad</v>
      </c>
    </row>
    <row r="1267" spans="2:34" x14ac:dyDescent="0.2">
      <c r="B1267" s="2">
        <f ca="1"/>
        <v>0.13260741269264797</v>
      </c>
      <c r="O1267" s="2">
        <f ca="1"/>
        <v>1.6013164962982969</v>
      </c>
      <c r="X1267" s="2">
        <f ca="1"/>
        <v>51.236132837247311</v>
      </c>
      <c r="AG1267" s="2">
        <f ca="1"/>
        <v>2.7955278690269036E-2</v>
      </c>
      <c r="AH1267" s="2" t="str">
        <f ca="1"/>
        <v>Good</v>
      </c>
    </row>
    <row r="1268" spans="2:34" x14ac:dyDescent="0.2">
      <c r="B1268" s="2">
        <f ca="1"/>
        <v>0.30650390905432778</v>
      </c>
      <c r="O1268" s="2">
        <f ca="1"/>
        <v>0.21181018067379342</v>
      </c>
      <c r="X1268" s="2">
        <f ca="1"/>
        <v>79.30235596715201</v>
      </c>
      <c r="AG1268" s="2">
        <f ca="1"/>
        <v>0.48646322075422721</v>
      </c>
      <c r="AH1268" s="2" t="str">
        <f ca="1"/>
        <v>Bad</v>
      </c>
    </row>
    <row r="1269" spans="2:34" x14ac:dyDescent="0.2">
      <c r="B1269" s="2">
        <f ca="1"/>
        <v>0.88742132516163563</v>
      </c>
      <c r="O1269" s="2">
        <f ca="1"/>
        <v>-0.2984440936778453</v>
      </c>
      <c r="X1269" s="2">
        <f ca="1"/>
        <v>35.885568941330547</v>
      </c>
      <c r="AG1269" s="2">
        <f ca="1"/>
        <v>0.21673366482445799</v>
      </c>
      <c r="AH1269" s="2" t="str">
        <f ca="1"/>
        <v>OK</v>
      </c>
    </row>
    <row r="1270" spans="2:34" x14ac:dyDescent="0.2">
      <c r="B1270" s="2">
        <f ca="1"/>
        <v>0.20893994301046948</v>
      </c>
      <c r="O1270" s="2">
        <f ca="1"/>
        <v>-0.48886952003186157</v>
      </c>
      <c r="X1270" s="2">
        <f ca="1"/>
        <v>43.732888922194519</v>
      </c>
      <c r="AG1270" s="2">
        <f ca="1"/>
        <v>0.2962962200437913</v>
      </c>
      <c r="AH1270" s="2" t="str">
        <f ca="1"/>
        <v>OK</v>
      </c>
    </row>
    <row r="1271" spans="2:34" x14ac:dyDescent="0.2">
      <c r="B1271" s="2">
        <f ca="1"/>
        <v>0.6019389923470424</v>
      </c>
      <c r="O1271" s="2">
        <f ca="1"/>
        <v>-0.40061488232976133</v>
      </c>
      <c r="X1271" s="2">
        <f ca="1"/>
        <v>29.661485052638007</v>
      </c>
      <c r="AG1271" s="2">
        <f ca="1"/>
        <v>0.1212514957074915</v>
      </c>
      <c r="AH1271" s="2" t="str">
        <f ca="1"/>
        <v>OK</v>
      </c>
    </row>
    <row r="1272" spans="2:34" x14ac:dyDescent="0.2">
      <c r="B1272" s="2">
        <f ca="1"/>
        <v>0.85626854079792092</v>
      </c>
      <c r="O1272" s="2">
        <f ca="1"/>
        <v>-0.74609349368988065</v>
      </c>
      <c r="X1272" s="2">
        <f ca="1"/>
        <v>35.953468508894886</v>
      </c>
      <c r="AG1272" s="2">
        <f ca="1"/>
        <v>4.4203289065459561E-2</v>
      </c>
      <c r="AH1272" s="2" t="str">
        <f ca="1"/>
        <v>Good</v>
      </c>
    </row>
    <row r="1273" spans="2:34" x14ac:dyDescent="0.2">
      <c r="B1273" s="2">
        <f ca="1"/>
        <v>0.75845954075214328</v>
      </c>
      <c r="O1273" s="2">
        <f ca="1"/>
        <v>-0.80150452363753721</v>
      </c>
      <c r="X1273" s="2">
        <f ca="1"/>
        <v>60.087495497144417</v>
      </c>
      <c r="AG1273" s="2">
        <f ca="1"/>
        <v>0.33403972344740529</v>
      </c>
      <c r="AH1273" s="2" t="str">
        <f ca="1"/>
        <v>OK</v>
      </c>
    </row>
    <row r="1274" spans="2:34" x14ac:dyDescent="0.2">
      <c r="B1274" s="2">
        <f ca="1"/>
        <v>2.8414136796941047E-2</v>
      </c>
      <c r="O1274" s="2">
        <f ca="1"/>
        <v>-0.1082447563323716</v>
      </c>
      <c r="X1274" s="2">
        <f ca="1"/>
        <v>42.212048054967212</v>
      </c>
      <c r="AG1274" s="2">
        <f ca="1"/>
        <v>0.11370324600550719</v>
      </c>
      <c r="AH1274" s="2" t="str">
        <f ca="1"/>
        <v>OK</v>
      </c>
    </row>
    <row r="1275" spans="2:34" x14ac:dyDescent="0.2">
      <c r="B1275" s="2">
        <f ca="1"/>
        <v>0.75569829009353229</v>
      </c>
      <c r="O1275" s="2">
        <f ca="1"/>
        <v>0.62410823983922148</v>
      </c>
      <c r="X1275" s="2">
        <f ca="1"/>
        <v>44.058656916776464</v>
      </c>
      <c r="AG1275" s="2">
        <f ca="1"/>
        <v>0.52115614069733307</v>
      </c>
      <c r="AH1275" s="2" t="str">
        <f ca="1"/>
        <v>Bad</v>
      </c>
    </row>
    <row r="1276" spans="2:34" x14ac:dyDescent="0.2">
      <c r="B1276" s="2">
        <f ca="1"/>
        <v>0.35640902202756508</v>
      </c>
      <c r="O1276" s="2">
        <f ca="1"/>
        <v>1.1212055785824886</v>
      </c>
      <c r="X1276" s="2">
        <f ca="1"/>
        <v>29.192586109293362</v>
      </c>
      <c r="AG1276" s="2">
        <f ca="1"/>
        <v>0.39974901043859856</v>
      </c>
      <c r="AH1276" s="2" t="str">
        <f ca="1"/>
        <v>OK</v>
      </c>
    </row>
    <row r="1277" spans="2:34" x14ac:dyDescent="0.2">
      <c r="B1277" s="2">
        <f ca="1"/>
        <v>0.76418824962691967</v>
      </c>
      <c r="O1277" s="2">
        <f ca="1"/>
        <v>1.4933497822928694</v>
      </c>
      <c r="X1277" s="2">
        <f ca="1"/>
        <v>68.246074103367334</v>
      </c>
      <c r="AG1277" s="2">
        <f ca="1"/>
        <v>6.964742174289551E-3</v>
      </c>
      <c r="AH1277" s="2" t="str">
        <f ca="1"/>
        <v>Good</v>
      </c>
    </row>
    <row r="1278" spans="2:34" x14ac:dyDescent="0.2">
      <c r="B1278" s="2">
        <f ca="1"/>
        <v>0.53363596524664247</v>
      </c>
      <c r="O1278" s="2">
        <f ca="1"/>
        <v>-0.16031518794685912</v>
      </c>
      <c r="X1278" s="2">
        <f ca="1"/>
        <v>94.824616498862895</v>
      </c>
      <c r="AG1278" s="2">
        <f ca="1"/>
        <v>0.49122644096692447</v>
      </c>
      <c r="AH1278" s="2" t="str">
        <f ca="1"/>
        <v>Bad</v>
      </c>
    </row>
    <row r="1279" spans="2:34" x14ac:dyDescent="0.2">
      <c r="B1279" s="2">
        <f ca="1"/>
        <v>7.291664677169285E-2</v>
      </c>
      <c r="O1279" s="2">
        <f ca="1"/>
        <v>-0.68502530087726943</v>
      </c>
      <c r="X1279" s="2">
        <f ca="1"/>
        <v>84.336338699679288</v>
      </c>
      <c r="AG1279" s="2">
        <f ca="1"/>
        <v>0.22181472002059843</v>
      </c>
      <c r="AH1279" s="2" t="str">
        <f ca="1"/>
        <v>OK</v>
      </c>
    </row>
    <row r="1280" spans="2:34" x14ac:dyDescent="0.2">
      <c r="B1280" s="2">
        <f ca="1"/>
        <v>0.3267141275100478</v>
      </c>
      <c r="O1280" s="2">
        <f ca="1"/>
        <v>-0.57247371139743652</v>
      </c>
      <c r="X1280" s="2">
        <f ca="1"/>
        <v>30.909067160397505</v>
      </c>
      <c r="AG1280" s="2">
        <f ca="1"/>
        <v>0.86539259816600445</v>
      </c>
      <c r="AH1280" s="2" t="str">
        <f ca="1"/>
        <v>Bad</v>
      </c>
    </row>
    <row r="1281" spans="2:34" x14ac:dyDescent="0.2">
      <c r="B1281" s="2">
        <f ca="1"/>
        <v>0.27148514197187246</v>
      </c>
      <c r="O1281" s="2">
        <f ca="1"/>
        <v>1.4512802017525994</v>
      </c>
      <c r="X1281" s="2">
        <f ca="1"/>
        <v>32.867277020233615</v>
      </c>
      <c r="AG1281" s="2">
        <f ca="1"/>
        <v>7.8012005165933651E-2</v>
      </c>
      <c r="AH1281" s="2" t="str">
        <f ca="1"/>
        <v>OK</v>
      </c>
    </row>
    <row r="1282" spans="2:34" x14ac:dyDescent="0.2">
      <c r="B1282" s="2">
        <f ca="1"/>
        <v>0.58767627687421942</v>
      </c>
      <c r="O1282" s="2">
        <f ca="1"/>
        <v>-1.0253888761093364</v>
      </c>
      <c r="X1282" s="2">
        <f ca="1"/>
        <v>58.013338179573843</v>
      </c>
      <c r="AG1282" s="2">
        <f ca="1"/>
        <v>0.9470590704531654</v>
      </c>
      <c r="AH1282" s="2" t="str">
        <f ca="1"/>
        <v>Bad</v>
      </c>
    </row>
    <row r="1283" spans="2:34" x14ac:dyDescent="0.2">
      <c r="B1283" s="2">
        <f ca="1"/>
        <v>0.53202563994954866</v>
      </c>
      <c r="O1283" s="2">
        <f ca="1"/>
        <v>-4.2803568386522307E-2</v>
      </c>
      <c r="X1283" s="2">
        <f ca="1"/>
        <v>57.249850767068395</v>
      </c>
      <c r="AG1283" s="2">
        <f ca="1"/>
        <v>0.83050333448319402</v>
      </c>
      <c r="AH1283" s="2" t="str">
        <f ca="1"/>
        <v>Bad</v>
      </c>
    </row>
    <row r="1284" spans="2:34" x14ac:dyDescent="0.2">
      <c r="B1284" s="2">
        <f ca="1"/>
        <v>0.12873279126354698</v>
      </c>
      <c r="O1284" s="2">
        <f ca="1"/>
        <v>-0.10462164667692891</v>
      </c>
      <c r="X1284" s="2">
        <f ca="1"/>
        <v>47.727555738426432</v>
      </c>
      <c r="AG1284" s="2">
        <f ca="1"/>
        <v>0.52668039452098903</v>
      </c>
      <c r="AH1284" s="2" t="str">
        <f ca="1"/>
        <v>Bad</v>
      </c>
    </row>
    <row r="1285" spans="2:34" x14ac:dyDescent="0.2">
      <c r="B1285" s="2">
        <f ca="1"/>
        <v>0.35279087846547119</v>
      </c>
      <c r="O1285" s="2">
        <f ca="1"/>
        <v>-0.62613865227371812</v>
      </c>
      <c r="X1285" s="2">
        <f ca="1"/>
        <v>86.081306059014821</v>
      </c>
      <c r="AG1285" s="2">
        <f ca="1"/>
        <v>0.64410909264511473</v>
      </c>
      <c r="AH1285" s="2" t="str">
        <f ca="1"/>
        <v>Bad</v>
      </c>
    </row>
    <row r="1286" spans="2:34" x14ac:dyDescent="0.2">
      <c r="B1286" s="2">
        <f ca="1"/>
        <v>0.11671727912710739</v>
      </c>
      <c r="O1286" s="2">
        <f ca="1"/>
        <v>0.61276377919695502</v>
      </c>
      <c r="X1286" s="2">
        <f ca="1"/>
        <v>34.209105628228009</v>
      </c>
      <c r="AG1286" s="2">
        <f ca="1"/>
        <v>0.3108542122592759</v>
      </c>
      <c r="AH1286" s="2" t="str">
        <f ca="1"/>
        <v>OK</v>
      </c>
    </row>
    <row r="1287" spans="2:34" x14ac:dyDescent="0.2">
      <c r="B1287" s="2">
        <f ca="1"/>
        <v>0.63379550180524546</v>
      </c>
      <c r="O1287" s="2">
        <f ca="1"/>
        <v>-1.4173201813305454</v>
      </c>
      <c r="X1287" s="2">
        <f ca="1"/>
        <v>106.84516358188142</v>
      </c>
      <c r="AG1287" s="2">
        <f ca="1"/>
        <v>0.53852544711422201</v>
      </c>
      <c r="AH1287" s="2" t="str">
        <f ca="1"/>
        <v>Bad</v>
      </c>
    </row>
    <row r="1288" spans="2:34" x14ac:dyDescent="0.2">
      <c r="B1288" s="2">
        <f ca="1"/>
        <v>0.69982583209409532</v>
      </c>
      <c r="O1288" s="2">
        <f ca="1"/>
        <v>-1.428090147081686</v>
      </c>
      <c r="X1288" s="2">
        <f ca="1"/>
        <v>77.127832337513553</v>
      </c>
      <c r="AG1288" s="2">
        <f ca="1"/>
        <v>0.71512550181972467</v>
      </c>
      <c r="AH1288" s="2" t="str">
        <f ca="1"/>
        <v>Bad</v>
      </c>
    </row>
    <row r="1289" spans="2:34" x14ac:dyDescent="0.2">
      <c r="B1289" s="2">
        <f ca="1"/>
        <v>0.67134704387578159</v>
      </c>
      <c r="O1289" s="2">
        <f ca="1"/>
        <v>-0.17885836826889634</v>
      </c>
      <c r="X1289" s="2">
        <f ca="1"/>
        <v>26.010886062650698</v>
      </c>
      <c r="AG1289" s="2">
        <f ca="1"/>
        <v>0.696437321715077</v>
      </c>
      <c r="AH1289" s="2" t="str">
        <f ca="1"/>
        <v>Bad</v>
      </c>
    </row>
    <row r="1290" spans="2:34" x14ac:dyDescent="0.2">
      <c r="B1290" s="2">
        <f ca="1"/>
        <v>0.43668923537274051</v>
      </c>
      <c r="O1290" s="2">
        <f ca="1"/>
        <v>-0.5598257267550012</v>
      </c>
      <c r="X1290" s="2">
        <f ca="1"/>
        <v>49.975164929401792</v>
      </c>
      <c r="AG1290" s="2">
        <f ca="1"/>
        <v>0.72797904705161143</v>
      </c>
      <c r="AH1290" s="2" t="str">
        <f ca="1"/>
        <v>Bad</v>
      </c>
    </row>
    <row r="1291" spans="2:34" x14ac:dyDescent="0.2">
      <c r="B1291" s="2">
        <f ca="1"/>
        <v>0.39631436538031828</v>
      </c>
      <c r="O1291" s="2">
        <f ca="1"/>
        <v>-0.38110721217305393</v>
      </c>
      <c r="X1291" s="2">
        <f ca="1"/>
        <v>31.842239746551321</v>
      </c>
      <c r="AG1291" s="2">
        <f ca="1"/>
        <v>0.75625354892307994</v>
      </c>
      <c r="AH1291" s="2" t="str">
        <f ca="1"/>
        <v>Bad</v>
      </c>
    </row>
    <row r="1292" spans="2:34" x14ac:dyDescent="0.2">
      <c r="B1292" s="2">
        <f ca="1"/>
        <v>9.5718629432700153E-2</v>
      </c>
      <c r="O1292" s="2">
        <f ca="1"/>
        <v>1.4250405323582889</v>
      </c>
      <c r="X1292" s="2">
        <f ca="1"/>
        <v>53.28135027666918</v>
      </c>
      <c r="AG1292" s="2">
        <f ca="1"/>
        <v>0.56503157330537546</v>
      </c>
      <c r="AH1292" s="2" t="str">
        <f ca="1"/>
        <v>Bad</v>
      </c>
    </row>
    <row r="1293" spans="2:34" x14ac:dyDescent="0.2">
      <c r="B1293" s="2">
        <f ca="1"/>
        <v>0.94035442977987005</v>
      </c>
      <c r="O1293" s="2">
        <f ca="1"/>
        <v>0.43348773980308541</v>
      </c>
      <c r="X1293" s="2">
        <f ca="1"/>
        <v>35.616410043850635</v>
      </c>
      <c r="AG1293" s="2">
        <f ca="1"/>
        <v>0.48840574457182262</v>
      </c>
      <c r="AH1293" s="2" t="str">
        <f ca="1"/>
        <v>Bad</v>
      </c>
    </row>
    <row r="1294" spans="2:34" x14ac:dyDescent="0.2">
      <c r="B1294" s="2">
        <f ca="1"/>
        <v>0.17197046213439715</v>
      </c>
      <c r="O1294" s="2">
        <f ca="1"/>
        <v>0.18614479121987104</v>
      </c>
      <c r="X1294" s="2">
        <f ca="1"/>
        <v>40.824995084188785</v>
      </c>
      <c r="AG1294" s="2">
        <f ca="1"/>
        <v>0.55425251352904437</v>
      </c>
      <c r="AH1294" s="2" t="str">
        <f ca="1"/>
        <v>Bad</v>
      </c>
    </row>
    <row r="1295" spans="2:34" x14ac:dyDescent="0.2">
      <c r="B1295" s="2">
        <f ca="1"/>
        <v>0.19300915359378612</v>
      </c>
      <c r="O1295" s="2">
        <f ca="1"/>
        <v>0.91368762277018478</v>
      </c>
      <c r="X1295" s="2">
        <f ca="1"/>
        <v>65.096793888640178</v>
      </c>
      <c r="AG1295" s="2">
        <f ca="1"/>
        <v>0.72794386134149125</v>
      </c>
      <c r="AH1295" s="2" t="str">
        <f ca="1"/>
        <v>Bad</v>
      </c>
    </row>
    <row r="1296" spans="2:34" x14ac:dyDescent="0.2">
      <c r="B1296" s="2">
        <f ca="1"/>
        <v>0.7369953815847754</v>
      </c>
      <c r="O1296" s="2">
        <f ca="1"/>
        <v>-0.92266747705720331</v>
      </c>
      <c r="X1296" s="2">
        <f ca="1"/>
        <v>61.56411667745963</v>
      </c>
      <c r="AG1296" s="2">
        <f ca="1"/>
        <v>0.53679619858380634</v>
      </c>
      <c r="AH1296" s="2" t="str">
        <f ca="1"/>
        <v>Bad</v>
      </c>
    </row>
    <row r="1297" spans="2:34" x14ac:dyDescent="0.2">
      <c r="B1297" s="2">
        <f ca="1"/>
        <v>0.53196560348795474</v>
      </c>
      <c r="O1297" s="2">
        <f ca="1"/>
        <v>8.4820396884434587E-2</v>
      </c>
      <c r="X1297" s="2">
        <f ca="1"/>
        <v>42.914831706094525</v>
      </c>
      <c r="AG1297" s="2">
        <f ca="1"/>
        <v>0.3892559701711602</v>
      </c>
      <c r="AH1297" s="2" t="str">
        <f ca="1"/>
        <v>OK</v>
      </c>
    </row>
    <row r="1298" spans="2:34" x14ac:dyDescent="0.2">
      <c r="B1298" s="2">
        <f ca="1"/>
        <v>0.66632487502878801</v>
      </c>
      <c r="O1298" s="2">
        <f ca="1"/>
        <v>-0.20067647206624967</v>
      </c>
      <c r="X1298" s="2">
        <f ca="1"/>
        <v>66.261613094632168</v>
      </c>
      <c r="AG1298" s="2">
        <f ca="1"/>
        <v>0.49561314952283131</v>
      </c>
      <c r="AH1298" s="2" t="str">
        <f ca="1"/>
        <v>Bad</v>
      </c>
    </row>
    <row r="1299" spans="2:34" x14ac:dyDescent="0.2">
      <c r="B1299" s="2">
        <f ca="1"/>
        <v>0.18585554449123287</v>
      </c>
      <c r="O1299" s="2">
        <f ca="1"/>
        <v>-1.341550663228831</v>
      </c>
      <c r="X1299" s="2">
        <f ca="1"/>
        <v>43.700705471172476</v>
      </c>
      <c r="AG1299" s="2">
        <f ca="1"/>
        <v>0.44275774200124807</v>
      </c>
      <c r="AH1299" s="2" t="str">
        <f ca="1"/>
        <v>Bad</v>
      </c>
    </row>
    <row r="1300" spans="2:34" x14ac:dyDescent="0.2">
      <c r="B1300" s="2">
        <f ca="1"/>
        <v>0.40990609862170535</v>
      </c>
      <c r="O1300" s="2">
        <f ca="1"/>
        <v>-0.67345403014528549</v>
      </c>
      <c r="X1300" s="2">
        <f ca="1"/>
        <v>53.126902522208972</v>
      </c>
      <c r="AG1300" s="2">
        <f ca="1"/>
        <v>7.1758939965704815E-3</v>
      </c>
      <c r="AH1300" s="2" t="str">
        <f ca="1"/>
        <v>Good</v>
      </c>
    </row>
    <row r="1301" spans="2:34" x14ac:dyDescent="0.2">
      <c r="B1301" s="2">
        <f ca="1"/>
        <v>0.76117928293143122</v>
      </c>
      <c r="O1301" s="2">
        <f ca="1"/>
        <v>0.3464020211964412</v>
      </c>
      <c r="X1301" s="2">
        <f ca="1"/>
        <v>33.647284658472152</v>
      </c>
      <c r="AG1301" s="2">
        <f ca="1"/>
        <v>4.8212348421412532E-2</v>
      </c>
      <c r="AH1301" s="2" t="str">
        <f ca="1"/>
        <v>Good</v>
      </c>
    </row>
    <row r="1302" spans="2:34" x14ac:dyDescent="0.2">
      <c r="B1302" s="2">
        <f ca="1"/>
        <v>4.1323380064447024E-2</v>
      </c>
      <c r="O1302" s="2">
        <f ca="1"/>
        <v>-0.22573329935728628</v>
      </c>
      <c r="X1302" s="2">
        <f ca="1"/>
        <v>61.605342771478263</v>
      </c>
      <c r="AG1302" s="2">
        <f ca="1"/>
        <v>0.70528743486341616</v>
      </c>
      <c r="AH1302" s="2" t="str">
        <f ca="1"/>
        <v>Bad</v>
      </c>
    </row>
    <row r="1303" spans="2:34" x14ac:dyDescent="0.2">
      <c r="B1303" s="2">
        <f ca="1"/>
        <v>0.5350732131721434</v>
      </c>
      <c r="O1303" s="2">
        <f ca="1"/>
        <v>-0.52773647849490202</v>
      </c>
      <c r="X1303" s="2">
        <f ca="1"/>
        <v>34.698004754805311</v>
      </c>
      <c r="AG1303" s="2">
        <f ca="1"/>
        <v>0.12449899533653652</v>
      </c>
      <c r="AH1303" s="2" t="str">
        <f ca="1"/>
        <v>OK</v>
      </c>
    </row>
    <row r="1304" spans="2:34" x14ac:dyDescent="0.2">
      <c r="B1304" s="2">
        <f ca="1"/>
        <v>0.58120721919872387</v>
      </c>
      <c r="O1304" s="2">
        <f ca="1"/>
        <v>-0.26764353488628778</v>
      </c>
      <c r="X1304" s="2">
        <f ca="1"/>
        <v>46.152198342339439</v>
      </c>
      <c r="AG1304" s="2">
        <f ca="1"/>
        <v>0.64761803464456125</v>
      </c>
      <c r="AH1304" s="2" t="str">
        <f ca="1"/>
        <v>Bad</v>
      </c>
    </row>
    <row r="1305" spans="2:34" x14ac:dyDescent="0.2">
      <c r="B1305" s="2">
        <f ca="1"/>
        <v>0.72328853517291414</v>
      </c>
      <c r="O1305" s="2">
        <f ca="1"/>
        <v>1.1082467594591687</v>
      </c>
      <c r="X1305" s="2">
        <f ca="1"/>
        <v>65.603278363937505</v>
      </c>
      <c r="AG1305" s="2">
        <f ca="1"/>
        <v>0.80975445992953077</v>
      </c>
      <c r="AH1305" s="2" t="str">
        <f ca="1"/>
        <v>Bad</v>
      </c>
    </row>
    <row r="1306" spans="2:34" x14ac:dyDescent="0.2">
      <c r="B1306" s="2">
        <f ca="1"/>
        <v>0.98514860448845099</v>
      </c>
      <c r="O1306" s="2">
        <f ca="1"/>
        <v>0.35964218293014738</v>
      </c>
      <c r="X1306" s="2">
        <f ca="1"/>
        <v>28.129867631123517</v>
      </c>
      <c r="AG1306" s="2">
        <f ca="1"/>
        <v>0.24958996105967834</v>
      </c>
      <c r="AH1306" s="2" t="str">
        <f ca="1"/>
        <v>OK</v>
      </c>
    </row>
    <row r="1307" spans="2:34" x14ac:dyDescent="0.2">
      <c r="B1307" s="2">
        <f ca="1"/>
        <v>0.87201064611623957</v>
      </c>
      <c r="O1307" s="2">
        <f ca="1"/>
        <v>0.58958896977163744</v>
      </c>
      <c r="X1307" s="2">
        <f ca="1"/>
        <v>67.718409615290341</v>
      </c>
      <c r="AG1307" s="2">
        <f ca="1"/>
        <v>1.0972842111818482E-2</v>
      </c>
      <c r="AH1307" s="2" t="str">
        <f ca="1"/>
        <v>Good</v>
      </c>
    </row>
    <row r="1308" spans="2:34" x14ac:dyDescent="0.2">
      <c r="B1308" s="2">
        <f ca="1"/>
        <v>1.9790382901779369E-2</v>
      </c>
      <c r="O1308" s="2">
        <f ca="1"/>
        <v>1.4438153683292492</v>
      </c>
      <c r="X1308" s="2">
        <f ca="1"/>
        <v>32.778749432321767</v>
      </c>
      <c r="AG1308" s="2">
        <f ca="1"/>
        <v>0.16218196353125958</v>
      </c>
      <c r="AH1308" s="2" t="str">
        <f ca="1"/>
        <v>OK</v>
      </c>
    </row>
    <row r="1309" spans="2:34" x14ac:dyDescent="0.2">
      <c r="B1309" s="2">
        <f ca="1"/>
        <v>0.21599217422849204</v>
      </c>
      <c r="O1309" s="2">
        <f ca="1"/>
        <v>-0.27689621231591632</v>
      </c>
      <c r="X1309" s="2">
        <f ca="1"/>
        <v>38.352308058167402</v>
      </c>
      <c r="AG1309" s="2">
        <f ca="1"/>
        <v>0.89479864771406725</v>
      </c>
      <c r="AH1309" s="2" t="str">
        <f ca="1"/>
        <v>Bad</v>
      </c>
    </row>
    <row r="1310" spans="2:34" x14ac:dyDescent="0.2">
      <c r="B1310" s="2">
        <f ca="1"/>
        <v>0.37728640945863301</v>
      </c>
      <c r="O1310" s="2">
        <f ca="1"/>
        <v>-0.90072500188364513</v>
      </c>
      <c r="X1310" s="2">
        <f ca="1"/>
        <v>44.131592113140563</v>
      </c>
      <c r="AG1310" s="2">
        <f ca="1"/>
        <v>0.86992102603687904</v>
      </c>
      <c r="AH1310" s="2" t="str">
        <f ca="1"/>
        <v>Bad</v>
      </c>
    </row>
    <row r="1311" spans="2:34" x14ac:dyDescent="0.2">
      <c r="B1311" s="2">
        <f ca="1"/>
        <v>0.27866145141005938</v>
      </c>
      <c r="O1311" s="2">
        <f ca="1"/>
        <v>-0.20935126034328133</v>
      </c>
      <c r="X1311" s="2">
        <f ca="1"/>
        <v>33.419004700032545</v>
      </c>
      <c r="AG1311" s="2">
        <f ca="1"/>
        <v>0.71587166344931918</v>
      </c>
      <c r="AH1311" s="2" t="str">
        <f ca="1"/>
        <v>Bad</v>
      </c>
    </row>
    <row r="1312" spans="2:34" x14ac:dyDescent="0.2">
      <c r="B1312" s="2">
        <f ca="1"/>
        <v>0.48139173341607511</v>
      </c>
      <c r="O1312" s="2">
        <f ca="1"/>
        <v>1.0603812649132789</v>
      </c>
      <c r="X1312" s="2">
        <f ca="1"/>
        <v>38.64412216464703</v>
      </c>
      <c r="AG1312" s="2">
        <f ca="1"/>
        <v>5.7673502569863588E-2</v>
      </c>
      <c r="AH1312" s="2" t="str">
        <f ca="1"/>
        <v>OK</v>
      </c>
    </row>
    <row r="1313" spans="2:34" x14ac:dyDescent="0.2">
      <c r="B1313" s="2">
        <f ca="1"/>
        <v>0.75835853318906388</v>
      </c>
      <c r="O1313" s="2">
        <f ca="1"/>
        <v>1.5170076197114113</v>
      </c>
      <c r="X1313" s="2">
        <f ca="1"/>
        <v>107.51059223383476</v>
      </c>
      <c r="AG1313" s="2">
        <f ca="1"/>
        <v>0.15516726387641477</v>
      </c>
      <c r="AH1313" s="2" t="str">
        <f ca="1"/>
        <v>OK</v>
      </c>
    </row>
    <row r="1314" spans="2:34" x14ac:dyDescent="0.2">
      <c r="B1314" s="2">
        <f ca="1"/>
        <v>0.37370441944512645</v>
      </c>
      <c r="O1314" s="2">
        <f ca="1"/>
        <v>-1.1748815812929054</v>
      </c>
      <c r="X1314" s="2">
        <f ca="1"/>
        <v>70.681338764576296</v>
      </c>
      <c r="AG1314" s="2">
        <f ca="1"/>
        <v>0.17956484402939421</v>
      </c>
      <c r="AH1314" s="2" t="str">
        <f ca="1"/>
        <v>OK</v>
      </c>
    </row>
    <row r="1315" spans="2:34" x14ac:dyDescent="0.2">
      <c r="B1315" s="2">
        <f ca="1"/>
        <v>0.66507978922034083</v>
      </c>
      <c r="O1315" s="2">
        <f ca="1"/>
        <v>1.23563268985541</v>
      </c>
      <c r="X1315" s="2">
        <f ca="1"/>
        <v>59.468000209756163</v>
      </c>
      <c r="AG1315" s="2">
        <f ca="1"/>
        <v>0.64039148149667979</v>
      </c>
      <c r="AH1315" s="2" t="str">
        <f ca="1"/>
        <v>Bad</v>
      </c>
    </row>
    <row r="1316" spans="2:34" x14ac:dyDescent="0.2">
      <c r="B1316" s="2">
        <f ca="1"/>
        <v>0.48689613934251663</v>
      </c>
      <c r="O1316" s="2">
        <f ca="1"/>
        <v>-0.16174511209171966</v>
      </c>
      <c r="X1316" s="2">
        <f ca="1"/>
        <v>72.31176331453257</v>
      </c>
      <c r="AG1316" s="2">
        <f ca="1"/>
        <v>0.4035905858253126</v>
      </c>
      <c r="AH1316" s="2" t="str">
        <f ca="1"/>
        <v>Bad</v>
      </c>
    </row>
    <row r="1317" spans="2:34" x14ac:dyDescent="0.2">
      <c r="B1317" s="2">
        <f ca="1"/>
        <v>0.87926668142992792</v>
      </c>
      <c r="O1317" s="2">
        <f ca="1"/>
        <v>1.9900343101696913</v>
      </c>
      <c r="X1317" s="2">
        <f ca="1"/>
        <v>34.733378281803354</v>
      </c>
      <c r="AG1317" s="2">
        <f ca="1"/>
        <v>2.5795257414121364E-2</v>
      </c>
      <c r="AH1317" s="2" t="str">
        <f ca="1"/>
        <v>Good</v>
      </c>
    </row>
    <row r="1318" spans="2:34" x14ac:dyDescent="0.2">
      <c r="B1318" s="2">
        <f ca="1"/>
        <v>0.82902841746743561</v>
      </c>
      <c r="O1318" s="2">
        <f ca="1"/>
        <v>-0.37276493977976893</v>
      </c>
      <c r="X1318" s="2">
        <f ca="1"/>
        <v>34.132096822003241</v>
      </c>
      <c r="AG1318" s="2">
        <f ca="1"/>
        <v>0.57200480390858166</v>
      </c>
      <c r="AH1318" s="2" t="str">
        <f ca="1"/>
        <v>Bad</v>
      </c>
    </row>
    <row r="1319" spans="2:34" x14ac:dyDescent="0.2">
      <c r="B1319" s="2">
        <f ca="1"/>
        <v>0.94406925354982496</v>
      </c>
      <c r="O1319" s="2">
        <f ca="1"/>
        <v>0.51614856901670547</v>
      </c>
      <c r="X1319" s="2">
        <f ca="1"/>
        <v>36.104472185330692</v>
      </c>
      <c r="AG1319" s="2">
        <f ca="1"/>
        <v>0.52691064000529275</v>
      </c>
      <c r="AH1319" s="2" t="str">
        <f ca="1"/>
        <v>Bad</v>
      </c>
    </row>
    <row r="1320" spans="2:34" x14ac:dyDescent="0.2">
      <c r="B1320" s="2">
        <f ca="1"/>
        <v>0.12785994575913517</v>
      </c>
      <c r="O1320" s="2">
        <f ca="1"/>
        <v>0.55127240673072275</v>
      </c>
      <c r="X1320" s="2">
        <f ca="1"/>
        <v>49.989503812876563</v>
      </c>
      <c r="AG1320" s="2">
        <f ca="1"/>
        <v>0.3115043358545182</v>
      </c>
      <c r="AH1320" s="2" t="str">
        <f ca="1"/>
        <v>OK</v>
      </c>
    </row>
    <row r="1321" spans="2:34" x14ac:dyDescent="0.2">
      <c r="B1321" s="2">
        <f ca="1"/>
        <v>0.36606835454648068</v>
      </c>
      <c r="O1321" s="2">
        <f ca="1"/>
        <v>1.5801693269106003</v>
      </c>
      <c r="X1321" s="2">
        <f ca="1"/>
        <v>29.534073213826758</v>
      </c>
      <c r="AG1321" s="2">
        <f ca="1"/>
        <v>0.41890536063470241</v>
      </c>
      <c r="AH1321" s="2" t="str">
        <f ca="1"/>
        <v>Bad</v>
      </c>
    </row>
    <row r="1322" spans="2:34" x14ac:dyDescent="0.2">
      <c r="B1322" s="2">
        <f ca="1"/>
        <v>0.19802124177465252</v>
      </c>
      <c r="O1322" s="2">
        <f ca="1"/>
        <v>-0.18893962677818699</v>
      </c>
      <c r="X1322" s="2">
        <f ca="1"/>
        <v>28.033478141465594</v>
      </c>
      <c r="AG1322" s="2">
        <f ca="1"/>
        <v>7.5629983724321281E-3</v>
      </c>
      <c r="AH1322" s="2" t="str">
        <f ca="1"/>
        <v>Good</v>
      </c>
    </row>
    <row r="1323" spans="2:34" x14ac:dyDescent="0.2">
      <c r="B1323" s="2">
        <f ca="1"/>
        <v>0.94205120229321815</v>
      </c>
      <c r="O1323" s="2">
        <f ca="1"/>
        <v>0.53707785901855809</v>
      </c>
      <c r="X1323" s="2">
        <f ca="1"/>
        <v>70.32177706441216</v>
      </c>
      <c r="AG1323" s="2">
        <f ca="1"/>
        <v>1.996261457896642E-2</v>
      </c>
      <c r="AH1323" s="2" t="str">
        <f ca="1"/>
        <v>Good</v>
      </c>
    </row>
    <row r="1324" spans="2:34" x14ac:dyDescent="0.2">
      <c r="B1324" s="2">
        <f ca="1"/>
        <v>0.78801742589095292</v>
      </c>
      <c r="O1324" s="2">
        <f ca="1"/>
        <v>-1.8346131610405805</v>
      </c>
      <c r="X1324" s="2">
        <f ca="1"/>
        <v>80.599465022376151</v>
      </c>
      <c r="AG1324" s="2">
        <f ca="1"/>
        <v>0.38353889793630302</v>
      </c>
      <c r="AH1324" s="2" t="str">
        <f ca="1"/>
        <v>OK</v>
      </c>
    </row>
    <row r="1325" spans="2:34" x14ac:dyDescent="0.2">
      <c r="B1325" s="2">
        <f ca="1"/>
        <v>0.27799601572125887</v>
      </c>
      <c r="O1325" s="2">
        <f ca="1"/>
        <v>0.37234034941922917</v>
      </c>
      <c r="X1325" s="2">
        <f ca="1"/>
        <v>30.376490152614075</v>
      </c>
      <c r="AG1325" s="2">
        <f ca="1"/>
        <v>0.24963020210659126</v>
      </c>
      <c r="AH1325" s="2" t="str">
        <f ca="1"/>
        <v>OK</v>
      </c>
    </row>
    <row r="1326" spans="2:34" x14ac:dyDescent="0.2">
      <c r="B1326" s="2">
        <f ca="1"/>
        <v>0.23111140409286768</v>
      </c>
      <c r="O1326" s="2">
        <f ca="1"/>
        <v>-0.92013061649984429</v>
      </c>
      <c r="X1326" s="2">
        <f ca="1"/>
        <v>69.092429997283986</v>
      </c>
      <c r="AG1326" s="2">
        <f ca="1"/>
        <v>0.91999433631440097</v>
      </c>
      <c r="AH1326" s="2" t="str">
        <f ca="1"/>
        <v>Bad</v>
      </c>
    </row>
    <row r="1327" spans="2:34" x14ac:dyDescent="0.2">
      <c r="B1327" s="2">
        <f ca="1"/>
        <v>7.9776328413274644E-2</v>
      </c>
      <c r="O1327" s="2">
        <f ca="1"/>
        <v>1.540901218122998</v>
      </c>
      <c r="X1327" s="2">
        <f ca="1"/>
        <v>47.67624355937582</v>
      </c>
      <c r="AG1327" s="2">
        <f ca="1"/>
        <v>5.6284787967789462E-2</v>
      </c>
      <c r="AH1327" s="2" t="str">
        <f ca="1"/>
        <v>OK</v>
      </c>
    </row>
    <row r="1328" spans="2:34" x14ac:dyDescent="0.2">
      <c r="B1328" s="2">
        <f ca="1"/>
        <v>0.83218516941267051</v>
      </c>
      <c r="O1328" s="2">
        <f ca="1"/>
        <v>0.18994938034412798</v>
      </c>
      <c r="X1328" s="2">
        <f ca="1"/>
        <v>39.996215564196135</v>
      </c>
      <c r="AG1328" s="2">
        <f ca="1"/>
        <v>0.49931164794170657</v>
      </c>
      <c r="AH1328" s="2" t="str">
        <f ca="1"/>
        <v>Bad</v>
      </c>
    </row>
    <row r="1329" spans="2:34" x14ac:dyDescent="0.2">
      <c r="B1329" s="2">
        <f ca="1"/>
        <v>0.9351837916760759</v>
      </c>
      <c r="O1329" s="2">
        <f ca="1"/>
        <v>0.92918557308633276</v>
      </c>
      <c r="X1329" s="2">
        <f ca="1"/>
        <v>77.435136841636535</v>
      </c>
      <c r="AG1329" s="2">
        <f ca="1"/>
        <v>0.84288949760921894</v>
      </c>
      <c r="AH1329" s="2" t="str">
        <f ca="1"/>
        <v>Bad</v>
      </c>
    </row>
    <row r="1330" spans="2:34" x14ac:dyDescent="0.2">
      <c r="B1330" s="2">
        <f ca="1"/>
        <v>0.85555117800741431</v>
      </c>
      <c r="O1330" s="2">
        <f ca="1"/>
        <v>1.0836534434810219</v>
      </c>
      <c r="X1330" s="2">
        <f ca="1"/>
        <v>66.929667332996175</v>
      </c>
      <c r="AG1330" s="2">
        <f ca="1"/>
        <v>0.99536054672333085</v>
      </c>
      <c r="AH1330" s="2" t="str">
        <f ca="1"/>
        <v>Bad</v>
      </c>
    </row>
    <row r="1331" spans="2:34" x14ac:dyDescent="0.2">
      <c r="B1331" s="2">
        <f ca="1"/>
        <v>0.81686471089908141</v>
      </c>
      <c r="O1331" s="2">
        <f ca="1"/>
        <v>-1.5015804027204407</v>
      </c>
      <c r="X1331" s="2">
        <f ca="1"/>
        <v>58.929085740488787</v>
      </c>
      <c r="AG1331" s="2">
        <f ca="1"/>
        <v>0.6200539098172857</v>
      </c>
      <c r="AH1331" s="2" t="str">
        <f ca="1"/>
        <v>Bad</v>
      </c>
    </row>
    <row r="1332" spans="2:34" x14ac:dyDescent="0.2">
      <c r="B1332" s="2">
        <f ca="1"/>
        <v>0.57012192323067401</v>
      </c>
      <c r="O1332" s="2">
        <f ca="1"/>
        <v>2.2345061090581795E-2</v>
      </c>
      <c r="X1332" s="2">
        <f ca="1"/>
        <v>79.719282925191564</v>
      </c>
      <c r="AG1332" s="2">
        <f ca="1"/>
        <v>1.6645283573146319E-2</v>
      </c>
      <c r="AH1332" s="2" t="str">
        <f ca="1"/>
        <v>Good</v>
      </c>
    </row>
    <row r="1333" spans="2:34" x14ac:dyDescent="0.2">
      <c r="B1333" s="2">
        <f ca="1"/>
        <v>0.75959438852067884</v>
      </c>
      <c r="O1333" s="2">
        <f ca="1"/>
        <v>0.50022896660416061</v>
      </c>
      <c r="X1333" s="2">
        <f ca="1"/>
        <v>63.321161803580324</v>
      </c>
      <c r="AG1333" s="2">
        <f ca="1"/>
        <v>0.77608183933981056</v>
      </c>
      <c r="AH1333" s="2" t="str">
        <f ca="1"/>
        <v>Bad</v>
      </c>
    </row>
    <row r="1334" spans="2:34" x14ac:dyDescent="0.2">
      <c r="B1334" s="2">
        <f ca="1"/>
        <v>0.19604368970635844</v>
      </c>
      <c r="O1334" s="2">
        <f ca="1"/>
        <v>-2.082215417147216</v>
      </c>
      <c r="X1334" s="2">
        <f ca="1"/>
        <v>97.964268505596266</v>
      </c>
      <c r="AG1334" s="2">
        <f ca="1"/>
        <v>0.77876594616375905</v>
      </c>
      <c r="AH1334" s="2" t="str">
        <f ca="1"/>
        <v>Bad</v>
      </c>
    </row>
    <row r="1335" spans="2:34" x14ac:dyDescent="0.2">
      <c r="B1335" s="2">
        <f ca="1"/>
        <v>6.8894127736626398E-2</v>
      </c>
      <c r="O1335" s="2">
        <f ca="1"/>
        <v>-9.2513325392969303E-2</v>
      </c>
      <c r="X1335" s="2">
        <f ca="1"/>
        <v>37.084144490418495</v>
      </c>
      <c r="AG1335" s="2">
        <f ca="1"/>
        <v>0.38618368491686383</v>
      </c>
      <c r="AH1335" s="2" t="str">
        <f ca="1"/>
        <v>OK</v>
      </c>
    </row>
    <row r="1336" spans="2:34" x14ac:dyDescent="0.2">
      <c r="B1336" s="2">
        <f ca="1"/>
        <v>0.56026918137047654</v>
      </c>
      <c r="O1336" s="2">
        <f ca="1"/>
        <v>-0.31482033405278353</v>
      </c>
      <c r="X1336" s="2">
        <f ca="1"/>
        <v>27.4099033866597</v>
      </c>
      <c r="AG1336" s="2">
        <f ca="1"/>
        <v>0.58642617033685918</v>
      </c>
      <c r="AH1336" s="2" t="str">
        <f ca="1"/>
        <v>Bad</v>
      </c>
    </row>
    <row r="1337" spans="2:34" x14ac:dyDescent="0.2">
      <c r="B1337" s="2">
        <f ca="1"/>
        <v>0.71153825032600482</v>
      </c>
      <c r="O1337" s="2">
        <f ca="1"/>
        <v>-0.4279507562303666</v>
      </c>
      <c r="X1337" s="2">
        <f ca="1"/>
        <v>48.250986733164481</v>
      </c>
      <c r="AG1337" s="2">
        <f ca="1"/>
        <v>0.2854426663420675</v>
      </c>
      <c r="AH1337" s="2" t="str">
        <f ca="1"/>
        <v>OK</v>
      </c>
    </row>
    <row r="1338" spans="2:34" x14ac:dyDescent="0.2">
      <c r="B1338" s="2">
        <f ca="1"/>
        <v>0.83755298603909378</v>
      </c>
      <c r="O1338" s="2">
        <f ca="1"/>
        <v>1.1247882858691287</v>
      </c>
      <c r="X1338" s="2">
        <f ca="1"/>
        <v>66.00450968984164</v>
      </c>
      <c r="AG1338" s="2">
        <f ca="1"/>
        <v>0.10132406728317989</v>
      </c>
      <c r="AH1338" s="2" t="str">
        <f ca="1"/>
        <v>OK</v>
      </c>
    </row>
    <row r="1339" spans="2:34" x14ac:dyDescent="0.2">
      <c r="B1339" s="2">
        <f ca="1"/>
        <v>0.45073268015731593</v>
      </c>
      <c r="O1339" s="2">
        <f ca="1"/>
        <v>-1.2076791775577973</v>
      </c>
      <c r="X1339" s="2">
        <f ca="1"/>
        <v>45.4876286864965</v>
      </c>
      <c r="AG1339" s="2">
        <f ca="1"/>
        <v>0.28214852691794579</v>
      </c>
      <c r="AH1339" s="2" t="str">
        <f ca="1"/>
        <v>OK</v>
      </c>
    </row>
    <row r="1340" spans="2:34" x14ac:dyDescent="0.2">
      <c r="B1340" s="2">
        <f ca="1"/>
        <v>0.2249073828987056</v>
      </c>
      <c r="O1340" s="2">
        <f ca="1"/>
        <v>-0.55526597052044246</v>
      </c>
      <c r="X1340" s="2">
        <f ca="1"/>
        <v>54.481638798407424</v>
      </c>
      <c r="AG1340" s="2">
        <f ca="1"/>
        <v>0.75109340813521897</v>
      </c>
      <c r="AH1340" s="2" t="str">
        <f ca="1"/>
        <v>Bad</v>
      </c>
    </row>
    <row r="1341" spans="2:34" x14ac:dyDescent="0.2">
      <c r="B1341" s="2">
        <f ca="1"/>
        <v>0.45639689172363296</v>
      </c>
      <c r="O1341" s="2">
        <f ca="1"/>
        <v>0.50126879113135703</v>
      </c>
      <c r="X1341" s="2">
        <f ca="1"/>
        <v>86.631249667476865</v>
      </c>
      <c r="AG1341" s="2">
        <f ca="1"/>
        <v>0.78820231801421459</v>
      </c>
      <c r="AH1341" s="2" t="str">
        <f ca="1"/>
        <v>Bad</v>
      </c>
    </row>
    <row r="1342" spans="2:34" x14ac:dyDescent="0.2">
      <c r="B1342" s="2">
        <f ca="1"/>
        <v>0.10051886961602463</v>
      </c>
      <c r="O1342" s="2">
        <f ca="1"/>
        <v>0.64129583126848744</v>
      </c>
      <c r="X1342" s="2">
        <f ca="1"/>
        <v>28.487792568090601</v>
      </c>
      <c r="AG1342" s="2">
        <f ca="1"/>
        <v>0.20776405429478895</v>
      </c>
      <c r="AH1342" s="2" t="str">
        <f ca="1"/>
        <v>OK</v>
      </c>
    </row>
    <row r="1343" spans="2:34" x14ac:dyDescent="0.2">
      <c r="B1343" s="2">
        <f ca="1"/>
        <v>0.31385399461619579</v>
      </c>
      <c r="O1343" s="2">
        <f ca="1"/>
        <v>0.86497092477451676</v>
      </c>
      <c r="X1343" s="2">
        <f ca="1"/>
        <v>44.057185874965647</v>
      </c>
      <c r="AG1343" s="2">
        <f ca="1"/>
        <v>0.17790310970120315</v>
      </c>
      <c r="AH1343" s="2" t="str">
        <f ca="1"/>
        <v>OK</v>
      </c>
    </row>
    <row r="1344" spans="2:34" x14ac:dyDescent="0.2">
      <c r="B1344" s="2">
        <f ca="1"/>
        <v>3.0100898487693373E-2</v>
      </c>
      <c r="O1344" s="2">
        <f ca="1"/>
        <v>0.73268865193597976</v>
      </c>
      <c r="X1344" s="2">
        <f ca="1"/>
        <v>39.459687355714827</v>
      </c>
      <c r="AG1344" s="2">
        <f ca="1"/>
        <v>0.33237847755317684</v>
      </c>
      <c r="AH1344" s="2" t="str">
        <f ca="1"/>
        <v>OK</v>
      </c>
    </row>
    <row r="1345" spans="2:34" x14ac:dyDescent="0.2">
      <c r="B1345" s="2">
        <f ca="1"/>
        <v>9.1432924189308817E-2</v>
      </c>
      <c r="O1345" s="2">
        <f ca="1"/>
        <v>-1.1682755741466921</v>
      </c>
      <c r="X1345" s="2">
        <f ca="1"/>
        <v>44.082918995357112</v>
      </c>
      <c r="AG1345" s="2">
        <f ca="1"/>
        <v>0.72169489764231431</v>
      </c>
      <c r="AH1345" s="2" t="str">
        <f ca="1"/>
        <v>Bad</v>
      </c>
    </row>
    <row r="1346" spans="2:34" x14ac:dyDescent="0.2">
      <c r="B1346" s="2">
        <f ca="1"/>
        <v>0.50009525487999951</v>
      </c>
      <c r="O1346" s="2">
        <f ca="1"/>
        <v>1.6059191195370381</v>
      </c>
      <c r="X1346" s="2">
        <f ca="1"/>
        <v>31.657146958829131</v>
      </c>
      <c r="AG1346" s="2">
        <f ca="1"/>
        <v>0.87046077478175143</v>
      </c>
      <c r="AH1346" s="2" t="str">
        <f ca="1"/>
        <v>Bad</v>
      </c>
    </row>
    <row r="1347" spans="2:34" x14ac:dyDescent="0.2">
      <c r="B1347" s="2">
        <f ca="1"/>
        <v>0.2436305516160262</v>
      </c>
      <c r="O1347" s="2">
        <f ca="1"/>
        <v>0.74246663482272035</v>
      </c>
      <c r="X1347" s="2">
        <f ca="1"/>
        <v>60.879989094504303</v>
      </c>
      <c r="AG1347" s="2">
        <f ca="1"/>
        <v>0.38198604053960383</v>
      </c>
      <c r="AH1347" s="2" t="str">
        <f ca="1"/>
        <v>OK</v>
      </c>
    </row>
    <row r="1348" spans="2:34" x14ac:dyDescent="0.2">
      <c r="B1348" s="2">
        <f ca="1"/>
        <v>0.98512930549875755</v>
      </c>
      <c r="O1348" s="2">
        <f ca="1"/>
        <v>0.16059359875181745</v>
      </c>
      <c r="X1348" s="2">
        <f ca="1"/>
        <v>62.498510349038568</v>
      </c>
      <c r="AG1348" s="2">
        <f ca="1"/>
        <v>0.2233268118750269</v>
      </c>
      <c r="AH1348" s="2" t="str">
        <f ca="1"/>
        <v>OK</v>
      </c>
    </row>
    <row r="1349" spans="2:34" x14ac:dyDescent="0.2">
      <c r="B1349" s="2">
        <f ca="1"/>
        <v>0.15561765313126275</v>
      </c>
      <c r="O1349" s="2">
        <f ca="1"/>
        <v>1.4267962576156323</v>
      </c>
      <c r="X1349" s="2">
        <f ca="1"/>
        <v>65.229816327113681</v>
      </c>
      <c r="AG1349" s="2">
        <f ca="1"/>
        <v>6.105131526090446E-2</v>
      </c>
      <c r="AH1349" s="2" t="str">
        <f ca="1"/>
        <v>OK</v>
      </c>
    </row>
    <row r="1350" spans="2:34" x14ac:dyDescent="0.2">
      <c r="B1350" s="2">
        <f ca="1"/>
        <v>0.31468908403919049</v>
      </c>
      <c r="O1350" s="2">
        <f ca="1"/>
        <v>-0.64070417679393454</v>
      </c>
      <c r="X1350" s="2">
        <f ca="1"/>
        <v>67.694564204898839</v>
      </c>
      <c r="AG1350" s="2">
        <f ca="1"/>
        <v>0.13335993269710911</v>
      </c>
      <c r="AH1350" s="2" t="str">
        <f ca="1"/>
        <v>OK</v>
      </c>
    </row>
    <row r="1351" spans="2:34" x14ac:dyDescent="0.2">
      <c r="B1351" s="2">
        <f ca="1"/>
        <v>0.33341849524040978</v>
      </c>
      <c r="O1351" s="2">
        <f ca="1"/>
        <v>-0.58315438818202348</v>
      </c>
      <c r="X1351" s="2">
        <f ca="1"/>
        <v>48.218110862221046</v>
      </c>
      <c r="AG1351" s="2">
        <f ca="1"/>
        <v>0.87823830055134167</v>
      </c>
      <c r="AH1351" s="2" t="str">
        <f ca="1"/>
        <v>Bad</v>
      </c>
    </row>
    <row r="1352" spans="2:34" x14ac:dyDescent="0.2">
      <c r="B1352" s="2">
        <f ca="1"/>
        <v>0.67153423257198197</v>
      </c>
      <c r="O1352" s="2">
        <f ca="1"/>
        <v>0.91985991965577718</v>
      </c>
      <c r="X1352" s="2">
        <f ca="1"/>
        <v>50.702828572738035</v>
      </c>
      <c r="AG1352" s="2">
        <f ca="1"/>
        <v>0.61630530572062403</v>
      </c>
      <c r="AH1352" s="2" t="str">
        <f ca="1"/>
        <v>Bad</v>
      </c>
    </row>
    <row r="1353" spans="2:34" x14ac:dyDescent="0.2">
      <c r="B1353" s="2">
        <f ca="1"/>
        <v>0.85059964144092071</v>
      </c>
      <c r="O1353" s="2">
        <f ca="1"/>
        <v>0.21384101943995701</v>
      </c>
      <c r="X1353" s="2">
        <f ca="1"/>
        <v>41.314163619730103</v>
      </c>
      <c r="AG1353" s="2">
        <f ca="1"/>
        <v>0.6870363467344327</v>
      </c>
      <c r="AH1353" s="2" t="str">
        <f ca="1"/>
        <v>Bad</v>
      </c>
    </row>
    <row r="1354" spans="2:34" x14ac:dyDescent="0.2">
      <c r="B1354" s="2">
        <f ca="1"/>
        <v>0.91166064545882564</v>
      </c>
      <c r="O1354" s="2">
        <f ca="1"/>
        <v>0.16434893871362022</v>
      </c>
      <c r="X1354" s="2">
        <f ca="1"/>
        <v>48.728780979390088</v>
      </c>
      <c r="AG1354" s="2">
        <f ca="1"/>
        <v>0.33186955149957065</v>
      </c>
      <c r="AH1354" s="2" t="str">
        <f ca="1"/>
        <v>OK</v>
      </c>
    </row>
    <row r="1355" spans="2:34" x14ac:dyDescent="0.2">
      <c r="B1355" s="2">
        <f ca="1"/>
        <v>0.11835593932843991</v>
      </c>
      <c r="O1355" s="2">
        <f ca="1"/>
        <v>0.40373179582644891</v>
      </c>
      <c r="X1355" s="2">
        <f ca="1"/>
        <v>50.290228362536844</v>
      </c>
      <c r="AG1355" s="2">
        <f ca="1"/>
        <v>0.89039675867116586</v>
      </c>
      <c r="AH1355" s="2" t="str">
        <f ca="1"/>
        <v>Bad</v>
      </c>
    </row>
    <row r="1356" spans="2:34" x14ac:dyDescent="0.2">
      <c r="B1356" s="2">
        <f ca="1"/>
        <v>0.66405392455269552</v>
      </c>
      <c r="O1356" s="2">
        <f ca="1"/>
        <v>0.50686277509054334</v>
      </c>
      <c r="X1356" s="2">
        <f ca="1"/>
        <v>46.698363594394714</v>
      </c>
      <c r="AG1356" s="2">
        <f ca="1"/>
        <v>0.78927318127655588</v>
      </c>
      <c r="AH1356" s="2" t="str">
        <f ca="1"/>
        <v>Bad</v>
      </c>
    </row>
    <row r="1357" spans="2:34" x14ac:dyDescent="0.2">
      <c r="B1357" s="2">
        <f ca="1"/>
        <v>0.64427626341655686</v>
      </c>
      <c r="O1357" s="2">
        <f ca="1"/>
        <v>1.4108624742833291</v>
      </c>
      <c r="X1357" s="2">
        <f ca="1"/>
        <v>42.474313597436755</v>
      </c>
      <c r="AG1357" s="2">
        <f ca="1"/>
        <v>0.9028424870841425</v>
      </c>
      <c r="AH1357" s="2" t="str">
        <f ca="1"/>
        <v>Bad</v>
      </c>
    </row>
    <row r="1358" spans="2:34" x14ac:dyDescent="0.2">
      <c r="B1358" s="2">
        <f ca="1"/>
        <v>0.6853937983064442</v>
      </c>
      <c r="O1358" s="2">
        <f ca="1"/>
        <v>0.78991866480937822</v>
      </c>
      <c r="X1358" s="2">
        <f ca="1"/>
        <v>64.101633043602831</v>
      </c>
      <c r="AG1358" s="2">
        <f ca="1"/>
        <v>4.1425664676651319E-2</v>
      </c>
      <c r="AH1358" s="2" t="str">
        <f ca="1"/>
        <v>Good</v>
      </c>
    </row>
    <row r="1359" spans="2:34" x14ac:dyDescent="0.2">
      <c r="B1359" s="2">
        <f ca="1"/>
        <v>0.4172830433368977</v>
      </c>
      <c r="O1359" s="2">
        <f ca="1"/>
        <v>2.1150168658358646</v>
      </c>
      <c r="X1359" s="2">
        <f ca="1"/>
        <v>56.434900395234948</v>
      </c>
      <c r="AG1359" s="2">
        <f ca="1"/>
        <v>0.57363354014426937</v>
      </c>
      <c r="AH1359" s="2" t="str">
        <f ca="1"/>
        <v>Bad</v>
      </c>
    </row>
    <row r="1360" spans="2:34" x14ac:dyDescent="0.2">
      <c r="B1360" s="2">
        <f ca="1"/>
        <v>0.31597060003561728</v>
      </c>
      <c r="O1360" s="2">
        <f ca="1"/>
        <v>-0.87997208641301039</v>
      </c>
      <c r="X1360" s="2">
        <f ca="1"/>
        <v>56.878417574239535</v>
      </c>
      <c r="AG1360" s="2">
        <f ca="1"/>
        <v>0.3160344865052569</v>
      </c>
      <c r="AH1360" s="2" t="str">
        <f ca="1"/>
        <v>OK</v>
      </c>
    </row>
    <row r="1361" spans="2:34" x14ac:dyDescent="0.2">
      <c r="B1361" s="2">
        <f ca="1"/>
        <v>0.79747973909958492</v>
      </c>
      <c r="O1361" s="2">
        <f ca="1"/>
        <v>-2.3027555396613963</v>
      </c>
      <c r="X1361" s="2">
        <f ca="1"/>
        <v>60.349201450765932</v>
      </c>
      <c r="AG1361" s="2">
        <f ca="1"/>
        <v>0.46466152127497806</v>
      </c>
      <c r="AH1361" s="2" t="str">
        <f ca="1"/>
        <v>Bad</v>
      </c>
    </row>
    <row r="1362" spans="2:34" x14ac:dyDescent="0.2">
      <c r="B1362" s="2">
        <f ca="1"/>
        <v>0.22180853972694248</v>
      </c>
      <c r="O1362" s="2">
        <f ca="1"/>
        <v>-1.7456594569169046</v>
      </c>
      <c r="X1362" s="2">
        <f ca="1"/>
        <v>58.019730244015228</v>
      </c>
      <c r="AG1362" s="2">
        <f ca="1"/>
        <v>0.27086525774565606</v>
      </c>
      <c r="AH1362" s="2" t="str">
        <f ca="1"/>
        <v>OK</v>
      </c>
    </row>
    <row r="1363" spans="2:34" x14ac:dyDescent="0.2">
      <c r="B1363" s="2">
        <f ca="1"/>
        <v>0.61339963275762854</v>
      </c>
      <c r="O1363" s="2">
        <f ca="1"/>
        <v>-0.73727735984154963</v>
      </c>
      <c r="X1363" s="2">
        <f ca="1"/>
        <v>66.048989802943936</v>
      </c>
      <c r="AG1363" s="2">
        <f ca="1"/>
        <v>0.54801640644672833</v>
      </c>
      <c r="AH1363" s="2" t="str">
        <f ca="1"/>
        <v>Bad</v>
      </c>
    </row>
    <row r="1364" spans="2:34" x14ac:dyDescent="0.2">
      <c r="B1364" s="2">
        <f ca="1"/>
        <v>0.53691168276448997</v>
      </c>
      <c r="O1364" s="2">
        <f ca="1"/>
        <v>6.3455711798401468E-2</v>
      </c>
      <c r="X1364" s="2">
        <f ca="1"/>
        <v>40.582061694942482</v>
      </c>
      <c r="AG1364" s="2">
        <f ca="1"/>
        <v>6.7441705305138155E-2</v>
      </c>
      <c r="AH1364" s="2" t="str">
        <f ca="1"/>
        <v>OK</v>
      </c>
    </row>
    <row r="1365" spans="2:34" x14ac:dyDescent="0.2">
      <c r="B1365" s="2">
        <f ca="1"/>
        <v>0.90728989862594589</v>
      </c>
      <c r="O1365" s="2">
        <f ca="1"/>
        <v>1.123440238919178</v>
      </c>
      <c r="X1365" s="2">
        <f ca="1"/>
        <v>52.0608201201768</v>
      </c>
      <c r="AG1365" s="2">
        <f ca="1"/>
        <v>0.5257360765100163</v>
      </c>
      <c r="AH1365" s="2" t="str">
        <f ca="1"/>
        <v>Bad</v>
      </c>
    </row>
    <row r="1366" spans="2:34" x14ac:dyDescent="0.2">
      <c r="B1366" s="2">
        <f ca="1"/>
        <v>4.6382730027207719E-2</v>
      </c>
      <c r="O1366" s="2">
        <f ca="1"/>
        <v>-1.253230807104168</v>
      </c>
      <c r="X1366" s="2">
        <f ca="1"/>
        <v>35.024433298611818</v>
      </c>
      <c r="AG1366" s="2">
        <f ca="1"/>
        <v>0.58911646454820721</v>
      </c>
      <c r="AH1366" s="2" t="str">
        <f ca="1"/>
        <v>Bad</v>
      </c>
    </row>
    <row r="1367" spans="2:34" x14ac:dyDescent="0.2">
      <c r="B1367" s="2">
        <f ca="1"/>
        <v>0.66682910846005927</v>
      </c>
      <c r="O1367" s="2">
        <f ca="1"/>
        <v>1.0477154184065247</v>
      </c>
      <c r="X1367" s="2">
        <f ca="1"/>
        <v>54.593031797280673</v>
      </c>
      <c r="AG1367" s="2">
        <f ca="1"/>
        <v>0.41202066529888115</v>
      </c>
      <c r="AH1367" s="2" t="str">
        <f ca="1"/>
        <v>Bad</v>
      </c>
    </row>
    <row r="1368" spans="2:34" x14ac:dyDescent="0.2">
      <c r="B1368" s="2">
        <f ca="1"/>
        <v>0.33640671811507228</v>
      </c>
      <c r="O1368" s="2">
        <f ca="1"/>
        <v>0.85707421899280067</v>
      </c>
      <c r="X1368" s="2">
        <f ca="1"/>
        <v>49.878721231509068</v>
      </c>
      <c r="AG1368" s="2">
        <f ca="1"/>
        <v>0.93280490699370144</v>
      </c>
      <c r="AH1368" s="2" t="str">
        <f ca="1"/>
        <v>Bad</v>
      </c>
    </row>
    <row r="1369" spans="2:34" x14ac:dyDescent="0.2">
      <c r="B1369" s="2">
        <f ca="1"/>
        <v>0.76692209048883719</v>
      </c>
      <c r="O1369" s="2">
        <f ca="1"/>
        <v>-0.37827973990226726</v>
      </c>
      <c r="X1369" s="2">
        <f ca="1"/>
        <v>25.904066114100001</v>
      </c>
      <c r="AG1369" s="2">
        <f ca="1"/>
        <v>3.1045266776352776E-2</v>
      </c>
      <c r="AH1369" s="2" t="str">
        <f ca="1"/>
        <v>Good</v>
      </c>
    </row>
    <row r="1370" spans="2:34" x14ac:dyDescent="0.2">
      <c r="B1370" s="2">
        <f ca="1"/>
        <v>0.38788273696014075</v>
      </c>
      <c r="O1370" s="2">
        <f ca="1"/>
        <v>0.82741409311589875</v>
      </c>
      <c r="X1370" s="2">
        <f ca="1"/>
        <v>53.305185003901805</v>
      </c>
      <c r="AG1370" s="2">
        <f ca="1"/>
        <v>0.81376090138352608</v>
      </c>
      <c r="AH1370" s="2" t="str">
        <f ca="1"/>
        <v>Bad</v>
      </c>
    </row>
    <row r="1371" spans="2:34" x14ac:dyDescent="0.2">
      <c r="B1371" s="2">
        <f ca="1"/>
        <v>0.24948998801269084</v>
      </c>
      <c r="O1371" s="2">
        <f ca="1"/>
        <v>0.14844046921318188</v>
      </c>
      <c r="X1371" s="2">
        <f ca="1"/>
        <v>92.945086254217912</v>
      </c>
      <c r="AG1371" s="2">
        <f ca="1"/>
        <v>0.85898971041710781</v>
      </c>
      <c r="AH1371" s="2" t="str">
        <f ca="1"/>
        <v>Bad</v>
      </c>
    </row>
    <row r="1372" spans="2:34" x14ac:dyDescent="0.2">
      <c r="B1372" s="2">
        <f ca="1"/>
        <v>0.99463267252807119</v>
      </c>
      <c r="O1372" s="2">
        <f ca="1"/>
        <v>0.5625302684505652</v>
      </c>
      <c r="X1372" s="2">
        <f ca="1"/>
        <v>58.395324515401661</v>
      </c>
      <c r="AG1372" s="2">
        <f ca="1"/>
        <v>0.5016993534347638</v>
      </c>
      <c r="AH1372" s="2" t="str">
        <f ca="1"/>
        <v>Bad</v>
      </c>
    </row>
    <row r="1373" spans="2:34" x14ac:dyDescent="0.2">
      <c r="B1373" s="2">
        <f ca="1"/>
        <v>0.63422393186103387</v>
      </c>
      <c r="O1373" s="2">
        <f ca="1"/>
        <v>-0.4090170411669094</v>
      </c>
      <c r="X1373" s="2">
        <f ca="1"/>
        <v>41.558088143220864</v>
      </c>
      <c r="AG1373" s="2">
        <f ca="1"/>
        <v>0.28295010612025195</v>
      </c>
      <c r="AH1373" s="2" t="str">
        <f ca="1"/>
        <v>OK</v>
      </c>
    </row>
    <row r="1374" spans="2:34" x14ac:dyDescent="0.2">
      <c r="B1374" s="2">
        <f ca="1"/>
        <v>0.9170949451485837</v>
      </c>
      <c r="O1374" s="2">
        <f ca="1"/>
        <v>0.53184765262023259</v>
      </c>
      <c r="X1374" s="2">
        <f ca="1"/>
        <v>49.110310082527455</v>
      </c>
      <c r="AG1374" s="2">
        <f ca="1"/>
        <v>0.83036243103225149</v>
      </c>
      <c r="AH1374" s="2" t="str">
        <f ca="1"/>
        <v>Bad</v>
      </c>
    </row>
    <row r="1375" spans="2:34" x14ac:dyDescent="0.2">
      <c r="B1375" s="2">
        <f ca="1"/>
        <v>8.7396410231010968E-4</v>
      </c>
      <c r="O1375" s="2">
        <f ca="1"/>
        <v>0.26256989524736002</v>
      </c>
      <c r="X1375" s="2">
        <f ca="1"/>
        <v>46.700449691824673</v>
      </c>
      <c r="AG1375" s="2">
        <f ca="1"/>
        <v>0.68381800883976229</v>
      </c>
      <c r="AH1375" s="2" t="str">
        <f ca="1"/>
        <v>Bad</v>
      </c>
    </row>
    <row r="1376" spans="2:34" x14ac:dyDescent="0.2">
      <c r="B1376" s="2">
        <f ca="1"/>
        <v>0.74142603965308851</v>
      </c>
      <c r="O1376" s="2">
        <f ca="1"/>
        <v>0.69878274262685458</v>
      </c>
      <c r="X1376" s="2">
        <f ca="1"/>
        <v>62.553659059622888</v>
      </c>
      <c r="AG1376" s="2">
        <f ca="1"/>
        <v>0.34226324682235165</v>
      </c>
      <c r="AH1376" s="2" t="str">
        <f ca="1"/>
        <v>OK</v>
      </c>
    </row>
    <row r="1377" spans="2:34" x14ac:dyDescent="0.2">
      <c r="B1377" s="2">
        <f ca="1"/>
        <v>0.21518620685543155</v>
      </c>
      <c r="O1377" s="2">
        <f ca="1"/>
        <v>-0.77521511013692879</v>
      </c>
      <c r="X1377" s="2">
        <f ca="1"/>
        <v>48.323253632712913</v>
      </c>
      <c r="AG1377" s="2">
        <f ca="1"/>
        <v>0.50997182105663952</v>
      </c>
      <c r="AH1377" s="2" t="str">
        <f ca="1"/>
        <v>Bad</v>
      </c>
    </row>
    <row r="1378" spans="2:34" x14ac:dyDescent="0.2">
      <c r="B1378" s="2">
        <f ca="1"/>
        <v>0.5816363761985428</v>
      </c>
      <c r="O1378" s="2">
        <f ca="1"/>
        <v>-1.1578835911705403</v>
      </c>
      <c r="X1378" s="2">
        <f ca="1"/>
        <v>63.100599052572576</v>
      </c>
      <c r="AG1378" s="2">
        <f ca="1"/>
        <v>0.680330603417441</v>
      </c>
      <c r="AH1378" s="2" t="str">
        <f ca="1"/>
        <v>Bad</v>
      </c>
    </row>
    <row r="1379" spans="2:34" x14ac:dyDescent="0.2">
      <c r="B1379" s="2">
        <f ca="1"/>
        <v>0.75050677815083344</v>
      </c>
      <c r="O1379" s="2">
        <f ca="1"/>
        <v>-0.18088967997048289</v>
      </c>
      <c r="X1379" s="2">
        <f ca="1"/>
        <v>41.567985810575919</v>
      </c>
      <c r="AG1379" s="2">
        <f ca="1"/>
        <v>0.71902129036168705</v>
      </c>
      <c r="AH1379" s="2" t="str">
        <f ca="1"/>
        <v>Bad</v>
      </c>
    </row>
    <row r="1380" spans="2:34" x14ac:dyDescent="0.2">
      <c r="B1380" s="2">
        <f ca="1"/>
        <v>0.67145426127603947</v>
      </c>
      <c r="O1380" s="2">
        <f ca="1"/>
        <v>0.91738641046464053</v>
      </c>
      <c r="X1380" s="2">
        <f ca="1"/>
        <v>45.57695333471537</v>
      </c>
      <c r="AG1380" s="2">
        <f ca="1"/>
        <v>0.39097160047328972</v>
      </c>
      <c r="AH1380" s="2" t="str">
        <f ca="1"/>
        <v>OK</v>
      </c>
    </row>
    <row r="1381" spans="2:34" x14ac:dyDescent="0.2">
      <c r="B1381" s="2">
        <f ca="1"/>
        <v>5.0598262246280168E-2</v>
      </c>
      <c r="O1381" s="2">
        <f ca="1"/>
        <v>0.19554374777765315</v>
      </c>
      <c r="X1381" s="2">
        <f ca="1"/>
        <v>67.180171002262043</v>
      </c>
      <c r="AG1381" s="2">
        <f ca="1"/>
        <v>0.88135125714639662</v>
      </c>
      <c r="AH1381" s="2" t="str">
        <f ca="1"/>
        <v>Bad</v>
      </c>
    </row>
    <row r="1382" spans="2:34" x14ac:dyDescent="0.2">
      <c r="B1382" s="2">
        <f ca="1"/>
        <v>0.50245126891635694</v>
      </c>
      <c r="O1382" s="2">
        <f ca="1"/>
        <v>0.55686585484990869</v>
      </c>
      <c r="X1382" s="2">
        <f ca="1"/>
        <v>33.111714809212238</v>
      </c>
      <c r="AG1382" s="2">
        <f ca="1"/>
        <v>0.87313749305252197</v>
      </c>
      <c r="AH1382" s="2" t="str">
        <f ca="1"/>
        <v>Bad</v>
      </c>
    </row>
    <row r="1383" spans="2:34" x14ac:dyDescent="0.2">
      <c r="B1383" s="2">
        <f ca="1"/>
        <v>0.69809133088534669</v>
      </c>
      <c r="O1383" s="2">
        <f ca="1"/>
        <v>1.3967111648782065</v>
      </c>
      <c r="X1383" s="2">
        <f ca="1"/>
        <v>55.3430998594743</v>
      </c>
      <c r="AG1383" s="2">
        <f ca="1"/>
        <v>0.89297445505941586</v>
      </c>
      <c r="AH1383" s="2" t="str">
        <f ca="1"/>
        <v>Bad</v>
      </c>
    </row>
    <row r="1384" spans="2:34" x14ac:dyDescent="0.2">
      <c r="B1384" s="2">
        <f ca="1"/>
        <v>0.83673114609687049</v>
      </c>
      <c r="O1384" s="2">
        <f ca="1"/>
        <v>-0.3982695979284811</v>
      </c>
      <c r="X1384" s="2">
        <f ca="1"/>
        <v>43.197388699481827</v>
      </c>
      <c r="AG1384" s="2">
        <f ca="1"/>
        <v>0.98928674780149795</v>
      </c>
      <c r="AH1384" s="2" t="str">
        <f ca="1"/>
        <v>Bad</v>
      </c>
    </row>
    <row r="1385" spans="2:34" x14ac:dyDescent="0.2">
      <c r="B1385" s="2">
        <f ca="1"/>
        <v>0.68927923513856904</v>
      </c>
      <c r="O1385" s="2">
        <f ca="1"/>
        <v>1.2796021032070168</v>
      </c>
      <c r="X1385" s="2">
        <f ca="1"/>
        <v>19.554581790999354</v>
      </c>
      <c r="AG1385" s="2">
        <f ca="1"/>
        <v>0.91680031205583368</v>
      </c>
      <c r="AH1385" s="2" t="str">
        <f ca="1"/>
        <v>Bad</v>
      </c>
    </row>
    <row r="1386" spans="2:34" x14ac:dyDescent="0.2">
      <c r="B1386" s="2">
        <f ca="1"/>
        <v>0.48829768294484421</v>
      </c>
      <c r="O1386" s="2">
        <f ca="1"/>
        <v>0.14567975881420431</v>
      </c>
      <c r="X1386" s="2">
        <f ca="1"/>
        <v>38.229854671163324</v>
      </c>
      <c r="AG1386" s="2">
        <f ca="1"/>
        <v>0.75646025171354037</v>
      </c>
      <c r="AH1386" s="2" t="str">
        <f ca="1"/>
        <v>Bad</v>
      </c>
    </row>
    <row r="1387" spans="2:34" x14ac:dyDescent="0.2">
      <c r="B1387" s="2">
        <f ca="1"/>
        <v>0.37088876738177712</v>
      </c>
      <c r="O1387" s="2">
        <f ca="1"/>
        <v>1.862683657443756</v>
      </c>
      <c r="X1387" s="2">
        <f ca="1"/>
        <v>41.979887281895152</v>
      </c>
      <c r="AG1387" s="2">
        <f ca="1"/>
        <v>0.97120649543606352</v>
      </c>
      <c r="AH1387" s="2" t="str">
        <f ca="1"/>
        <v>Bad</v>
      </c>
    </row>
    <row r="1388" spans="2:34" x14ac:dyDescent="0.2">
      <c r="B1388" s="2">
        <f ca="1"/>
        <v>0.31452679274986672</v>
      </c>
      <c r="O1388" s="2">
        <f ca="1"/>
        <v>-3.5742658857264506E-2</v>
      </c>
      <c r="X1388" s="2">
        <f ca="1"/>
        <v>39.92489917546132</v>
      </c>
      <c r="AG1388" s="2">
        <f ca="1"/>
        <v>0.77424600061907323</v>
      </c>
      <c r="AH1388" s="2" t="str">
        <f ca="1"/>
        <v>Bad</v>
      </c>
    </row>
    <row r="1389" spans="2:34" x14ac:dyDescent="0.2">
      <c r="B1389" s="2">
        <f ca="1"/>
        <v>0.53594230403699861</v>
      </c>
      <c r="O1389" s="2">
        <f ca="1"/>
        <v>0.24875123831636078</v>
      </c>
      <c r="X1389" s="2">
        <f ca="1"/>
        <v>53.329729682530427</v>
      </c>
      <c r="AG1389" s="2">
        <f ca="1"/>
        <v>0.94739006416228855</v>
      </c>
      <c r="AH1389" s="2" t="str">
        <f ca="1"/>
        <v>Bad</v>
      </c>
    </row>
    <row r="1390" spans="2:34" x14ac:dyDescent="0.2">
      <c r="B1390" s="2">
        <f ca="1"/>
        <v>0.14990367923871228</v>
      </c>
      <c r="O1390" s="2">
        <f ca="1"/>
        <v>0.34824570544515038</v>
      </c>
      <c r="X1390" s="2">
        <f ca="1"/>
        <v>43.408796118603348</v>
      </c>
      <c r="AG1390" s="2">
        <f ca="1"/>
        <v>0.70508306214165706</v>
      </c>
      <c r="AH1390" s="2" t="str">
        <f ca="1"/>
        <v>Bad</v>
      </c>
    </row>
    <row r="1391" spans="2:34" x14ac:dyDescent="0.2">
      <c r="B1391" s="2">
        <f ca="1"/>
        <v>0.7077640962218068</v>
      </c>
      <c r="O1391" s="2">
        <f ca="1"/>
        <v>0.41830573329256554</v>
      </c>
      <c r="X1391" s="2">
        <f ca="1"/>
        <v>66.73374863633174</v>
      </c>
      <c r="AG1391" s="2">
        <f ca="1"/>
        <v>0.9672668967946092</v>
      </c>
      <c r="AH1391" s="2" t="str">
        <f ca="1"/>
        <v>Bad</v>
      </c>
    </row>
    <row r="1392" spans="2:34" x14ac:dyDescent="0.2">
      <c r="B1392" s="2">
        <f ca="1"/>
        <v>0.33892252627876518</v>
      </c>
      <c r="O1392" s="2">
        <f ca="1"/>
        <v>-0.59173219353832407</v>
      </c>
      <c r="X1392" s="2">
        <f ca="1"/>
        <v>98.970213095580107</v>
      </c>
      <c r="AG1392" s="2">
        <f ca="1"/>
        <v>0.72453991350625802</v>
      </c>
      <c r="AH1392" s="2" t="str">
        <f ca="1"/>
        <v>Bad</v>
      </c>
    </row>
    <row r="1393" spans="2:34" x14ac:dyDescent="0.2">
      <c r="B1393" s="2">
        <f ca="1"/>
        <v>0.20819597296030556</v>
      </c>
      <c r="O1393" s="2">
        <f ca="1"/>
        <v>-0.52403540877925703</v>
      </c>
      <c r="X1393" s="2">
        <f ca="1"/>
        <v>46.447058088855741</v>
      </c>
      <c r="AG1393" s="2">
        <f ca="1"/>
        <v>0.87650535329194934</v>
      </c>
      <c r="AH1393" s="2" t="str">
        <f ca="1"/>
        <v>Bad</v>
      </c>
    </row>
    <row r="1394" spans="2:34" x14ac:dyDescent="0.2">
      <c r="B1394" s="2">
        <f ca="1"/>
        <v>0.32211081484920023</v>
      </c>
      <c r="O1394" s="2">
        <f ca="1"/>
        <v>1.16598754057441</v>
      </c>
      <c r="X1394" s="2">
        <f ca="1"/>
        <v>68.406383849661907</v>
      </c>
      <c r="AG1394" s="2">
        <f ca="1"/>
        <v>0.10087217808942572</v>
      </c>
      <c r="AH1394" s="2" t="str">
        <f ca="1"/>
        <v>OK</v>
      </c>
    </row>
    <row r="1395" spans="2:34" x14ac:dyDescent="0.2">
      <c r="B1395" s="2">
        <f ca="1"/>
        <v>0.56963337672374292</v>
      </c>
      <c r="O1395" s="2">
        <f ca="1"/>
        <v>-1.4762075923160063</v>
      </c>
      <c r="X1395" s="2">
        <f ca="1"/>
        <v>39.7257189177284</v>
      </c>
      <c r="AG1395" s="2">
        <f ca="1"/>
        <v>0.7118741184012789</v>
      </c>
      <c r="AH1395" s="2" t="str">
        <f ca="1"/>
        <v>Bad</v>
      </c>
    </row>
    <row r="1396" spans="2:34" x14ac:dyDescent="0.2">
      <c r="B1396" s="2">
        <f ca="1"/>
        <v>0.53144569100719896</v>
      </c>
      <c r="O1396" s="2">
        <f ca="1"/>
        <v>-1.1321033490417873</v>
      </c>
      <c r="X1396" s="2">
        <f ca="1"/>
        <v>45.20129262238045</v>
      </c>
      <c r="AG1396" s="2">
        <f ca="1"/>
        <v>0.83070101433052002</v>
      </c>
      <c r="AH1396" s="2" t="str">
        <f ca="1"/>
        <v>Bad</v>
      </c>
    </row>
    <row r="1397" spans="2:34" x14ac:dyDescent="0.2">
      <c r="B1397" s="2">
        <f ca="1"/>
        <v>0.37643142024299614</v>
      </c>
      <c r="O1397" s="2">
        <f ca="1"/>
        <v>0.89467718103112248</v>
      </c>
      <c r="X1397" s="2">
        <f ca="1"/>
        <v>65.417932899957876</v>
      </c>
      <c r="AG1397" s="2">
        <f ca="1"/>
        <v>0.92104552903208692</v>
      </c>
      <c r="AH1397" s="2" t="str">
        <f ca="1"/>
        <v>Bad</v>
      </c>
    </row>
    <row r="1398" spans="2:34" x14ac:dyDescent="0.2">
      <c r="B1398" s="2">
        <f ca="1"/>
        <v>0.19480328108653455</v>
      </c>
      <c r="O1398" s="2">
        <f ca="1"/>
        <v>1.3288234772197147</v>
      </c>
      <c r="X1398" s="2">
        <f ca="1"/>
        <v>35.305590280719194</v>
      </c>
      <c r="AG1398" s="2">
        <f ca="1"/>
        <v>0.19001867883822166</v>
      </c>
      <c r="AH1398" s="2" t="str">
        <f ca="1"/>
        <v>OK</v>
      </c>
    </row>
    <row r="1399" spans="2:34" x14ac:dyDescent="0.2">
      <c r="B1399" s="2">
        <f ca="1"/>
        <v>0.17952129905573</v>
      </c>
      <c r="O1399" s="2">
        <f ca="1"/>
        <v>1.2638556717782026</v>
      </c>
      <c r="X1399" s="2">
        <f ca="1"/>
        <v>38.289502570977177</v>
      </c>
      <c r="AG1399" s="2">
        <f ca="1"/>
        <v>0.99946807326265441</v>
      </c>
      <c r="AH1399" s="2" t="str">
        <f ca="1"/>
        <v>Bad</v>
      </c>
    </row>
    <row r="1400" spans="2:34" x14ac:dyDescent="0.2">
      <c r="B1400" s="2">
        <f ca="1"/>
        <v>0.25706794947684597</v>
      </c>
      <c r="O1400" s="2">
        <f ca="1"/>
        <v>-0.24794541413097837</v>
      </c>
      <c r="X1400" s="2">
        <f ca="1"/>
        <v>51.251752222102347</v>
      </c>
      <c r="AG1400" s="2">
        <f ca="1"/>
        <v>0.71600143543878381</v>
      </c>
      <c r="AH1400" s="2" t="str">
        <f ca="1"/>
        <v>Bad</v>
      </c>
    </row>
    <row r="1401" spans="2:34" x14ac:dyDescent="0.2">
      <c r="B1401" s="2">
        <f ca="1"/>
        <v>0.92859284707595346</v>
      </c>
      <c r="O1401" s="2">
        <f ca="1"/>
        <v>-0.66709777815572646</v>
      </c>
      <c r="X1401" s="2">
        <f ca="1"/>
        <v>80.671846704207326</v>
      </c>
      <c r="AG1401" s="2">
        <f ca="1"/>
        <v>0.45461980270323843</v>
      </c>
      <c r="AH1401" s="2" t="str">
        <f ca="1"/>
        <v>Bad</v>
      </c>
    </row>
    <row r="1402" spans="2:34" x14ac:dyDescent="0.2">
      <c r="B1402" s="2">
        <f ca="1"/>
        <v>5.9269622511478159E-2</v>
      </c>
      <c r="O1402" s="2">
        <f ca="1"/>
        <v>-0.33514669750287929</v>
      </c>
      <c r="X1402" s="2">
        <f ca="1"/>
        <v>49.85133127801781</v>
      </c>
      <c r="AG1402" s="2">
        <f ca="1"/>
        <v>0.66674291793637308</v>
      </c>
      <c r="AH1402" s="2" t="str">
        <f ca="1"/>
        <v>Bad</v>
      </c>
    </row>
    <row r="1403" spans="2:34" x14ac:dyDescent="0.2">
      <c r="B1403" s="2">
        <f ca="1"/>
        <v>1.2179651964171923E-2</v>
      </c>
      <c r="O1403" s="2">
        <f ca="1"/>
        <v>-0.71649045717710491</v>
      </c>
      <c r="X1403" s="2">
        <f ca="1"/>
        <v>52.993313638641283</v>
      </c>
      <c r="AG1403" s="2">
        <f ca="1"/>
        <v>0.53395392129497266</v>
      </c>
      <c r="AH1403" s="2" t="str">
        <f ca="1"/>
        <v>Bad</v>
      </c>
    </row>
    <row r="1404" spans="2:34" x14ac:dyDescent="0.2">
      <c r="B1404" s="2">
        <f ca="1"/>
        <v>0.57132863101743658</v>
      </c>
      <c r="O1404" s="2">
        <f ca="1"/>
        <v>0.13817505382277726</v>
      </c>
      <c r="X1404" s="2">
        <f ca="1"/>
        <v>40.973401683136224</v>
      </c>
      <c r="AG1404" s="2">
        <f ca="1"/>
        <v>0.20871548954348285</v>
      </c>
      <c r="AH1404" s="2" t="str">
        <f ca="1"/>
        <v>OK</v>
      </c>
    </row>
    <row r="1405" spans="2:34" x14ac:dyDescent="0.2">
      <c r="B1405" s="2">
        <f ca="1"/>
        <v>0.52348086758812884</v>
      </c>
      <c r="O1405" s="2">
        <f ca="1"/>
        <v>-4.8871351538419677E-2</v>
      </c>
      <c r="X1405" s="2">
        <f ca="1"/>
        <v>40.38541243247159</v>
      </c>
      <c r="AG1405" s="2">
        <f ca="1"/>
        <v>0.3341841161824457</v>
      </c>
      <c r="AH1405" s="2" t="str">
        <f ca="1"/>
        <v>OK</v>
      </c>
    </row>
    <row r="1406" spans="2:34" x14ac:dyDescent="0.2">
      <c r="B1406" s="2">
        <f ca="1"/>
        <v>3.5317397419746044E-2</v>
      </c>
      <c r="O1406" s="2">
        <f ca="1"/>
        <v>0.98212675460799626</v>
      </c>
      <c r="X1406" s="2">
        <f ca="1"/>
        <v>35.40476180127235</v>
      </c>
      <c r="AG1406" s="2">
        <f ca="1"/>
        <v>3.8779425855474781E-2</v>
      </c>
      <c r="AH1406" s="2" t="str">
        <f ca="1"/>
        <v>Good</v>
      </c>
    </row>
    <row r="1407" spans="2:34" x14ac:dyDescent="0.2">
      <c r="B1407" s="2">
        <f ca="1"/>
        <v>0.73822193043298312</v>
      </c>
      <c r="O1407" s="2">
        <f ca="1"/>
        <v>8.8963509132829952E-2</v>
      </c>
      <c r="X1407" s="2">
        <f ca="1"/>
        <v>26.554107455240118</v>
      </c>
      <c r="AG1407" s="2">
        <f ca="1"/>
        <v>9.0655048072759481E-2</v>
      </c>
      <c r="AH1407" s="2" t="str">
        <f ca="1"/>
        <v>OK</v>
      </c>
    </row>
    <row r="1408" spans="2:34" x14ac:dyDescent="0.2">
      <c r="B1408" s="2">
        <f ca="1"/>
        <v>0.38137133889069808</v>
      </c>
      <c r="O1408" s="2">
        <f ca="1"/>
        <v>-1.1244683757246245</v>
      </c>
      <c r="X1408" s="2">
        <f ca="1"/>
        <v>87.805162502862288</v>
      </c>
      <c r="AG1408" s="2">
        <f ca="1"/>
        <v>0.96740322183314165</v>
      </c>
      <c r="AH1408" s="2" t="str">
        <f ca="1"/>
        <v>Bad</v>
      </c>
    </row>
    <row r="1409" spans="2:34" x14ac:dyDescent="0.2">
      <c r="B1409" s="2">
        <f ca="1"/>
        <v>0.60333953887319014</v>
      </c>
      <c r="O1409" s="2">
        <f ca="1"/>
        <v>-0.85863802912469811</v>
      </c>
      <c r="X1409" s="2">
        <f ca="1"/>
        <v>64.522153349030191</v>
      </c>
      <c r="AG1409" s="2">
        <f ca="1"/>
        <v>0.97744312798959521</v>
      </c>
      <c r="AH1409" s="2" t="str">
        <f ca="1"/>
        <v>Bad</v>
      </c>
    </row>
    <row r="1410" spans="2:34" x14ac:dyDescent="0.2">
      <c r="B1410" s="2">
        <f ca="1"/>
        <v>0.80780434229856901</v>
      </c>
      <c r="O1410" s="2">
        <f ca="1"/>
        <v>6.7707372892184023E-2</v>
      </c>
      <c r="X1410" s="2">
        <f ca="1"/>
        <v>59.313340048868916</v>
      </c>
      <c r="AG1410" s="2">
        <f ca="1"/>
        <v>0.85510143500532143</v>
      </c>
      <c r="AH1410" s="2" t="str">
        <f ca="1"/>
        <v>Bad</v>
      </c>
    </row>
    <row r="1411" spans="2:34" x14ac:dyDescent="0.2">
      <c r="B1411" s="2">
        <f ca="1"/>
        <v>0.95874930510592637</v>
      </c>
      <c r="O1411" s="2">
        <f ca="1"/>
        <v>-9.0996354948595232E-2</v>
      </c>
      <c r="X1411" s="2">
        <f ca="1"/>
        <v>71.688022081134548</v>
      </c>
      <c r="AG1411" s="2">
        <f ca="1"/>
        <v>0.1206761389523443</v>
      </c>
      <c r="AH1411" s="2" t="str">
        <f ca="1"/>
        <v>OK</v>
      </c>
    </row>
    <row r="1412" spans="2:34" x14ac:dyDescent="0.2">
      <c r="B1412" s="2">
        <f ca="1"/>
        <v>0.73414038823766892</v>
      </c>
      <c r="O1412" s="2">
        <f ca="1"/>
        <v>0.33030907049179642</v>
      </c>
      <c r="X1412" s="2">
        <f ca="1"/>
        <v>39.371860921998817</v>
      </c>
      <c r="AG1412" s="2">
        <f ca="1"/>
        <v>0.44244857990924613</v>
      </c>
      <c r="AH1412" s="2" t="str">
        <f ca="1"/>
        <v>Bad</v>
      </c>
    </row>
    <row r="1413" spans="2:34" x14ac:dyDescent="0.2">
      <c r="B1413" s="2">
        <f ca="1"/>
        <v>0.78570960859891481</v>
      </c>
      <c r="O1413" s="2">
        <f ca="1"/>
        <v>-1.1874977793005337</v>
      </c>
      <c r="X1413" s="2">
        <f ca="1"/>
        <v>39.436059904164438</v>
      </c>
      <c r="AG1413" s="2">
        <f ca="1"/>
        <v>0.31613831543378779</v>
      </c>
      <c r="AH1413" s="2" t="str">
        <f ca="1"/>
        <v>OK</v>
      </c>
    </row>
    <row r="1414" spans="2:34" x14ac:dyDescent="0.2">
      <c r="B1414" s="2">
        <f ca="1"/>
        <v>0.44450346374044414</v>
      </c>
      <c r="O1414" s="2">
        <f ca="1"/>
        <v>-2.8001781748083862E-2</v>
      </c>
      <c r="X1414" s="2">
        <f ca="1"/>
        <v>85.521044576299573</v>
      </c>
      <c r="AG1414" s="2">
        <f ca="1"/>
        <v>0.15340932951164699</v>
      </c>
      <c r="AH1414" s="2" t="str">
        <f ca="1"/>
        <v>OK</v>
      </c>
    </row>
    <row r="1415" spans="2:34" x14ac:dyDescent="0.2">
      <c r="B1415" s="2">
        <f ca="1"/>
        <v>0.89507229388823184</v>
      </c>
      <c r="O1415" s="2">
        <f ca="1"/>
        <v>0.1076966483280261</v>
      </c>
      <c r="X1415" s="2">
        <f ca="1"/>
        <v>82.973421053142502</v>
      </c>
      <c r="AG1415" s="2">
        <f ca="1"/>
        <v>0.5982829426516898</v>
      </c>
      <c r="AH1415" s="2" t="str">
        <f ca="1"/>
        <v>Bad</v>
      </c>
    </row>
    <row r="1416" spans="2:34" x14ac:dyDescent="0.2">
      <c r="B1416" s="2">
        <f ca="1"/>
        <v>0.36545829676766073</v>
      </c>
      <c r="O1416" s="2">
        <f ca="1"/>
        <v>1.9372515443620979</v>
      </c>
      <c r="X1416" s="2">
        <f ca="1"/>
        <v>32.717017197344219</v>
      </c>
      <c r="AG1416" s="2">
        <f ca="1"/>
        <v>2.6218228858912562E-2</v>
      </c>
      <c r="AH1416" s="2" t="str">
        <f ca="1"/>
        <v>Good</v>
      </c>
    </row>
    <row r="1417" spans="2:34" x14ac:dyDescent="0.2">
      <c r="B1417" s="2">
        <f ca="1"/>
        <v>0.80969796547403883</v>
      </c>
      <c r="O1417" s="2">
        <f ca="1"/>
        <v>-1.6387269939376286</v>
      </c>
      <c r="X1417" s="2">
        <f ca="1"/>
        <v>42.88941951058348</v>
      </c>
      <c r="AG1417" s="2">
        <f ca="1"/>
        <v>0.71602108700730804</v>
      </c>
      <c r="AH1417" s="2" t="str">
        <f ca="1"/>
        <v>Bad</v>
      </c>
    </row>
    <row r="1418" spans="2:34" x14ac:dyDescent="0.2">
      <c r="B1418" s="2">
        <f ca="1"/>
        <v>0.22735568571456821</v>
      </c>
      <c r="O1418" s="2">
        <f ca="1"/>
        <v>-0.15970564806615975</v>
      </c>
      <c r="X1418" s="2">
        <f ca="1"/>
        <v>41.392808669930545</v>
      </c>
      <c r="AG1418" s="2">
        <f ca="1"/>
        <v>0.28192770250990429</v>
      </c>
      <c r="AH1418" s="2" t="str">
        <f ca="1"/>
        <v>OK</v>
      </c>
    </row>
    <row r="1419" spans="2:34" x14ac:dyDescent="0.2">
      <c r="B1419" s="2">
        <f ca="1"/>
        <v>4.9453839753498485E-2</v>
      </c>
      <c r="O1419" s="2">
        <f ca="1"/>
        <v>0.48385591748324092</v>
      </c>
      <c r="X1419" s="2">
        <f ca="1"/>
        <v>49.918395960758687</v>
      </c>
      <c r="AG1419" s="2">
        <f ca="1"/>
        <v>0.20653910887341365</v>
      </c>
      <c r="AH1419" s="2" t="str">
        <f ca="1"/>
        <v>OK</v>
      </c>
    </row>
    <row r="1420" spans="2:34" x14ac:dyDescent="0.2">
      <c r="B1420" s="2">
        <f ca="1"/>
        <v>0.56897352219281716</v>
      </c>
      <c r="O1420" s="2">
        <f ca="1"/>
        <v>0.20588475419832086</v>
      </c>
      <c r="X1420" s="2">
        <f ca="1"/>
        <v>68.873550870566476</v>
      </c>
      <c r="AG1420" s="2">
        <f ca="1"/>
        <v>0.1780214626797616</v>
      </c>
      <c r="AH1420" s="2" t="str">
        <f ca="1"/>
        <v>OK</v>
      </c>
    </row>
    <row r="1421" spans="2:34" x14ac:dyDescent="0.2">
      <c r="B1421" s="2">
        <f ca="1"/>
        <v>8.0142544445613195E-2</v>
      </c>
      <c r="O1421" s="2">
        <f ca="1"/>
        <v>-1.2988094550642402</v>
      </c>
      <c r="X1421" s="2">
        <f ca="1"/>
        <v>44.611173312274815</v>
      </c>
      <c r="AG1421" s="2">
        <f ca="1"/>
        <v>0.26524327970226502</v>
      </c>
      <c r="AH1421" s="2" t="str">
        <f ca="1"/>
        <v>OK</v>
      </c>
    </row>
    <row r="1422" spans="2:34" x14ac:dyDescent="0.2">
      <c r="B1422" s="2">
        <f ca="1"/>
        <v>0.71148355124527574</v>
      </c>
      <c r="O1422" s="2">
        <f ca="1"/>
        <v>-0.64355085726848704</v>
      </c>
      <c r="X1422" s="2">
        <f ca="1"/>
        <v>52.108735964528009</v>
      </c>
      <c r="AG1422" s="2">
        <f ca="1"/>
        <v>0.7181018106775563</v>
      </c>
      <c r="AH1422" s="2" t="str">
        <f ca="1"/>
        <v>Bad</v>
      </c>
    </row>
    <row r="1423" spans="2:34" x14ac:dyDescent="0.2">
      <c r="B1423" s="2">
        <f ca="1"/>
        <v>0.64018381497043397</v>
      </c>
      <c r="O1423" s="2">
        <f ca="1"/>
        <v>2.1862522272781795</v>
      </c>
      <c r="X1423" s="2">
        <f ca="1"/>
        <v>71.751890961250467</v>
      </c>
      <c r="AG1423" s="2">
        <f ca="1"/>
        <v>0.7914770388404988</v>
      </c>
      <c r="AH1423" s="2" t="str">
        <f ca="1"/>
        <v>Bad</v>
      </c>
    </row>
    <row r="1424" spans="2:34" x14ac:dyDescent="0.2">
      <c r="B1424" s="2">
        <f ca="1"/>
        <v>0.44785600608433485</v>
      </c>
      <c r="O1424" s="2">
        <f ca="1"/>
        <v>1.0679744268495166</v>
      </c>
      <c r="X1424" s="2">
        <f ca="1"/>
        <v>72.069330806460542</v>
      </c>
      <c r="AG1424" s="2">
        <f ca="1"/>
        <v>0.34781851173226275</v>
      </c>
      <c r="AH1424" s="2" t="str">
        <f ca="1"/>
        <v>OK</v>
      </c>
    </row>
    <row r="1425" spans="2:34" x14ac:dyDescent="0.2">
      <c r="B1425" s="2">
        <f ca="1"/>
        <v>0.2904504712265934</v>
      </c>
      <c r="O1425" s="2">
        <f ca="1"/>
        <v>-0.91117308759799198</v>
      </c>
      <c r="X1425" s="2">
        <f ca="1"/>
        <v>41.825028296772331</v>
      </c>
      <c r="AG1425" s="2">
        <f ca="1"/>
        <v>0.24998491662643185</v>
      </c>
      <c r="AH1425" s="2" t="str">
        <f ca="1"/>
        <v>OK</v>
      </c>
    </row>
    <row r="1426" spans="2:34" x14ac:dyDescent="0.2">
      <c r="B1426" s="2">
        <f ca="1"/>
        <v>0.44492897820307364</v>
      </c>
      <c r="O1426" s="2">
        <f ca="1"/>
        <v>0.67657684120552619</v>
      </c>
      <c r="X1426" s="2">
        <f ca="1"/>
        <v>28.511081544130139</v>
      </c>
      <c r="AG1426" s="2">
        <f ca="1"/>
        <v>0.45363571932307667</v>
      </c>
      <c r="AH1426" s="2" t="str">
        <f ca="1"/>
        <v>Bad</v>
      </c>
    </row>
    <row r="1427" spans="2:34" x14ac:dyDescent="0.2">
      <c r="B1427" s="2">
        <f ca="1"/>
        <v>0.68182840370613684</v>
      </c>
      <c r="O1427" s="2">
        <f ca="1"/>
        <v>3.3008817648159126E-2</v>
      </c>
      <c r="X1427" s="2">
        <f ca="1"/>
        <v>59.187002485021559</v>
      </c>
      <c r="AG1427" s="2">
        <f ca="1"/>
        <v>0.59147975084067106</v>
      </c>
      <c r="AH1427" s="2" t="str">
        <f ca="1"/>
        <v>Bad</v>
      </c>
    </row>
    <row r="1428" spans="2:34" x14ac:dyDescent="0.2">
      <c r="B1428" s="2">
        <f ca="1"/>
        <v>0.10976656752111147</v>
      </c>
      <c r="O1428" s="2">
        <f ca="1"/>
        <v>1.0893326522790427</v>
      </c>
      <c r="X1428" s="2">
        <f ca="1"/>
        <v>33.303783407842772</v>
      </c>
      <c r="AG1428" s="2">
        <f ca="1"/>
        <v>0.60911366780341325</v>
      </c>
      <c r="AH1428" s="2" t="str">
        <f ca="1"/>
        <v>Bad</v>
      </c>
    </row>
    <row r="1429" spans="2:34" x14ac:dyDescent="0.2">
      <c r="B1429" s="2">
        <f ca="1"/>
        <v>0.40015020622025665</v>
      </c>
      <c r="O1429" s="2">
        <f ca="1"/>
        <v>1.2984284825089136</v>
      </c>
      <c r="X1429" s="2">
        <f ca="1"/>
        <v>31.137457650150292</v>
      </c>
      <c r="AG1429" s="2">
        <f ca="1"/>
        <v>0.92199540034408023</v>
      </c>
      <c r="AH1429" s="2" t="str">
        <f ca="1"/>
        <v>Bad</v>
      </c>
    </row>
    <row r="1430" spans="2:34" x14ac:dyDescent="0.2">
      <c r="B1430" s="2">
        <f ca="1"/>
        <v>0.70013760823408222</v>
      </c>
      <c r="O1430" s="2">
        <f ca="1"/>
        <v>-0.4418251788496923</v>
      </c>
      <c r="X1430" s="2">
        <f ca="1"/>
        <v>31.299587297229984</v>
      </c>
      <c r="AG1430" s="2">
        <f ca="1"/>
        <v>0.12741574715813564</v>
      </c>
      <c r="AH1430" s="2" t="str">
        <f ca="1"/>
        <v>OK</v>
      </c>
    </row>
    <row r="1431" spans="2:34" x14ac:dyDescent="0.2">
      <c r="B1431" s="2">
        <f ca="1"/>
        <v>0.89433424961752084</v>
      </c>
      <c r="O1431" s="2">
        <f ca="1"/>
        <v>-1.0380565180245307</v>
      </c>
      <c r="X1431" s="2">
        <f ca="1"/>
        <v>75.613237099813745</v>
      </c>
      <c r="AG1431" s="2">
        <f ca="1"/>
        <v>0.44331708835826955</v>
      </c>
      <c r="AH1431" s="2" t="str">
        <f ca="1"/>
        <v>Bad</v>
      </c>
    </row>
    <row r="1432" spans="2:34" x14ac:dyDescent="0.2">
      <c r="B1432" s="2">
        <f ca="1"/>
        <v>0.61101838882775872</v>
      </c>
      <c r="O1432" s="2">
        <f ca="1"/>
        <v>1.0462673346854721</v>
      </c>
      <c r="X1432" s="2">
        <f ca="1"/>
        <v>29.887503036295232</v>
      </c>
      <c r="AG1432" s="2">
        <f ca="1"/>
        <v>0.43871638448906869</v>
      </c>
      <c r="AH1432" s="2" t="str">
        <f ca="1"/>
        <v>Bad</v>
      </c>
    </row>
    <row r="1433" spans="2:34" x14ac:dyDescent="0.2">
      <c r="B1433" s="2">
        <f ca="1"/>
        <v>0.37186963536224416</v>
      </c>
      <c r="O1433" s="2">
        <f ca="1"/>
        <v>0.56544746641384702</v>
      </c>
      <c r="X1433" s="2">
        <f ca="1"/>
        <v>29.684727651938502</v>
      </c>
      <c r="AG1433" s="2">
        <f ca="1"/>
        <v>0.26033890350738353</v>
      </c>
      <c r="AH1433" s="2" t="str">
        <f ca="1"/>
        <v>OK</v>
      </c>
    </row>
    <row r="1434" spans="2:34" x14ac:dyDescent="0.2">
      <c r="B1434" s="2">
        <f ca="1"/>
        <v>0.41889017548689367</v>
      </c>
      <c r="O1434" s="2">
        <f ca="1"/>
        <v>-1.5182957609859904</v>
      </c>
      <c r="X1434" s="2">
        <f ca="1"/>
        <v>24.052082819447374</v>
      </c>
      <c r="AG1434" s="2">
        <f ca="1"/>
        <v>0.12013509972721481</v>
      </c>
      <c r="AH1434" s="2" t="str">
        <f ca="1"/>
        <v>OK</v>
      </c>
    </row>
    <row r="1435" spans="2:34" x14ac:dyDescent="0.2">
      <c r="B1435" s="2">
        <f ca="1"/>
        <v>0.3328018016877381</v>
      </c>
      <c r="O1435" s="2">
        <f ca="1"/>
        <v>0.75535652371680739</v>
      </c>
      <c r="X1435" s="2">
        <f ca="1"/>
        <v>41.413884422644131</v>
      </c>
      <c r="AG1435" s="2">
        <f ca="1"/>
        <v>3.6130213270976208E-2</v>
      </c>
      <c r="AH1435" s="2" t="str">
        <f ca="1"/>
        <v>Good</v>
      </c>
    </row>
    <row r="1436" spans="2:34" x14ac:dyDescent="0.2">
      <c r="B1436" s="2">
        <f ca="1"/>
        <v>0.32678924031800682</v>
      </c>
      <c r="O1436" s="2">
        <f ca="1"/>
        <v>-0.54743972557588616</v>
      </c>
      <c r="X1436" s="2">
        <f ca="1"/>
        <v>32.813739261349319</v>
      </c>
      <c r="AG1436" s="2">
        <f ca="1"/>
        <v>0.32354347537674788</v>
      </c>
      <c r="AH1436" s="2" t="str">
        <f ca="1"/>
        <v>OK</v>
      </c>
    </row>
    <row r="1437" spans="2:34" x14ac:dyDescent="0.2">
      <c r="B1437" s="2">
        <f ca="1"/>
        <v>0.18943149725510855</v>
      </c>
      <c r="O1437" s="2">
        <f ca="1"/>
        <v>0.66478624374482276</v>
      </c>
      <c r="X1437" s="2">
        <f ca="1"/>
        <v>23.745230074630772</v>
      </c>
      <c r="AG1437" s="2">
        <f ca="1"/>
        <v>0.43050510331989678</v>
      </c>
      <c r="AH1437" s="2" t="str">
        <f ca="1"/>
        <v>Bad</v>
      </c>
    </row>
    <row r="1438" spans="2:34" x14ac:dyDescent="0.2">
      <c r="B1438" s="2">
        <f ca="1"/>
        <v>0.2195349278853822</v>
      </c>
      <c r="O1438" s="2">
        <f ca="1"/>
        <v>-0.53343197309366175</v>
      </c>
      <c r="X1438" s="2">
        <f ca="1"/>
        <v>55.018436851126609</v>
      </c>
      <c r="AG1438" s="2">
        <f ca="1"/>
        <v>6.027438857753098E-2</v>
      </c>
      <c r="AH1438" s="2" t="str">
        <f ca="1"/>
        <v>OK</v>
      </c>
    </row>
    <row r="1439" spans="2:34" x14ac:dyDescent="0.2">
      <c r="B1439" s="2">
        <f ca="1"/>
        <v>9.7222915197173299E-2</v>
      </c>
      <c r="O1439" s="2">
        <f ca="1"/>
        <v>0.67365186992621129</v>
      </c>
      <c r="X1439" s="2">
        <f ca="1"/>
        <v>53.223319237748747</v>
      </c>
      <c r="AG1439" s="2">
        <f ca="1"/>
        <v>0.29519780329064482</v>
      </c>
      <c r="AH1439" s="2" t="str">
        <f ca="1"/>
        <v>OK</v>
      </c>
    </row>
    <row r="1440" spans="2:34" x14ac:dyDescent="0.2">
      <c r="B1440" s="2">
        <f ca="1"/>
        <v>0.86617748977079656</v>
      </c>
      <c r="O1440" s="2">
        <f ca="1"/>
        <v>-0.55698294719628683</v>
      </c>
      <c r="X1440" s="2">
        <f ca="1"/>
        <v>38.883831860403255</v>
      </c>
      <c r="AG1440" s="2">
        <f ca="1"/>
        <v>0.51797926733746524</v>
      </c>
      <c r="AH1440" s="2" t="str">
        <f ca="1"/>
        <v>Bad</v>
      </c>
    </row>
    <row r="1441" spans="2:34" x14ac:dyDescent="0.2">
      <c r="B1441" s="2">
        <f ca="1"/>
        <v>0.12762750254999533</v>
      </c>
      <c r="O1441" s="2">
        <f ca="1"/>
        <v>-1.3944499868236886</v>
      </c>
      <c r="X1441" s="2">
        <f ca="1"/>
        <v>53.60459605416537</v>
      </c>
      <c r="AG1441" s="2">
        <f ca="1"/>
        <v>0.2325858377364769</v>
      </c>
      <c r="AH1441" s="2" t="str">
        <f ca="1"/>
        <v>OK</v>
      </c>
    </row>
    <row r="1442" spans="2:34" x14ac:dyDescent="0.2">
      <c r="B1442" s="2">
        <f ca="1"/>
        <v>0.26095531607200262</v>
      </c>
      <c r="O1442" s="2">
        <f ca="1"/>
        <v>-0.31616815883147864</v>
      </c>
      <c r="X1442" s="2">
        <f ca="1"/>
        <v>49.270991571960529</v>
      </c>
      <c r="AG1442" s="2">
        <f ca="1"/>
        <v>0.64715708748051193</v>
      </c>
      <c r="AH1442" s="2" t="str">
        <f ca="1"/>
        <v>Bad</v>
      </c>
    </row>
    <row r="1443" spans="2:34" x14ac:dyDescent="0.2">
      <c r="B1443" s="2">
        <f ca="1"/>
        <v>0.38631571824709421</v>
      </c>
      <c r="O1443" s="2">
        <f ca="1"/>
        <v>1.1534375862618684</v>
      </c>
      <c r="X1443" s="2">
        <f ca="1"/>
        <v>43.049922193750419</v>
      </c>
      <c r="AG1443" s="2">
        <f ca="1"/>
        <v>0.58999850489166339</v>
      </c>
      <c r="AH1443" s="2" t="str">
        <f ca="1"/>
        <v>Bad</v>
      </c>
    </row>
    <row r="1444" spans="2:34" x14ac:dyDescent="0.2">
      <c r="B1444" s="2">
        <f ca="1"/>
        <v>0.80493350820214471</v>
      </c>
      <c r="O1444" s="2">
        <f ca="1"/>
        <v>1.2738744867579827E-2</v>
      </c>
      <c r="X1444" s="2">
        <f ca="1"/>
        <v>30.430651638113861</v>
      </c>
      <c r="AG1444" s="2">
        <f ca="1"/>
        <v>0.60751376240832999</v>
      </c>
      <c r="AH1444" s="2" t="str">
        <f ca="1"/>
        <v>Bad</v>
      </c>
    </row>
    <row r="1445" spans="2:34" x14ac:dyDescent="0.2">
      <c r="B1445" s="2">
        <f ca="1"/>
        <v>0.29481295692102605</v>
      </c>
      <c r="O1445" s="2">
        <f ca="1"/>
        <v>-1.9687131470429264</v>
      </c>
      <c r="X1445" s="2">
        <f ca="1"/>
        <v>31.067041417012653</v>
      </c>
      <c r="AG1445" s="2">
        <f ca="1"/>
        <v>0.74856627647727447</v>
      </c>
      <c r="AH1445" s="2" t="str">
        <f ca="1"/>
        <v>Bad</v>
      </c>
    </row>
    <row r="1446" spans="2:34" x14ac:dyDescent="0.2">
      <c r="B1446" s="2">
        <f ca="1"/>
        <v>0.48791571549177148</v>
      </c>
      <c r="O1446" s="2">
        <f ca="1"/>
        <v>-2.1773225899936155</v>
      </c>
      <c r="X1446" s="2">
        <f ca="1"/>
        <v>57.855729306417558</v>
      </c>
      <c r="AG1446" s="2">
        <f ca="1"/>
        <v>0.33815411555090114</v>
      </c>
      <c r="AH1446" s="2" t="str">
        <f ca="1"/>
        <v>OK</v>
      </c>
    </row>
    <row r="1447" spans="2:34" x14ac:dyDescent="0.2">
      <c r="B1447" s="2">
        <f ca="1"/>
        <v>0.58479424973251914</v>
      </c>
      <c r="O1447" s="2">
        <f ca="1"/>
        <v>-0.27850783367383614</v>
      </c>
      <c r="X1447" s="2">
        <f ca="1"/>
        <v>45.240611422767437</v>
      </c>
      <c r="AG1447" s="2">
        <f ca="1"/>
        <v>0.89583027304429397</v>
      </c>
      <c r="AH1447" s="2" t="str">
        <f ca="1"/>
        <v>Bad</v>
      </c>
    </row>
    <row r="1448" spans="2:34" x14ac:dyDescent="0.2">
      <c r="B1448" s="2">
        <f ca="1"/>
        <v>3.7825459407575535E-2</v>
      </c>
      <c r="O1448" s="2">
        <f ca="1"/>
        <v>-0.24985615475912804</v>
      </c>
      <c r="X1448" s="2">
        <f ca="1"/>
        <v>36.736790613274181</v>
      </c>
      <c r="AG1448" s="2">
        <f ca="1"/>
        <v>0.59045930515718492</v>
      </c>
      <c r="AH1448" s="2" t="str">
        <f ca="1"/>
        <v>Bad</v>
      </c>
    </row>
    <row r="1449" spans="2:34" x14ac:dyDescent="0.2">
      <c r="B1449" s="2">
        <f ca="1"/>
        <v>0.84626527868113954</v>
      </c>
      <c r="O1449" s="2">
        <f ca="1"/>
        <v>-1.1582679787640566</v>
      </c>
      <c r="X1449" s="2">
        <f ca="1"/>
        <v>42.309683823130307</v>
      </c>
      <c r="AG1449" s="2">
        <f ca="1"/>
        <v>0.47883816129713086</v>
      </c>
      <c r="AH1449" s="2" t="str">
        <f ca="1"/>
        <v>Bad</v>
      </c>
    </row>
    <row r="1450" spans="2:34" x14ac:dyDescent="0.2">
      <c r="B1450" s="2">
        <f ca="1"/>
        <v>0.97837591849431615</v>
      </c>
      <c r="O1450" s="2">
        <f ca="1"/>
        <v>-1.5191905675868282</v>
      </c>
      <c r="X1450" s="2">
        <f ca="1"/>
        <v>27.165316380389761</v>
      </c>
      <c r="AG1450" s="2">
        <f ca="1"/>
        <v>0.64084044177672883</v>
      </c>
      <c r="AH1450" s="2" t="str">
        <f ca="1"/>
        <v>Bad</v>
      </c>
    </row>
    <row r="1451" spans="2:34" x14ac:dyDescent="0.2">
      <c r="B1451" s="2">
        <f ca="1"/>
        <v>0.10572271336617489</v>
      </c>
      <c r="O1451" s="2">
        <f ca="1"/>
        <v>-0.1581866810912082</v>
      </c>
      <c r="X1451" s="2">
        <f ca="1"/>
        <v>33.457480934999289</v>
      </c>
      <c r="AG1451" s="2">
        <f ca="1"/>
        <v>0.82262454747305491</v>
      </c>
      <c r="AH1451" s="2" t="str">
        <f ca="1"/>
        <v>Bad</v>
      </c>
    </row>
    <row r="1452" spans="2:34" x14ac:dyDescent="0.2">
      <c r="B1452" s="2">
        <f ca="1"/>
        <v>0.16483585923513999</v>
      </c>
      <c r="O1452" s="2">
        <f ca="1"/>
        <v>-1.6653981328959448</v>
      </c>
      <c r="X1452" s="2">
        <f ca="1"/>
        <v>64.985562306043562</v>
      </c>
      <c r="AG1452" s="2">
        <f ca="1"/>
        <v>0.68379571093999258</v>
      </c>
      <c r="AH1452" s="2" t="str">
        <f ca="1"/>
        <v>Bad</v>
      </c>
    </row>
    <row r="1453" spans="2:34" x14ac:dyDescent="0.2">
      <c r="B1453" s="2">
        <f ca="1"/>
        <v>0.40564327526818023</v>
      </c>
      <c r="O1453" s="2">
        <f ca="1"/>
        <v>-0.63208286704645167</v>
      </c>
      <c r="X1453" s="2">
        <f ca="1"/>
        <v>55.724623694127011</v>
      </c>
      <c r="AG1453" s="2">
        <f ca="1"/>
        <v>0.38587858185788493</v>
      </c>
      <c r="AH1453" s="2" t="str">
        <f ca="1"/>
        <v>OK</v>
      </c>
    </row>
    <row r="1454" spans="2:34" x14ac:dyDescent="0.2">
      <c r="B1454" s="2">
        <f ca="1"/>
        <v>0.71505217012546907</v>
      </c>
      <c r="O1454" s="2">
        <f ca="1"/>
        <v>0.51455051172084276</v>
      </c>
      <c r="X1454" s="2">
        <f ca="1"/>
        <v>57.461469120591616</v>
      </c>
      <c r="AG1454" s="2">
        <f ca="1"/>
        <v>0.16475658345851407</v>
      </c>
      <c r="AH1454" s="2" t="str">
        <f ca="1"/>
        <v>OK</v>
      </c>
    </row>
    <row r="1455" spans="2:34" x14ac:dyDescent="0.2">
      <c r="B1455" s="2">
        <f ca="1"/>
        <v>0.28309201688519336</v>
      </c>
      <c r="O1455" s="2">
        <f ca="1"/>
        <v>-0.84901689277980041</v>
      </c>
      <c r="X1455" s="2">
        <f ca="1"/>
        <v>69.51525138213897</v>
      </c>
      <c r="AG1455" s="2">
        <f ca="1"/>
        <v>4.5948359535763705E-2</v>
      </c>
      <c r="AH1455" s="2" t="str">
        <f ca="1"/>
        <v>Good</v>
      </c>
    </row>
    <row r="1456" spans="2:34" x14ac:dyDescent="0.2">
      <c r="B1456" s="2">
        <f ca="1"/>
        <v>0.44503783480277281</v>
      </c>
      <c r="O1456" s="2">
        <f ca="1"/>
        <v>-0.18473846215548087</v>
      </c>
      <c r="X1456" s="2">
        <f ca="1"/>
        <v>37.159574101564246</v>
      </c>
      <c r="AG1456" s="2">
        <f ca="1"/>
        <v>0.75909037785983413</v>
      </c>
      <c r="AH1456" s="2" t="str">
        <f ca="1"/>
        <v>Bad</v>
      </c>
    </row>
    <row r="1457" spans="2:34" x14ac:dyDescent="0.2">
      <c r="B1457" s="2">
        <f ca="1"/>
        <v>0.71321297301713726</v>
      </c>
      <c r="O1457" s="2">
        <f ca="1"/>
        <v>-0.79284605832363808</v>
      </c>
      <c r="X1457" s="2">
        <f ca="1"/>
        <v>52.167945360894763</v>
      </c>
      <c r="AG1457" s="2">
        <f ca="1"/>
        <v>0.20069234292295812</v>
      </c>
      <c r="AH1457" s="2" t="str">
        <f ca="1"/>
        <v>OK</v>
      </c>
    </row>
    <row r="1458" spans="2:34" x14ac:dyDescent="0.2">
      <c r="B1458" s="2">
        <f ca="1"/>
        <v>0.58258680529867868</v>
      </c>
      <c r="O1458" s="2">
        <f ca="1"/>
        <v>-0.85642243974511245</v>
      </c>
      <c r="X1458" s="2">
        <f ca="1"/>
        <v>24.129483878105727</v>
      </c>
      <c r="AG1458" s="2">
        <f ca="1"/>
        <v>8.2543884796950628E-2</v>
      </c>
      <c r="AH1458" s="2" t="str">
        <f ca="1"/>
        <v>OK</v>
      </c>
    </row>
    <row r="1459" spans="2:34" x14ac:dyDescent="0.2">
      <c r="B1459" s="2">
        <f ca="1"/>
        <v>0.23959984420006153</v>
      </c>
      <c r="O1459" s="2">
        <f ca="1"/>
        <v>1.058640777407001</v>
      </c>
      <c r="X1459" s="2">
        <f ca="1"/>
        <v>42.832387818651007</v>
      </c>
      <c r="AG1459" s="2">
        <f ca="1"/>
        <v>0.4332236264126299</v>
      </c>
      <c r="AH1459" s="2" t="str">
        <f ca="1"/>
        <v>Bad</v>
      </c>
    </row>
    <row r="1460" spans="2:34" x14ac:dyDescent="0.2">
      <c r="B1460" s="2">
        <f ca="1"/>
        <v>0.95129588578261881</v>
      </c>
      <c r="O1460" s="2">
        <f ca="1"/>
        <v>-0.10144290508806288</v>
      </c>
      <c r="X1460" s="2">
        <f ca="1"/>
        <v>59.055079582898529</v>
      </c>
      <c r="AG1460" s="2">
        <f ca="1"/>
        <v>0.87994700195874431</v>
      </c>
      <c r="AH1460" s="2" t="str">
        <f ca="1"/>
        <v>Bad</v>
      </c>
    </row>
    <row r="1461" spans="2:34" x14ac:dyDescent="0.2">
      <c r="B1461" s="2">
        <f ca="1"/>
        <v>0.26870407977671174</v>
      </c>
      <c r="O1461" s="2">
        <f ca="1"/>
        <v>-0.2807416897514487</v>
      </c>
      <c r="X1461" s="2">
        <f ca="1"/>
        <v>38.491779290951747</v>
      </c>
      <c r="AG1461" s="2">
        <f ca="1"/>
        <v>0.89384540229448572</v>
      </c>
      <c r="AH1461" s="2" t="str">
        <f ca="1"/>
        <v>Bad</v>
      </c>
    </row>
    <row r="1462" spans="2:34" x14ac:dyDescent="0.2">
      <c r="B1462" s="2">
        <f ca="1"/>
        <v>0.33369345672193274</v>
      </c>
      <c r="O1462" s="2">
        <f ca="1"/>
        <v>1.2695419570126425</v>
      </c>
      <c r="X1462" s="2">
        <f ca="1"/>
        <v>75.345676996363181</v>
      </c>
      <c r="AG1462" s="2">
        <f ca="1"/>
        <v>0.49569393449773291</v>
      </c>
      <c r="AH1462" s="2" t="str">
        <f ca="1"/>
        <v>Bad</v>
      </c>
    </row>
    <row r="1463" spans="2:34" x14ac:dyDescent="0.2">
      <c r="B1463" s="2">
        <f ca="1"/>
        <v>0.75989205704304763</v>
      </c>
      <c r="O1463" s="2">
        <f ca="1"/>
        <v>-0.84161477264779216</v>
      </c>
      <c r="X1463" s="2">
        <f ca="1"/>
        <v>51.537551293032593</v>
      </c>
      <c r="AG1463" s="2">
        <f ca="1"/>
        <v>0.37159210323978575</v>
      </c>
      <c r="AH1463" s="2" t="str">
        <f ca="1"/>
        <v>OK</v>
      </c>
    </row>
    <row r="1464" spans="2:34" x14ac:dyDescent="0.2">
      <c r="B1464" s="2">
        <f ca="1"/>
        <v>4.2241082078298353E-2</v>
      </c>
      <c r="O1464" s="2">
        <f ca="1"/>
        <v>1.3392382110005587</v>
      </c>
      <c r="X1464" s="2">
        <f ca="1"/>
        <v>58.219263693627212</v>
      </c>
      <c r="AG1464" s="2">
        <f ca="1"/>
        <v>0.21092731887750604</v>
      </c>
      <c r="AH1464" s="2" t="str">
        <f ca="1"/>
        <v>OK</v>
      </c>
    </row>
    <row r="1465" spans="2:34" x14ac:dyDescent="0.2">
      <c r="B1465" s="2">
        <f ca="1"/>
        <v>0.31753521540927232</v>
      </c>
      <c r="O1465" s="2">
        <f ca="1"/>
        <v>-0.54047486144727852</v>
      </c>
      <c r="X1465" s="2">
        <f ca="1"/>
        <v>43.25043539088486</v>
      </c>
      <c r="AG1465" s="2">
        <f ca="1"/>
        <v>0.73528241613842416</v>
      </c>
      <c r="AH1465" s="2" t="str">
        <f ca="1"/>
        <v>Bad</v>
      </c>
    </row>
    <row r="1466" spans="2:34" x14ac:dyDescent="0.2">
      <c r="B1466" s="2">
        <f ca="1"/>
        <v>0.48331100085218126</v>
      </c>
      <c r="O1466" s="2">
        <f ca="1"/>
        <v>-0.86173140757037803</v>
      </c>
      <c r="X1466" s="2">
        <f ca="1"/>
        <v>42.137215548719851</v>
      </c>
      <c r="AG1466" s="2">
        <f ca="1"/>
        <v>0.15323172607622215</v>
      </c>
      <c r="AH1466" s="2" t="str">
        <f ca="1"/>
        <v>OK</v>
      </c>
    </row>
    <row r="1467" spans="2:34" x14ac:dyDescent="0.2">
      <c r="B1467" s="2">
        <f ca="1"/>
        <v>0.54495591934072896</v>
      </c>
      <c r="O1467" s="2">
        <f ca="1"/>
        <v>-0.13365710362729091</v>
      </c>
      <c r="X1467" s="2">
        <f ca="1"/>
        <v>62.696606684990847</v>
      </c>
      <c r="AG1467" s="2">
        <f ca="1"/>
        <v>4.1795606375259142E-2</v>
      </c>
      <c r="AH1467" s="2" t="str">
        <f ca="1"/>
        <v>Good</v>
      </c>
    </row>
    <row r="1468" spans="2:34" x14ac:dyDescent="0.2">
      <c r="B1468" s="2">
        <f ca="1"/>
        <v>0.66414839329101172</v>
      </c>
      <c r="O1468" s="2">
        <f ca="1"/>
        <v>-1.5339979089008273</v>
      </c>
      <c r="X1468" s="2">
        <f ca="1"/>
        <v>31.709849788560959</v>
      </c>
      <c r="AG1468" s="2">
        <f ca="1"/>
        <v>0.85879250072731073</v>
      </c>
      <c r="AH1468" s="2" t="str">
        <f ca="1"/>
        <v>Bad</v>
      </c>
    </row>
    <row r="1469" spans="2:34" x14ac:dyDescent="0.2">
      <c r="B1469" s="2">
        <f ca="1"/>
        <v>0.80331636883797874</v>
      </c>
      <c r="O1469" s="2">
        <f ca="1"/>
        <v>0.5236647637326195</v>
      </c>
      <c r="X1469" s="2">
        <f ca="1"/>
        <v>37.463880900685439</v>
      </c>
      <c r="AG1469" s="2">
        <f ca="1"/>
        <v>0.36785067112417047</v>
      </c>
      <c r="AH1469" s="2" t="str">
        <f ca="1"/>
        <v>OK</v>
      </c>
    </row>
    <row r="1470" spans="2:34" x14ac:dyDescent="0.2">
      <c r="B1470" s="2">
        <f ca="1"/>
        <v>0.55643939640742857</v>
      </c>
      <c r="O1470" s="2">
        <f ca="1"/>
        <v>0.44639164928466279</v>
      </c>
      <c r="X1470" s="2">
        <f ca="1"/>
        <v>55.467465404648436</v>
      </c>
      <c r="AG1470" s="2">
        <f ca="1"/>
        <v>6.9868355149607986E-2</v>
      </c>
      <c r="AH1470" s="2" t="str">
        <f ca="1"/>
        <v>OK</v>
      </c>
    </row>
    <row r="1471" spans="2:34" x14ac:dyDescent="0.2">
      <c r="B1471" s="2">
        <f ca="1"/>
        <v>0.95484153695123797</v>
      </c>
      <c r="O1471" s="2">
        <f ca="1"/>
        <v>-1.4769480694939885</v>
      </c>
      <c r="X1471" s="2">
        <f ca="1"/>
        <v>17.735056864870469</v>
      </c>
      <c r="AG1471" s="2">
        <f ca="1"/>
        <v>0.66446369149758167</v>
      </c>
      <c r="AH1471" s="2" t="str">
        <f ca="1"/>
        <v>Bad</v>
      </c>
    </row>
    <row r="1472" spans="2:34" x14ac:dyDescent="0.2">
      <c r="B1472" s="2">
        <f ca="1"/>
        <v>0.13001029891346594</v>
      </c>
      <c r="O1472" s="2">
        <f ca="1"/>
        <v>1.0344666543874608E-3</v>
      </c>
      <c r="X1472" s="2">
        <f ca="1"/>
        <v>54.608249226142561</v>
      </c>
      <c r="AG1472" s="2">
        <f ca="1"/>
        <v>0.53219214636766399</v>
      </c>
      <c r="AH1472" s="2" t="str">
        <f ca="1"/>
        <v>Bad</v>
      </c>
    </row>
    <row r="1473" spans="2:34" x14ac:dyDescent="0.2">
      <c r="B1473" s="2">
        <f ca="1"/>
        <v>0.7344224366335157</v>
      </c>
      <c r="O1473" s="2">
        <f ca="1"/>
        <v>-0.66787037833876484</v>
      </c>
      <c r="X1473" s="2">
        <f ca="1"/>
        <v>37.744659553812269</v>
      </c>
      <c r="AG1473" s="2">
        <f ca="1"/>
        <v>0.20203155412107221</v>
      </c>
      <c r="AH1473" s="2" t="str">
        <f ca="1"/>
        <v>OK</v>
      </c>
    </row>
    <row r="1474" spans="2:34" x14ac:dyDescent="0.2">
      <c r="B1474" s="2">
        <f ca="1"/>
        <v>0.5035174794020989</v>
      </c>
      <c r="O1474" s="2">
        <f ca="1"/>
        <v>0.20292047459778037</v>
      </c>
      <c r="X1474" s="2">
        <f ca="1"/>
        <v>73.787987441976853</v>
      </c>
      <c r="AG1474" s="2">
        <f ca="1"/>
        <v>0.20342565516240008</v>
      </c>
      <c r="AH1474" s="2" t="str">
        <f ca="1"/>
        <v>OK</v>
      </c>
    </row>
    <row r="1475" spans="2:34" x14ac:dyDescent="0.2">
      <c r="B1475" s="2">
        <f ca="1"/>
        <v>0.85418994468290799</v>
      </c>
      <c r="O1475" s="2">
        <f ca="1"/>
        <v>-0.86564789079115267</v>
      </c>
      <c r="X1475" s="2">
        <f ca="1"/>
        <v>68.257399989340669</v>
      </c>
      <c r="AG1475" s="2">
        <f ca="1"/>
        <v>0.75524006894214812</v>
      </c>
      <c r="AH1475" s="2" t="str">
        <f ca="1"/>
        <v>Bad</v>
      </c>
    </row>
    <row r="1476" spans="2:34" x14ac:dyDescent="0.2">
      <c r="B1476" s="2">
        <f ca="1"/>
        <v>7.014349900324568E-3</v>
      </c>
      <c r="O1476" s="2">
        <f ca="1"/>
        <v>-0.46090707587551627</v>
      </c>
      <c r="X1476" s="2">
        <f ca="1"/>
        <v>33.835113940780495</v>
      </c>
      <c r="AG1476" s="2">
        <f ca="1"/>
        <v>0.49797194302980263</v>
      </c>
      <c r="AH1476" s="2" t="str">
        <f ca="1"/>
        <v>Bad</v>
      </c>
    </row>
    <row r="1477" spans="2:34" x14ac:dyDescent="0.2">
      <c r="B1477" s="2">
        <f ca="1"/>
        <v>0.44114797424705965</v>
      </c>
      <c r="O1477" s="2">
        <f ca="1"/>
        <v>-0.98805915883933337</v>
      </c>
      <c r="X1477" s="2">
        <f ca="1"/>
        <v>54.400173689240049</v>
      </c>
      <c r="AG1477" s="2">
        <f ca="1"/>
        <v>0.21563923484621861</v>
      </c>
      <c r="AH1477" s="2" t="str">
        <f ca="1"/>
        <v>OK</v>
      </c>
    </row>
    <row r="1478" spans="2:34" x14ac:dyDescent="0.2">
      <c r="B1478" s="2">
        <f ca="1"/>
        <v>0.50695609707135914</v>
      </c>
      <c r="O1478" s="2">
        <f ca="1"/>
        <v>0.11528933288852815</v>
      </c>
      <c r="X1478" s="2">
        <f ca="1"/>
        <v>42.866796198206401</v>
      </c>
      <c r="AG1478" s="2">
        <f ca="1"/>
        <v>2.9990328534908794E-2</v>
      </c>
      <c r="AH1478" s="2" t="str">
        <f ca="1"/>
        <v>Good</v>
      </c>
    </row>
    <row r="1479" spans="2:34" x14ac:dyDescent="0.2">
      <c r="B1479" s="2">
        <f ca="1"/>
        <v>0.3598897081112078</v>
      </c>
      <c r="O1479" s="2">
        <f ca="1"/>
        <v>-0.1496433926928826</v>
      </c>
      <c r="X1479" s="2">
        <f ca="1"/>
        <v>50.990724822582649</v>
      </c>
      <c r="AG1479" s="2">
        <f ca="1"/>
        <v>0.50917425527978266</v>
      </c>
      <c r="AH1479" s="2" t="str">
        <f ca="1"/>
        <v>Bad</v>
      </c>
    </row>
    <row r="1480" spans="2:34" x14ac:dyDescent="0.2">
      <c r="B1480" s="2">
        <f ca="1"/>
        <v>5.0138382789116642E-2</v>
      </c>
      <c r="O1480" s="2">
        <f ca="1"/>
        <v>-0.76455932131790327</v>
      </c>
      <c r="X1480" s="2">
        <f ca="1"/>
        <v>43.173838341907292</v>
      </c>
      <c r="AG1480" s="2">
        <f ca="1"/>
        <v>0.14235593004369496</v>
      </c>
      <c r="AH1480" s="2" t="str">
        <f ca="1"/>
        <v>OK</v>
      </c>
    </row>
    <row r="1481" spans="2:34" x14ac:dyDescent="0.2">
      <c r="B1481" s="2">
        <f ca="1"/>
        <v>0.83491662294956881</v>
      </c>
      <c r="O1481" s="2">
        <f ca="1"/>
        <v>-1.1535864613996514</v>
      </c>
      <c r="X1481" s="2">
        <f ca="1"/>
        <v>93.623370568320667</v>
      </c>
      <c r="AG1481" s="2">
        <f ca="1"/>
        <v>9.799692101541968E-4</v>
      </c>
      <c r="AH1481" s="2" t="str">
        <f ca="1"/>
        <v>Good</v>
      </c>
    </row>
    <row r="1482" spans="2:34" x14ac:dyDescent="0.2">
      <c r="B1482" s="2">
        <f ca="1"/>
        <v>0.62918530570711173</v>
      </c>
      <c r="O1482" s="2">
        <f ca="1"/>
        <v>-0.58794495086576959</v>
      </c>
      <c r="X1482" s="2">
        <f ca="1"/>
        <v>35.894192209530445</v>
      </c>
      <c r="AG1482" s="2">
        <f ca="1"/>
        <v>0.99944679382606516</v>
      </c>
      <c r="AH1482" s="2" t="str">
        <f ca="1"/>
        <v>Bad</v>
      </c>
    </row>
    <row r="1483" spans="2:34" x14ac:dyDescent="0.2">
      <c r="B1483" s="2">
        <f ca="1"/>
        <v>0.54234857496060629</v>
      </c>
      <c r="O1483" s="2">
        <f ca="1"/>
        <v>0.86633378014578977</v>
      </c>
      <c r="X1483" s="2">
        <f ca="1"/>
        <v>53.773455782705668</v>
      </c>
      <c r="AG1483" s="2">
        <f ca="1"/>
        <v>0.82340291483288164</v>
      </c>
      <c r="AH1483" s="2" t="str">
        <f ca="1"/>
        <v>Bad</v>
      </c>
    </row>
    <row r="1484" spans="2:34" x14ac:dyDescent="0.2">
      <c r="B1484" s="2">
        <f ca="1"/>
        <v>0.49515741454682471</v>
      </c>
      <c r="O1484" s="2">
        <f ca="1"/>
        <v>-0.49786646264552509</v>
      </c>
      <c r="X1484" s="2">
        <f ca="1"/>
        <v>69.855612454363524</v>
      </c>
      <c r="AG1484" s="2">
        <f ca="1"/>
        <v>3.6521712448684518E-2</v>
      </c>
      <c r="AH1484" s="2" t="str">
        <f ca="1"/>
        <v>Good</v>
      </c>
    </row>
    <row r="1485" spans="2:34" x14ac:dyDescent="0.2">
      <c r="B1485" s="2">
        <f ca="1"/>
        <v>0.50353125298694312</v>
      </c>
      <c r="O1485" s="2">
        <f ca="1"/>
        <v>0.77075240369543907</v>
      </c>
      <c r="X1485" s="2">
        <f ca="1"/>
        <v>39.172802006296621</v>
      </c>
      <c r="AG1485" s="2">
        <f ca="1"/>
        <v>0.33401173132815387</v>
      </c>
      <c r="AH1485" s="2" t="str">
        <f ca="1"/>
        <v>OK</v>
      </c>
    </row>
    <row r="1486" spans="2:34" x14ac:dyDescent="0.2">
      <c r="B1486" s="2">
        <f ca="1"/>
        <v>0.65071736596383944</v>
      </c>
      <c r="O1486" s="2">
        <f ca="1"/>
        <v>1.1537142716783111</v>
      </c>
      <c r="X1486" s="2">
        <f ca="1"/>
        <v>34.012900062929738</v>
      </c>
      <c r="AG1486" s="2">
        <f ca="1"/>
        <v>0.2992510915917026</v>
      </c>
      <c r="AH1486" s="2" t="str">
        <f ca="1"/>
        <v>OK</v>
      </c>
    </row>
    <row r="1487" spans="2:34" x14ac:dyDescent="0.2">
      <c r="B1487" s="2">
        <f ca="1"/>
        <v>0.3406310459551285</v>
      </c>
      <c r="O1487" s="2">
        <f ca="1"/>
        <v>0.80743675987761943</v>
      </c>
      <c r="X1487" s="2">
        <f ca="1"/>
        <v>54.434764006721124</v>
      </c>
      <c r="AG1487" s="2">
        <f ca="1"/>
        <v>0.60712925886202096</v>
      </c>
      <c r="AH1487" s="2" t="str">
        <f ca="1"/>
        <v>Bad</v>
      </c>
    </row>
    <row r="1488" spans="2:34" x14ac:dyDescent="0.2">
      <c r="B1488" s="2">
        <f ca="1"/>
        <v>0.85051361518642921</v>
      </c>
      <c r="O1488" s="2">
        <f ca="1"/>
        <v>1.7330693489955458</v>
      </c>
      <c r="X1488" s="2">
        <f ca="1"/>
        <v>17.516822083661946</v>
      </c>
      <c r="AG1488" s="2">
        <f ca="1"/>
        <v>0.11786497802158968</v>
      </c>
      <c r="AH1488" s="2" t="str">
        <f ca="1"/>
        <v>OK</v>
      </c>
    </row>
    <row r="1489" spans="2:34" x14ac:dyDescent="0.2">
      <c r="B1489" s="2">
        <f ca="1"/>
        <v>0.55806822512873566</v>
      </c>
      <c r="O1489" s="2">
        <f ca="1"/>
        <v>3.9557628994700389E-2</v>
      </c>
      <c r="X1489" s="2">
        <f ca="1"/>
        <v>50.186085097690736</v>
      </c>
      <c r="AG1489" s="2">
        <f ca="1"/>
        <v>0.70263903180810861</v>
      </c>
      <c r="AH1489" s="2" t="str">
        <f ca="1"/>
        <v>Bad</v>
      </c>
    </row>
    <row r="1490" spans="2:34" x14ac:dyDescent="0.2">
      <c r="B1490" s="2">
        <f ca="1"/>
        <v>0.37439199570885018</v>
      </c>
      <c r="O1490" s="2">
        <f ca="1"/>
        <v>-0.78063434205836413</v>
      </c>
      <c r="X1490" s="2">
        <f ca="1"/>
        <v>39.598207349107497</v>
      </c>
      <c r="AG1490" s="2">
        <f ca="1"/>
        <v>0.18843590715557479</v>
      </c>
      <c r="AH1490" s="2" t="str">
        <f ca="1"/>
        <v>OK</v>
      </c>
    </row>
    <row r="1491" spans="2:34" x14ac:dyDescent="0.2">
      <c r="B1491" s="2">
        <f ca="1"/>
        <v>0.20031275544118943</v>
      </c>
      <c r="O1491" s="2">
        <f ca="1"/>
        <v>0.78954393380994314</v>
      </c>
      <c r="X1491" s="2">
        <f ca="1"/>
        <v>45.266467638289846</v>
      </c>
      <c r="AG1491" s="2">
        <f ca="1"/>
        <v>0.70215009919342641</v>
      </c>
      <c r="AH1491" s="2" t="str">
        <f ca="1"/>
        <v>Bad</v>
      </c>
    </row>
    <row r="1492" spans="2:34" x14ac:dyDescent="0.2">
      <c r="B1492" s="2">
        <f ca="1"/>
        <v>0.37615293250672055</v>
      </c>
      <c r="O1492" s="2">
        <f ca="1"/>
        <v>0.42368885639260651</v>
      </c>
      <c r="X1492" s="2">
        <f ca="1"/>
        <v>56.949685568065874</v>
      </c>
      <c r="AG1492" s="2">
        <f ca="1"/>
        <v>0.50088732622813392</v>
      </c>
      <c r="AH1492" s="2" t="str">
        <f ca="1"/>
        <v>Bad</v>
      </c>
    </row>
    <row r="1493" spans="2:34" x14ac:dyDescent="0.2">
      <c r="B1493" s="2">
        <f ca="1"/>
        <v>0.1432098440596139</v>
      </c>
      <c r="O1493" s="2">
        <f ca="1"/>
        <v>0.88258215798216744</v>
      </c>
      <c r="X1493" s="2">
        <f ca="1"/>
        <v>28.656946510440193</v>
      </c>
      <c r="AG1493" s="2">
        <f ca="1"/>
        <v>5.9199822203253927E-2</v>
      </c>
      <c r="AH1493" s="2" t="str">
        <f ca="1"/>
        <v>OK</v>
      </c>
    </row>
    <row r="1494" spans="2:34" x14ac:dyDescent="0.2">
      <c r="B1494" s="2">
        <f ca="1"/>
        <v>0.26980006757088293</v>
      </c>
      <c r="O1494" s="2">
        <f ca="1"/>
        <v>2.5533569610880442</v>
      </c>
      <c r="X1494" s="2">
        <f ca="1"/>
        <v>46.314921860689992</v>
      </c>
      <c r="AG1494" s="2">
        <f ca="1"/>
        <v>0.88013104518675944</v>
      </c>
      <c r="AH1494" s="2" t="str">
        <f ca="1"/>
        <v>Bad</v>
      </c>
    </row>
    <row r="1495" spans="2:34" x14ac:dyDescent="0.2">
      <c r="B1495" s="2">
        <f ca="1"/>
        <v>0.15718497630156958</v>
      </c>
      <c r="O1495" s="2">
        <f ca="1"/>
        <v>-1.4093456353572609</v>
      </c>
      <c r="X1495" s="2">
        <f ca="1"/>
        <v>62.035463213989971</v>
      </c>
      <c r="AG1495" s="2">
        <f ca="1"/>
        <v>0.30787108684112008</v>
      </c>
      <c r="AH1495" s="2" t="str">
        <f ca="1"/>
        <v>OK</v>
      </c>
    </row>
    <row r="1496" spans="2:34" x14ac:dyDescent="0.2">
      <c r="B1496" s="2">
        <f ca="1"/>
        <v>0.7445504309190456</v>
      </c>
      <c r="O1496" s="2">
        <f ca="1"/>
        <v>0.99429068230957662</v>
      </c>
      <c r="X1496" s="2">
        <f ca="1"/>
        <v>37.880645516838506</v>
      </c>
      <c r="AG1496" s="2">
        <f ca="1"/>
        <v>0.88601918432482085</v>
      </c>
      <c r="AH1496" s="2" t="str">
        <f ca="1"/>
        <v>Bad</v>
      </c>
    </row>
    <row r="1497" spans="2:34" x14ac:dyDescent="0.2">
      <c r="B1497" s="2">
        <f ca="1"/>
        <v>0.90169887885512789</v>
      </c>
      <c r="O1497" s="2">
        <f ca="1"/>
        <v>-0.87300865014229367</v>
      </c>
      <c r="X1497" s="2">
        <f ca="1"/>
        <v>50.822625887132332</v>
      </c>
      <c r="AG1497" s="2">
        <f ca="1"/>
        <v>0.38099014530630737</v>
      </c>
      <c r="AH1497" s="2" t="str">
        <f ca="1"/>
        <v>OK</v>
      </c>
    </row>
    <row r="1498" spans="2:34" x14ac:dyDescent="0.2">
      <c r="B1498" s="2">
        <f ca="1"/>
        <v>4.2834977273695785E-3</v>
      </c>
      <c r="O1498" s="2">
        <f ca="1"/>
        <v>0.97451462366896424</v>
      </c>
      <c r="X1498" s="2">
        <f ca="1"/>
        <v>33.119764300209148</v>
      </c>
      <c r="AG1498" s="2">
        <f ca="1"/>
        <v>0.21204467039429242</v>
      </c>
      <c r="AH1498" s="2" t="str">
        <f ca="1"/>
        <v>OK</v>
      </c>
    </row>
    <row r="1499" spans="2:34" x14ac:dyDescent="0.2">
      <c r="B1499" s="2">
        <f ca="1"/>
        <v>0.95515438964224519</v>
      </c>
      <c r="O1499" s="2">
        <f ca="1"/>
        <v>-0.12844876282613099</v>
      </c>
      <c r="X1499" s="2">
        <f ca="1"/>
        <v>50.234183812662977</v>
      </c>
      <c r="AG1499" s="2">
        <f ca="1"/>
        <v>0.8804432783731857</v>
      </c>
      <c r="AH1499" s="2" t="str">
        <f ca="1"/>
        <v>Bad</v>
      </c>
    </row>
    <row r="1500" spans="2:34" x14ac:dyDescent="0.2">
      <c r="B1500" s="2">
        <f ca="1"/>
        <v>0.42866245930394742</v>
      </c>
      <c r="O1500" s="2">
        <f ca="1"/>
        <v>-0.98839074635058166</v>
      </c>
      <c r="X1500" s="2">
        <f ca="1"/>
        <v>48.164425707984016</v>
      </c>
      <c r="AG1500" s="2">
        <f ca="1"/>
        <v>0.30571288362359739</v>
      </c>
      <c r="AH1500" s="2" t="str">
        <f ca="1"/>
        <v>OK</v>
      </c>
    </row>
    <row r="1501" spans="2:34" x14ac:dyDescent="0.2">
      <c r="B1501" s="2">
        <f ca="1"/>
        <v>0.66611011540187226</v>
      </c>
      <c r="O1501" s="2">
        <f ca="1"/>
        <v>-2.0397986819791591</v>
      </c>
      <c r="X1501" s="2">
        <f ca="1"/>
        <v>43.484791831249225</v>
      </c>
      <c r="AG1501" s="2">
        <f ca="1"/>
        <v>0.55770461063590626</v>
      </c>
      <c r="AH1501" s="2" t="str">
        <f ca="1"/>
        <v>Bad</v>
      </c>
    </row>
    <row r="1502" spans="2:34" x14ac:dyDescent="0.2">
      <c r="B1502" s="2">
        <f ca="1"/>
        <v>0.66762723986679839</v>
      </c>
      <c r="O1502" s="2">
        <f ca="1"/>
        <v>-0.68584130339152072</v>
      </c>
      <c r="X1502" s="2">
        <f ca="1"/>
        <v>64.027248638173887</v>
      </c>
      <c r="AG1502" s="2">
        <f ca="1"/>
        <v>0.68762662265304297</v>
      </c>
      <c r="AH1502" s="2" t="str">
        <f ca="1"/>
        <v>Bad</v>
      </c>
    </row>
    <row r="1503" spans="2:34" x14ac:dyDescent="0.2">
      <c r="B1503" s="2">
        <f ca="1"/>
        <v>0.15636295473062023</v>
      </c>
      <c r="O1503" s="2">
        <f ca="1"/>
        <v>0.78857505270850159</v>
      </c>
      <c r="X1503" s="2">
        <f ca="1"/>
        <v>33.487307142211819</v>
      </c>
      <c r="AG1503" s="2">
        <f ca="1"/>
        <v>0.14390053498020094</v>
      </c>
      <c r="AH1503" s="2" t="str">
        <f ca="1"/>
        <v>OK</v>
      </c>
    </row>
    <row r="1504" spans="2:34" x14ac:dyDescent="0.2">
      <c r="B1504" s="2">
        <f ca="1"/>
        <v>0.30347196593597525</v>
      </c>
      <c r="O1504" s="2">
        <f ca="1"/>
        <v>-0.38118825087795005</v>
      </c>
      <c r="X1504" s="2">
        <f ca="1"/>
        <v>49.174315950075894</v>
      </c>
      <c r="AG1504" s="2">
        <f ca="1"/>
        <v>0.25967053611792812</v>
      </c>
      <c r="AH1504" s="2" t="str">
        <f ca="1"/>
        <v>OK</v>
      </c>
    </row>
    <row r="1505" spans="2:34" x14ac:dyDescent="0.2">
      <c r="B1505" s="2">
        <f ca="1"/>
        <v>0.82553430112606963</v>
      </c>
      <c r="O1505" s="2">
        <f ca="1"/>
        <v>1.0018013156627446</v>
      </c>
      <c r="X1505" s="2">
        <f ca="1"/>
        <v>77.258001885657038</v>
      </c>
      <c r="AG1505" s="2">
        <f ca="1"/>
        <v>0.29258919179595577</v>
      </c>
      <c r="AH1505" s="2" t="str">
        <f ca="1"/>
        <v>OK</v>
      </c>
    </row>
    <row r="1506" spans="2:34" x14ac:dyDescent="0.2">
      <c r="B1506" s="2">
        <f ca="1"/>
        <v>0.99277560385695152</v>
      </c>
      <c r="O1506" s="2">
        <f ca="1"/>
        <v>3.4399521576575269E-2</v>
      </c>
      <c r="X1506" s="2">
        <f ca="1"/>
        <v>45.199176990821215</v>
      </c>
      <c r="AG1506" s="2">
        <f ca="1"/>
        <v>8.0356254238099112E-2</v>
      </c>
      <c r="AH1506" s="2" t="str">
        <f ca="1"/>
        <v>OK</v>
      </c>
    </row>
    <row r="1507" spans="2:34" x14ac:dyDescent="0.2">
      <c r="B1507" s="2">
        <f ca="1"/>
        <v>0.91917328040729318</v>
      </c>
      <c r="O1507" s="2">
        <f ca="1"/>
        <v>0.31970892508749604</v>
      </c>
      <c r="X1507" s="2">
        <f ca="1"/>
        <v>59.838410646215564</v>
      </c>
      <c r="AG1507" s="2">
        <f ca="1"/>
        <v>0.61002393153891354</v>
      </c>
      <c r="AH1507" s="2" t="str">
        <f ca="1"/>
        <v>Bad</v>
      </c>
    </row>
    <row r="1508" spans="2:34" x14ac:dyDescent="0.2">
      <c r="B1508" s="2">
        <f ca="1"/>
        <v>0.56422925908483146</v>
      </c>
      <c r="O1508" s="2">
        <f ca="1"/>
        <v>-0.14601223238414934</v>
      </c>
      <c r="X1508" s="2">
        <f ca="1"/>
        <v>90.096163754232066</v>
      </c>
      <c r="AG1508" s="2">
        <f ca="1"/>
        <v>0.52847648779085765</v>
      </c>
      <c r="AH1508" s="2" t="str">
        <f ca="1"/>
        <v>Bad</v>
      </c>
    </row>
    <row r="1509" spans="2:34" x14ac:dyDescent="0.2">
      <c r="B1509" s="2">
        <f ca="1"/>
        <v>0.5491982409961973</v>
      </c>
      <c r="O1509" s="2">
        <f ca="1"/>
        <v>0.74287287861034901</v>
      </c>
      <c r="X1509" s="2">
        <f ca="1"/>
        <v>39.615276649795106</v>
      </c>
      <c r="AG1509" s="2">
        <f ca="1"/>
        <v>0.56062715973930533</v>
      </c>
      <c r="AH1509" s="2" t="str">
        <f ca="1"/>
        <v>Bad</v>
      </c>
    </row>
    <row r="1510" spans="2:34" x14ac:dyDescent="0.2">
      <c r="B1510" s="2">
        <f ca="1"/>
        <v>1.5920060256618962E-2</v>
      </c>
      <c r="O1510" s="2">
        <f ca="1"/>
        <v>-1.9509775510446417</v>
      </c>
      <c r="X1510" s="2">
        <f ca="1"/>
        <v>74.629400055643998</v>
      </c>
      <c r="AG1510" s="2">
        <f ca="1"/>
        <v>0.81305647928714087</v>
      </c>
      <c r="AH1510" s="2" t="str">
        <f ca="1"/>
        <v>Bad</v>
      </c>
    </row>
    <row r="1511" spans="2:34" x14ac:dyDescent="0.2">
      <c r="B1511" s="2">
        <f ca="1"/>
        <v>0.39494974543997508</v>
      </c>
      <c r="O1511" s="2">
        <f ca="1"/>
        <v>1.3776137461553692</v>
      </c>
      <c r="X1511" s="2">
        <f ca="1"/>
        <v>47.156862448155834</v>
      </c>
      <c r="AG1511" s="2">
        <f ca="1"/>
        <v>0.77338357925041357</v>
      </c>
      <c r="AH1511" s="2" t="str">
        <f ca="1"/>
        <v>Bad</v>
      </c>
    </row>
    <row r="1512" spans="2:34" x14ac:dyDescent="0.2">
      <c r="B1512" s="2">
        <f ca="1"/>
        <v>0.97640954636194888</v>
      </c>
      <c r="O1512" s="2">
        <f ca="1"/>
        <v>-0.98774246750064576</v>
      </c>
      <c r="X1512" s="2">
        <f ca="1"/>
        <v>88.526457024237061</v>
      </c>
      <c r="AG1512" s="2">
        <f ca="1"/>
        <v>0.33610013818096163</v>
      </c>
      <c r="AH1512" s="2" t="str">
        <f ca="1"/>
        <v>OK</v>
      </c>
    </row>
    <row r="1513" spans="2:34" x14ac:dyDescent="0.2">
      <c r="B1513" s="2">
        <f ca="1"/>
        <v>0.20829617633576647</v>
      </c>
      <c r="O1513" s="2">
        <f ca="1"/>
        <v>-0.54401494768309888</v>
      </c>
      <c r="X1513" s="2">
        <f ca="1"/>
        <v>64.552261937811807</v>
      </c>
      <c r="AG1513" s="2">
        <f ca="1"/>
        <v>0.80895242006682011</v>
      </c>
      <c r="AH1513" s="2" t="str">
        <f ca="1"/>
        <v>Bad</v>
      </c>
    </row>
    <row r="1514" spans="2:34" x14ac:dyDescent="0.2">
      <c r="B1514" s="2">
        <f ca="1"/>
        <v>9.2730322976087409E-2</v>
      </c>
      <c r="O1514" s="2">
        <f ca="1"/>
        <v>0.49357267301555779</v>
      </c>
      <c r="X1514" s="2">
        <f ca="1"/>
        <v>28.609016972470837</v>
      </c>
      <c r="AG1514" s="2">
        <f ca="1"/>
        <v>0.34088118200344608</v>
      </c>
      <c r="AH1514" s="2" t="str">
        <f ca="1"/>
        <v>OK</v>
      </c>
    </row>
    <row r="1515" spans="2:34" x14ac:dyDescent="0.2">
      <c r="B1515" s="2">
        <f ca="1"/>
        <v>0.75295770480821567</v>
      </c>
      <c r="O1515" s="2">
        <f ca="1"/>
        <v>-0.21547332812225378</v>
      </c>
      <c r="X1515" s="2">
        <f ca="1"/>
        <v>36.6813241916538</v>
      </c>
      <c r="AG1515" s="2">
        <f ca="1"/>
        <v>0.90678950006075021</v>
      </c>
      <c r="AH1515" s="2" t="str">
        <f ca="1"/>
        <v>Bad</v>
      </c>
    </row>
    <row r="1516" spans="2:34" x14ac:dyDescent="0.2">
      <c r="B1516" s="2">
        <f ca="1"/>
        <v>0.97415381331297857</v>
      </c>
      <c r="O1516" s="2">
        <f ca="1"/>
        <v>2.8851637050360444E-2</v>
      </c>
      <c r="X1516" s="2">
        <f ca="1"/>
        <v>25.758195098764645</v>
      </c>
      <c r="AG1516" s="2">
        <f ca="1"/>
        <v>0.12157199330135482</v>
      </c>
      <c r="AH1516" s="2" t="str">
        <f ca="1"/>
        <v>OK</v>
      </c>
    </row>
    <row r="1517" spans="2:34" x14ac:dyDescent="0.2">
      <c r="B1517" s="2">
        <f ca="1"/>
        <v>7.3407422748640094E-2</v>
      </c>
      <c r="O1517" s="2">
        <f ca="1"/>
        <v>3.974270261169666E-3</v>
      </c>
      <c r="X1517" s="2">
        <f ca="1"/>
        <v>76.57795027550597</v>
      </c>
      <c r="AG1517" s="2">
        <f ca="1"/>
        <v>0.75274613773353227</v>
      </c>
      <c r="AH1517" s="2" t="str">
        <f ca="1"/>
        <v>Bad</v>
      </c>
    </row>
    <row r="1518" spans="2:34" x14ac:dyDescent="0.2">
      <c r="B1518" s="2">
        <f ca="1"/>
        <v>0.90132052659655892</v>
      </c>
      <c r="O1518" s="2">
        <f ca="1"/>
        <v>0.96134370329765451</v>
      </c>
      <c r="X1518" s="2">
        <f ca="1"/>
        <v>52.94568026047137</v>
      </c>
      <c r="AG1518" s="2">
        <f ca="1"/>
        <v>0.82069303088647239</v>
      </c>
      <c r="AH1518" s="2" t="str">
        <f ca="1"/>
        <v>Bad</v>
      </c>
    </row>
    <row r="1519" spans="2:34" x14ac:dyDescent="0.2">
      <c r="B1519" s="2">
        <f ca="1"/>
        <v>0.26684399462160613</v>
      </c>
      <c r="O1519" s="2">
        <f ca="1"/>
        <v>1.2148185222723111</v>
      </c>
      <c r="X1519" s="2">
        <f ca="1"/>
        <v>33.951640406142602</v>
      </c>
      <c r="AG1519" s="2">
        <f ca="1"/>
        <v>0.93140646353083478</v>
      </c>
      <c r="AH1519" s="2" t="str">
        <f ca="1"/>
        <v>Bad</v>
      </c>
    </row>
    <row r="1520" spans="2:34" x14ac:dyDescent="0.2">
      <c r="B1520" s="2">
        <f ca="1"/>
        <v>0.40152008656473104</v>
      </c>
      <c r="O1520" s="2">
        <f ca="1"/>
        <v>5.4034903292541542E-2</v>
      </c>
      <c r="X1520" s="2">
        <f ca="1"/>
        <v>30.112910253959381</v>
      </c>
      <c r="AG1520" s="2">
        <f ca="1"/>
        <v>0.93617799018673309</v>
      </c>
      <c r="AH1520" s="2" t="str">
        <f ca="1"/>
        <v>Bad</v>
      </c>
    </row>
    <row r="1521" spans="2:34" x14ac:dyDescent="0.2">
      <c r="B1521" s="2">
        <f ca="1"/>
        <v>0.30788706900109397</v>
      </c>
      <c r="O1521" s="2">
        <f ca="1"/>
        <v>-1.745094262610277</v>
      </c>
      <c r="X1521" s="2">
        <f ca="1"/>
        <v>71.157743447817381</v>
      </c>
      <c r="AG1521" s="2">
        <f ca="1"/>
        <v>0.63904361155780998</v>
      </c>
      <c r="AH1521" s="2" t="str">
        <f ca="1"/>
        <v>Bad</v>
      </c>
    </row>
    <row r="1522" spans="2:34" x14ac:dyDescent="0.2">
      <c r="B1522" s="2">
        <f ca="1"/>
        <v>0.29632195898682778</v>
      </c>
      <c r="O1522" s="2">
        <f ca="1"/>
        <v>0.5345285338034137</v>
      </c>
      <c r="X1522" s="2">
        <f ca="1"/>
        <v>38.264445836044175</v>
      </c>
      <c r="AG1522" s="2">
        <f ca="1"/>
        <v>0.72740119810039983</v>
      </c>
      <c r="AH1522" s="2" t="str">
        <f ca="1"/>
        <v>Bad</v>
      </c>
    </row>
    <row r="1523" spans="2:34" x14ac:dyDescent="0.2">
      <c r="B1523" s="2">
        <f ca="1"/>
        <v>0.2944673808017062</v>
      </c>
      <c r="O1523" s="2">
        <f ca="1"/>
        <v>-0.46901899386909979</v>
      </c>
      <c r="X1523" s="2">
        <f ca="1"/>
        <v>38.922680361843653</v>
      </c>
      <c r="AG1523" s="2">
        <f ca="1"/>
        <v>0.27333703504685092</v>
      </c>
      <c r="AH1523" s="2" t="str">
        <f ca="1"/>
        <v>OK</v>
      </c>
    </row>
    <row r="1524" spans="2:34" x14ac:dyDescent="0.2">
      <c r="B1524" s="2">
        <f ca="1"/>
        <v>4.5217385425190715E-2</v>
      </c>
      <c r="O1524" s="2">
        <f ca="1"/>
        <v>0.84498954248262814</v>
      </c>
      <c r="X1524" s="2">
        <f ca="1"/>
        <v>33.902003570744348</v>
      </c>
      <c r="AG1524" s="2">
        <f ca="1"/>
        <v>0.72143710244340498</v>
      </c>
      <c r="AH1524" s="2" t="str">
        <f ca="1"/>
        <v>Bad</v>
      </c>
    </row>
    <row r="1525" spans="2:34" x14ac:dyDescent="0.2">
      <c r="B1525" s="2">
        <f ca="1"/>
        <v>0.51566499829271462</v>
      </c>
      <c r="O1525" s="2">
        <f ca="1"/>
        <v>2.3264713547609901</v>
      </c>
      <c r="X1525" s="2">
        <f ca="1"/>
        <v>53.388045451462759</v>
      </c>
      <c r="AG1525" s="2">
        <f ca="1"/>
        <v>0.44170142717344851</v>
      </c>
      <c r="AH1525" s="2" t="str">
        <f ca="1"/>
        <v>Bad</v>
      </c>
    </row>
    <row r="1526" spans="2:34" x14ac:dyDescent="0.2">
      <c r="B1526" s="2">
        <f ca="1"/>
        <v>0.81842579355734379</v>
      </c>
      <c r="O1526" s="2">
        <f ca="1"/>
        <v>6.9747793157065127E-2</v>
      </c>
      <c r="X1526" s="2">
        <f ca="1"/>
        <v>19.262751738200723</v>
      </c>
      <c r="AG1526" s="2">
        <f ca="1"/>
        <v>0.35622172866029933</v>
      </c>
      <c r="AH1526" s="2" t="str">
        <f ca="1"/>
        <v>OK</v>
      </c>
    </row>
    <row r="1527" spans="2:34" x14ac:dyDescent="0.2">
      <c r="B1527" s="2">
        <f ca="1"/>
        <v>0.50309797066176842</v>
      </c>
      <c r="O1527" s="2">
        <f ca="1"/>
        <v>-0.68757564520973802</v>
      </c>
      <c r="X1527" s="2">
        <f ca="1"/>
        <v>31.777702914043537</v>
      </c>
      <c r="AG1527" s="2">
        <f ca="1"/>
        <v>0.32153692154584235</v>
      </c>
      <c r="AH1527" s="2" t="str">
        <f ca="1"/>
        <v>OK</v>
      </c>
    </row>
    <row r="1528" spans="2:34" x14ac:dyDescent="0.2">
      <c r="B1528" s="2">
        <f ca="1"/>
        <v>0.46668998318969623</v>
      </c>
      <c r="O1528" s="2">
        <f ca="1"/>
        <v>0.73304507165641419</v>
      </c>
      <c r="X1528" s="2">
        <f ca="1"/>
        <v>82.020820736139171</v>
      </c>
      <c r="AG1528" s="2">
        <f ca="1"/>
        <v>0.79513870547584697</v>
      </c>
      <c r="AH1528" s="2" t="str">
        <f ca="1"/>
        <v>Bad</v>
      </c>
    </row>
    <row r="1529" spans="2:34" x14ac:dyDescent="0.2">
      <c r="B1529" s="2">
        <f ca="1"/>
        <v>0.55448796237731179</v>
      </c>
      <c r="O1529" s="2">
        <f ca="1"/>
        <v>-2.9890062789706642E-2</v>
      </c>
      <c r="X1529" s="2">
        <f ca="1"/>
        <v>36.52610465306428</v>
      </c>
      <c r="AG1529" s="2">
        <f ca="1"/>
        <v>0.46015928317724319</v>
      </c>
      <c r="AH1529" s="2" t="str">
        <f ca="1"/>
        <v>Bad</v>
      </c>
    </row>
    <row r="1530" spans="2:34" x14ac:dyDescent="0.2">
      <c r="B1530" s="2">
        <f ca="1"/>
        <v>0.61409065929759321</v>
      </c>
      <c r="O1530" s="2">
        <f ca="1"/>
        <v>1.0708603152356138</v>
      </c>
      <c r="X1530" s="2">
        <f ca="1"/>
        <v>78.748689802985083</v>
      </c>
      <c r="AG1530" s="2">
        <f ca="1"/>
        <v>0.51927789373851763</v>
      </c>
      <c r="AH1530" s="2" t="str">
        <f ca="1"/>
        <v>Bad</v>
      </c>
    </row>
    <row r="1531" spans="2:34" x14ac:dyDescent="0.2">
      <c r="B1531" s="2">
        <f ca="1"/>
        <v>0.1768645181422055</v>
      </c>
      <c r="O1531" s="2">
        <f ca="1"/>
        <v>-0.65795795870868279</v>
      </c>
      <c r="X1531" s="2">
        <f ca="1"/>
        <v>25.622734145269675</v>
      </c>
      <c r="AG1531" s="2">
        <f ca="1"/>
        <v>0.60116711879145734</v>
      </c>
      <c r="AH1531" s="2" t="str">
        <f ca="1"/>
        <v>Bad</v>
      </c>
    </row>
    <row r="1532" spans="2:34" x14ac:dyDescent="0.2">
      <c r="B1532" s="2">
        <f ca="1"/>
        <v>9.9369020504449956E-2</v>
      </c>
      <c r="O1532" s="2">
        <f ca="1"/>
        <v>0.79779782751275696</v>
      </c>
      <c r="X1532" s="2">
        <f ca="1"/>
        <v>37.23130931322757</v>
      </c>
      <c r="AG1532" s="2">
        <f ca="1"/>
        <v>0.77216371885828194</v>
      </c>
      <c r="AH1532" s="2" t="str">
        <f ca="1"/>
        <v>Bad</v>
      </c>
    </row>
    <row r="1533" spans="2:34" x14ac:dyDescent="0.2">
      <c r="B1533" s="2">
        <f ca="1"/>
        <v>0.9193563039036392</v>
      </c>
      <c r="O1533" s="2">
        <f ca="1"/>
        <v>0.94689581345585838</v>
      </c>
      <c r="X1533" s="2">
        <f ca="1"/>
        <v>57.144762127133134</v>
      </c>
      <c r="AG1533" s="2">
        <f ca="1"/>
        <v>0.59029225573047439</v>
      </c>
      <c r="AH1533" s="2" t="str">
        <f ca="1"/>
        <v>Bad</v>
      </c>
    </row>
    <row r="1534" spans="2:34" x14ac:dyDescent="0.2">
      <c r="B1534" s="2">
        <f ca="1"/>
        <v>0.82771597018915832</v>
      </c>
      <c r="O1534" s="2">
        <f ca="1"/>
        <v>-2.1878136424808465</v>
      </c>
      <c r="X1534" s="2">
        <f ca="1"/>
        <v>47.71416333194334</v>
      </c>
      <c r="AG1534" s="2">
        <f ca="1"/>
        <v>0.16441791315713727</v>
      </c>
      <c r="AH1534" s="2" t="str">
        <f ca="1"/>
        <v>OK</v>
      </c>
    </row>
    <row r="1535" spans="2:34" x14ac:dyDescent="0.2">
      <c r="B1535" s="2">
        <f ca="1"/>
        <v>0.58651486828528077</v>
      </c>
      <c r="O1535" s="2">
        <f ca="1"/>
        <v>-1.2604197238652219</v>
      </c>
      <c r="X1535" s="2">
        <f ca="1"/>
        <v>71.006949260414288</v>
      </c>
      <c r="AG1535" s="2">
        <f ca="1"/>
        <v>0.53128036646337229</v>
      </c>
      <c r="AH1535" s="2" t="str">
        <f ca="1"/>
        <v>Bad</v>
      </c>
    </row>
    <row r="1536" spans="2:34" x14ac:dyDescent="0.2">
      <c r="B1536" s="2">
        <f ca="1"/>
        <v>0.93972897013427015</v>
      </c>
      <c r="O1536" s="2">
        <f ca="1"/>
        <v>-0.64076072854924038</v>
      </c>
      <c r="X1536" s="2">
        <f ca="1"/>
        <v>20.838402515850888</v>
      </c>
      <c r="AG1536" s="2">
        <f ca="1"/>
        <v>0.97802989820188113</v>
      </c>
      <c r="AH1536" s="2" t="str">
        <f ca="1"/>
        <v>Bad</v>
      </c>
    </row>
    <row r="1537" spans="2:34" x14ac:dyDescent="0.2">
      <c r="B1537" s="2">
        <f ca="1"/>
        <v>0.30757698891827223</v>
      </c>
      <c r="O1537" s="2">
        <f ca="1"/>
        <v>-0.48980015483883499</v>
      </c>
      <c r="X1537" s="2">
        <f ca="1"/>
        <v>45.818659310413246</v>
      </c>
      <c r="AG1537" s="2">
        <f ca="1"/>
        <v>0.44540365576209329</v>
      </c>
      <c r="AH1537" s="2" t="str">
        <f ca="1"/>
        <v>Bad</v>
      </c>
    </row>
    <row r="1538" spans="2:34" x14ac:dyDescent="0.2">
      <c r="B1538" s="2">
        <f ca="1"/>
        <v>0.26396012674529934</v>
      </c>
      <c r="O1538" s="2">
        <f ca="1"/>
        <v>2.0249997714541621</v>
      </c>
      <c r="X1538" s="2">
        <f ca="1"/>
        <v>47.043049331714172</v>
      </c>
      <c r="AG1538" s="2">
        <f ca="1"/>
        <v>0.16862901465438807</v>
      </c>
      <c r="AH1538" s="2" t="str">
        <f ca="1"/>
        <v>OK</v>
      </c>
    </row>
    <row r="1539" spans="2:34" x14ac:dyDescent="0.2">
      <c r="B1539" s="2">
        <f ca="1"/>
        <v>0.26405824974633263</v>
      </c>
      <c r="O1539" s="2">
        <f ca="1"/>
        <v>-0.99422840446589966</v>
      </c>
      <c r="X1539" s="2">
        <f ca="1"/>
        <v>57.072850933539236</v>
      </c>
      <c r="AG1539" s="2">
        <f ca="1"/>
        <v>0.15336822088163382</v>
      </c>
      <c r="AH1539" s="2" t="str">
        <f ca="1"/>
        <v>OK</v>
      </c>
    </row>
    <row r="1540" spans="2:34" x14ac:dyDescent="0.2">
      <c r="B1540" s="2">
        <f ca="1"/>
        <v>0.19072869805689807</v>
      </c>
      <c r="O1540" s="2">
        <f ca="1"/>
        <v>0.91522861291870616</v>
      </c>
      <c r="X1540" s="2">
        <f ca="1"/>
        <v>38.61907836112249</v>
      </c>
      <c r="AG1540" s="2">
        <f ca="1"/>
        <v>0.65538785532326216</v>
      </c>
      <c r="AH1540" s="2" t="str">
        <f ca="1"/>
        <v>Bad</v>
      </c>
    </row>
    <row r="1541" spans="2:34" x14ac:dyDescent="0.2">
      <c r="B1541" s="2">
        <f ca="1"/>
        <v>0.55447869640878777</v>
      </c>
      <c r="O1541" s="2">
        <f ca="1"/>
        <v>1.103800569691592</v>
      </c>
      <c r="X1541" s="2">
        <f ca="1"/>
        <v>35.864009828480953</v>
      </c>
      <c r="AG1541" s="2">
        <f ca="1"/>
        <v>0.8974371274425843</v>
      </c>
      <c r="AH1541" s="2" t="str">
        <f ca="1"/>
        <v>Bad</v>
      </c>
    </row>
    <row r="1542" spans="2:34" x14ac:dyDescent="0.2">
      <c r="B1542" s="2">
        <f ca="1"/>
        <v>0.37461425580509511</v>
      </c>
      <c r="O1542" s="2">
        <f ca="1"/>
        <v>-0.86687427284626317</v>
      </c>
      <c r="X1542" s="2">
        <f ca="1"/>
        <v>85.314611002245726</v>
      </c>
      <c r="AG1542" s="2">
        <f ca="1"/>
        <v>0.30437343920554283</v>
      </c>
      <c r="AH1542" s="2" t="str">
        <f ca="1"/>
        <v>OK</v>
      </c>
    </row>
    <row r="1543" spans="2:34" x14ac:dyDescent="0.2">
      <c r="B1543" s="2">
        <f ca="1"/>
        <v>0.52872028921741054</v>
      </c>
      <c r="O1543" s="2">
        <f ca="1"/>
        <v>-1.0678745202063886</v>
      </c>
      <c r="X1543" s="2">
        <f ca="1"/>
        <v>23.789309633985368</v>
      </c>
      <c r="AG1543" s="2">
        <f ca="1"/>
        <v>0.20538252801875467</v>
      </c>
      <c r="AH1543" s="2" t="str">
        <f ca="1"/>
        <v>OK</v>
      </c>
    </row>
    <row r="1544" spans="2:34" x14ac:dyDescent="0.2">
      <c r="B1544" s="2">
        <f ca="1"/>
        <v>0.5920329357495755</v>
      </c>
      <c r="O1544" s="2">
        <f ca="1"/>
        <v>-0.63010081790029349</v>
      </c>
      <c r="X1544" s="2">
        <f ca="1"/>
        <v>69.202441307155439</v>
      </c>
      <c r="AG1544" s="2">
        <f ca="1"/>
        <v>0.49814122173513731</v>
      </c>
      <c r="AH1544" s="2" t="str">
        <f ca="1"/>
        <v>Bad</v>
      </c>
    </row>
    <row r="1545" spans="2:34" x14ac:dyDescent="0.2">
      <c r="B1545" s="2">
        <f ca="1"/>
        <v>0.66673327016805195</v>
      </c>
      <c r="O1545" s="2">
        <f ca="1"/>
        <v>-1.6392559658175545</v>
      </c>
      <c r="X1545" s="2">
        <f ca="1"/>
        <v>35.280730440720973</v>
      </c>
      <c r="AG1545" s="2">
        <f ca="1"/>
        <v>0.75625458898218145</v>
      </c>
      <c r="AH1545" s="2" t="str">
        <f ca="1"/>
        <v>Bad</v>
      </c>
    </row>
    <row r="1546" spans="2:34" x14ac:dyDescent="0.2">
      <c r="B1546" s="2">
        <f ca="1"/>
        <v>0.71109775628835359</v>
      </c>
      <c r="O1546" s="2">
        <f ca="1"/>
        <v>0.69591968753070976</v>
      </c>
      <c r="X1546" s="2">
        <f ca="1"/>
        <v>51.867112424854021</v>
      </c>
      <c r="AG1546" s="2">
        <f ca="1"/>
        <v>0.24039584371828426</v>
      </c>
      <c r="AH1546" s="2" t="str">
        <f ca="1"/>
        <v>OK</v>
      </c>
    </row>
    <row r="1547" spans="2:34" x14ac:dyDescent="0.2">
      <c r="B1547" s="2">
        <f ca="1"/>
        <v>0.42734955931509111</v>
      </c>
      <c r="O1547" s="2">
        <f ca="1"/>
        <v>-1.2087290947412501</v>
      </c>
      <c r="X1547" s="2">
        <f ca="1"/>
        <v>47.746069707358629</v>
      </c>
      <c r="AG1547" s="2">
        <f ca="1"/>
        <v>0.4061944458613147</v>
      </c>
      <c r="AH1547" s="2" t="str">
        <f ca="1"/>
        <v>Bad</v>
      </c>
    </row>
    <row r="1548" spans="2:34" x14ac:dyDescent="0.2">
      <c r="B1548" s="2">
        <f ca="1"/>
        <v>0.48822365625215336</v>
      </c>
      <c r="O1548" s="2">
        <f ca="1"/>
        <v>0.23198218943657398</v>
      </c>
      <c r="X1548" s="2">
        <f ca="1"/>
        <v>44.438886810650686</v>
      </c>
      <c r="AG1548" s="2">
        <f ca="1"/>
        <v>0.56320919466407426</v>
      </c>
      <c r="AH1548" s="2" t="str">
        <f ca="1"/>
        <v>Bad</v>
      </c>
    </row>
    <row r="1549" spans="2:34" x14ac:dyDescent="0.2">
      <c r="B1549" s="2">
        <f ca="1"/>
        <v>0.74601478302100466</v>
      </c>
      <c r="O1549" s="2">
        <f ca="1"/>
        <v>-1.1883455498366651</v>
      </c>
      <c r="X1549" s="2">
        <f ca="1"/>
        <v>55.470336934280063</v>
      </c>
      <c r="AG1549" s="2">
        <f ca="1"/>
        <v>0.9807844927636058</v>
      </c>
      <c r="AH1549" s="2" t="str">
        <f ca="1"/>
        <v>Bad</v>
      </c>
    </row>
    <row r="1550" spans="2:34" x14ac:dyDescent="0.2">
      <c r="B1550" s="2">
        <f ca="1"/>
        <v>0.70405496866457584</v>
      </c>
      <c r="O1550" s="2">
        <f ca="1"/>
        <v>-0.17284674875897887</v>
      </c>
      <c r="X1550" s="2">
        <f ca="1"/>
        <v>64.502829187548357</v>
      </c>
      <c r="AG1550" s="2">
        <f ca="1"/>
        <v>0.93894122361014087</v>
      </c>
      <c r="AH1550" s="2" t="str">
        <f ca="1"/>
        <v>Bad</v>
      </c>
    </row>
    <row r="1551" spans="2:34" x14ac:dyDescent="0.2">
      <c r="B1551" s="2">
        <f ca="1"/>
        <v>0.45105547863339468</v>
      </c>
      <c r="O1551" s="2">
        <f ca="1"/>
        <v>0.3043703438339721</v>
      </c>
      <c r="X1551" s="2">
        <f ca="1"/>
        <v>48.315187358157878</v>
      </c>
      <c r="AG1551" s="2">
        <f ca="1"/>
        <v>0.4766988602241149</v>
      </c>
      <c r="AH1551" s="2" t="str">
        <f ca="1"/>
        <v>Bad</v>
      </c>
    </row>
    <row r="1552" spans="2:34" x14ac:dyDescent="0.2">
      <c r="B1552" s="2">
        <f ca="1"/>
        <v>6.941323123385934E-2</v>
      </c>
      <c r="O1552" s="2">
        <f ca="1"/>
        <v>0.96080140838549466</v>
      </c>
      <c r="X1552" s="2">
        <f ca="1"/>
        <v>35.490183459039883</v>
      </c>
      <c r="AG1552" s="2">
        <f ca="1"/>
        <v>0.39460677121456755</v>
      </c>
      <c r="AH1552" s="2" t="str">
        <f ca="1"/>
        <v>OK</v>
      </c>
    </row>
    <row r="1553" spans="2:34" x14ac:dyDescent="0.2">
      <c r="B1553" s="2">
        <f ca="1"/>
        <v>0.17237656135624779</v>
      </c>
      <c r="O1553" s="2">
        <f ca="1"/>
        <v>-0.47537177938962799</v>
      </c>
      <c r="X1553" s="2">
        <f ca="1"/>
        <v>53.638884135315273</v>
      </c>
      <c r="AG1553" s="2">
        <f ca="1"/>
        <v>0.29665629797499005</v>
      </c>
      <c r="AH1553" s="2" t="str">
        <f ca="1"/>
        <v>OK</v>
      </c>
    </row>
    <row r="1554" spans="2:34" x14ac:dyDescent="0.2">
      <c r="B1554" s="2">
        <f ca="1"/>
        <v>0.71761501963131757</v>
      </c>
      <c r="O1554" s="2">
        <f ca="1"/>
        <v>1.7268233690070203</v>
      </c>
      <c r="X1554" s="2">
        <f ca="1"/>
        <v>30.40782386038757</v>
      </c>
      <c r="AG1554" s="2">
        <f ca="1"/>
        <v>0.63539534781548612</v>
      </c>
      <c r="AH1554" s="2" t="str">
        <f ca="1"/>
        <v>Bad</v>
      </c>
    </row>
    <row r="1555" spans="2:34" x14ac:dyDescent="0.2">
      <c r="B1555" s="2">
        <f ca="1"/>
        <v>0.63275741655373219</v>
      </c>
      <c r="O1555" s="2">
        <f ca="1"/>
        <v>0.80856910655714709</v>
      </c>
      <c r="X1555" s="2">
        <f ca="1"/>
        <v>50.516580348577079</v>
      </c>
      <c r="AG1555" s="2">
        <f ca="1"/>
        <v>0.21988407641243701</v>
      </c>
      <c r="AH1555" s="2" t="str">
        <f ca="1"/>
        <v>OK</v>
      </c>
    </row>
    <row r="1556" spans="2:34" x14ac:dyDescent="0.2">
      <c r="B1556" s="2">
        <f ca="1"/>
        <v>0.28516650778973229</v>
      </c>
      <c r="O1556" s="2">
        <f ca="1"/>
        <v>-0.48488608854040544</v>
      </c>
      <c r="X1556" s="2">
        <f ca="1"/>
        <v>35.83275537874983</v>
      </c>
      <c r="AG1556" s="2">
        <f ca="1"/>
        <v>0.90461605213267182</v>
      </c>
      <c r="AH1556" s="2" t="str">
        <f ca="1"/>
        <v>Bad</v>
      </c>
    </row>
    <row r="1557" spans="2:34" x14ac:dyDescent="0.2">
      <c r="B1557" s="2">
        <f ca="1"/>
        <v>0.26807551165995958</v>
      </c>
      <c r="O1557" s="2">
        <f ca="1"/>
        <v>0.87438176915176102</v>
      </c>
      <c r="X1557" s="2">
        <f ca="1"/>
        <v>36.241333708480667</v>
      </c>
      <c r="AG1557" s="2">
        <f ca="1"/>
        <v>0.12766745551324976</v>
      </c>
      <c r="AH1557" s="2" t="str">
        <f ca="1"/>
        <v>OK</v>
      </c>
    </row>
    <row r="1558" spans="2:34" x14ac:dyDescent="0.2">
      <c r="B1558" s="2">
        <f ca="1"/>
        <v>0.39339739097457294</v>
      </c>
      <c r="O1558" s="2">
        <f ca="1"/>
        <v>-1.3101098367349815</v>
      </c>
      <c r="X1558" s="2">
        <f ca="1"/>
        <v>30.017003895512211</v>
      </c>
      <c r="AG1558" s="2">
        <f ca="1"/>
        <v>0.33812700108019378</v>
      </c>
      <c r="AH1558" s="2" t="str">
        <f ca="1"/>
        <v>OK</v>
      </c>
    </row>
    <row r="1559" spans="2:34" x14ac:dyDescent="0.2">
      <c r="B1559" s="2">
        <f ca="1"/>
        <v>0.57470105351487799</v>
      </c>
      <c r="O1559" s="2">
        <f ca="1"/>
        <v>-0.75241647371262377</v>
      </c>
      <c r="X1559" s="2">
        <f ca="1"/>
        <v>76.044178750686442</v>
      </c>
      <c r="AG1559" s="2">
        <f ca="1"/>
        <v>0.58539423784823175</v>
      </c>
      <c r="AH1559" s="2" t="str">
        <f ca="1"/>
        <v>Bad</v>
      </c>
    </row>
    <row r="1560" spans="2:34" x14ac:dyDescent="0.2">
      <c r="B1560" s="2">
        <f ca="1"/>
        <v>0.46287562540022398</v>
      </c>
      <c r="O1560" s="2">
        <f ca="1"/>
        <v>-8.3927900719195064E-2</v>
      </c>
      <c r="X1560" s="2">
        <f ca="1"/>
        <v>24.657205924328199</v>
      </c>
      <c r="AG1560" s="2">
        <f ca="1"/>
        <v>0.74909588017792794</v>
      </c>
      <c r="AH1560" s="2" t="str">
        <f ca="1"/>
        <v>Bad</v>
      </c>
    </row>
    <row r="1561" spans="2:34" x14ac:dyDescent="0.2">
      <c r="B1561" s="2">
        <f ca="1"/>
        <v>0.72406427837133491</v>
      </c>
      <c r="O1561" s="2">
        <f ca="1"/>
        <v>-2.4686249038894093</v>
      </c>
      <c r="X1561" s="2">
        <f ca="1"/>
        <v>60.690425414471562</v>
      </c>
      <c r="AG1561" s="2">
        <f ca="1"/>
        <v>0.16867735032519637</v>
      </c>
      <c r="AH1561" s="2" t="str">
        <f ca="1"/>
        <v>OK</v>
      </c>
    </row>
    <row r="1562" spans="2:34" x14ac:dyDescent="0.2">
      <c r="B1562" s="2">
        <f ca="1"/>
        <v>0.25575750227206084</v>
      </c>
      <c r="O1562" s="2">
        <f ca="1"/>
        <v>-1.0873780750406481</v>
      </c>
      <c r="X1562" s="2">
        <f ca="1"/>
        <v>37.453819480008256</v>
      </c>
      <c r="AG1562" s="2">
        <f ca="1"/>
        <v>0.91362998582119648</v>
      </c>
      <c r="AH1562" s="2" t="str">
        <f ca="1"/>
        <v>Bad</v>
      </c>
    </row>
    <row r="1563" spans="2:34" x14ac:dyDescent="0.2">
      <c r="B1563" s="2">
        <f ca="1"/>
        <v>0.49796427142555255</v>
      </c>
      <c r="O1563" s="2">
        <f ca="1"/>
        <v>0.85902171437598718</v>
      </c>
      <c r="X1563" s="2">
        <f ca="1"/>
        <v>47.585575093564401</v>
      </c>
      <c r="AG1563" s="2">
        <f ca="1"/>
        <v>0.53439767023767382</v>
      </c>
      <c r="AH1563" s="2" t="str">
        <f ca="1"/>
        <v>Bad</v>
      </c>
    </row>
    <row r="1564" spans="2:34" x14ac:dyDescent="0.2">
      <c r="B1564" s="2">
        <f ca="1"/>
        <v>0.61003175056548598</v>
      </c>
      <c r="O1564" s="2">
        <f ca="1"/>
        <v>-0.27822481505624724</v>
      </c>
      <c r="X1564" s="2">
        <f ca="1"/>
        <v>64.087847947142734</v>
      </c>
      <c r="AG1564" s="2">
        <f ca="1"/>
        <v>0.17548768894603617</v>
      </c>
      <c r="AH1564" s="2" t="str">
        <f ca="1"/>
        <v>OK</v>
      </c>
    </row>
    <row r="1565" spans="2:34" x14ac:dyDescent="0.2">
      <c r="B1565" s="2">
        <f ca="1"/>
        <v>9.8751332432864825E-3</v>
      </c>
      <c r="O1565" s="2">
        <f ca="1"/>
        <v>0.43404776659162958</v>
      </c>
      <c r="X1565" s="2">
        <f ca="1"/>
        <v>56.062328944508934</v>
      </c>
      <c r="AG1565" s="2">
        <f ca="1"/>
        <v>0.92917593614868599</v>
      </c>
      <c r="AH1565" s="2" t="str">
        <f ca="1"/>
        <v>Bad</v>
      </c>
    </row>
    <row r="1566" spans="2:34" x14ac:dyDescent="0.2">
      <c r="B1566" s="2">
        <f ca="1"/>
        <v>0.7432992403461085</v>
      </c>
      <c r="O1566" s="2">
        <f ca="1"/>
        <v>1.5769395760098255</v>
      </c>
      <c r="X1566" s="2">
        <f ca="1"/>
        <v>47.507326475890402</v>
      </c>
      <c r="AG1566" s="2">
        <f ca="1"/>
        <v>0.92753370365369503</v>
      </c>
      <c r="AH1566" s="2" t="str">
        <f ca="1"/>
        <v>Bad</v>
      </c>
    </row>
    <row r="1567" spans="2:34" x14ac:dyDescent="0.2">
      <c r="B1567" s="2">
        <f ca="1"/>
        <v>0.24661691604017788</v>
      </c>
      <c r="O1567" s="2">
        <f ca="1"/>
        <v>0.79608720626428064</v>
      </c>
      <c r="X1567" s="2">
        <f ca="1"/>
        <v>45.332718686769212</v>
      </c>
      <c r="AG1567" s="2">
        <f ca="1"/>
        <v>0.4714754628705089</v>
      </c>
      <c r="AH1567" s="2" t="str">
        <f ca="1"/>
        <v>Bad</v>
      </c>
    </row>
    <row r="1568" spans="2:34" x14ac:dyDescent="0.2">
      <c r="B1568" s="2">
        <f ca="1"/>
        <v>0.83687824985402548</v>
      </c>
      <c r="O1568" s="2">
        <f ca="1"/>
        <v>0.13114744554701491</v>
      </c>
      <c r="X1568" s="2">
        <f ca="1"/>
        <v>42.057635649118048</v>
      </c>
      <c r="AG1568" s="2">
        <f ca="1"/>
        <v>0.75242722549274466</v>
      </c>
      <c r="AH1568" s="2" t="str">
        <f ca="1"/>
        <v>Bad</v>
      </c>
    </row>
    <row r="1569" spans="2:34" x14ac:dyDescent="0.2">
      <c r="B1569" s="2">
        <f ca="1"/>
        <v>0.40010646396037486</v>
      </c>
      <c r="O1569" s="2">
        <f ca="1"/>
        <v>-0.51031382485544574</v>
      </c>
      <c r="X1569" s="2">
        <f ca="1"/>
        <v>49.457006026153401</v>
      </c>
      <c r="AG1569" s="2">
        <f ca="1"/>
        <v>4.2047710876174094E-3</v>
      </c>
      <c r="AH1569" s="2" t="str">
        <f ca="1"/>
        <v>Good</v>
      </c>
    </row>
    <row r="1570" spans="2:34" x14ac:dyDescent="0.2">
      <c r="B1570" s="2">
        <f ca="1"/>
        <v>0.60692643353332931</v>
      </c>
      <c r="O1570" s="2">
        <f ca="1"/>
        <v>-1.4202637376581442</v>
      </c>
      <c r="X1570" s="2">
        <f ca="1"/>
        <v>32.840364690411242</v>
      </c>
      <c r="AG1570" s="2">
        <f ca="1"/>
        <v>0.59154086840861253</v>
      </c>
      <c r="AH1570" s="2" t="str">
        <f ca="1"/>
        <v>Bad</v>
      </c>
    </row>
    <row r="1571" spans="2:34" x14ac:dyDescent="0.2">
      <c r="B1571" s="2">
        <f ca="1"/>
        <v>0.66928438953935498</v>
      </c>
      <c r="O1571" s="2">
        <f ca="1"/>
        <v>-8.0280577646122564E-2</v>
      </c>
      <c r="X1571" s="2">
        <f ca="1"/>
        <v>38.206993689941399</v>
      </c>
      <c r="AG1571" s="2">
        <f ca="1"/>
        <v>0.32213732955100993</v>
      </c>
      <c r="AH1571" s="2" t="str">
        <f ca="1"/>
        <v>OK</v>
      </c>
    </row>
    <row r="1572" spans="2:34" x14ac:dyDescent="0.2">
      <c r="B1572" s="2">
        <f ca="1"/>
        <v>0.62479729353639191</v>
      </c>
      <c r="O1572" s="2">
        <f ca="1"/>
        <v>-0.97314777227921445</v>
      </c>
      <c r="X1572" s="2">
        <f ca="1"/>
        <v>63.547260041418255</v>
      </c>
      <c r="AG1572" s="2">
        <f ca="1"/>
        <v>0.69017975009544652</v>
      </c>
      <c r="AH1572" s="2" t="str">
        <f ca="1"/>
        <v>Bad</v>
      </c>
    </row>
    <row r="1573" spans="2:34" x14ac:dyDescent="0.2">
      <c r="B1573" s="2">
        <f ca="1"/>
        <v>0.58370180600717325</v>
      </c>
      <c r="O1573" s="2">
        <f ca="1"/>
        <v>0.85645444101124024</v>
      </c>
      <c r="X1573" s="2">
        <f ca="1"/>
        <v>53.281857982934646</v>
      </c>
      <c r="AG1573" s="2">
        <f ca="1"/>
        <v>0.35447236852683117</v>
      </c>
      <c r="AH1573" s="2" t="str">
        <f ca="1"/>
        <v>OK</v>
      </c>
    </row>
    <row r="1574" spans="2:34" x14ac:dyDescent="0.2">
      <c r="B1574" s="2">
        <f ca="1"/>
        <v>0.71178470054939091</v>
      </c>
      <c r="O1574" s="2">
        <f ca="1"/>
        <v>-0.22567545480802972</v>
      </c>
      <c r="X1574" s="2">
        <f ca="1"/>
        <v>31.09282649367838</v>
      </c>
      <c r="AG1574" s="2">
        <f ca="1"/>
        <v>0.89608937140428502</v>
      </c>
      <c r="AH1574" s="2" t="str">
        <f ca="1"/>
        <v>Bad</v>
      </c>
    </row>
    <row r="1575" spans="2:34" x14ac:dyDescent="0.2">
      <c r="B1575" s="2">
        <f ca="1"/>
        <v>0.58540723435999698</v>
      </c>
      <c r="O1575" s="2">
        <f ca="1"/>
        <v>1.1226884108811834</v>
      </c>
      <c r="X1575" s="2">
        <f ca="1"/>
        <v>38.481377645035913</v>
      </c>
      <c r="AG1575" s="2">
        <f ca="1"/>
        <v>0.78012329437002936</v>
      </c>
      <c r="AH1575" s="2" t="str">
        <f ca="1"/>
        <v>Bad</v>
      </c>
    </row>
    <row r="1576" spans="2:34" x14ac:dyDescent="0.2">
      <c r="B1576" s="2">
        <f ca="1"/>
        <v>0.40359243091340247</v>
      </c>
      <c r="O1576" s="2">
        <f ca="1"/>
        <v>-0.67605928206472465</v>
      </c>
      <c r="X1576" s="2">
        <f ca="1"/>
        <v>44.109840503963639</v>
      </c>
      <c r="AG1576" s="2">
        <f ca="1"/>
        <v>0.55308015856228976</v>
      </c>
      <c r="AH1576" s="2" t="str">
        <f ca="1"/>
        <v>Bad</v>
      </c>
    </row>
    <row r="1577" spans="2:34" x14ac:dyDescent="0.2">
      <c r="B1577" s="2">
        <f ca="1"/>
        <v>0.32298681833590548</v>
      </c>
      <c r="O1577" s="2">
        <f ca="1"/>
        <v>-3.992045446758026E-2</v>
      </c>
      <c r="X1577" s="2">
        <f ca="1"/>
        <v>51.717663709116799</v>
      </c>
      <c r="AG1577" s="2">
        <f ca="1"/>
        <v>0.97610585868298916</v>
      </c>
      <c r="AH1577" s="2" t="str">
        <f ca="1"/>
        <v>Bad</v>
      </c>
    </row>
    <row r="1578" spans="2:34" x14ac:dyDescent="0.2">
      <c r="B1578" s="2">
        <f ca="1"/>
        <v>0.29286634128196787</v>
      </c>
      <c r="O1578" s="2">
        <f ca="1"/>
        <v>-0.20389290547367234</v>
      </c>
      <c r="X1578" s="2">
        <f ca="1"/>
        <v>34.450025428961617</v>
      </c>
      <c r="AG1578" s="2">
        <f ca="1"/>
        <v>0.51318404701478815</v>
      </c>
      <c r="AH1578" s="2" t="str">
        <f ca="1"/>
        <v>Bad</v>
      </c>
    </row>
    <row r="1579" spans="2:34" x14ac:dyDescent="0.2">
      <c r="B1579" s="2">
        <f ca="1"/>
        <v>0.32491100949892049</v>
      </c>
      <c r="O1579" s="2">
        <f ca="1"/>
        <v>-0.55383519739056486</v>
      </c>
      <c r="X1579" s="2">
        <f ca="1"/>
        <v>63.357603497687556</v>
      </c>
      <c r="AG1579" s="2">
        <f ca="1"/>
        <v>0.40118899668701014</v>
      </c>
      <c r="AH1579" s="2" t="str">
        <f ca="1"/>
        <v>Bad</v>
      </c>
    </row>
    <row r="1580" spans="2:34" x14ac:dyDescent="0.2">
      <c r="B1580" s="2">
        <f ca="1"/>
        <v>0.98897397767400452</v>
      </c>
      <c r="O1580" s="2">
        <f ca="1"/>
        <v>1.2559378348668717</v>
      </c>
      <c r="X1580" s="2">
        <f ca="1"/>
        <v>21.173139297109131</v>
      </c>
      <c r="AG1580" s="2">
        <f ca="1"/>
        <v>0.47661912673865636</v>
      </c>
      <c r="AH1580" s="2" t="str">
        <f ca="1"/>
        <v>Bad</v>
      </c>
    </row>
    <row r="1581" spans="2:34" x14ac:dyDescent="0.2">
      <c r="B1581" s="2">
        <f ca="1"/>
        <v>0.62003237239735598</v>
      </c>
      <c r="O1581" s="2">
        <f ca="1"/>
        <v>0.25020903990666382</v>
      </c>
      <c r="X1581" s="2">
        <f ca="1"/>
        <v>11.589940240914355</v>
      </c>
      <c r="AG1581" s="2">
        <f ca="1"/>
        <v>0.728534380785131</v>
      </c>
      <c r="AH1581" s="2" t="str">
        <f ca="1"/>
        <v>Bad</v>
      </c>
    </row>
    <row r="1582" spans="2:34" x14ac:dyDescent="0.2">
      <c r="B1582" s="2">
        <f ca="1"/>
        <v>0.83623232515786494</v>
      </c>
      <c r="O1582" s="2">
        <f ca="1"/>
        <v>0.57467453019815284</v>
      </c>
      <c r="X1582" s="2">
        <f ca="1"/>
        <v>75.818578252120687</v>
      </c>
      <c r="AG1582" s="2">
        <f ca="1"/>
        <v>0.44067968427505488</v>
      </c>
      <c r="AH1582" s="2" t="str">
        <f ca="1"/>
        <v>Bad</v>
      </c>
    </row>
    <row r="1583" spans="2:34" x14ac:dyDescent="0.2">
      <c r="B1583" s="2">
        <f ca="1"/>
        <v>0.87293301780157462</v>
      </c>
      <c r="O1583" s="2">
        <f ca="1"/>
        <v>1.916547182257377</v>
      </c>
      <c r="X1583" s="2">
        <f ca="1"/>
        <v>40.930169384108325</v>
      </c>
      <c r="AG1583" s="2">
        <f ca="1"/>
        <v>0.93052244875616785</v>
      </c>
      <c r="AH1583" s="2" t="str">
        <f ca="1"/>
        <v>Bad</v>
      </c>
    </row>
    <row r="1584" spans="2:34" x14ac:dyDescent="0.2">
      <c r="B1584" s="2">
        <f ca="1"/>
        <v>7.1880372982981777E-2</v>
      </c>
      <c r="O1584" s="2">
        <f ca="1"/>
        <v>0.53296326993512477</v>
      </c>
      <c r="X1584" s="2">
        <f ca="1"/>
        <v>62.254136016698219</v>
      </c>
      <c r="AG1584" s="2">
        <f ca="1"/>
        <v>0.63880450907905528</v>
      </c>
      <c r="AH1584" s="2" t="str">
        <f ca="1"/>
        <v>Bad</v>
      </c>
    </row>
    <row r="1585" spans="2:34" x14ac:dyDescent="0.2">
      <c r="B1585" s="2">
        <f ca="1"/>
        <v>0.33575909332513398</v>
      </c>
      <c r="O1585" s="2">
        <f ca="1"/>
        <v>1.9188213415658235</v>
      </c>
      <c r="X1585" s="2">
        <f ca="1"/>
        <v>33.620182127350759</v>
      </c>
      <c r="AG1585" s="2">
        <f ca="1"/>
        <v>0.27592206392827157</v>
      </c>
      <c r="AH1585" s="2" t="str">
        <f ca="1"/>
        <v>OK</v>
      </c>
    </row>
    <row r="1586" spans="2:34" x14ac:dyDescent="0.2">
      <c r="B1586" s="2">
        <f ca="1"/>
        <v>0.32032406255959978</v>
      </c>
      <c r="O1586" s="2">
        <f ca="1"/>
        <v>5.2473798610492856E-3</v>
      </c>
      <c r="X1586" s="2">
        <f ca="1"/>
        <v>35.056495560568898</v>
      </c>
      <c r="AG1586" s="2">
        <f ca="1"/>
        <v>0.36464691581288822</v>
      </c>
      <c r="AH1586" s="2" t="str">
        <f ca="1"/>
        <v>OK</v>
      </c>
    </row>
    <row r="1587" spans="2:34" x14ac:dyDescent="0.2">
      <c r="B1587" s="2">
        <f ca="1"/>
        <v>0.60790607934660357</v>
      </c>
      <c r="O1587" s="2">
        <f ca="1"/>
        <v>-0.19999991034288297</v>
      </c>
      <c r="X1587" s="2">
        <f ca="1"/>
        <v>59.291283411013154</v>
      </c>
      <c r="AG1587" s="2">
        <f ca="1"/>
        <v>0.6398103839310334</v>
      </c>
      <c r="AH1587" s="2" t="str">
        <f ca="1"/>
        <v>Bad</v>
      </c>
    </row>
    <row r="1588" spans="2:34" x14ac:dyDescent="0.2">
      <c r="B1588" s="2">
        <f ca="1"/>
        <v>0.1867440854497322</v>
      </c>
      <c r="O1588" s="2">
        <f ca="1"/>
        <v>-0.80218653796124428</v>
      </c>
      <c r="X1588" s="2">
        <f ca="1"/>
        <v>56.531992373562943</v>
      </c>
      <c r="AG1588" s="2">
        <f ca="1"/>
        <v>6.6387304844539807E-2</v>
      </c>
      <c r="AH1588" s="2" t="str">
        <f ca="1"/>
        <v>OK</v>
      </c>
    </row>
    <row r="1589" spans="2:34" x14ac:dyDescent="0.2">
      <c r="B1589" s="2">
        <f ca="1"/>
        <v>0.94555130345359739</v>
      </c>
      <c r="O1589" s="2">
        <f ca="1"/>
        <v>0.37207188580904677</v>
      </c>
      <c r="X1589" s="2">
        <f ca="1"/>
        <v>67.443864508840491</v>
      </c>
      <c r="AG1589" s="2">
        <f ca="1"/>
        <v>0.92467518682117178</v>
      </c>
      <c r="AH1589" s="2" t="str">
        <f ca="1"/>
        <v>Bad</v>
      </c>
    </row>
    <row r="1590" spans="2:34" x14ac:dyDescent="0.2">
      <c r="B1590" s="2">
        <f ca="1"/>
        <v>0.54466339442753209</v>
      </c>
      <c r="O1590" s="2">
        <f ca="1"/>
        <v>0.51186565555244778</v>
      </c>
      <c r="X1590" s="2">
        <f ca="1"/>
        <v>40.706562804371785</v>
      </c>
      <c r="AG1590" s="2">
        <f ca="1"/>
        <v>0.61363463928000006</v>
      </c>
      <c r="AH1590" s="2" t="str">
        <f ca="1"/>
        <v>Bad</v>
      </c>
    </row>
    <row r="1591" spans="2:34" x14ac:dyDescent="0.2">
      <c r="B1591" s="2">
        <f ca="1"/>
        <v>0.84155703144730687</v>
      </c>
      <c r="O1591" s="2">
        <f ca="1"/>
        <v>-1.1315285124053864</v>
      </c>
      <c r="X1591" s="2">
        <f ca="1"/>
        <v>35.85059032526344</v>
      </c>
      <c r="AG1591" s="2">
        <f ca="1"/>
        <v>2.0940220688333122E-2</v>
      </c>
      <c r="AH1591" s="2" t="str">
        <f ca="1"/>
        <v>Good</v>
      </c>
    </row>
    <row r="1592" spans="2:34" x14ac:dyDescent="0.2">
      <c r="B1592" s="2">
        <f ca="1"/>
        <v>0.38040645771386261</v>
      </c>
      <c r="O1592" s="2">
        <f ca="1"/>
        <v>-0.43601282360447696</v>
      </c>
      <c r="X1592" s="2">
        <f ca="1"/>
        <v>61.668560539848784</v>
      </c>
      <c r="AG1592" s="2">
        <f ca="1"/>
        <v>0.47649559001777408</v>
      </c>
      <c r="AH1592" s="2" t="str">
        <f ca="1"/>
        <v>Bad</v>
      </c>
    </row>
    <row r="1593" spans="2:34" x14ac:dyDescent="0.2">
      <c r="B1593" s="2">
        <f ca="1"/>
        <v>0.39821716215186487</v>
      </c>
      <c r="O1593" s="2">
        <f ca="1"/>
        <v>-1.5102142244416761</v>
      </c>
      <c r="X1593" s="2">
        <f ca="1"/>
        <v>46.944871903566046</v>
      </c>
      <c r="AG1593" s="2">
        <f ca="1"/>
        <v>0.22447255450149495</v>
      </c>
      <c r="AH1593" s="2" t="str">
        <f ca="1"/>
        <v>OK</v>
      </c>
    </row>
    <row r="1594" spans="2:34" x14ac:dyDescent="0.2">
      <c r="B1594" s="2">
        <f ca="1"/>
        <v>9.3673630647988171E-2</v>
      </c>
      <c r="O1594" s="2">
        <f ca="1"/>
        <v>-0.28056738249102481</v>
      </c>
      <c r="X1594" s="2">
        <f ca="1"/>
        <v>18.535638728240357</v>
      </c>
      <c r="AG1594" s="2">
        <f ca="1"/>
        <v>0.14120733004130637</v>
      </c>
      <c r="AH1594" s="2" t="str">
        <f ca="1"/>
        <v>OK</v>
      </c>
    </row>
    <row r="1595" spans="2:34" x14ac:dyDescent="0.2">
      <c r="B1595" s="2">
        <f ca="1"/>
        <v>0.4361549585848481</v>
      </c>
      <c r="O1595" s="2">
        <f ca="1"/>
        <v>-1.9227912269142957</v>
      </c>
      <c r="X1595" s="2">
        <f ca="1"/>
        <v>64.916758393763175</v>
      </c>
      <c r="AG1595" s="2">
        <f ca="1"/>
        <v>0.43597129070242691</v>
      </c>
      <c r="AH1595" s="2" t="str">
        <f ca="1"/>
        <v>Bad</v>
      </c>
    </row>
    <row r="1596" spans="2:34" x14ac:dyDescent="0.2">
      <c r="B1596" s="2">
        <f ca="1"/>
        <v>0.91206448095441939</v>
      </c>
      <c r="O1596" s="2">
        <f ca="1"/>
        <v>-0.81842233465803094</v>
      </c>
      <c r="X1596" s="2">
        <f ca="1"/>
        <v>71.245963310754391</v>
      </c>
      <c r="AG1596" s="2">
        <f ca="1"/>
        <v>5.5135467050337894E-3</v>
      </c>
      <c r="AH1596" s="2" t="str">
        <f ca="1"/>
        <v>Good</v>
      </c>
    </row>
    <row r="1597" spans="2:34" x14ac:dyDescent="0.2">
      <c r="B1597" s="2">
        <f ca="1"/>
        <v>0.22303461431814209</v>
      </c>
      <c r="O1597" s="2">
        <f ca="1"/>
        <v>-0.12354731053291182</v>
      </c>
      <c r="X1597" s="2">
        <f ca="1"/>
        <v>41.374350224410996</v>
      </c>
      <c r="AG1597" s="2">
        <f ca="1"/>
        <v>0.38531992191927467</v>
      </c>
      <c r="AH1597" s="2" t="str">
        <f ca="1"/>
        <v>OK</v>
      </c>
    </row>
    <row r="1598" spans="2:34" x14ac:dyDescent="0.2">
      <c r="B1598" s="2">
        <f ca="1"/>
        <v>0.49342381947391711</v>
      </c>
      <c r="O1598" s="2">
        <f ca="1"/>
        <v>0.93481643769421952</v>
      </c>
      <c r="X1598" s="2">
        <f ca="1"/>
        <v>53.381168217765698</v>
      </c>
      <c r="AG1598" s="2">
        <f ca="1"/>
        <v>0.72945090519056066</v>
      </c>
      <c r="AH1598" s="2" t="str">
        <f ca="1"/>
        <v>Bad</v>
      </c>
    </row>
    <row r="1599" spans="2:34" x14ac:dyDescent="0.2">
      <c r="B1599" s="2">
        <f ca="1"/>
        <v>0.84896716594400234</v>
      </c>
      <c r="O1599" s="2">
        <f ca="1"/>
        <v>0.18222936216814867</v>
      </c>
      <c r="X1599" s="2">
        <f ca="1"/>
        <v>38.975984435319994</v>
      </c>
      <c r="AG1599" s="2">
        <f ca="1"/>
        <v>0.48556192976264612</v>
      </c>
      <c r="AH1599" s="2" t="str">
        <f ca="1"/>
        <v>Bad</v>
      </c>
    </row>
    <row r="1600" spans="2:34" x14ac:dyDescent="0.2">
      <c r="B1600" s="2">
        <f ca="1"/>
        <v>0.10632173166712811</v>
      </c>
      <c r="O1600" s="2">
        <f ca="1"/>
        <v>-0.93199572463241553</v>
      </c>
      <c r="X1600" s="2">
        <f ca="1"/>
        <v>41.764239329797562</v>
      </c>
      <c r="AG1600" s="2">
        <f ca="1"/>
        <v>0.58703429003657237</v>
      </c>
      <c r="AH1600" s="2" t="str">
        <f ca="1"/>
        <v>Bad</v>
      </c>
    </row>
    <row r="1601" spans="2:34" x14ac:dyDescent="0.2">
      <c r="B1601" s="2">
        <f ca="1"/>
        <v>0.54606301220575437</v>
      </c>
      <c r="O1601" s="2">
        <f ca="1"/>
        <v>7.7076797089404042E-2</v>
      </c>
      <c r="X1601" s="2">
        <f ca="1"/>
        <v>44.752279014138274</v>
      </c>
      <c r="AG1601" s="2">
        <f ca="1"/>
        <v>0.55816141303639633</v>
      </c>
      <c r="AH1601" s="2" t="str">
        <f ca="1"/>
        <v>Bad</v>
      </c>
    </row>
    <row r="1602" spans="2:34" x14ac:dyDescent="0.2">
      <c r="B1602" s="2">
        <f ca="1"/>
        <v>0.10823287059025977</v>
      </c>
      <c r="O1602" s="2">
        <f ca="1"/>
        <v>1.5149122283429397</v>
      </c>
      <c r="X1602" s="2">
        <f ca="1"/>
        <v>50.600899096941951</v>
      </c>
      <c r="AG1602" s="2">
        <f ca="1"/>
        <v>0.49227178920501258</v>
      </c>
      <c r="AH1602" s="2" t="str">
        <f ca="1"/>
        <v>Bad</v>
      </c>
    </row>
    <row r="1603" spans="2:34" x14ac:dyDescent="0.2">
      <c r="B1603" s="2">
        <f ca="1"/>
        <v>0.61389103240610665</v>
      </c>
      <c r="O1603" s="2">
        <f ca="1"/>
        <v>0.72446553842405204</v>
      </c>
      <c r="X1603" s="2">
        <f ca="1"/>
        <v>45.932604266747525</v>
      </c>
      <c r="AG1603" s="2">
        <f ca="1"/>
        <v>0.4099891105520892</v>
      </c>
      <c r="AH1603" s="2" t="str">
        <f ca="1"/>
        <v>Bad</v>
      </c>
    </row>
    <row r="1604" spans="2:34" x14ac:dyDescent="0.2">
      <c r="B1604" s="2">
        <f ca="1"/>
        <v>0.71462443758280214</v>
      </c>
      <c r="O1604" s="2">
        <f ca="1"/>
        <v>1.340063099255808</v>
      </c>
      <c r="X1604" s="2">
        <f ca="1"/>
        <v>58.083040607703225</v>
      </c>
      <c r="AG1604" s="2">
        <f ca="1"/>
        <v>0.69005843879973616</v>
      </c>
      <c r="AH1604" s="2" t="str">
        <f ca="1"/>
        <v>Bad</v>
      </c>
    </row>
    <row r="1605" spans="2:34" x14ac:dyDescent="0.2">
      <c r="B1605" s="2">
        <f ca="1"/>
        <v>0.33344135222483473</v>
      </c>
      <c r="O1605" s="2">
        <f ca="1"/>
        <v>1.3629888056767456</v>
      </c>
      <c r="X1605" s="2">
        <f ca="1"/>
        <v>27.250871860635538</v>
      </c>
      <c r="AG1605" s="2">
        <f ca="1"/>
        <v>0.16179287007412868</v>
      </c>
      <c r="AH1605" s="2" t="str">
        <f ca="1"/>
        <v>OK</v>
      </c>
    </row>
    <row r="1606" spans="2:34" x14ac:dyDescent="0.2">
      <c r="B1606" s="2">
        <f ca="1"/>
        <v>0.747794908200627</v>
      </c>
      <c r="O1606" s="2">
        <f ca="1"/>
        <v>0.53794106747335924</v>
      </c>
      <c r="X1606" s="2">
        <f ca="1"/>
        <v>68.769342129134913</v>
      </c>
      <c r="AG1606" s="2">
        <f ca="1"/>
        <v>4.1907100994198254E-2</v>
      </c>
      <c r="AH1606" s="2" t="str">
        <f ca="1"/>
        <v>Good</v>
      </c>
    </row>
    <row r="1607" spans="2:34" x14ac:dyDescent="0.2">
      <c r="B1607" s="2">
        <f ca="1"/>
        <v>0.15480618488579645</v>
      </c>
      <c r="O1607" s="2">
        <f ca="1"/>
        <v>-0.72797197524362234</v>
      </c>
      <c r="X1607" s="2">
        <f ca="1"/>
        <v>64.160102643410042</v>
      </c>
      <c r="AG1607" s="2">
        <f ca="1"/>
        <v>0.69613254170454075</v>
      </c>
      <c r="AH1607" s="2" t="str">
        <f ca="1"/>
        <v>Bad</v>
      </c>
    </row>
    <row r="1608" spans="2:34" x14ac:dyDescent="0.2">
      <c r="B1608" s="2">
        <f ca="1"/>
        <v>0.1119440527017308</v>
      </c>
      <c r="O1608" s="2">
        <f ca="1"/>
        <v>0.99139530285956867</v>
      </c>
      <c r="X1608" s="2">
        <f ca="1"/>
        <v>53.565830218679054</v>
      </c>
      <c r="AG1608" s="2">
        <f ca="1"/>
        <v>0.24627109787393309</v>
      </c>
      <c r="AH1608" s="2" t="str">
        <f ca="1"/>
        <v>OK</v>
      </c>
    </row>
    <row r="1609" spans="2:34" x14ac:dyDescent="0.2">
      <c r="B1609" s="2">
        <f ca="1"/>
        <v>0.6762744770696274</v>
      </c>
      <c r="O1609" s="2">
        <f ca="1"/>
        <v>-0.31148537515141933</v>
      </c>
      <c r="X1609" s="2">
        <f ca="1"/>
        <v>41.353415678515418</v>
      </c>
      <c r="AG1609" s="2">
        <f ca="1"/>
        <v>0.44736158578660601</v>
      </c>
      <c r="AH1609" s="2" t="str">
        <f ca="1"/>
        <v>Bad</v>
      </c>
    </row>
    <row r="1610" spans="2:34" x14ac:dyDescent="0.2">
      <c r="B1610" s="2">
        <f ca="1"/>
        <v>1.9070738301641743E-2</v>
      </c>
      <c r="O1610" s="2">
        <f ca="1"/>
        <v>-1.9156288468222704</v>
      </c>
      <c r="X1610" s="2">
        <f ca="1"/>
        <v>55.205271797047999</v>
      </c>
      <c r="AG1610" s="2">
        <f ca="1"/>
        <v>0.92003847841014186</v>
      </c>
      <c r="AH1610" s="2" t="str">
        <f ca="1"/>
        <v>Bad</v>
      </c>
    </row>
    <row r="1611" spans="2:34" x14ac:dyDescent="0.2">
      <c r="B1611" s="2">
        <f ca="1"/>
        <v>0.70124346544020977</v>
      </c>
      <c r="O1611" s="2">
        <f ca="1"/>
        <v>-1.7995191609122467</v>
      </c>
      <c r="X1611" s="2">
        <f ca="1"/>
        <v>33.683790065489887</v>
      </c>
      <c r="AG1611" s="2">
        <f ca="1"/>
        <v>0.54448710366863939</v>
      </c>
      <c r="AH1611" s="2" t="str">
        <f ca="1"/>
        <v>Bad</v>
      </c>
    </row>
    <row r="1612" spans="2:34" x14ac:dyDescent="0.2">
      <c r="B1612" s="2">
        <f ca="1"/>
        <v>0.23475622518737205</v>
      </c>
      <c r="O1612" s="2">
        <f ca="1"/>
        <v>-1.7857054959607284</v>
      </c>
      <c r="X1612" s="2">
        <f ca="1"/>
        <v>47.42635127461363</v>
      </c>
      <c r="AG1612" s="2">
        <f ca="1"/>
        <v>0.7877806956268345</v>
      </c>
      <c r="AH1612" s="2" t="str">
        <f ca="1"/>
        <v>Bad</v>
      </c>
    </row>
    <row r="1613" spans="2:34" x14ac:dyDescent="0.2">
      <c r="B1613" s="2">
        <f ca="1"/>
        <v>0.80143595247083566</v>
      </c>
      <c r="O1613" s="2">
        <f ca="1"/>
        <v>-1.9273912535596693</v>
      </c>
      <c r="X1613" s="2">
        <f ca="1"/>
        <v>36.080197551751624</v>
      </c>
      <c r="AG1613" s="2">
        <f ca="1"/>
        <v>0.36867984794510411</v>
      </c>
      <c r="AH1613" s="2" t="str">
        <f ca="1"/>
        <v>OK</v>
      </c>
    </row>
    <row r="1614" spans="2:34" x14ac:dyDescent="0.2">
      <c r="B1614" s="2">
        <f ca="1"/>
        <v>4.0224753907968314E-2</v>
      </c>
      <c r="O1614" s="2">
        <f ca="1"/>
        <v>-1.1487169184056969</v>
      </c>
      <c r="X1614" s="2">
        <f ca="1"/>
        <v>61.458556764254155</v>
      </c>
      <c r="AG1614" s="2">
        <f ca="1"/>
        <v>0.98363234716832371</v>
      </c>
      <c r="AH1614" s="2" t="str">
        <f ca="1"/>
        <v>Bad</v>
      </c>
    </row>
    <row r="1615" spans="2:34" x14ac:dyDescent="0.2">
      <c r="B1615" s="2">
        <f ca="1"/>
        <v>0.77167508183243694</v>
      </c>
      <c r="O1615" s="2">
        <f ca="1"/>
        <v>-1.2638831478664911</v>
      </c>
      <c r="X1615" s="2">
        <f ca="1"/>
        <v>81.229720632725773</v>
      </c>
      <c r="AG1615" s="2">
        <f ca="1"/>
        <v>0.34442493303215072</v>
      </c>
      <c r="AH1615" s="2" t="str">
        <f ca="1"/>
        <v>OK</v>
      </c>
    </row>
    <row r="1616" spans="2:34" x14ac:dyDescent="0.2">
      <c r="B1616" s="2">
        <f ca="1"/>
        <v>5.6702489869840056E-2</v>
      </c>
      <c r="O1616" s="2">
        <f ca="1"/>
        <v>-0.20465549353857529</v>
      </c>
      <c r="X1616" s="2">
        <f ca="1"/>
        <v>63.898659242668842</v>
      </c>
      <c r="AG1616" s="2">
        <f ca="1"/>
        <v>0.28058279582012635</v>
      </c>
      <c r="AH1616" s="2" t="str">
        <f ca="1"/>
        <v>OK</v>
      </c>
    </row>
    <row r="1617" spans="2:34" x14ac:dyDescent="0.2">
      <c r="B1617" s="2">
        <f ca="1"/>
        <v>0.5082027173502206</v>
      </c>
      <c r="O1617" s="2">
        <f ca="1"/>
        <v>0.17711791066579335</v>
      </c>
      <c r="X1617" s="2">
        <f ca="1"/>
        <v>40.09257434881939</v>
      </c>
      <c r="AG1617" s="2">
        <f ca="1"/>
        <v>0.2173864134439798</v>
      </c>
      <c r="AH1617" s="2" t="str">
        <f ca="1"/>
        <v>OK</v>
      </c>
    </row>
    <row r="1618" spans="2:34" x14ac:dyDescent="0.2">
      <c r="B1618" s="2">
        <f ca="1"/>
        <v>0.62198730563106519</v>
      </c>
      <c r="O1618" s="2">
        <f ca="1"/>
        <v>-0.65997353397623681</v>
      </c>
      <c r="X1618" s="2">
        <f ca="1"/>
        <v>46.04264300487629</v>
      </c>
      <c r="AG1618" s="2">
        <f ca="1"/>
        <v>0.35492121035908863</v>
      </c>
      <c r="AH1618" s="2" t="str">
        <f ca="1"/>
        <v>OK</v>
      </c>
    </row>
    <row r="1619" spans="2:34" x14ac:dyDescent="0.2">
      <c r="B1619" s="2">
        <f ca="1"/>
        <v>0.51078637848357222</v>
      </c>
      <c r="O1619" s="2">
        <f ca="1"/>
        <v>1.6694216394971202</v>
      </c>
      <c r="X1619" s="2">
        <f ca="1"/>
        <v>56.568439541473523</v>
      </c>
      <c r="AG1619" s="2">
        <f ca="1"/>
        <v>0.67258904442958567</v>
      </c>
      <c r="AH1619" s="2" t="str">
        <f ca="1"/>
        <v>Bad</v>
      </c>
    </row>
    <row r="1620" spans="2:34" x14ac:dyDescent="0.2">
      <c r="B1620" s="2">
        <f ca="1"/>
        <v>0.64595921872954087</v>
      </c>
      <c r="O1620" s="2">
        <f ca="1"/>
        <v>1.3660701000486166</v>
      </c>
      <c r="X1620" s="2">
        <f ca="1"/>
        <v>47.942759313957353</v>
      </c>
      <c r="AG1620" s="2">
        <f ca="1"/>
        <v>0.80184300943023934</v>
      </c>
      <c r="AH1620" s="2" t="str">
        <f ca="1"/>
        <v>Bad</v>
      </c>
    </row>
    <row r="1621" spans="2:34" x14ac:dyDescent="0.2">
      <c r="B1621" s="2">
        <f ca="1"/>
        <v>0.13418089931631627</v>
      </c>
      <c r="O1621" s="2">
        <f ca="1"/>
        <v>-0.27621334860497349</v>
      </c>
      <c r="X1621" s="2">
        <f ca="1"/>
        <v>33.395107635856796</v>
      </c>
      <c r="AG1621" s="2">
        <f ca="1"/>
        <v>0.54414580639458765</v>
      </c>
      <c r="AH1621" s="2" t="str">
        <f ca="1"/>
        <v>Bad</v>
      </c>
    </row>
    <row r="1622" spans="2:34" x14ac:dyDescent="0.2">
      <c r="B1622" s="2">
        <f ca="1"/>
        <v>0.22234694253677256</v>
      </c>
      <c r="O1622" s="2">
        <f ca="1"/>
        <v>-0.46252128249358448</v>
      </c>
      <c r="X1622" s="2">
        <f ca="1"/>
        <v>44.989725320401526</v>
      </c>
      <c r="AG1622" s="2">
        <f ca="1"/>
        <v>0.6322482320325491</v>
      </c>
      <c r="AH1622" s="2" t="str">
        <f ca="1"/>
        <v>Bad</v>
      </c>
    </row>
    <row r="1623" spans="2:34" x14ac:dyDescent="0.2">
      <c r="B1623" s="2">
        <f ca="1"/>
        <v>0.773667157522822</v>
      </c>
      <c r="O1623" s="2">
        <f ca="1"/>
        <v>1.6636925047147926</v>
      </c>
      <c r="X1623" s="2">
        <f ca="1"/>
        <v>26.941143485109365</v>
      </c>
      <c r="AG1623" s="2">
        <f ca="1"/>
        <v>0.8743599716024697</v>
      </c>
      <c r="AH1623" s="2" t="str">
        <f ca="1"/>
        <v>Bad</v>
      </c>
    </row>
    <row r="1624" spans="2:34" x14ac:dyDescent="0.2">
      <c r="B1624" s="2">
        <f ca="1"/>
        <v>1.8384468081957817E-2</v>
      </c>
      <c r="O1624" s="2">
        <f ca="1"/>
        <v>-1.0015549467364984</v>
      </c>
      <c r="X1624" s="2">
        <f ca="1"/>
        <v>66.266774760475911</v>
      </c>
      <c r="AG1624" s="2">
        <f ca="1"/>
        <v>3.8285510005269696E-2</v>
      </c>
      <c r="AH1624" s="2" t="str">
        <f ca="1"/>
        <v>Good</v>
      </c>
    </row>
    <row r="1625" spans="2:34" x14ac:dyDescent="0.2">
      <c r="B1625" s="2">
        <f ca="1"/>
        <v>0.6130693595990564</v>
      </c>
      <c r="O1625" s="2">
        <f ca="1"/>
        <v>-0.86917543162780697</v>
      </c>
      <c r="X1625" s="2">
        <f ca="1"/>
        <v>63.264486898136816</v>
      </c>
      <c r="AG1625" s="2">
        <f ca="1"/>
        <v>0.42682115457039305</v>
      </c>
      <c r="AH1625" s="2" t="str">
        <f ca="1"/>
        <v>Bad</v>
      </c>
    </row>
    <row r="1626" spans="2:34" x14ac:dyDescent="0.2">
      <c r="B1626" s="2">
        <f ca="1"/>
        <v>0.71095491735377681</v>
      </c>
      <c r="O1626" s="2">
        <f ca="1"/>
        <v>-0.67521876770398892</v>
      </c>
      <c r="X1626" s="2">
        <f ca="1"/>
        <v>38.211131510203401</v>
      </c>
      <c r="AG1626" s="2">
        <f ca="1"/>
        <v>0.49479714929224228</v>
      </c>
      <c r="AH1626" s="2" t="str">
        <f ca="1"/>
        <v>Bad</v>
      </c>
    </row>
    <row r="1627" spans="2:34" x14ac:dyDescent="0.2">
      <c r="B1627" s="2">
        <f ca="1"/>
        <v>0.81573065968156278</v>
      </c>
      <c r="O1627" s="2">
        <f ca="1"/>
        <v>0.93622120918090235</v>
      </c>
      <c r="X1627" s="2">
        <f ca="1"/>
        <v>55.822214316126448</v>
      </c>
      <c r="AG1627" s="2">
        <f ca="1"/>
        <v>0.95206802109050992</v>
      </c>
      <c r="AH1627" s="2" t="str">
        <f ca="1"/>
        <v>Bad</v>
      </c>
    </row>
    <row r="1628" spans="2:34" x14ac:dyDescent="0.2">
      <c r="B1628" s="2">
        <f ca="1"/>
        <v>0.81676293964577162</v>
      </c>
      <c r="O1628" s="2">
        <f ca="1"/>
        <v>1.1895995300818547</v>
      </c>
      <c r="X1628" s="2">
        <f ca="1"/>
        <v>55.16157994306252</v>
      </c>
      <c r="AG1628" s="2">
        <f ca="1"/>
        <v>0.36964945948335703</v>
      </c>
      <c r="AH1628" s="2" t="str">
        <f ca="1"/>
        <v>OK</v>
      </c>
    </row>
    <row r="1629" spans="2:34" x14ac:dyDescent="0.2">
      <c r="B1629" s="2">
        <f ca="1"/>
        <v>9.5993969277997415E-2</v>
      </c>
      <c r="O1629" s="2">
        <f ca="1"/>
        <v>-0.1020532742831143</v>
      </c>
      <c r="X1629" s="2">
        <f ca="1"/>
        <v>56.81678320085679</v>
      </c>
      <c r="AG1629" s="2">
        <f ca="1"/>
        <v>0.83009473773646869</v>
      </c>
      <c r="AH1629" s="2" t="str">
        <f ca="1"/>
        <v>Bad</v>
      </c>
    </row>
    <row r="1630" spans="2:34" x14ac:dyDescent="0.2">
      <c r="B1630" s="2">
        <f ca="1"/>
        <v>0.44679076218618885</v>
      </c>
      <c r="O1630" s="2">
        <f ca="1"/>
        <v>-0.64291971367823375</v>
      </c>
      <c r="X1630" s="2">
        <f ca="1"/>
        <v>35.973213164891156</v>
      </c>
      <c r="AG1630" s="2">
        <f ca="1"/>
        <v>0.9799160211286766</v>
      </c>
      <c r="AH1630" s="2" t="str">
        <f ca="1"/>
        <v>Bad</v>
      </c>
    </row>
    <row r="1631" spans="2:34" x14ac:dyDescent="0.2">
      <c r="B1631" s="2">
        <f ca="1"/>
        <v>0.67541881525670822</v>
      </c>
      <c r="O1631" s="2">
        <f ca="1"/>
        <v>0.35144194104430804</v>
      </c>
      <c r="X1631" s="2">
        <f ca="1"/>
        <v>39.00147315009486</v>
      </c>
      <c r="AG1631" s="2">
        <f ca="1"/>
        <v>0.43948265633359895</v>
      </c>
      <c r="AH1631" s="2" t="str">
        <f ca="1"/>
        <v>Bad</v>
      </c>
    </row>
    <row r="1632" spans="2:34" x14ac:dyDescent="0.2">
      <c r="B1632" s="2">
        <f ca="1"/>
        <v>0.5725294393555298</v>
      </c>
      <c r="O1632" s="2">
        <f ca="1"/>
        <v>-0.77468648526421857</v>
      </c>
      <c r="X1632" s="2">
        <f ca="1"/>
        <v>55.204567864175083</v>
      </c>
      <c r="AG1632" s="2">
        <f ca="1"/>
        <v>0.31582693467164891</v>
      </c>
      <c r="AH1632" s="2" t="str">
        <f ca="1"/>
        <v>OK</v>
      </c>
    </row>
    <row r="1633" spans="2:34" x14ac:dyDescent="0.2">
      <c r="B1633" s="2">
        <f ca="1"/>
        <v>9.7494647005141877E-2</v>
      </c>
      <c r="O1633" s="2">
        <f ca="1"/>
        <v>1.3143883654841764</v>
      </c>
      <c r="X1633" s="2">
        <f ca="1"/>
        <v>34.757619026559453</v>
      </c>
      <c r="AG1633" s="2">
        <f ca="1"/>
        <v>0.60751074213571288</v>
      </c>
      <c r="AH1633" s="2" t="str">
        <f ca="1"/>
        <v>Bad</v>
      </c>
    </row>
    <row r="1634" spans="2:34" x14ac:dyDescent="0.2">
      <c r="B1634" s="2">
        <f ca="1"/>
        <v>0.29388293216596439</v>
      </c>
      <c r="O1634" s="2">
        <f ca="1"/>
        <v>1.1482998510068523</v>
      </c>
      <c r="X1634" s="2">
        <f ca="1"/>
        <v>46.87863680889069</v>
      </c>
      <c r="AG1634" s="2">
        <f ca="1"/>
        <v>0.33336851433259529</v>
      </c>
      <c r="AH1634" s="2" t="str">
        <f ca="1"/>
        <v>OK</v>
      </c>
    </row>
    <row r="1635" spans="2:34" x14ac:dyDescent="0.2">
      <c r="B1635" s="2">
        <f ca="1"/>
        <v>0.52757345664942723</v>
      </c>
      <c r="O1635" s="2">
        <f ca="1"/>
        <v>1.6156026470025044</v>
      </c>
      <c r="X1635" s="2">
        <f ca="1"/>
        <v>28.581557335660644</v>
      </c>
      <c r="AG1635" s="2">
        <f ca="1"/>
        <v>0.90726812350181585</v>
      </c>
      <c r="AH1635" s="2" t="str">
        <f ca="1"/>
        <v>Bad</v>
      </c>
    </row>
    <row r="1636" spans="2:34" x14ac:dyDescent="0.2">
      <c r="B1636" s="2">
        <f ca="1"/>
        <v>0.8742055017064625</v>
      </c>
      <c r="O1636" s="2">
        <f ca="1"/>
        <v>-1.8608244742062698</v>
      </c>
      <c r="X1636" s="2">
        <f ca="1"/>
        <v>52.70768383474423</v>
      </c>
      <c r="AG1636" s="2">
        <f ca="1"/>
        <v>0.77262948906999851</v>
      </c>
      <c r="AH1636" s="2" t="str">
        <f ca="1"/>
        <v>Bad</v>
      </c>
    </row>
    <row r="1637" spans="2:34" x14ac:dyDescent="0.2">
      <c r="B1637" s="2">
        <f ca="1"/>
        <v>0.46093813944808248</v>
      </c>
      <c r="O1637" s="2">
        <f ca="1"/>
        <v>1.2508116662245699</v>
      </c>
      <c r="X1637" s="2">
        <f ca="1"/>
        <v>27.773495010877966</v>
      </c>
      <c r="AG1637" s="2">
        <f ca="1"/>
        <v>0.20766768649887424</v>
      </c>
      <c r="AH1637" s="2" t="str">
        <f ca="1"/>
        <v>OK</v>
      </c>
    </row>
    <row r="1638" spans="2:34" x14ac:dyDescent="0.2">
      <c r="B1638" s="2">
        <f ca="1"/>
        <v>0.83890949402622783</v>
      </c>
      <c r="O1638" s="2">
        <f ca="1"/>
        <v>-0.78143044266473138</v>
      </c>
      <c r="X1638" s="2">
        <f ca="1"/>
        <v>54.688485618553734</v>
      </c>
      <c r="AG1638" s="2">
        <f ca="1"/>
        <v>0.37742091337043937</v>
      </c>
      <c r="AH1638" s="2" t="str">
        <f ca="1"/>
        <v>OK</v>
      </c>
    </row>
    <row r="1639" spans="2:34" x14ac:dyDescent="0.2">
      <c r="B1639" s="2">
        <f ca="1"/>
        <v>0.79789676253001462</v>
      </c>
      <c r="O1639" s="2">
        <f ca="1"/>
        <v>-2.1223823278558637E-2</v>
      </c>
      <c r="X1639" s="2">
        <f ca="1"/>
        <v>39.073877789480726</v>
      </c>
      <c r="AG1639" s="2">
        <f ca="1"/>
        <v>0.53691421805852002</v>
      </c>
      <c r="AH1639" s="2" t="str">
        <f ca="1"/>
        <v>Bad</v>
      </c>
    </row>
    <row r="1640" spans="2:34" x14ac:dyDescent="0.2">
      <c r="B1640" s="2">
        <f ca="1"/>
        <v>0.26120418832036574</v>
      </c>
      <c r="O1640" s="2">
        <f ca="1"/>
        <v>-0.22009505230795737</v>
      </c>
      <c r="X1640" s="2">
        <f ca="1"/>
        <v>46.820808414702981</v>
      </c>
      <c r="AG1640" s="2">
        <f ca="1"/>
        <v>2.5885287147892289E-2</v>
      </c>
      <c r="AH1640" s="2" t="str">
        <f ca="1"/>
        <v>Good</v>
      </c>
    </row>
    <row r="1641" spans="2:34" x14ac:dyDescent="0.2">
      <c r="B1641" s="2">
        <f ca="1"/>
        <v>0.14727984206188349</v>
      </c>
      <c r="O1641" s="2">
        <f ca="1"/>
        <v>1.0339812853578771</v>
      </c>
      <c r="X1641" s="2">
        <f ca="1"/>
        <v>51.206727266222735</v>
      </c>
      <c r="AG1641" s="2">
        <f ca="1"/>
        <v>0.97568501616945102</v>
      </c>
      <c r="AH1641" s="2" t="str">
        <f ca="1"/>
        <v>Bad</v>
      </c>
    </row>
    <row r="1642" spans="2:34" x14ac:dyDescent="0.2">
      <c r="B1642" s="2">
        <f ca="1"/>
        <v>0.78041609650253552</v>
      </c>
      <c r="O1642" s="2">
        <f ca="1"/>
        <v>1.8225122107965992</v>
      </c>
      <c r="X1642" s="2">
        <f ca="1"/>
        <v>45.763544424075178</v>
      </c>
      <c r="AG1642" s="2">
        <f ca="1"/>
        <v>0.90436291372575472</v>
      </c>
      <c r="AH1642" s="2" t="str">
        <f ca="1"/>
        <v>Bad</v>
      </c>
    </row>
    <row r="1643" spans="2:34" x14ac:dyDescent="0.2">
      <c r="B1643" s="2">
        <f ca="1"/>
        <v>0.40882040110431639</v>
      </c>
      <c r="O1643" s="2">
        <f ca="1"/>
        <v>0.42780136020489251</v>
      </c>
      <c r="X1643" s="2">
        <f ca="1"/>
        <v>30.191136878131715</v>
      </c>
      <c r="AG1643" s="2">
        <f ca="1"/>
        <v>0.92537982690221687</v>
      </c>
      <c r="AH1643" s="2" t="str">
        <f ca="1"/>
        <v>Bad</v>
      </c>
    </row>
    <row r="1644" spans="2:34" x14ac:dyDescent="0.2">
      <c r="B1644" s="2">
        <f ca="1"/>
        <v>0.46341898260786674</v>
      </c>
      <c r="O1644" s="2">
        <f ca="1"/>
        <v>0.47994983895647358</v>
      </c>
      <c r="X1644" s="2">
        <f ca="1"/>
        <v>57.292090687112605</v>
      </c>
      <c r="AG1644" s="2">
        <f ca="1"/>
        <v>0.82245742713768077</v>
      </c>
      <c r="AH1644" s="2" t="str">
        <f ca="1"/>
        <v>Bad</v>
      </c>
    </row>
    <row r="1645" spans="2:34" x14ac:dyDescent="0.2">
      <c r="B1645" s="2">
        <f ca="1"/>
        <v>0.89555570392433648</v>
      </c>
      <c r="O1645" s="2">
        <f ca="1"/>
        <v>-1.2617808429949229</v>
      </c>
      <c r="X1645" s="2">
        <f ca="1"/>
        <v>64.308053006139261</v>
      </c>
      <c r="AG1645" s="2">
        <f ca="1"/>
        <v>0.89044452074315106</v>
      </c>
      <c r="AH1645" s="2" t="str">
        <f ca="1"/>
        <v>Bad</v>
      </c>
    </row>
    <row r="1646" spans="2:34" x14ac:dyDescent="0.2">
      <c r="B1646" s="2">
        <f ca="1"/>
        <v>0.36435352237988239</v>
      </c>
      <c r="O1646" s="2">
        <f ca="1"/>
        <v>-0.76144579505459664</v>
      </c>
      <c r="X1646" s="2">
        <f ca="1"/>
        <v>38.945547083528716</v>
      </c>
      <c r="AG1646" s="2">
        <f ca="1"/>
        <v>0.93402983255063732</v>
      </c>
      <c r="AH1646" s="2" t="str">
        <f ca="1"/>
        <v>Bad</v>
      </c>
    </row>
    <row r="1647" spans="2:34" x14ac:dyDescent="0.2">
      <c r="B1647" s="2">
        <f ca="1"/>
        <v>0.92257371714777547</v>
      </c>
      <c r="O1647" s="2">
        <f ca="1"/>
        <v>0.20474497064994679</v>
      </c>
      <c r="X1647" s="2">
        <f ca="1"/>
        <v>40.754756294885226</v>
      </c>
      <c r="AG1647" s="2">
        <f ca="1"/>
        <v>0.75188513697468085</v>
      </c>
      <c r="AH1647" s="2" t="str">
        <f ca="1"/>
        <v>Bad</v>
      </c>
    </row>
    <row r="1648" spans="2:34" x14ac:dyDescent="0.2">
      <c r="B1648" s="2">
        <f ca="1"/>
        <v>0.78291775034845323</v>
      </c>
      <c r="O1648" s="2">
        <f ca="1"/>
        <v>-0.19938363694504241</v>
      </c>
      <c r="X1648" s="2">
        <f ca="1"/>
        <v>64.427137280809475</v>
      </c>
      <c r="AG1648" s="2">
        <f ca="1"/>
        <v>0.37517451005108882</v>
      </c>
      <c r="AH1648" s="2" t="str">
        <f ca="1"/>
        <v>OK</v>
      </c>
    </row>
    <row r="1649" spans="2:34" x14ac:dyDescent="0.2">
      <c r="B1649" s="2">
        <f ca="1"/>
        <v>0.82480591271725689</v>
      </c>
      <c r="O1649" s="2">
        <f ca="1"/>
        <v>-0.34054639688734062</v>
      </c>
      <c r="X1649" s="2">
        <f ca="1"/>
        <v>62.083860222422437</v>
      </c>
      <c r="AG1649" s="2">
        <f ca="1"/>
        <v>0.13490189193404367</v>
      </c>
      <c r="AH1649" s="2" t="str">
        <f ca="1"/>
        <v>OK</v>
      </c>
    </row>
    <row r="1650" spans="2:34" x14ac:dyDescent="0.2">
      <c r="B1650" s="2">
        <f ca="1"/>
        <v>0.13079700033693875</v>
      </c>
      <c r="O1650" s="2">
        <f ca="1"/>
        <v>-0.56398681551650476</v>
      </c>
      <c r="X1650" s="2">
        <f ca="1"/>
        <v>79.208963082975018</v>
      </c>
      <c r="AG1650" s="2">
        <f ca="1"/>
        <v>0.31608811666797987</v>
      </c>
      <c r="AH1650" s="2" t="str">
        <f ca="1"/>
        <v>OK</v>
      </c>
    </row>
    <row r="1651" spans="2:34" x14ac:dyDescent="0.2">
      <c r="B1651" s="2">
        <f ca="1"/>
        <v>0.17100828527415857</v>
      </c>
      <c r="O1651" s="2">
        <f ca="1"/>
        <v>-0.9585148300153491</v>
      </c>
      <c r="X1651" s="2">
        <f ca="1"/>
        <v>39.090906430752113</v>
      </c>
      <c r="AG1651" s="2">
        <f ca="1"/>
        <v>0.32743518424427043</v>
      </c>
      <c r="AH1651" s="2" t="str">
        <f ca="1"/>
        <v>OK</v>
      </c>
    </row>
    <row r="1652" spans="2:34" x14ac:dyDescent="0.2">
      <c r="B1652" s="2">
        <f ca="1"/>
        <v>0.52177997175940583</v>
      </c>
      <c r="O1652" s="2">
        <f ca="1"/>
        <v>0.71764821209566121</v>
      </c>
      <c r="X1652" s="2">
        <f ca="1"/>
        <v>50.598177485711055</v>
      </c>
      <c r="AG1652" s="2">
        <f ca="1"/>
        <v>0.94046773275939777</v>
      </c>
      <c r="AH1652" s="2" t="str">
        <f ca="1"/>
        <v>Bad</v>
      </c>
    </row>
    <row r="1653" spans="2:34" x14ac:dyDescent="0.2">
      <c r="B1653" s="2">
        <f ca="1"/>
        <v>0.17825543604376737</v>
      </c>
      <c r="O1653" s="2">
        <f ca="1"/>
        <v>-1.4063908336696391</v>
      </c>
      <c r="X1653" s="2">
        <f ca="1"/>
        <v>61.27509150711137</v>
      </c>
      <c r="AG1653" s="2">
        <f ca="1"/>
        <v>8.456304080892374E-2</v>
      </c>
      <c r="AH1653" s="2" t="str">
        <f ca="1"/>
        <v>OK</v>
      </c>
    </row>
    <row r="1654" spans="2:34" x14ac:dyDescent="0.2">
      <c r="B1654" s="2">
        <f ca="1"/>
        <v>0.83238792025783104</v>
      </c>
      <c r="O1654" s="2">
        <f ca="1"/>
        <v>-2.5678947609215226</v>
      </c>
      <c r="X1654" s="2">
        <f ca="1"/>
        <v>66.714106884501618</v>
      </c>
      <c r="AG1654" s="2">
        <f ca="1"/>
        <v>2.490132803531897E-2</v>
      </c>
      <c r="AH1654" s="2" t="str">
        <f ca="1"/>
        <v>Good</v>
      </c>
    </row>
    <row r="1655" spans="2:34" x14ac:dyDescent="0.2">
      <c r="B1655" s="2">
        <f ca="1"/>
        <v>0.21428763693722841</v>
      </c>
      <c r="O1655" s="2">
        <f ca="1"/>
        <v>1.8287360541578019</v>
      </c>
      <c r="X1655" s="2">
        <f ca="1"/>
        <v>38.809962834720665</v>
      </c>
      <c r="AG1655" s="2">
        <f ca="1"/>
        <v>0.98850890834619465</v>
      </c>
      <c r="AH1655" s="2" t="str">
        <f ca="1"/>
        <v>Bad</v>
      </c>
    </row>
    <row r="1656" spans="2:34" x14ac:dyDescent="0.2">
      <c r="B1656" s="2">
        <f ca="1"/>
        <v>0.37397467118961814</v>
      </c>
      <c r="O1656" s="2">
        <f ca="1"/>
        <v>0.42771610380472636</v>
      </c>
      <c r="X1656" s="2">
        <f ca="1"/>
        <v>22.693976870679204</v>
      </c>
      <c r="AG1656" s="2">
        <f ca="1"/>
        <v>0.24422949774451586</v>
      </c>
      <c r="AH1656" s="2" t="str">
        <f ca="1"/>
        <v>OK</v>
      </c>
    </row>
    <row r="1657" spans="2:34" x14ac:dyDescent="0.2">
      <c r="B1657" s="2">
        <f ca="1"/>
        <v>0.29897575573151691</v>
      </c>
      <c r="O1657" s="2">
        <f ca="1"/>
        <v>-0.35653555325292519</v>
      </c>
      <c r="X1657" s="2">
        <f ca="1"/>
        <v>45.604511580503022</v>
      </c>
      <c r="AG1657" s="2">
        <f ca="1"/>
        <v>0.4646849293544606</v>
      </c>
      <c r="AH1657" s="2" t="str">
        <f ca="1"/>
        <v>Bad</v>
      </c>
    </row>
    <row r="1658" spans="2:34" x14ac:dyDescent="0.2">
      <c r="B1658" s="2">
        <f ca="1"/>
        <v>0.36266712033299608</v>
      </c>
      <c r="O1658" s="2">
        <f ca="1"/>
        <v>-2.0495933122012384E-2</v>
      </c>
      <c r="X1658" s="2">
        <f ca="1"/>
        <v>35.432075488686763</v>
      </c>
      <c r="AG1658" s="2">
        <f ca="1"/>
        <v>1.7347818579154461E-2</v>
      </c>
      <c r="AH1658" s="2" t="str">
        <f ca="1"/>
        <v>Good</v>
      </c>
    </row>
    <row r="1659" spans="2:34" x14ac:dyDescent="0.2">
      <c r="B1659" s="2">
        <f ca="1"/>
        <v>0.8164634323832265</v>
      </c>
      <c r="O1659" s="2">
        <f ca="1"/>
        <v>0.17349523123585728</v>
      </c>
      <c r="X1659" s="2">
        <f ca="1"/>
        <v>68.8471452027662</v>
      </c>
      <c r="AG1659" s="2">
        <f ca="1"/>
        <v>6.1496193440259583E-2</v>
      </c>
      <c r="AH1659" s="2" t="str">
        <f ca="1"/>
        <v>OK</v>
      </c>
    </row>
    <row r="1660" spans="2:34" x14ac:dyDescent="0.2">
      <c r="B1660" s="2">
        <f ca="1"/>
        <v>0.62979941710367782</v>
      </c>
      <c r="O1660" s="2">
        <f ca="1"/>
        <v>1.0411000960222883</v>
      </c>
      <c r="X1660" s="2">
        <f ca="1"/>
        <v>66.791184034181356</v>
      </c>
      <c r="AG1660" s="2">
        <f ca="1"/>
        <v>0.86671287263799091</v>
      </c>
      <c r="AH1660" s="2" t="str">
        <f ca="1"/>
        <v>Bad</v>
      </c>
    </row>
    <row r="1661" spans="2:34" x14ac:dyDescent="0.2">
      <c r="B1661" s="2">
        <f ca="1"/>
        <v>0.62290635640337322</v>
      </c>
      <c r="O1661" s="2">
        <f ca="1"/>
        <v>0.35156667190414381</v>
      </c>
      <c r="X1661" s="2">
        <f ca="1"/>
        <v>47.723693372285709</v>
      </c>
      <c r="AG1661" s="2">
        <f ca="1"/>
        <v>0.51837070295880094</v>
      </c>
      <c r="AH1661" s="2" t="str">
        <f ca="1"/>
        <v>Bad</v>
      </c>
    </row>
    <row r="1662" spans="2:34" x14ac:dyDescent="0.2">
      <c r="B1662" s="2">
        <f ca="1"/>
        <v>0.62200091866598362</v>
      </c>
      <c r="O1662" s="2">
        <f ca="1"/>
        <v>0.57068045803224088</v>
      </c>
      <c r="X1662" s="2">
        <f ca="1"/>
        <v>38.333353860141187</v>
      </c>
      <c r="AG1662" s="2">
        <f ca="1"/>
        <v>6.785566119566E-2</v>
      </c>
      <c r="AH1662" s="2" t="str">
        <f ca="1"/>
        <v>OK</v>
      </c>
    </row>
    <row r="1663" spans="2:34" x14ac:dyDescent="0.2">
      <c r="B1663" s="2">
        <f ca="1"/>
        <v>0.24351753800066867</v>
      </c>
      <c r="O1663" s="2">
        <f ca="1"/>
        <v>-0.35711921507895528</v>
      </c>
      <c r="X1663" s="2">
        <f ca="1"/>
        <v>39.839695449161312</v>
      </c>
      <c r="AG1663" s="2">
        <f ca="1"/>
        <v>0.64452430522040993</v>
      </c>
      <c r="AH1663" s="2" t="str">
        <f ca="1"/>
        <v>Bad</v>
      </c>
    </row>
    <row r="1664" spans="2:34" x14ac:dyDescent="0.2">
      <c r="B1664" s="2">
        <f ca="1"/>
        <v>0.26163316398558112</v>
      </c>
      <c r="O1664" s="2">
        <f ca="1"/>
        <v>3.8242037005698684E-2</v>
      </c>
      <c r="X1664" s="2">
        <f ca="1"/>
        <v>56.678637552874839</v>
      </c>
      <c r="AG1664" s="2">
        <f ca="1"/>
        <v>0.51252464975305911</v>
      </c>
      <c r="AH1664" s="2" t="str">
        <f ca="1"/>
        <v>Bad</v>
      </c>
    </row>
    <row r="1665" spans="2:34" x14ac:dyDescent="0.2">
      <c r="B1665" s="2">
        <f ca="1"/>
        <v>0.72560500076885148</v>
      </c>
      <c r="O1665" s="2">
        <f ca="1"/>
        <v>-0.22227073480889087</v>
      </c>
      <c r="X1665" s="2">
        <f ca="1"/>
        <v>41.684226254420494</v>
      </c>
      <c r="AG1665" s="2">
        <f ca="1"/>
        <v>0.2397325899586189</v>
      </c>
      <c r="AH1665" s="2" t="str">
        <f ca="1"/>
        <v>OK</v>
      </c>
    </row>
    <row r="1666" spans="2:34" x14ac:dyDescent="0.2">
      <c r="B1666" s="2">
        <f ca="1"/>
        <v>0.17676185918511966</v>
      </c>
      <c r="O1666" s="2">
        <f ca="1"/>
        <v>-1.7223014920793907</v>
      </c>
      <c r="X1666" s="2">
        <f ca="1"/>
        <v>42.279142475031207</v>
      </c>
      <c r="AG1666" s="2">
        <f ca="1"/>
        <v>0.93715078432941668</v>
      </c>
      <c r="AH1666" s="2" t="str">
        <f ca="1"/>
        <v>Bad</v>
      </c>
    </row>
    <row r="1667" spans="2:34" x14ac:dyDescent="0.2">
      <c r="B1667" s="2">
        <f ca="1"/>
        <v>0.83697884968347136</v>
      </c>
      <c r="O1667" s="2">
        <f ca="1"/>
        <v>-1.0442626899104432</v>
      </c>
      <c r="X1667" s="2">
        <f ca="1"/>
        <v>63.488607367711438</v>
      </c>
      <c r="AG1667" s="2">
        <f ca="1"/>
        <v>0.85732254175353484</v>
      </c>
      <c r="AH1667" s="2" t="str">
        <f ca="1"/>
        <v>Bad</v>
      </c>
    </row>
    <row r="1668" spans="2:34" x14ac:dyDescent="0.2">
      <c r="B1668" s="2">
        <f ca="1"/>
        <v>0.28720211645028448</v>
      </c>
      <c r="O1668" s="2">
        <f ca="1"/>
        <v>0.55708044309008675</v>
      </c>
      <c r="X1668" s="2">
        <f ca="1"/>
        <v>42.505873841382417</v>
      </c>
      <c r="AG1668" s="2">
        <f ca="1"/>
        <v>0.73475907819380493</v>
      </c>
      <c r="AH1668" s="2" t="str">
        <f ca="1"/>
        <v>Bad</v>
      </c>
    </row>
    <row r="1669" spans="2:34" x14ac:dyDescent="0.2">
      <c r="B1669" s="2">
        <f ca="1"/>
        <v>0.37880009519575863</v>
      </c>
      <c r="O1669" s="2">
        <f ca="1"/>
        <v>1.2088216334165667</v>
      </c>
      <c r="X1669" s="2">
        <f ca="1"/>
        <v>49.259604594551618</v>
      </c>
      <c r="AG1669" s="2">
        <f ca="1"/>
        <v>0.78105567180648028</v>
      </c>
      <c r="AH1669" s="2" t="str">
        <f ca="1"/>
        <v>Bad</v>
      </c>
    </row>
    <row r="1670" spans="2:34" x14ac:dyDescent="0.2">
      <c r="B1670" s="2">
        <f ca="1"/>
        <v>0.74404544716667709</v>
      </c>
      <c r="O1670" s="2">
        <f ca="1"/>
        <v>0.60000252275597787</v>
      </c>
      <c r="X1670" s="2">
        <f ca="1"/>
        <v>70.269218051505135</v>
      </c>
      <c r="AG1670" s="2">
        <f ca="1"/>
        <v>0.87798188384431897</v>
      </c>
      <c r="AH1670" s="2" t="str">
        <f ca="1"/>
        <v>Bad</v>
      </c>
    </row>
    <row r="1671" spans="2:34" x14ac:dyDescent="0.2">
      <c r="B1671" s="2">
        <f ca="1"/>
        <v>0.50793463096822133</v>
      </c>
      <c r="O1671" s="2">
        <f ca="1"/>
        <v>-0.96706540478573932</v>
      </c>
      <c r="X1671" s="2">
        <f ca="1"/>
        <v>54.078232985300602</v>
      </c>
      <c r="AG1671" s="2">
        <f ca="1"/>
        <v>0.43859693845812631</v>
      </c>
      <c r="AH1671" s="2" t="str">
        <f ca="1"/>
        <v>Bad</v>
      </c>
    </row>
    <row r="1672" spans="2:34" x14ac:dyDescent="0.2">
      <c r="B1672" s="2">
        <f ca="1"/>
        <v>0.85542028108880142</v>
      </c>
      <c r="O1672" s="2">
        <f ca="1"/>
        <v>-1.6816105483799144</v>
      </c>
      <c r="X1672" s="2">
        <f ca="1"/>
        <v>60.898467821138041</v>
      </c>
      <c r="AG1672" s="2">
        <f ca="1"/>
        <v>0.85402298307054658</v>
      </c>
      <c r="AH1672" s="2" t="str">
        <f ca="1"/>
        <v>Bad</v>
      </c>
    </row>
    <row r="1673" spans="2:34" x14ac:dyDescent="0.2">
      <c r="B1673" s="2">
        <f ca="1"/>
        <v>0.79832383497335968</v>
      </c>
      <c r="O1673" s="2">
        <f ca="1"/>
        <v>1.3328361866424807</v>
      </c>
      <c r="X1673" s="2">
        <f ca="1"/>
        <v>56.867733231157544</v>
      </c>
      <c r="AG1673" s="2">
        <f ca="1"/>
        <v>0.64277157852372246</v>
      </c>
      <c r="AH1673" s="2" t="str">
        <f ca="1"/>
        <v>Bad</v>
      </c>
    </row>
    <row r="1674" spans="2:34" x14ac:dyDescent="0.2">
      <c r="B1674" s="2">
        <f ca="1"/>
        <v>0.67138332390428301</v>
      </c>
      <c r="O1674" s="2">
        <f ca="1"/>
        <v>-0.37262263357214703</v>
      </c>
      <c r="X1674" s="2">
        <f ca="1"/>
        <v>46.117777703088272</v>
      </c>
      <c r="AG1674" s="2">
        <f ca="1"/>
        <v>0.32083582518306031</v>
      </c>
      <c r="AH1674" s="2" t="str">
        <f ca="1"/>
        <v>OK</v>
      </c>
    </row>
    <row r="1675" spans="2:34" x14ac:dyDescent="0.2">
      <c r="B1675" s="2">
        <f ca="1"/>
        <v>0.92358571778260257</v>
      </c>
      <c r="O1675" s="2">
        <f ca="1"/>
        <v>-1.2220433308181007</v>
      </c>
      <c r="X1675" s="2">
        <f ca="1"/>
        <v>46.469722345120246</v>
      </c>
      <c r="AG1675" s="2">
        <f ca="1"/>
        <v>0.83470991512357795</v>
      </c>
      <c r="AH1675" s="2" t="str">
        <f ca="1"/>
        <v>Bad</v>
      </c>
    </row>
    <row r="1676" spans="2:34" x14ac:dyDescent="0.2">
      <c r="B1676" s="2">
        <f ca="1"/>
        <v>0.81817695413601865</v>
      </c>
      <c r="O1676" s="2">
        <f ca="1"/>
        <v>1.1412297420007378</v>
      </c>
      <c r="X1676" s="2">
        <f ca="1"/>
        <v>61.412742756703047</v>
      </c>
      <c r="AG1676" s="2">
        <f ca="1"/>
        <v>0.84655472662626186</v>
      </c>
      <c r="AH1676" s="2" t="str">
        <f ca="1"/>
        <v>Bad</v>
      </c>
    </row>
    <row r="1677" spans="2:34" x14ac:dyDescent="0.2">
      <c r="B1677" s="2">
        <f ca="1"/>
        <v>3.3020440635625592E-2</v>
      </c>
      <c r="O1677" s="2">
        <f ca="1"/>
        <v>1.1245775282052746</v>
      </c>
      <c r="X1677" s="2">
        <f ca="1"/>
        <v>38.820073571057598</v>
      </c>
      <c r="AG1677" s="2">
        <f ca="1"/>
        <v>0.64013534431641061</v>
      </c>
      <c r="AH1677" s="2" t="str">
        <f ca="1"/>
        <v>Bad</v>
      </c>
    </row>
    <row r="1678" spans="2:34" x14ac:dyDescent="0.2">
      <c r="B1678" s="2">
        <f ca="1"/>
        <v>0.62703479870929302</v>
      </c>
      <c r="O1678" s="2">
        <f ca="1"/>
        <v>3.4194954614363671E-2</v>
      </c>
      <c r="X1678" s="2">
        <f ca="1"/>
        <v>51.514300982735136</v>
      </c>
      <c r="AG1678" s="2">
        <f ca="1"/>
        <v>0.27375954030091165</v>
      </c>
      <c r="AH1678" s="2" t="str">
        <f ca="1"/>
        <v>OK</v>
      </c>
    </row>
    <row r="1679" spans="2:34" x14ac:dyDescent="0.2">
      <c r="B1679" s="2">
        <f ca="1"/>
        <v>0.43351349394380967</v>
      </c>
      <c r="O1679" s="2">
        <f ca="1"/>
        <v>-0.97014968503948851</v>
      </c>
      <c r="X1679" s="2">
        <f ca="1"/>
        <v>42.901110781158522</v>
      </c>
      <c r="AG1679" s="2">
        <f ca="1"/>
        <v>8.6559674982205959E-2</v>
      </c>
      <c r="AH1679" s="2" t="str">
        <f ca="1"/>
        <v>OK</v>
      </c>
    </row>
    <row r="1680" spans="2:34" x14ac:dyDescent="0.2">
      <c r="B1680" s="2">
        <f ca="1"/>
        <v>0.9033926169852835</v>
      </c>
      <c r="O1680" s="2">
        <f ca="1"/>
        <v>0.22243415202107478</v>
      </c>
      <c r="X1680" s="2">
        <f ca="1"/>
        <v>61.183785488147848</v>
      </c>
      <c r="AG1680" s="2">
        <f ca="1"/>
        <v>0.96061251347249632</v>
      </c>
      <c r="AH1680" s="2" t="str">
        <f ca="1"/>
        <v>Bad</v>
      </c>
    </row>
    <row r="1681" spans="2:34" x14ac:dyDescent="0.2">
      <c r="B1681" s="2">
        <f ca="1"/>
        <v>0.77942428881815551</v>
      </c>
      <c r="O1681" s="2">
        <f ca="1"/>
        <v>0.85705185217705171</v>
      </c>
      <c r="X1681" s="2">
        <f ca="1"/>
        <v>40.384647095163444</v>
      </c>
      <c r="AG1681" s="2">
        <f ca="1"/>
        <v>0.92457612496991426</v>
      </c>
      <c r="AH1681" s="2" t="str">
        <f ca="1"/>
        <v>Bad</v>
      </c>
    </row>
    <row r="1682" spans="2:34" x14ac:dyDescent="0.2">
      <c r="B1682" s="2">
        <f ca="1"/>
        <v>0.31357493396040304</v>
      </c>
      <c r="O1682" s="2">
        <f ca="1"/>
        <v>1.0193771003971148</v>
      </c>
      <c r="X1682" s="2">
        <f ca="1"/>
        <v>45.537145816560752</v>
      </c>
      <c r="AG1682" s="2">
        <f ca="1"/>
        <v>0.69665210907390529</v>
      </c>
      <c r="AH1682" s="2" t="str">
        <f ca="1"/>
        <v>Bad</v>
      </c>
    </row>
    <row r="1683" spans="2:34" x14ac:dyDescent="0.2">
      <c r="B1683" s="2">
        <f ca="1"/>
        <v>5.0641314040811736E-2</v>
      </c>
      <c r="O1683" s="2">
        <f ca="1"/>
        <v>0.7651639661728008</v>
      </c>
      <c r="X1683" s="2">
        <f ca="1"/>
        <v>60.092850906834741</v>
      </c>
      <c r="AG1683" s="2">
        <f ca="1"/>
        <v>0.65014310065193959</v>
      </c>
      <c r="AH1683" s="2" t="str">
        <f ca="1"/>
        <v>Bad</v>
      </c>
    </row>
    <row r="1684" spans="2:34" x14ac:dyDescent="0.2">
      <c r="B1684" s="2">
        <f ca="1"/>
        <v>0.66045191023954186</v>
      </c>
      <c r="O1684" s="2">
        <f ca="1"/>
        <v>1.0734293063332407</v>
      </c>
      <c r="X1684" s="2">
        <f ca="1"/>
        <v>52.671526057987506</v>
      </c>
      <c r="AG1684" s="2">
        <f ca="1"/>
        <v>0.8365794068430612</v>
      </c>
      <c r="AH1684" s="2" t="str">
        <f ca="1"/>
        <v>Bad</v>
      </c>
    </row>
    <row r="1685" spans="2:34" x14ac:dyDescent="0.2">
      <c r="B1685" s="2">
        <f ca="1"/>
        <v>0.70081003354558735</v>
      </c>
      <c r="O1685" s="2">
        <f ca="1"/>
        <v>-0.39202130473570018</v>
      </c>
      <c r="X1685" s="2">
        <f ca="1"/>
        <v>43.102562225661558</v>
      </c>
      <c r="AG1685" s="2">
        <f ca="1"/>
        <v>0.13847159407703136</v>
      </c>
      <c r="AH1685" s="2" t="str">
        <f ca="1"/>
        <v>OK</v>
      </c>
    </row>
    <row r="1686" spans="2:34" x14ac:dyDescent="0.2">
      <c r="B1686" s="2">
        <f ca="1"/>
        <v>0.37604599448093712</v>
      </c>
      <c r="O1686" s="2">
        <f ca="1"/>
        <v>-1.2321351662148381</v>
      </c>
      <c r="X1686" s="2">
        <f ca="1"/>
        <v>59.542260379383677</v>
      </c>
      <c r="AG1686" s="2">
        <f ca="1"/>
        <v>0.78442378585831141</v>
      </c>
      <c r="AH1686" s="2" t="str">
        <f ca="1"/>
        <v>Bad</v>
      </c>
    </row>
    <row r="1687" spans="2:34" x14ac:dyDescent="0.2">
      <c r="B1687" s="2">
        <f ca="1"/>
        <v>0.25167676720225463</v>
      </c>
      <c r="O1687" s="2">
        <f ca="1"/>
        <v>-0.39940484642125801</v>
      </c>
      <c r="X1687" s="2">
        <f ca="1"/>
        <v>67.491180441646335</v>
      </c>
      <c r="AG1687" s="2">
        <f ca="1"/>
        <v>1.233074431251957E-2</v>
      </c>
      <c r="AH1687" s="2" t="str">
        <f ca="1"/>
        <v>Good</v>
      </c>
    </row>
    <row r="1688" spans="2:34" x14ac:dyDescent="0.2">
      <c r="B1688" s="2">
        <f ca="1"/>
        <v>0.44521544771785648</v>
      </c>
      <c r="O1688" s="2">
        <f ca="1"/>
        <v>0.19151640849002627</v>
      </c>
      <c r="X1688" s="2">
        <f ca="1"/>
        <v>58.608965496702879</v>
      </c>
      <c r="AG1688" s="2">
        <f ca="1"/>
        <v>0.78115299061289956</v>
      </c>
      <c r="AH1688" s="2" t="str">
        <f ca="1"/>
        <v>Bad</v>
      </c>
    </row>
    <row r="1689" spans="2:34" x14ac:dyDescent="0.2">
      <c r="B1689" s="2">
        <f ca="1"/>
        <v>0.28980385243797691</v>
      </c>
      <c r="O1689" s="2">
        <f ca="1"/>
        <v>0.302452158929093</v>
      </c>
      <c r="X1689" s="2">
        <f ca="1"/>
        <v>50.835826375412914</v>
      </c>
      <c r="AG1689" s="2">
        <f ca="1"/>
        <v>0.33147511475657843</v>
      </c>
      <c r="AH1689" s="2" t="str">
        <f ca="1"/>
        <v>OK</v>
      </c>
    </row>
    <row r="1690" spans="2:34" x14ac:dyDescent="0.2">
      <c r="B1690" s="2">
        <f ca="1"/>
        <v>0.26574061378017411</v>
      </c>
      <c r="O1690" s="2">
        <f ca="1"/>
        <v>-0.35185963215306187</v>
      </c>
      <c r="X1690" s="2">
        <f ca="1"/>
        <v>43.607545068938506</v>
      </c>
      <c r="AG1690" s="2">
        <f ca="1"/>
        <v>0.18509972223587456</v>
      </c>
      <c r="AH1690" s="2" t="str">
        <f ca="1"/>
        <v>OK</v>
      </c>
    </row>
    <row r="1691" spans="2:34" x14ac:dyDescent="0.2">
      <c r="B1691" s="2">
        <f ca="1"/>
        <v>0.16877954470173862</v>
      </c>
      <c r="O1691" s="2">
        <f ca="1"/>
        <v>0.34101626381448824</v>
      </c>
      <c r="X1691" s="2">
        <f ca="1"/>
        <v>56.501535506539909</v>
      </c>
      <c r="AG1691" s="2">
        <f ca="1"/>
        <v>0.53803711923492048</v>
      </c>
      <c r="AH1691" s="2" t="str">
        <f ca="1"/>
        <v>Bad</v>
      </c>
    </row>
    <row r="1692" spans="2:34" x14ac:dyDescent="0.2">
      <c r="B1692" s="2">
        <f ca="1"/>
        <v>0.90133114659611291</v>
      </c>
      <c r="O1692" s="2">
        <f ca="1"/>
        <v>-0.90610797199649895</v>
      </c>
      <c r="X1692" s="2">
        <f ca="1"/>
        <v>33.888313793813026</v>
      </c>
      <c r="AG1692" s="2">
        <f ca="1"/>
        <v>0.67006740657196007</v>
      </c>
      <c r="AH1692" s="2" t="str">
        <f ca="1"/>
        <v>Bad</v>
      </c>
    </row>
    <row r="1693" spans="2:34" x14ac:dyDescent="0.2">
      <c r="B1693" s="2">
        <f ca="1"/>
        <v>0.69206203864530957</v>
      </c>
      <c r="O1693" s="2">
        <f ca="1"/>
        <v>0.2258224310275955</v>
      </c>
      <c r="X1693" s="2">
        <f ca="1"/>
        <v>30.687421915305428</v>
      </c>
      <c r="AG1693" s="2">
        <f ca="1"/>
        <v>0.37725161294804455</v>
      </c>
      <c r="AH1693" s="2" t="str">
        <f ca="1"/>
        <v>OK</v>
      </c>
    </row>
    <row r="1694" spans="2:34" x14ac:dyDescent="0.2">
      <c r="B1694" s="2">
        <f ca="1"/>
        <v>0.20559929629163465</v>
      </c>
      <c r="O1694" s="2">
        <f ca="1"/>
        <v>0.32341287613270991</v>
      </c>
      <c r="X1694" s="2">
        <f ca="1"/>
        <v>33.985174236061056</v>
      </c>
      <c r="AG1694" s="2">
        <f ca="1"/>
        <v>0.87378128253100473</v>
      </c>
      <c r="AH1694" s="2" t="str">
        <f ca="1"/>
        <v>Bad</v>
      </c>
    </row>
    <row r="1695" spans="2:34" x14ac:dyDescent="0.2">
      <c r="B1695" s="2">
        <f ca="1"/>
        <v>7.5452112564555973E-2</v>
      </c>
      <c r="O1695" s="2">
        <f ca="1"/>
        <v>0.49374582697633634</v>
      </c>
      <c r="X1695" s="2">
        <f ca="1"/>
        <v>62.387841783381994</v>
      </c>
      <c r="AG1695" s="2">
        <f ca="1"/>
        <v>0.99536071776451784</v>
      </c>
      <c r="AH1695" s="2" t="str">
        <f ca="1"/>
        <v>Bad</v>
      </c>
    </row>
    <row r="1696" spans="2:34" x14ac:dyDescent="0.2">
      <c r="B1696" s="2">
        <f ca="1"/>
        <v>0.45148752976241124</v>
      </c>
      <c r="O1696" s="2">
        <f ca="1"/>
        <v>-0.62911118120390064</v>
      </c>
      <c r="X1696" s="2">
        <f ca="1"/>
        <v>27.91189712022063</v>
      </c>
      <c r="AG1696" s="2">
        <f ca="1"/>
        <v>0.48809088157734548</v>
      </c>
      <c r="AH1696" s="2" t="str">
        <f ca="1"/>
        <v>Bad</v>
      </c>
    </row>
    <row r="1697" spans="2:34" x14ac:dyDescent="0.2">
      <c r="B1697" s="2">
        <f ca="1"/>
        <v>0.53037661047104989</v>
      </c>
      <c r="O1697" s="2">
        <f ca="1"/>
        <v>0.41346511062932367</v>
      </c>
      <c r="X1697" s="2">
        <f ca="1"/>
        <v>39.31286183766025</v>
      </c>
      <c r="AG1697" s="2">
        <f ca="1"/>
        <v>0.86926411831977335</v>
      </c>
      <c r="AH1697" s="2" t="str">
        <f ca="1"/>
        <v>Bad</v>
      </c>
    </row>
    <row r="1698" spans="2:34" x14ac:dyDescent="0.2">
      <c r="B1698" s="2">
        <f ca="1"/>
        <v>0.63972358585680045</v>
      </c>
      <c r="O1698" s="2">
        <f ca="1"/>
        <v>0.68059887299677413</v>
      </c>
      <c r="X1698" s="2">
        <f ca="1"/>
        <v>65.382590350255015</v>
      </c>
      <c r="AG1698" s="2">
        <f ca="1"/>
        <v>0.21552713775103038</v>
      </c>
      <c r="AH1698" s="2" t="str">
        <f ca="1"/>
        <v>OK</v>
      </c>
    </row>
    <row r="1699" spans="2:34" x14ac:dyDescent="0.2">
      <c r="B1699" s="2">
        <f ca="1"/>
        <v>9.6294117456590778E-2</v>
      </c>
      <c r="O1699" s="2">
        <f ca="1"/>
        <v>0.99748259879506262</v>
      </c>
      <c r="X1699" s="2">
        <f ca="1"/>
        <v>63.720319511521126</v>
      </c>
      <c r="AG1699" s="2">
        <f ca="1"/>
        <v>0.41548849008709987</v>
      </c>
      <c r="AH1699" s="2" t="str">
        <f ca="1"/>
        <v>Bad</v>
      </c>
    </row>
    <row r="1700" spans="2:34" x14ac:dyDescent="0.2">
      <c r="B1700" s="2">
        <f ca="1"/>
        <v>0.60757443252095023</v>
      </c>
      <c r="O1700" s="2">
        <f ca="1"/>
        <v>-0.63032470921845563</v>
      </c>
      <c r="X1700" s="2">
        <f ca="1"/>
        <v>59.469310480712416</v>
      </c>
      <c r="AG1700" s="2">
        <f ca="1"/>
        <v>0.44364050885612549</v>
      </c>
      <c r="AH1700" s="2" t="str">
        <f ca="1"/>
        <v>Bad</v>
      </c>
    </row>
    <row r="1701" spans="2:34" x14ac:dyDescent="0.2">
      <c r="B1701" s="2">
        <f ca="1"/>
        <v>0.72828741195259261</v>
      </c>
      <c r="O1701" s="2">
        <f ca="1"/>
        <v>-1.8749681409553169</v>
      </c>
      <c r="X1701" s="2">
        <f ca="1"/>
        <v>53.078136734403486</v>
      </c>
      <c r="AG1701" s="2">
        <f ca="1"/>
        <v>8.8569531671392587E-2</v>
      </c>
      <c r="AH1701" s="2" t="str">
        <f ca="1"/>
        <v>OK</v>
      </c>
    </row>
    <row r="1702" spans="2:34" x14ac:dyDescent="0.2">
      <c r="B1702" s="2">
        <f ca="1"/>
        <v>0.39497816528822383</v>
      </c>
      <c r="O1702" s="2">
        <f ca="1"/>
        <v>0.65771624643579141</v>
      </c>
      <c r="X1702" s="2">
        <f ca="1"/>
        <v>68.572812160900568</v>
      </c>
      <c r="AG1702" s="2">
        <f ca="1"/>
        <v>0.54425933353847622</v>
      </c>
      <c r="AH1702" s="2" t="str">
        <f ca="1"/>
        <v>Bad</v>
      </c>
    </row>
    <row r="1703" spans="2:34" x14ac:dyDescent="0.2">
      <c r="B1703" s="2">
        <f ca="1"/>
        <v>0.10821135112723446</v>
      </c>
      <c r="O1703" s="2">
        <f ca="1"/>
        <v>-1.2579030276005065</v>
      </c>
      <c r="X1703" s="2">
        <f ca="1"/>
        <v>33.218980625921041</v>
      </c>
      <c r="AG1703" s="2">
        <f ca="1"/>
        <v>0.38158262543636967</v>
      </c>
      <c r="AH1703" s="2" t="str">
        <f ca="1"/>
        <v>OK</v>
      </c>
    </row>
    <row r="1704" spans="2:34" x14ac:dyDescent="0.2">
      <c r="B1704" s="2">
        <f ca="1"/>
        <v>0.83044063787914668</v>
      </c>
      <c r="O1704" s="2">
        <f ca="1"/>
        <v>-8.3198660775024566E-2</v>
      </c>
      <c r="X1704" s="2">
        <f ca="1"/>
        <v>50.009127697329852</v>
      </c>
      <c r="AG1704" s="2">
        <f ca="1"/>
        <v>0.79908311264353138</v>
      </c>
      <c r="AH1704" s="2" t="str">
        <f ca="1"/>
        <v>Bad</v>
      </c>
    </row>
    <row r="1705" spans="2:34" x14ac:dyDescent="0.2">
      <c r="B1705" s="2">
        <f ca="1"/>
        <v>0.61441670509688029</v>
      </c>
      <c r="O1705" s="2">
        <f ca="1"/>
        <v>-6.1649489392620008E-2</v>
      </c>
      <c r="X1705" s="2">
        <f ca="1"/>
        <v>46.196125662575589</v>
      </c>
      <c r="AG1705" s="2">
        <f ca="1"/>
        <v>0.46245778280967764</v>
      </c>
      <c r="AH1705" s="2" t="str">
        <f ca="1"/>
        <v>Bad</v>
      </c>
    </row>
    <row r="1706" spans="2:34" x14ac:dyDescent="0.2">
      <c r="B1706" s="2">
        <f ca="1"/>
        <v>0.89221691527673563</v>
      </c>
      <c r="O1706" s="2">
        <f ca="1"/>
        <v>0.56801658232003016</v>
      </c>
      <c r="X1706" s="2">
        <f ca="1"/>
        <v>58.054607933708795</v>
      </c>
      <c r="AG1706" s="2">
        <f ca="1"/>
        <v>4.0665884496122739E-3</v>
      </c>
      <c r="AH1706" s="2" t="str">
        <f ca="1"/>
        <v>Good</v>
      </c>
    </row>
    <row r="1707" spans="2:34" x14ac:dyDescent="0.2">
      <c r="B1707" s="2">
        <f ca="1"/>
        <v>0.96038185867648607</v>
      </c>
      <c r="O1707" s="2">
        <f ca="1"/>
        <v>0.253950010805996</v>
      </c>
      <c r="X1707" s="2">
        <f ca="1"/>
        <v>36.767989324527271</v>
      </c>
      <c r="AG1707" s="2">
        <f ca="1"/>
        <v>0.37905785996785069</v>
      </c>
      <c r="AH1707" s="2" t="str">
        <f ca="1"/>
        <v>OK</v>
      </c>
    </row>
    <row r="1708" spans="2:34" x14ac:dyDescent="0.2">
      <c r="B1708" s="2">
        <f ca="1"/>
        <v>0.99244807774302557</v>
      </c>
      <c r="O1708" s="2">
        <f ca="1"/>
        <v>-0.26650259377371111</v>
      </c>
      <c r="X1708" s="2">
        <f ca="1"/>
        <v>53.725312483621394</v>
      </c>
      <c r="AG1708" s="2">
        <f ca="1"/>
        <v>0.29905015621712416</v>
      </c>
      <c r="AH1708" s="2" t="str">
        <f ca="1"/>
        <v>OK</v>
      </c>
    </row>
    <row r="1709" spans="2:34" x14ac:dyDescent="0.2">
      <c r="B1709" s="2">
        <f ca="1"/>
        <v>0.70232264230261721</v>
      </c>
      <c r="O1709" s="2">
        <f ca="1"/>
        <v>1.2963678371875305</v>
      </c>
      <c r="X1709" s="2">
        <f ca="1"/>
        <v>53.528689285642876</v>
      </c>
      <c r="AG1709" s="2">
        <f ca="1"/>
        <v>0.76299936206415642</v>
      </c>
      <c r="AH1709" s="2" t="str">
        <f ca="1"/>
        <v>Bad</v>
      </c>
    </row>
    <row r="1710" spans="2:34" x14ac:dyDescent="0.2">
      <c r="B1710" s="2">
        <f ca="1"/>
        <v>0.89727974703429481</v>
      </c>
      <c r="O1710" s="2">
        <f ca="1"/>
        <v>-1.0793740655543089</v>
      </c>
      <c r="X1710" s="2">
        <f ca="1"/>
        <v>64.682917878666899</v>
      </c>
      <c r="AG1710" s="2">
        <f ca="1"/>
        <v>0.3223611525573824</v>
      </c>
      <c r="AH1710" s="2" t="str">
        <f ca="1"/>
        <v>OK</v>
      </c>
    </row>
    <row r="1711" spans="2:34" x14ac:dyDescent="0.2">
      <c r="B1711" s="2">
        <f ca="1"/>
        <v>0.11901815272397509</v>
      </c>
      <c r="O1711" s="2">
        <f ca="1"/>
        <v>-2.0677082753127909</v>
      </c>
      <c r="X1711" s="2">
        <f ca="1"/>
        <v>18.955627678887087</v>
      </c>
      <c r="AG1711" s="2">
        <f ca="1"/>
        <v>0.51215925389995465</v>
      </c>
      <c r="AH1711" s="2" t="str">
        <f ca="1"/>
        <v>Bad</v>
      </c>
    </row>
    <row r="1712" spans="2:34" x14ac:dyDescent="0.2">
      <c r="B1712" s="2">
        <f ca="1"/>
        <v>0.12979043504309562</v>
      </c>
      <c r="O1712" s="2">
        <f ca="1"/>
        <v>0.58094997092646572</v>
      </c>
      <c r="X1712" s="2">
        <f ca="1"/>
        <v>44.38635111906116</v>
      </c>
      <c r="AG1712" s="2">
        <f ca="1"/>
        <v>0.77733356353254912</v>
      </c>
      <c r="AH1712" s="2" t="str">
        <f ca="1"/>
        <v>Bad</v>
      </c>
    </row>
    <row r="1713" spans="2:34" x14ac:dyDescent="0.2">
      <c r="B1713" s="2">
        <f ca="1"/>
        <v>0.42345873391943334</v>
      </c>
      <c r="O1713" s="2">
        <f ca="1"/>
        <v>-0.3724287122541996</v>
      </c>
      <c r="X1713" s="2">
        <f ca="1"/>
        <v>17.830914414208706</v>
      </c>
      <c r="AG1713" s="2">
        <f ca="1"/>
        <v>0.3566626433594573</v>
      </c>
      <c r="AH1713" s="2" t="str">
        <f ca="1"/>
        <v>OK</v>
      </c>
    </row>
    <row r="1714" spans="2:34" x14ac:dyDescent="0.2">
      <c r="B1714" s="2">
        <f ca="1"/>
        <v>0.19479527965361521</v>
      </c>
      <c r="O1714" s="2">
        <f ca="1"/>
        <v>-1.5176054537140329</v>
      </c>
      <c r="X1714" s="2">
        <f ca="1"/>
        <v>46.451584996076548</v>
      </c>
      <c r="AG1714" s="2">
        <f ca="1"/>
        <v>0.12826887511186502</v>
      </c>
      <c r="AH1714" s="2" t="str">
        <f ca="1"/>
        <v>OK</v>
      </c>
    </row>
    <row r="1715" spans="2:34" x14ac:dyDescent="0.2">
      <c r="B1715" s="2">
        <f ca="1"/>
        <v>0.17615072340037119</v>
      </c>
      <c r="O1715" s="2">
        <f ca="1"/>
        <v>0.6495504290523505</v>
      </c>
      <c r="X1715" s="2">
        <f ca="1"/>
        <v>69.685281208756507</v>
      </c>
      <c r="AG1715" s="2">
        <f ca="1"/>
        <v>0.17109434670159018</v>
      </c>
      <c r="AH1715" s="2" t="str">
        <f ca="1"/>
        <v>OK</v>
      </c>
    </row>
    <row r="1716" spans="2:34" x14ac:dyDescent="0.2">
      <c r="B1716" s="2">
        <f ca="1"/>
        <v>0.80625588978077811</v>
      </c>
      <c r="O1716" s="2">
        <f ca="1"/>
        <v>-0.99301340513815228</v>
      </c>
      <c r="X1716" s="2">
        <f ca="1"/>
        <v>86.355614021586433</v>
      </c>
      <c r="AG1716" s="2">
        <f ca="1"/>
        <v>0.20338358249899291</v>
      </c>
      <c r="AH1716" s="2" t="str">
        <f ca="1"/>
        <v>OK</v>
      </c>
    </row>
    <row r="1717" spans="2:34" x14ac:dyDescent="0.2">
      <c r="B1717" s="2">
        <f ca="1"/>
        <v>0.65022339598473677</v>
      </c>
      <c r="O1717" s="2">
        <f ca="1"/>
        <v>5.1751475745903504E-2</v>
      </c>
      <c r="X1717" s="2">
        <f ca="1"/>
        <v>36.485758149505955</v>
      </c>
      <c r="AG1717" s="2">
        <f ca="1"/>
        <v>0.36124856169221853</v>
      </c>
      <c r="AH1717" s="2" t="str">
        <f ca="1"/>
        <v>OK</v>
      </c>
    </row>
    <row r="1718" spans="2:34" x14ac:dyDescent="0.2">
      <c r="B1718" s="2">
        <f ca="1"/>
        <v>0.40981676913519882</v>
      </c>
      <c r="O1718" s="2">
        <f ca="1"/>
        <v>0.19418904565554215</v>
      </c>
      <c r="X1718" s="2">
        <f ca="1"/>
        <v>64.252218557936544</v>
      </c>
      <c r="AG1718" s="2">
        <f ca="1"/>
        <v>0.73224236440995583</v>
      </c>
      <c r="AH1718" s="2" t="str">
        <f ca="1"/>
        <v>Bad</v>
      </c>
    </row>
    <row r="1719" spans="2:34" x14ac:dyDescent="0.2">
      <c r="B1719" s="2">
        <f ca="1"/>
        <v>0.80918587551168675</v>
      </c>
      <c r="O1719" s="2">
        <f ca="1"/>
        <v>-1.8129610242604</v>
      </c>
      <c r="X1719" s="2">
        <f ca="1"/>
        <v>39.501427321267791</v>
      </c>
      <c r="AG1719" s="2">
        <f ca="1"/>
        <v>0.12327819988708288</v>
      </c>
      <c r="AH1719" s="2" t="str">
        <f ca="1"/>
        <v>OK</v>
      </c>
    </row>
    <row r="1720" spans="2:34" x14ac:dyDescent="0.2">
      <c r="B1720" s="2">
        <f ca="1"/>
        <v>0.54802843511302424</v>
      </c>
      <c r="O1720" s="2">
        <f ca="1"/>
        <v>-3.6074045693822956E-2</v>
      </c>
      <c r="X1720" s="2">
        <f ca="1"/>
        <v>39.700561122732395</v>
      </c>
      <c r="AG1720" s="2">
        <f ca="1"/>
        <v>0.12480137920240231</v>
      </c>
      <c r="AH1720" s="2" t="str">
        <f ca="1"/>
        <v>OK</v>
      </c>
    </row>
    <row r="1721" spans="2:34" x14ac:dyDescent="0.2">
      <c r="B1721" s="2">
        <f ca="1"/>
        <v>0.98339394525203705</v>
      </c>
      <c r="O1721" s="2">
        <f ca="1"/>
        <v>0.83191674830300144</v>
      </c>
      <c r="X1721" s="2">
        <f ca="1"/>
        <v>63.912425161701812</v>
      </c>
      <c r="AG1721" s="2">
        <f ca="1"/>
        <v>0.53987586635471208</v>
      </c>
      <c r="AH1721" s="2" t="str">
        <f ca="1"/>
        <v>Bad</v>
      </c>
    </row>
    <row r="1722" spans="2:34" x14ac:dyDescent="0.2">
      <c r="B1722" s="2">
        <f ca="1"/>
        <v>0.69178619528051044</v>
      </c>
      <c r="O1722" s="2">
        <f ca="1"/>
        <v>0.58544656948148921</v>
      </c>
      <c r="X1722" s="2">
        <f ca="1"/>
        <v>43.482493322838103</v>
      </c>
      <c r="AG1722" s="2">
        <f ca="1"/>
        <v>0.93484793242984776</v>
      </c>
      <c r="AH1722" s="2" t="str">
        <f ca="1"/>
        <v>Bad</v>
      </c>
    </row>
    <row r="1723" spans="2:34" x14ac:dyDescent="0.2">
      <c r="B1723" s="2">
        <f ca="1"/>
        <v>0.46486749458062837</v>
      </c>
      <c r="O1723" s="2">
        <f ca="1"/>
        <v>-0.94359436568125421</v>
      </c>
      <c r="X1723" s="2">
        <f ca="1"/>
        <v>52.363228774058101</v>
      </c>
      <c r="AG1723" s="2">
        <f ca="1"/>
        <v>3.7514257913674909E-2</v>
      </c>
      <c r="AH1723" s="2" t="str">
        <f ca="1"/>
        <v>Good</v>
      </c>
    </row>
    <row r="1724" spans="2:34" x14ac:dyDescent="0.2">
      <c r="B1724" s="2">
        <f ca="1"/>
        <v>0.4881910200836912</v>
      </c>
      <c r="O1724" s="2">
        <f ca="1"/>
        <v>-1.2903760605359351</v>
      </c>
      <c r="X1724" s="2">
        <f ca="1"/>
        <v>53.492781551882516</v>
      </c>
      <c r="AG1724" s="2">
        <f ca="1"/>
        <v>0.11715022688081334</v>
      </c>
      <c r="AH1724" s="2" t="str">
        <f ca="1"/>
        <v>OK</v>
      </c>
    </row>
    <row r="1725" spans="2:34" x14ac:dyDescent="0.2">
      <c r="B1725" s="2">
        <f ca="1"/>
        <v>0.69751832326448104</v>
      </c>
      <c r="O1725" s="2">
        <f ca="1"/>
        <v>2.9337589595860076</v>
      </c>
      <c r="X1725" s="2">
        <f ca="1"/>
        <v>15.811653211526339</v>
      </c>
      <c r="AG1725" s="2">
        <f ca="1"/>
        <v>0.10013644152819734</v>
      </c>
      <c r="AH1725" s="2" t="str">
        <f ca="1"/>
        <v>OK</v>
      </c>
    </row>
    <row r="1726" spans="2:34" x14ac:dyDescent="0.2">
      <c r="B1726" s="2">
        <f ca="1"/>
        <v>0.75513499626301916</v>
      </c>
      <c r="O1726" s="2">
        <f ca="1"/>
        <v>-0.10974373810224636</v>
      </c>
      <c r="X1726" s="2">
        <f ca="1"/>
        <v>20.074821496555938</v>
      </c>
      <c r="AG1726" s="2">
        <f ca="1"/>
        <v>0.38290813941238278</v>
      </c>
      <c r="AH1726" s="2" t="str">
        <f ca="1"/>
        <v>OK</v>
      </c>
    </row>
    <row r="1727" spans="2:34" x14ac:dyDescent="0.2">
      <c r="B1727" s="2">
        <f ca="1"/>
        <v>0.97053462928155576</v>
      </c>
      <c r="O1727" s="2">
        <f ca="1"/>
        <v>-0.77444657744811973</v>
      </c>
      <c r="X1727" s="2">
        <f ca="1"/>
        <v>43.032316127578397</v>
      </c>
      <c r="AG1727" s="2">
        <f ca="1"/>
        <v>0.43803232378524526</v>
      </c>
      <c r="AH1727" s="2" t="str">
        <f ca="1"/>
        <v>Bad</v>
      </c>
    </row>
    <row r="1728" spans="2:34" x14ac:dyDescent="0.2">
      <c r="B1728" s="2">
        <f ca="1"/>
        <v>0.15302379985858305</v>
      </c>
      <c r="O1728" s="2">
        <f ca="1"/>
        <v>-0.2867020213377009</v>
      </c>
      <c r="X1728" s="2">
        <f ca="1"/>
        <v>60.9879366432165</v>
      </c>
      <c r="AG1728" s="2">
        <f ca="1"/>
        <v>0.40185240812229273</v>
      </c>
      <c r="AH1728" s="2" t="str">
        <f ca="1"/>
        <v>Bad</v>
      </c>
    </row>
    <row r="1729" spans="2:34" x14ac:dyDescent="0.2">
      <c r="B1729" s="2">
        <f ca="1"/>
        <v>0.27892937277068075</v>
      </c>
      <c r="O1729" s="2">
        <f ca="1"/>
        <v>-0.59884548508729285</v>
      </c>
      <c r="X1729" s="2">
        <f ca="1"/>
        <v>52.412663216917259</v>
      </c>
      <c r="AG1729" s="2">
        <f ca="1"/>
        <v>0.20234179502071092</v>
      </c>
      <c r="AH1729" s="2" t="str">
        <f ca="1"/>
        <v>OK</v>
      </c>
    </row>
    <row r="1730" spans="2:34" x14ac:dyDescent="0.2">
      <c r="B1730" s="2">
        <f ca="1"/>
        <v>3.9548475867356103E-2</v>
      </c>
      <c r="O1730" s="2">
        <f ca="1"/>
        <v>0.21489867244494146</v>
      </c>
      <c r="X1730" s="2">
        <f ca="1"/>
        <v>33.896379116961498</v>
      </c>
      <c r="AG1730" s="2">
        <f ca="1"/>
        <v>0.18123657842452334</v>
      </c>
      <c r="AH1730" s="2" t="str">
        <f ca="1"/>
        <v>OK</v>
      </c>
    </row>
    <row r="1731" spans="2:34" x14ac:dyDescent="0.2">
      <c r="B1731" s="2">
        <f ca="1"/>
        <v>0.27095136829650035</v>
      </c>
      <c r="O1731" s="2">
        <f ca="1"/>
        <v>1.9585902588363275</v>
      </c>
      <c r="X1731" s="2">
        <f ca="1"/>
        <v>47.462992744028767</v>
      </c>
      <c r="AG1731" s="2">
        <f ca="1"/>
        <v>0.33596378819418682</v>
      </c>
      <c r="AH1731" s="2" t="str">
        <f ca="1"/>
        <v>OK</v>
      </c>
    </row>
    <row r="1732" spans="2:34" x14ac:dyDescent="0.2">
      <c r="B1732" s="2">
        <f ca="1"/>
        <v>0.32965858204653453</v>
      </c>
      <c r="O1732" s="2">
        <f ca="1"/>
        <v>-0.41293191379596822</v>
      </c>
      <c r="X1732" s="2">
        <f ca="1"/>
        <v>69.105988815820254</v>
      </c>
      <c r="AG1732" s="2">
        <f ca="1"/>
        <v>6.2586880966975178E-2</v>
      </c>
      <c r="AH1732" s="2" t="str">
        <f ca="1"/>
        <v>OK</v>
      </c>
    </row>
    <row r="1733" spans="2:34" x14ac:dyDescent="0.2">
      <c r="B1733" s="2">
        <f ca="1"/>
        <v>0.32276712273913399</v>
      </c>
      <c r="O1733" s="2">
        <f ca="1"/>
        <v>0.92395250093488746</v>
      </c>
      <c r="X1733" s="2">
        <f ca="1"/>
        <v>51.456430281610011</v>
      </c>
      <c r="AG1733" s="2">
        <f ca="1"/>
        <v>0.89671014925183989</v>
      </c>
      <c r="AH1733" s="2" t="str">
        <f ca="1"/>
        <v>Bad</v>
      </c>
    </row>
    <row r="1734" spans="2:34" x14ac:dyDescent="0.2">
      <c r="B1734" s="2">
        <f ca="1"/>
        <v>0.51815836780762137</v>
      </c>
      <c r="O1734" s="2">
        <f ca="1"/>
        <v>-0.19992291712042462</v>
      </c>
      <c r="X1734" s="2">
        <f ca="1"/>
        <v>60.106377391109625</v>
      </c>
      <c r="AG1734" s="2">
        <f ca="1"/>
        <v>0.55668245385907089</v>
      </c>
      <c r="AH1734" s="2" t="str">
        <f ca="1"/>
        <v>Bad</v>
      </c>
    </row>
    <row r="1735" spans="2:34" x14ac:dyDescent="0.2">
      <c r="B1735" s="2">
        <f ca="1"/>
        <v>0.37604516100470997</v>
      </c>
      <c r="O1735" s="2">
        <f ca="1"/>
        <v>1.6093598305394039</v>
      </c>
      <c r="X1735" s="2">
        <f ca="1"/>
        <v>60.344088569424329</v>
      </c>
      <c r="AG1735" s="2">
        <f ca="1"/>
        <v>0.23619884506462263</v>
      </c>
      <c r="AH1735" s="2" t="str">
        <f ca="1"/>
        <v>OK</v>
      </c>
    </row>
    <row r="1736" spans="2:34" x14ac:dyDescent="0.2">
      <c r="B1736" s="2">
        <f ca="1"/>
        <v>4.5932379525367439E-2</v>
      </c>
      <c r="O1736" s="2">
        <f ca="1"/>
        <v>-0.46964341239719898</v>
      </c>
      <c r="X1736" s="2">
        <f ca="1"/>
        <v>63.949013612523487</v>
      </c>
      <c r="AG1736" s="2">
        <f ca="1"/>
        <v>0.95283119060236587</v>
      </c>
      <c r="AH1736" s="2" t="str">
        <f ca="1"/>
        <v>Bad</v>
      </c>
    </row>
    <row r="1737" spans="2:34" x14ac:dyDescent="0.2">
      <c r="B1737" s="2">
        <f ca="1"/>
        <v>0.73849968926092613</v>
      </c>
      <c r="O1737" s="2">
        <f ca="1"/>
        <v>0.17596835722083434</v>
      </c>
      <c r="X1737" s="2">
        <f ca="1"/>
        <v>34.854833020822568</v>
      </c>
      <c r="AG1737" s="2">
        <f ca="1"/>
        <v>0.99344054391465719</v>
      </c>
      <c r="AH1737" s="2" t="str">
        <f ca="1"/>
        <v>Bad</v>
      </c>
    </row>
    <row r="1738" spans="2:34" x14ac:dyDescent="0.2">
      <c r="B1738" s="2">
        <f ca="1"/>
        <v>0.78317820436734387</v>
      </c>
      <c r="O1738" s="2">
        <f ca="1"/>
        <v>0.51453867862124314</v>
      </c>
      <c r="X1738" s="2">
        <f ca="1"/>
        <v>45.562087970257807</v>
      </c>
      <c r="AG1738" s="2">
        <f ca="1"/>
        <v>0.70910029346664372</v>
      </c>
      <c r="AH1738" s="2" t="str">
        <f ca="1"/>
        <v>Bad</v>
      </c>
    </row>
    <row r="1739" spans="2:34" x14ac:dyDescent="0.2">
      <c r="B1739" s="2">
        <f ca="1"/>
        <v>0.84548209623853343</v>
      </c>
      <c r="O1739" s="2">
        <f ca="1"/>
        <v>-0.89800322392985965</v>
      </c>
      <c r="X1739" s="2">
        <f ca="1"/>
        <v>52.154650151756108</v>
      </c>
      <c r="AG1739" s="2">
        <f ca="1"/>
        <v>0.61229743312738694</v>
      </c>
      <c r="AH1739" s="2" t="str">
        <f ca="1"/>
        <v>Bad</v>
      </c>
    </row>
    <row r="1740" spans="2:34" x14ac:dyDescent="0.2">
      <c r="B1740" s="2">
        <f ca="1"/>
        <v>0.42559101469296223</v>
      </c>
      <c r="O1740" s="2">
        <f ca="1"/>
        <v>-0.91401635868023079</v>
      </c>
      <c r="X1740" s="2">
        <f ca="1"/>
        <v>29.825340467457732</v>
      </c>
      <c r="AG1740" s="2">
        <f ca="1"/>
        <v>0.52730576857525202</v>
      </c>
      <c r="AH1740" s="2" t="str">
        <f ca="1"/>
        <v>Bad</v>
      </c>
    </row>
    <row r="1741" spans="2:34" x14ac:dyDescent="0.2">
      <c r="B1741" s="2">
        <f ca="1"/>
        <v>0.31308468877393425</v>
      </c>
      <c r="O1741" s="2">
        <f ca="1"/>
        <v>-0.55053640714286456</v>
      </c>
      <c r="X1741" s="2">
        <f ca="1"/>
        <v>46.237473763821811</v>
      </c>
      <c r="AG1741" s="2">
        <f ca="1"/>
        <v>0.86863823190209599</v>
      </c>
      <c r="AH1741" s="2" t="str">
        <f ca="1"/>
        <v>Bad</v>
      </c>
    </row>
    <row r="1742" spans="2:34" x14ac:dyDescent="0.2">
      <c r="B1742" s="2">
        <f ca="1"/>
        <v>9.9544661357888753E-2</v>
      </c>
      <c r="O1742" s="2">
        <f ca="1"/>
        <v>0.53703277130544114</v>
      </c>
      <c r="X1742" s="2">
        <f ca="1"/>
        <v>46.319197415515447</v>
      </c>
      <c r="AG1742" s="2">
        <f ca="1"/>
        <v>0.61299353331171202</v>
      </c>
      <c r="AH1742" s="2" t="str">
        <f ca="1"/>
        <v>Bad</v>
      </c>
    </row>
    <row r="1743" spans="2:34" x14ac:dyDescent="0.2">
      <c r="B1743" s="2">
        <f ca="1"/>
        <v>0.25341027533760418</v>
      </c>
      <c r="O1743" s="2">
        <f ca="1"/>
        <v>5.7010665037257796E-2</v>
      </c>
      <c r="X1743" s="2">
        <f ca="1"/>
        <v>39.723194166180832</v>
      </c>
      <c r="AG1743" s="2">
        <f ca="1"/>
        <v>0.39578331448007154</v>
      </c>
      <c r="AH1743" s="2" t="str">
        <f ca="1"/>
        <v>OK</v>
      </c>
    </row>
    <row r="1744" spans="2:34" x14ac:dyDescent="0.2">
      <c r="B1744" s="2">
        <f ca="1"/>
        <v>3.2650862758904831E-2</v>
      </c>
      <c r="O1744" s="2">
        <f ca="1"/>
        <v>0.13113550461965104</v>
      </c>
      <c r="X1744" s="2">
        <f ca="1"/>
        <v>56.57495316480275</v>
      </c>
      <c r="AG1744" s="2">
        <f ca="1"/>
        <v>0.38992406110323641</v>
      </c>
      <c r="AH1744" s="2" t="str">
        <f ca="1"/>
        <v>OK</v>
      </c>
    </row>
    <row r="1745" spans="2:34" x14ac:dyDescent="0.2">
      <c r="B1745" s="2">
        <f ca="1"/>
        <v>0.93161813407874394</v>
      </c>
      <c r="O1745" s="2">
        <f ca="1"/>
        <v>-6.6846248805929362E-2</v>
      </c>
      <c r="X1745" s="2">
        <f ca="1"/>
        <v>30.011176086404696</v>
      </c>
      <c r="AG1745" s="2">
        <f ca="1"/>
        <v>0.57771002544019634</v>
      </c>
      <c r="AH1745" s="2" t="str">
        <f ca="1"/>
        <v>Bad</v>
      </c>
    </row>
    <row r="1746" spans="2:34" x14ac:dyDescent="0.2">
      <c r="B1746" s="2">
        <f ca="1"/>
        <v>0.24560711155891979</v>
      </c>
      <c r="O1746" s="2">
        <f ca="1"/>
        <v>-1.5471513032547488</v>
      </c>
      <c r="X1746" s="2">
        <f ca="1"/>
        <v>52.701201498656943</v>
      </c>
      <c r="AG1746" s="2">
        <f ca="1"/>
        <v>0.76315338737565019</v>
      </c>
      <c r="AH1746" s="2" t="str">
        <f ca="1"/>
        <v>Bad</v>
      </c>
    </row>
    <row r="1747" spans="2:34" x14ac:dyDescent="0.2">
      <c r="B1747" s="2">
        <f ca="1"/>
        <v>0.4680411772189399</v>
      </c>
      <c r="O1747" s="2">
        <f ca="1"/>
        <v>1.022210511027384</v>
      </c>
      <c r="X1747" s="2">
        <f ca="1"/>
        <v>48.708290039708544</v>
      </c>
      <c r="AG1747" s="2">
        <f ca="1"/>
        <v>0.38677156941685875</v>
      </c>
      <c r="AH1747" s="2" t="str">
        <f ca="1"/>
        <v>OK</v>
      </c>
    </row>
    <row r="1748" spans="2:34" x14ac:dyDescent="0.2">
      <c r="B1748" s="2">
        <f ca="1"/>
        <v>0.54486957180804563</v>
      </c>
      <c r="O1748" s="2">
        <f ca="1"/>
        <v>-0.59832400625080517</v>
      </c>
      <c r="X1748" s="2">
        <f ca="1"/>
        <v>38.243831516902247</v>
      </c>
      <c r="AG1748" s="2">
        <f ca="1"/>
        <v>0.465608288052066</v>
      </c>
      <c r="AH1748" s="2" t="str">
        <f ca="1"/>
        <v>Bad</v>
      </c>
    </row>
    <row r="1749" spans="2:34" x14ac:dyDescent="0.2">
      <c r="B1749" s="2">
        <f ca="1"/>
        <v>0.32718877774145816</v>
      </c>
      <c r="O1749" s="2">
        <f ca="1"/>
        <v>-1.2840109656873169</v>
      </c>
      <c r="X1749" s="2">
        <f ca="1"/>
        <v>48.83621713808396</v>
      </c>
      <c r="AG1749" s="2">
        <f ca="1"/>
        <v>0.29377370887895404</v>
      </c>
      <c r="AH1749" s="2" t="str">
        <f ca="1"/>
        <v>OK</v>
      </c>
    </row>
    <row r="1750" spans="2:34" x14ac:dyDescent="0.2">
      <c r="B1750" s="2">
        <f ca="1"/>
        <v>0.32154042135475236</v>
      </c>
      <c r="O1750" s="2">
        <f ca="1"/>
        <v>1.3956720775287925</v>
      </c>
      <c r="X1750" s="2">
        <f ca="1"/>
        <v>37.757462052985943</v>
      </c>
      <c r="AG1750" s="2">
        <f ca="1"/>
        <v>0.8187937034947621</v>
      </c>
      <c r="AH1750" s="2" t="str">
        <f ca="1"/>
        <v>Bad</v>
      </c>
    </row>
    <row r="1751" spans="2:34" x14ac:dyDescent="0.2">
      <c r="B1751" s="2">
        <f ca="1"/>
        <v>0.66305254574612293</v>
      </c>
      <c r="O1751" s="2">
        <f ca="1"/>
        <v>3.920297493369339E-3</v>
      </c>
      <c r="X1751" s="2">
        <f ca="1"/>
        <v>44.413157035182294</v>
      </c>
      <c r="AG1751" s="2">
        <f ca="1"/>
        <v>0.43594625163905976</v>
      </c>
      <c r="AH1751" s="2" t="str">
        <f ca="1"/>
        <v>Bad</v>
      </c>
    </row>
    <row r="1752" spans="2:34" x14ac:dyDescent="0.2">
      <c r="B1752" s="2">
        <f ca="1"/>
        <v>0.56006658102169848</v>
      </c>
      <c r="O1752" s="2">
        <f ca="1"/>
        <v>-0.46492972978449726</v>
      </c>
      <c r="X1752" s="2">
        <f ca="1"/>
        <v>40.83036104969694</v>
      </c>
      <c r="AG1752" s="2">
        <f ca="1"/>
        <v>0.1843399716918086</v>
      </c>
      <c r="AH1752" s="2" t="str">
        <f ca="1"/>
        <v>OK</v>
      </c>
    </row>
    <row r="1753" spans="2:34" x14ac:dyDescent="0.2">
      <c r="B1753" s="2">
        <f ca="1"/>
        <v>0.52158927008868128</v>
      </c>
      <c r="O1753" s="2">
        <f ca="1"/>
        <v>-0.65320702927144536</v>
      </c>
      <c r="X1753" s="2">
        <f ca="1"/>
        <v>24.825578286282955</v>
      </c>
      <c r="AG1753" s="2">
        <f ca="1"/>
        <v>0.42057838876767861</v>
      </c>
      <c r="AH1753" s="2" t="str">
        <f ca="1"/>
        <v>Bad</v>
      </c>
    </row>
    <row r="1754" spans="2:34" x14ac:dyDescent="0.2">
      <c r="B1754" s="2">
        <f ca="1"/>
        <v>0.15819893360591419</v>
      </c>
      <c r="O1754" s="2">
        <f ca="1"/>
        <v>1.799030133648716</v>
      </c>
      <c r="X1754" s="2">
        <f ca="1"/>
        <v>66.128682628792035</v>
      </c>
      <c r="AG1754" s="2">
        <f ca="1"/>
        <v>0.12282462472663114</v>
      </c>
      <c r="AH1754" s="2" t="str">
        <f ca="1"/>
        <v>OK</v>
      </c>
    </row>
    <row r="1755" spans="2:34" x14ac:dyDescent="0.2">
      <c r="B1755" s="2">
        <f ca="1"/>
        <v>0.68426971644210588</v>
      </c>
      <c r="O1755" s="2">
        <f ca="1"/>
        <v>-0.39425847076509107</v>
      </c>
      <c r="X1755" s="2">
        <f ca="1"/>
        <v>49.463653048502145</v>
      </c>
      <c r="AG1755" s="2">
        <f ca="1"/>
        <v>0.68538708496544087</v>
      </c>
      <c r="AH1755" s="2" t="str">
        <f ca="1"/>
        <v>Bad</v>
      </c>
    </row>
    <row r="1756" spans="2:34" x14ac:dyDescent="0.2">
      <c r="B1756" s="2">
        <f ca="1"/>
        <v>0.43281965541995637</v>
      </c>
      <c r="O1756" s="2">
        <f ca="1"/>
        <v>1.196703430561243</v>
      </c>
      <c r="X1756" s="2">
        <f ca="1"/>
        <v>35.918662310683594</v>
      </c>
      <c r="AG1756" s="2">
        <f ca="1"/>
        <v>0.82848436799744274</v>
      </c>
      <c r="AH1756" s="2" t="str">
        <f ca="1"/>
        <v>Bad</v>
      </c>
    </row>
    <row r="1757" spans="2:34" x14ac:dyDescent="0.2">
      <c r="B1757" s="2">
        <f ca="1"/>
        <v>0.9697716118089541</v>
      </c>
      <c r="O1757" s="2">
        <f ca="1"/>
        <v>-0.26823450384591457</v>
      </c>
      <c r="X1757" s="2">
        <f ca="1"/>
        <v>87.174288546276713</v>
      </c>
      <c r="AG1757" s="2">
        <f ca="1"/>
        <v>7.3371769401204601E-2</v>
      </c>
      <c r="AH1757" s="2" t="str">
        <f ca="1"/>
        <v>OK</v>
      </c>
    </row>
    <row r="1758" spans="2:34" x14ac:dyDescent="0.2">
      <c r="B1758" s="2">
        <f ca="1"/>
        <v>0.47005203445295529</v>
      </c>
      <c r="O1758" s="2">
        <f ca="1"/>
        <v>-9.4541130716112698E-2</v>
      </c>
      <c r="X1758" s="2">
        <f ca="1"/>
        <v>50.960512357433842</v>
      </c>
      <c r="AG1758" s="2">
        <f ca="1"/>
        <v>0.87918636663365657</v>
      </c>
      <c r="AH1758" s="2" t="str">
        <f ca="1"/>
        <v>Bad</v>
      </c>
    </row>
    <row r="1759" spans="2:34" x14ac:dyDescent="0.2">
      <c r="B1759" s="2">
        <f ca="1"/>
        <v>0.55085924329663039</v>
      </c>
      <c r="O1759" s="2">
        <f ca="1"/>
        <v>0.72912455615703198</v>
      </c>
      <c r="X1759" s="2">
        <f ca="1"/>
        <v>34.591862057945534</v>
      </c>
      <c r="AG1759" s="2">
        <f ca="1"/>
        <v>0.83747709147677973</v>
      </c>
      <c r="AH1759" s="2" t="str">
        <f ca="1"/>
        <v>Bad</v>
      </c>
    </row>
    <row r="1760" spans="2:34" x14ac:dyDescent="0.2">
      <c r="B1760" s="2">
        <f ca="1"/>
        <v>0.56380339197287688</v>
      </c>
      <c r="O1760" s="2">
        <f ca="1"/>
        <v>-0.6725337119091116</v>
      </c>
      <c r="X1760" s="2">
        <f ca="1"/>
        <v>22.725991381980219</v>
      </c>
      <c r="AG1760" s="2">
        <f ca="1"/>
        <v>0.2257827330808968</v>
      </c>
      <c r="AH1760" s="2" t="str">
        <f ca="1"/>
        <v>OK</v>
      </c>
    </row>
    <row r="1761" spans="2:34" x14ac:dyDescent="0.2">
      <c r="B1761" s="2">
        <f ca="1"/>
        <v>0.22896663944344464</v>
      </c>
      <c r="O1761" s="2">
        <f ca="1"/>
        <v>-0.1471405615773218</v>
      </c>
      <c r="X1761" s="2">
        <f ca="1"/>
        <v>52.117788239545284</v>
      </c>
      <c r="AG1761" s="2">
        <f ca="1"/>
        <v>5.9824972177158209E-4</v>
      </c>
      <c r="AH1761" s="2" t="str">
        <f ca="1"/>
        <v>Good</v>
      </c>
    </row>
    <row r="1762" spans="2:34" x14ac:dyDescent="0.2">
      <c r="B1762" s="2">
        <f ca="1"/>
        <v>0.93114769404398445</v>
      </c>
      <c r="O1762" s="2">
        <f ca="1"/>
        <v>1.8959343031095393</v>
      </c>
      <c r="X1762" s="2">
        <f ca="1"/>
        <v>38.198649621829844</v>
      </c>
      <c r="AG1762" s="2">
        <f ca="1"/>
        <v>0.97149744597166943</v>
      </c>
      <c r="AH1762" s="2" t="str">
        <f ca="1"/>
        <v>Bad</v>
      </c>
    </row>
    <row r="1763" spans="2:34" x14ac:dyDescent="0.2">
      <c r="B1763" s="2">
        <f ca="1"/>
        <v>0.69562575963501216</v>
      </c>
      <c r="O1763" s="2">
        <f ca="1"/>
        <v>-0.65396671087214908</v>
      </c>
      <c r="X1763" s="2">
        <f ca="1"/>
        <v>41.466005342162177</v>
      </c>
      <c r="AG1763" s="2">
        <f ca="1"/>
        <v>4.3528487262571192E-2</v>
      </c>
      <c r="AH1763" s="2" t="str">
        <f ca="1"/>
        <v>Good</v>
      </c>
    </row>
    <row r="1764" spans="2:34" x14ac:dyDescent="0.2">
      <c r="B1764" s="2">
        <f ca="1"/>
        <v>4.7542308856751925E-2</v>
      </c>
      <c r="O1764" s="2">
        <f ca="1"/>
        <v>0.46528884047017621</v>
      </c>
      <c r="X1764" s="2">
        <f ca="1"/>
        <v>34.440158699768865</v>
      </c>
      <c r="AG1764" s="2">
        <f ca="1"/>
        <v>0.40711417741604006</v>
      </c>
      <c r="AH1764" s="2" t="str">
        <f ca="1"/>
        <v>Bad</v>
      </c>
    </row>
    <row r="1765" spans="2:34" x14ac:dyDescent="0.2">
      <c r="B1765" s="2">
        <f ca="1"/>
        <v>0.39953638186826135</v>
      </c>
      <c r="O1765" s="2">
        <f ca="1"/>
        <v>1.2202168872297818</v>
      </c>
      <c r="X1765" s="2">
        <f ca="1"/>
        <v>29.639271990848194</v>
      </c>
      <c r="AG1765" s="2">
        <f ca="1"/>
        <v>0.31981028661254918</v>
      </c>
      <c r="AH1765" s="2" t="str">
        <f ca="1"/>
        <v>OK</v>
      </c>
    </row>
    <row r="1766" spans="2:34" x14ac:dyDescent="0.2">
      <c r="B1766" s="2">
        <f ca="1"/>
        <v>0.42068825066873128</v>
      </c>
      <c r="O1766" s="2">
        <f ca="1"/>
        <v>-9.6802296200817928E-2</v>
      </c>
      <c r="X1766" s="2">
        <f ca="1"/>
        <v>44.176124268545806</v>
      </c>
      <c r="AG1766" s="2">
        <f ca="1"/>
        <v>0.34924946489821851</v>
      </c>
      <c r="AH1766" s="2" t="str">
        <f ca="1"/>
        <v>OK</v>
      </c>
    </row>
    <row r="1767" spans="2:34" x14ac:dyDescent="0.2">
      <c r="B1767" s="2">
        <f ca="1"/>
        <v>0.6580217598089031</v>
      </c>
      <c r="O1767" s="2">
        <f ca="1"/>
        <v>1.0032299438127332</v>
      </c>
      <c r="X1767" s="2">
        <f ca="1"/>
        <v>48.881137319873929</v>
      </c>
      <c r="AG1767" s="2">
        <f ca="1"/>
        <v>0.97623947788164855</v>
      </c>
      <c r="AH1767" s="2" t="str">
        <f ca="1"/>
        <v>Bad</v>
      </c>
    </row>
    <row r="1768" spans="2:34" x14ac:dyDescent="0.2">
      <c r="B1768" s="2">
        <f ca="1"/>
        <v>0.61499537921505354</v>
      </c>
      <c r="O1768" s="2">
        <f ca="1"/>
        <v>-0.85983261793095622</v>
      </c>
      <c r="X1768" s="2">
        <f ca="1"/>
        <v>29.862128158561021</v>
      </c>
      <c r="AG1768" s="2">
        <f ca="1"/>
        <v>0.65548322620787047</v>
      </c>
      <c r="AH1768" s="2" t="str">
        <f ca="1"/>
        <v>Bad</v>
      </c>
    </row>
    <row r="1769" spans="2:34" x14ac:dyDescent="0.2">
      <c r="B1769" s="2">
        <f ca="1"/>
        <v>0.81332562724285284</v>
      </c>
      <c r="O1769" s="2">
        <f ca="1"/>
        <v>3.0191587626435967</v>
      </c>
      <c r="X1769" s="2">
        <f ca="1"/>
        <v>72.476791727671838</v>
      </c>
      <c r="AG1769" s="2">
        <f ca="1"/>
        <v>0.12312979499221277</v>
      </c>
      <c r="AH1769" s="2" t="str">
        <f ca="1"/>
        <v>OK</v>
      </c>
    </row>
    <row r="1770" spans="2:34" x14ac:dyDescent="0.2">
      <c r="B1770" s="2">
        <f ca="1"/>
        <v>0.46749675587824657</v>
      </c>
      <c r="O1770" s="2">
        <f ca="1"/>
        <v>-1.1286784791273479</v>
      </c>
      <c r="X1770" s="2">
        <f ca="1"/>
        <v>49.986981012909823</v>
      </c>
      <c r="AG1770" s="2">
        <f ca="1"/>
        <v>0.87024668890712698</v>
      </c>
      <c r="AH1770" s="2" t="str">
        <f ca="1"/>
        <v>Bad</v>
      </c>
    </row>
    <row r="1771" spans="2:34" x14ac:dyDescent="0.2">
      <c r="B1771" s="2">
        <f ca="1"/>
        <v>6.2015942814693803E-2</v>
      </c>
      <c r="O1771" s="2">
        <f ca="1"/>
        <v>0.44802712669409062</v>
      </c>
      <c r="X1771" s="2">
        <f ca="1"/>
        <v>35.022651872872984</v>
      </c>
      <c r="AG1771" s="2">
        <f ca="1"/>
        <v>0.55076180169073052</v>
      </c>
      <c r="AH1771" s="2" t="str">
        <f ca="1"/>
        <v>Bad</v>
      </c>
    </row>
    <row r="1772" spans="2:34" x14ac:dyDescent="0.2">
      <c r="B1772" s="2">
        <f ca="1"/>
        <v>0.82186965810513368</v>
      </c>
      <c r="O1772" s="2">
        <f ca="1"/>
        <v>0.47319040785614003</v>
      </c>
      <c r="X1772" s="2">
        <f ca="1"/>
        <v>53.262480303833598</v>
      </c>
      <c r="AG1772" s="2">
        <f ca="1"/>
        <v>0.91124558666967204</v>
      </c>
      <c r="AH1772" s="2" t="str">
        <f ca="1"/>
        <v>Bad</v>
      </c>
    </row>
    <row r="1773" spans="2:34" x14ac:dyDescent="0.2">
      <c r="B1773" s="2">
        <f ca="1"/>
        <v>0.73770138151257081</v>
      </c>
      <c r="O1773" s="2">
        <f ca="1"/>
        <v>-2.2171485912874003</v>
      </c>
      <c r="X1773" s="2">
        <f ca="1"/>
        <v>33.342619578377459</v>
      </c>
      <c r="AG1773" s="2">
        <f ca="1"/>
        <v>0.51143202054449133</v>
      </c>
      <c r="AH1773" s="2" t="str">
        <f ca="1"/>
        <v>Bad</v>
      </c>
    </row>
    <row r="1774" spans="2:34" x14ac:dyDescent="0.2">
      <c r="B1774" s="2">
        <f ca="1"/>
        <v>0.25273173813264926</v>
      </c>
      <c r="O1774" s="2">
        <f ca="1"/>
        <v>-2.3158800300409723</v>
      </c>
      <c r="X1774" s="2">
        <f ca="1"/>
        <v>37.356184049575205</v>
      </c>
      <c r="AG1774" s="2">
        <f ca="1"/>
        <v>0.30959075466652552</v>
      </c>
      <c r="AH1774" s="2" t="str">
        <f ca="1"/>
        <v>OK</v>
      </c>
    </row>
    <row r="1775" spans="2:34" x14ac:dyDescent="0.2">
      <c r="B1775" s="2">
        <f ca="1"/>
        <v>0.11818129985671999</v>
      </c>
      <c r="O1775" s="2">
        <f ca="1"/>
        <v>-0.89344219585275297</v>
      </c>
      <c r="X1775" s="2">
        <f ca="1"/>
        <v>63.160490571865402</v>
      </c>
      <c r="AG1775" s="2">
        <f ca="1"/>
        <v>0.65155131936631583</v>
      </c>
      <c r="AH1775" s="2" t="str">
        <f ca="1"/>
        <v>Bad</v>
      </c>
    </row>
    <row r="1776" spans="2:34" x14ac:dyDescent="0.2">
      <c r="B1776" s="2">
        <f ca="1"/>
        <v>0.97369708040784464</v>
      </c>
      <c r="O1776" s="2">
        <f ca="1"/>
        <v>0.97967359522886688</v>
      </c>
      <c r="X1776" s="2">
        <f ca="1"/>
        <v>65.404847431112884</v>
      </c>
      <c r="AG1776" s="2">
        <f ca="1"/>
        <v>0.76127971282251239</v>
      </c>
      <c r="AH1776" s="2" t="str">
        <f ca="1"/>
        <v>Bad</v>
      </c>
    </row>
    <row r="1777" spans="2:34" x14ac:dyDescent="0.2">
      <c r="B1777" s="2">
        <f ca="1"/>
        <v>9.722704108819924E-2</v>
      </c>
      <c r="O1777" s="2">
        <f ca="1"/>
        <v>0.70359496718751058</v>
      </c>
      <c r="X1777" s="2">
        <f ca="1"/>
        <v>38.142106053149938</v>
      </c>
      <c r="AG1777" s="2">
        <f ca="1"/>
        <v>0.51233143281427229</v>
      </c>
      <c r="AH1777" s="2" t="str">
        <f ca="1"/>
        <v>Bad</v>
      </c>
    </row>
    <row r="1778" spans="2:34" x14ac:dyDescent="0.2">
      <c r="B1778" s="2">
        <f ca="1"/>
        <v>0.18463660636728196</v>
      </c>
      <c r="O1778" s="2">
        <f ca="1"/>
        <v>1.2996345780323142</v>
      </c>
      <c r="X1778" s="2">
        <f ca="1"/>
        <v>42.595137916741812</v>
      </c>
      <c r="AG1778" s="2">
        <f ca="1"/>
        <v>0.61197640751542393</v>
      </c>
      <c r="AH1778" s="2" t="str">
        <f ca="1"/>
        <v>Bad</v>
      </c>
    </row>
    <row r="1779" spans="2:34" x14ac:dyDescent="0.2">
      <c r="B1779" s="2">
        <f ca="1"/>
        <v>0.59262321942988505</v>
      </c>
      <c r="O1779" s="2">
        <f ca="1"/>
        <v>-0.15339358813360707</v>
      </c>
      <c r="X1779" s="2">
        <f ca="1"/>
        <v>65.664231256806644</v>
      </c>
      <c r="AG1779" s="2">
        <f ca="1"/>
        <v>0.87661759101846082</v>
      </c>
      <c r="AH1779" s="2" t="str">
        <f ca="1"/>
        <v>Bad</v>
      </c>
    </row>
    <row r="1780" spans="2:34" x14ac:dyDescent="0.2">
      <c r="B1780" s="2">
        <f ca="1"/>
        <v>0.72807267250075447</v>
      </c>
      <c r="O1780" s="2">
        <f ca="1"/>
        <v>-1.2721781307219941</v>
      </c>
      <c r="X1780" s="2">
        <f ca="1"/>
        <v>68.262908137669854</v>
      </c>
      <c r="AG1780" s="2">
        <f ca="1"/>
        <v>0.28191157644900611</v>
      </c>
      <c r="AH1780" s="2" t="str">
        <f ca="1"/>
        <v>OK</v>
      </c>
    </row>
    <row r="1781" spans="2:34" x14ac:dyDescent="0.2">
      <c r="B1781" s="2">
        <f ca="1"/>
        <v>0.89716384268211025</v>
      </c>
      <c r="O1781" s="2">
        <f ca="1"/>
        <v>0.47568966090160913</v>
      </c>
      <c r="X1781" s="2">
        <f ca="1"/>
        <v>60.179752759598969</v>
      </c>
      <c r="AG1781" s="2">
        <f ca="1"/>
        <v>0.78593985374582243</v>
      </c>
      <c r="AH1781" s="2" t="str">
        <f ca="1"/>
        <v>Bad</v>
      </c>
    </row>
    <row r="1782" spans="2:34" x14ac:dyDescent="0.2">
      <c r="B1782" s="2">
        <f ca="1"/>
        <v>0.49889522441943024</v>
      </c>
      <c r="O1782" s="2">
        <f ca="1"/>
        <v>-0.62490476014192853</v>
      </c>
      <c r="X1782" s="2">
        <f ca="1"/>
        <v>70.299420204880221</v>
      </c>
      <c r="AG1782" s="2">
        <f ca="1"/>
        <v>0.47102472500973236</v>
      </c>
      <c r="AH1782" s="2" t="str">
        <f ca="1"/>
        <v>Bad</v>
      </c>
    </row>
    <row r="1783" spans="2:34" x14ac:dyDescent="0.2">
      <c r="B1783" s="2">
        <f ca="1"/>
        <v>0.32588759316444382</v>
      </c>
      <c r="O1783" s="2">
        <f ca="1"/>
        <v>2.5435113402248442E-2</v>
      </c>
      <c r="X1783" s="2">
        <f ca="1"/>
        <v>51.92643563115417</v>
      </c>
      <c r="AG1783" s="2">
        <f ca="1"/>
        <v>0.90219569580055725</v>
      </c>
      <c r="AH1783" s="2" t="str">
        <f ca="1"/>
        <v>Bad</v>
      </c>
    </row>
    <row r="1784" spans="2:34" x14ac:dyDescent="0.2">
      <c r="B1784" s="2">
        <f ca="1"/>
        <v>0.74489660173277383</v>
      </c>
      <c r="O1784" s="2">
        <f ca="1"/>
        <v>0.17855807179251298</v>
      </c>
      <c r="X1784" s="2">
        <f ca="1"/>
        <v>31.793990390894926</v>
      </c>
      <c r="AG1784" s="2">
        <f ca="1"/>
        <v>0.83848790312865717</v>
      </c>
      <c r="AH1784" s="2" t="str">
        <f ca="1"/>
        <v>Bad</v>
      </c>
    </row>
    <row r="1785" spans="2:34" x14ac:dyDescent="0.2">
      <c r="B1785" s="2">
        <f ca="1"/>
        <v>0.10872371817779225</v>
      </c>
      <c r="O1785" s="2">
        <f ca="1"/>
        <v>0.49165060649965059</v>
      </c>
      <c r="X1785" s="2">
        <f ca="1"/>
        <v>40.941545140590094</v>
      </c>
      <c r="AG1785" s="2">
        <f ca="1"/>
        <v>0.14880491759048664</v>
      </c>
      <c r="AH1785" s="2" t="str">
        <f ca="1"/>
        <v>OK</v>
      </c>
    </row>
    <row r="1786" spans="2:34" x14ac:dyDescent="0.2">
      <c r="B1786" s="2">
        <f ca="1"/>
        <v>0.91354560736172852</v>
      </c>
      <c r="O1786" s="2">
        <f ca="1"/>
        <v>8.412741859081109E-2</v>
      </c>
      <c r="X1786" s="2">
        <f ca="1"/>
        <v>26.984952457563111</v>
      </c>
      <c r="AG1786" s="2">
        <f ca="1"/>
        <v>0.7522097885181056</v>
      </c>
      <c r="AH1786" s="2" t="str">
        <f ca="1"/>
        <v>Bad</v>
      </c>
    </row>
    <row r="1787" spans="2:34" x14ac:dyDescent="0.2">
      <c r="B1787" s="2">
        <f ca="1"/>
        <v>0.16496865201900723</v>
      </c>
      <c r="O1787" s="2">
        <f ca="1"/>
        <v>0.67946790892947284</v>
      </c>
      <c r="X1787" s="2">
        <f ca="1"/>
        <v>35.883212468851383</v>
      </c>
      <c r="AG1787" s="2">
        <f ca="1"/>
        <v>0.26745198966604766</v>
      </c>
      <c r="AH1787" s="2" t="str">
        <f ca="1"/>
        <v>OK</v>
      </c>
    </row>
    <row r="1788" spans="2:34" x14ac:dyDescent="0.2">
      <c r="B1788" s="2">
        <f ca="1"/>
        <v>0.73351336733085537</v>
      </c>
      <c r="O1788" s="2">
        <f ca="1"/>
        <v>0.39434414569592863</v>
      </c>
      <c r="X1788" s="2">
        <f ca="1"/>
        <v>42.505244545088473</v>
      </c>
      <c r="AG1788" s="2">
        <f ca="1"/>
        <v>0.60109017133430309</v>
      </c>
      <c r="AH1788" s="2" t="str">
        <f ca="1"/>
        <v>Bad</v>
      </c>
    </row>
    <row r="1789" spans="2:34" x14ac:dyDescent="0.2">
      <c r="B1789" s="2">
        <f ca="1"/>
        <v>0.66361951644294792</v>
      </c>
      <c r="O1789" s="2">
        <f ca="1"/>
        <v>-0.45167929198500817</v>
      </c>
      <c r="X1789" s="2">
        <f ca="1"/>
        <v>33.685785548907987</v>
      </c>
      <c r="AG1789" s="2">
        <f ca="1"/>
        <v>0.57967083194805991</v>
      </c>
      <c r="AH1789" s="2" t="str">
        <f ca="1"/>
        <v>Bad</v>
      </c>
    </row>
    <row r="1790" spans="2:34" x14ac:dyDescent="0.2">
      <c r="B1790" s="2">
        <f ca="1"/>
        <v>0.72913884159242559</v>
      </c>
      <c r="O1790" s="2">
        <f ca="1"/>
        <v>1.5812471622161239</v>
      </c>
      <c r="X1790" s="2">
        <f ca="1"/>
        <v>86.602990834629139</v>
      </c>
      <c r="AG1790" s="2">
        <f ca="1"/>
        <v>0.60975831783040002</v>
      </c>
      <c r="AH1790" s="2" t="str">
        <f ca="1"/>
        <v>Bad</v>
      </c>
    </row>
    <row r="1791" spans="2:34" x14ac:dyDescent="0.2">
      <c r="B1791" s="2">
        <f ca="1"/>
        <v>0.74886984400044199</v>
      </c>
      <c r="O1791" s="2">
        <f ca="1"/>
        <v>3.7187087020149376E-2</v>
      </c>
      <c r="X1791" s="2">
        <f ca="1"/>
        <v>43.976812863796695</v>
      </c>
      <c r="AG1791" s="2">
        <f ca="1"/>
        <v>0.60267028800355793</v>
      </c>
      <c r="AH1791" s="2" t="str">
        <f ca="1"/>
        <v>Bad</v>
      </c>
    </row>
    <row r="1792" spans="2:34" x14ac:dyDescent="0.2">
      <c r="B1792" s="2">
        <f ca="1"/>
        <v>0.34120393839063135</v>
      </c>
      <c r="O1792" s="2">
        <f ca="1"/>
        <v>0.4867824443663652</v>
      </c>
      <c r="X1792" s="2">
        <f ca="1"/>
        <v>31.654048900917083</v>
      </c>
      <c r="AG1792" s="2">
        <f ca="1"/>
        <v>0.41723477275209753</v>
      </c>
      <c r="AH1792" s="2" t="str">
        <f ca="1"/>
        <v>Bad</v>
      </c>
    </row>
    <row r="1793" spans="2:34" x14ac:dyDescent="0.2">
      <c r="B1793" s="2">
        <f ca="1"/>
        <v>6.8715362525400003E-2</v>
      </c>
      <c r="O1793" s="2">
        <f ca="1"/>
        <v>-0.46947755774850847</v>
      </c>
      <c r="X1793" s="2">
        <f ca="1"/>
        <v>44.056284522053446</v>
      </c>
      <c r="AG1793" s="2">
        <f ca="1"/>
        <v>0.49886018531390719</v>
      </c>
      <c r="AH1793" s="2" t="str">
        <f ca="1"/>
        <v>Bad</v>
      </c>
    </row>
    <row r="1794" spans="2:34" x14ac:dyDescent="0.2">
      <c r="B1794" s="2">
        <f ca="1"/>
        <v>0.92852102293608318</v>
      </c>
      <c r="O1794" s="2">
        <f ca="1"/>
        <v>1.5582877218623385</v>
      </c>
      <c r="X1794" s="2">
        <f ca="1"/>
        <v>75.317345900227195</v>
      </c>
      <c r="AG1794" s="2">
        <f ca="1"/>
        <v>0.77368233710153933</v>
      </c>
      <c r="AH1794" s="2" t="str">
        <f ca="1"/>
        <v>Bad</v>
      </c>
    </row>
    <row r="1795" spans="2:34" x14ac:dyDescent="0.2">
      <c r="B1795" s="2">
        <f ca="1"/>
        <v>0.54069899416996536</v>
      </c>
      <c r="O1795" s="2">
        <f ca="1"/>
        <v>0.51044566745270248</v>
      </c>
      <c r="X1795" s="2">
        <f ca="1"/>
        <v>17.825037178475355</v>
      </c>
      <c r="AG1795" s="2">
        <f ca="1"/>
        <v>0.64426655879232397</v>
      </c>
      <c r="AH1795" s="2" t="str">
        <f ca="1"/>
        <v>Bad</v>
      </c>
    </row>
    <row r="1796" spans="2:34" x14ac:dyDescent="0.2">
      <c r="B1796" s="2">
        <f ca="1"/>
        <v>0.64370315632794006</v>
      </c>
      <c r="O1796" s="2">
        <f ca="1"/>
        <v>1.005813640765268</v>
      </c>
      <c r="X1796" s="2">
        <f ca="1"/>
        <v>59.106061998256564</v>
      </c>
      <c r="AG1796" s="2">
        <f ca="1"/>
        <v>0.5239269496999639</v>
      </c>
      <c r="AH1796" s="2" t="str">
        <f ca="1"/>
        <v>Bad</v>
      </c>
    </row>
    <row r="1797" spans="2:34" x14ac:dyDescent="0.2">
      <c r="B1797" s="2">
        <f ca="1"/>
        <v>0.97019219116346034</v>
      </c>
      <c r="O1797" s="2">
        <f ca="1"/>
        <v>1.021332500743523</v>
      </c>
      <c r="X1797" s="2">
        <f ca="1"/>
        <v>66.272565232273038</v>
      </c>
      <c r="AG1797" s="2">
        <f ca="1"/>
        <v>0.90800882265377636</v>
      </c>
      <c r="AH1797" s="2" t="str">
        <f ca="1"/>
        <v>Bad</v>
      </c>
    </row>
    <row r="1798" spans="2:34" x14ac:dyDescent="0.2">
      <c r="B1798" s="2">
        <f ca="1"/>
        <v>0.47009982955044061</v>
      </c>
      <c r="O1798" s="2">
        <f ca="1"/>
        <v>-0.65660260479832278</v>
      </c>
      <c r="X1798" s="2">
        <f ca="1"/>
        <v>38.80295419029386</v>
      </c>
      <c r="AG1798" s="2">
        <f ca="1"/>
        <v>0.78550200797852976</v>
      </c>
      <c r="AH1798" s="2" t="str">
        <f ca="1"/>
        <v>Bad</v>
      </c>
    </row>
    <row r="1799" spans="2:34" x14ac:dyDescent="0.2">
      <c r="B1799" s="2">
        <f ca="1"/>
        <v>0.29327048839283187</v>
      </c>
      <c r="O1799" s="2">
        <f ca="1"/>
        <v>0.53058045306578372</v>
      </c>
      <c r="X1799" s="2">
        <f ca="1"/>
        <v>50.384417503783602</v>
      </c>
      <c r="AG1799" s="2">
        <f ca="1"/>
        <v>0.32382627783438345</v>
      </c>
      <c r="AH1799" s="2" t="str">
        <f ca="1"/>
        <v>OK</v>
      </c>
    </row>
    <row r="1800" spans="2:34" x14ac:dyDescent="0.2">
      <c r="B1800" s="2">
        <f ca="1"/>
        <v>0.17643213589773432</v>
      </c>
      <c r="O1800" s="2">
        <f ca="1"/>
        <v>-7.8964487341529901E-2</v>
      </c>
      <c r="X1800" s="2">
        <f ca="1"/>
        <v>43.619497176255528</v>
      </c>
      <c r="AG1800" s="2">
        <f ca="1"/>
        <v>0.52350082938757292</v>
      </c>
      <c r="AH1800" s="2" t="str">
        <f ca="1"/>
        <v>Bad</v>
      </c>
    </row>
    <row r="1801" spans="2:34" x14ac:dyDescent="0.2">
      <c r="B1801" s="2">
        <f ca="1"/>
        <v>0.43470206773470466</v>
      </c>
      <c r="O1801" s="2">
        <f ca="1"/>
        <v>-0.52046520559741849</v>
      </c>
      <c r="X1801" s="2">
        <f ca="1"/>
        <v>56.228318239458268</v>
      </c>
      <c r="AG1801" s="2">
        <f ca="1"/>
        <v>0.39864284517773307</v>
      </c>
      <c r="AH1801" s="2" t="str">
        <f ca="1"/>
        <v>OK</v>
      </c>
    </row>
    <row r="1802" spans="2:34" x14ac:dyDescent="0.2">
      <c r="B1802" s="2">
        <f ca="1"/>
        <v>0.2604006075073646</v>
      </c>
      <c r="O1802" s="2">
        <f ca="1"/>
        <v>-0.39239490887194839</v>
      </c>
      <c r="X1802" s="2">
        <f ca="1"/>
        <v>27.561026897549947</v>
      </c>
      <c r="AG1802" s="2">
        <f ca="1"/>
        <v>0.51955147443311245</v>
      </c>
      <c r="AH1802" s="2" t="str">
        <f ca="1"/>
        <v>Bad</v>
      </c>
    </row>
    <row r="1803" spans="2:34" x14ac:dyDescent="0.2">
      <c r="B1803" s="2">
        <f ca="1"/>
        <v>0.34441927327970512</v>
      </c>
      <c r="O1803" s="2">
        <f ca="1"/>
        <v>1.0030101363168957</v>
      </c>
      <c r="X1803" s="2">
        <f ca="1"/>
        <v>69.824913615201453</v>
      </c>
      <c r="AG1803" s="2">
        <f ca="1"/>
        <v>0.9446248153445751</v>
      </c>
      <c r="AH1803" s="2" t="str">
        <f ca="1"/>
        <v>Bad</v>
      </c>
    </row>
    <row r="1804" spans="2:34" x14ac:dyDescent="0.2">
      <c r="B1804" s="2">
        <f ca="1"/>
        <v>0.84815388972454575</v>
      </c>
      <c r="O1804" s="2">
        <f ca="1"/>
        <v>-0.20450165456223782</v>
      </c>
      <c r="X1804" s="2">
        <f ca="1"/>
        <v>38.34130054783175</v>
      </c>
      <c r="AG1804" s="2">
        <f ca="1"/>
        <v>0.7823095081656799</v>
      </c>
      <c r="AH1804" s="2" t="str">
        <f ca="1"/>
        <v>Bad</v>
      </c>
    </row>
    <row r="1805" spans="2:34" x14ac:dyDescent="0.2">
      <c r="B1805" s="2">
        <f ca="1"/>
        <v>0.41272406517633442</v>
      </c>
      <c r="O1805" s="2">
        <f ca="1"/>
        <v>1.1590744344432404</v>
      </c>
      <c r="X1805" s="2">
        <f ca="1"/>
        <v>53.715596889024582</v>
      </c>
      <c r="AG1805" s="2">
        <f ca="1"/>
        <v>0.80623653526368688</v>
      </c>
      <c r="AH1805" s="2" t="str">
        <f ca="1"/>
        <v>Bad</v>
      </c>
    </row>
    <row r="1806" spans="2:34" x14ac:dyDescent="0.2">
      <c r="B1806" s="2">
        <f ca="1"/>
        <v>0.3228555261155861</v>
      </c>
      <c r="O1806" s="2">
        <f ca="1"/>
        <v>-0.1122053355478438</v>
      </c>
      <c r="X1806" s="2">
        <f ca="1"/>
        <v>62.939038590575969</v>
      </c>
      <c r="AG1806" s="2">
        <f ca="1"/>
        <v>0.74462041170036053</v>
      </c>
      <c r="AH1806" s="2" t="str">
        <f ca="1"/>
        <v>Bad</v>
      </c>
    </row>
    <row r="1807" spans="2:34" x14ac:dyDescent="0.2">
      <c r="B1807" s="2">
        <f ca="1"/>
        <v>2.0397310855261974E-2</v>
      </c>
      <c r="O1807" s="2">
        <f ca="1"/>
        <v>-1.3873773772558404</v>
      </c>
      <c r="X1807" s="2">
        <f ca="1"/>
        <v>54.833564673573989</v>
      </c>
      <c r="AG1807" s="2">
        <f ca="1"/>
        <v>0.37737280064182488</v>
      </c>
      <c r="AH1807" s="2" t="str">
        <f ca="1"/>
        <v>OK</v>
      </c>
    </row>
    <row r="1808" spans="2:34" x14ac:dyDescent="0.2">
      <c r="B1808" s="2">
        <f ca="1"/>
        <v>0.78061516303979062</v>
      </c>
      <c r="O1808" s="2">
        <f ca="1"/>
        <v>0.25108141796874417</v>
      </c>
      <c r="X1808" s="2">
        <f ca="1"/>
        <v>91.107786531651527</v>
      </c>
      <c r="AG1808" s="2">
        <f ca="1"/>
        <v>0.79692065415319546</v>
      </c>
      <c r="AH1808" s="2" t="str">
        <f ca="1"/>
        <v>Bad</v>
      </c>
    </row>
    <row r="1809" spans="2:34" x14ac:dyDescent="0.2">
      <c r="B1809" s="2">
        <f ca="1"/>
        <v>0.17367809789326771</v>
      </c>
      <c r="O1809" s="2">
        <f ca="1"/>
        <v>0.22479731983955592</v>
      </c>
      <c r="X1809" s="2">
        <f ca="1"/>
        <v>63.862317452593174</v>
      </c>
      <c r="AG1809" s="2">
        <f ca="1"/>
        <v>0.92899207139182338</v>
      </c>
      <c r="AH1809" s="2" t="str">
        <f ca="1"/>
        <v>Bad</v>
      </c>
    </row>
    <row r="1810" spans="2:34" x14ac:dyDescent="0.2">
      <c r="B1810" s="2">
        <f ca="1"/>
        <v>0.29270008971959327</v>
      </c>
      <c r="O1810" s="2">
        <f ca="1"/>
        <v>-1.5717921802928327</v>
      </c>
      <c r="X1810" s="2">
        <f ca="1"/>
        <v>53.660666175554724</v>
      </c>
      <c r="AG1810" s="2">
        <f ca="1"/>
        <v>0.20913493356192525</v>
      </c>
      <c r="AH1810" s="2" t="str">
        <f ca="1"/>
        <v>OK</v>
      </c>
    </row>
    <row r="1811" spans="2:34" x14ac:dyDescent="0.2">
      <c r="B1811" s="2">
        <f ca="1"/>
        <v>0.71138624288949881</v>
      </c>
      <c r="O1811" s="2">
        <f ca="1"/>
        <v>0.37355516591725552</v>
      </c>
      <c r="X1811" s="2">
        <f ca="1"/>
        <v>35.175808619184011</v>
      </c>
      <c r="AG1811" s="2">
        <f ca="1"/>
        <v>0.31971428394574497</v>
      </c>
      <c r="AH1811" s="2" t="str">
        <f ca="1"/>
        <v>OK</v>
      </c>
    </row>
    <row r="1812" spans="2:34" x14ac:dyDescent="0.2">
      <c r="B1812" s="2">
        <f ca="1"/>
        <v>0.55034066394775238</v>
      </c>
      <c r="O1812" s="2">
        <f ca="1"/>
        <v>-0.38666508087777329</v>
      </c>
      <c r="X1812" s="2">
        <f ca="1"/>
        <v>56.335837497220716</v>
      </c>
      <c r="AG1812" s="2">
        <f ca="1"/>
        <v>0.74980383522467053</v>
      </c>
      <c r="AH1812" s="2" t="str">
        <f ca="1"/>
        <v>Bad</v>
      </c>
    </row>
    <row r="1813" spans="2:34" x14ac:dyDescent="0.2">
      <c r="B1813" s="2">
        <f ca="1"/>
        <v>0.57828866635222775</v>
      </c>
      <c r="O1813" s="2">
        <f ca="1"/>
        <v>-0.27414799570257553</v>
      </c>
      <c r="X1813" s="2">
        <f ca="1"/>
        <v>28.740123897832333</v>
      </c>
      <c r="AG1813" s="2">
        <f ca="1"/>
        <v>0.78789357257988168</v>
      </c>
      <c r="AH1813" s="2" t="str">
        <f ca="1"/>
        <v>Bad</v>
      </c>
    </row>
    <row r="1814" spans="2:34" x14ac:dyDescent="0.2">
      <c r="B1814" s="2">
        <f ca="1"/>
        <v>0.47534794533429925</v>
      </c>
      <c r="O1814" s="2">
        <f ca="1"/>
        <v>-1.4752080219446608</v>
      </c>
      <c r="X1814" s="2">
        <f ca="1"/>
        <v>49.035590939622438</v>
      </c>
      <c r="AG1814" s="2">
        <f ca="1"/>
        <v>0.58521313188989144</v>
      </c>
      <c r="AH1814" s="2" t="str">
        <f ca="1"/>
        <v>Bad</v>
      </c>
    </row>
    <row r="1815" spans="2:34" x14ac:dyDescent="0.2">
      <c r="B1815" s="2">
        <f ca="1"/>
        <v>0.21063381544102788</v>
      </c>
      <c r="O1815" s="2">
        <f ca="1"/>
        <v>0.32920801274438355</v>
      </c>
      <c r="X1815" s="2">
        <f ca="1"/>
        <v>54.781328546068622</v>
      </c>
      <c r="AG1815" s="2">
        <f ca="1"/>
        <v>0.67255941590287582</v>
      </c>
      <c r="AH1815" s="2" t="str">
        <f ca="1"/>
        <v>Bad</v>
      </c>
    </row>
    <row r="1816" spans="2:34" x14ac:dyDescent="0.2">
      <c r="B1816" s="2">
        <f ca="1"/>
        <v>0.10456875526141585</v>
      </c>
      <c r="O1816" s="2">
        <f ca="1"/>
        <v>-0.21785798587159241</v>
      </c>
      <c r="X1816" s="2">
        <f ca="1"/>
        <v>42.39351280601192</v>
      </c>
      <c r="AG1816" s="2">
        <f ca="1"/>
        <v>0.45768366438657515</v>
      </c>
      <c r="AH1816" s="2" t="str">
        <f ca="1"/>
        <v>Bad</v>
      </c>
    </row>
    <row r="1817" spans="2:34" x14ac:dyDescent="0.2">
      <c r="B1817" s="2">
        <f ca="1"/>
        <v>7.2306454812378407E-2</v>
      </c>
      <c r="O1817" s="2">
        <f ca="1"/>
        <v>-0.14093106580971401</v>
      </c>
      <c r="X1817" s="2">
        <f ca="1"/>
        <v>37.276541743632926</v>
      </c>
      <c r="AG1817" s="2">
        <f ca="1"/>
        <v>0.12648055583372941</v>
      </c>
      <c r="AH1817" s="2" t="str">
        <f ca="1"/>
        <v>OK</v>
      </c>
    </row>
    <row r="1818" spans="2:34" x14ac:dyDescent="0.2">
      <c r="B1818" s="2">
        <f ca="1"/>
        <v>0.4985173303206023</v>
      </c>
      <c r="O1818" s="2">
        <f ca="1"/>
        <v>-0.45024375955743312</v>
      </c>
      <c r="X1818" s="2">
        <f ca="1"/>
        <v>40.184315359313686</v>
      </c>
      <c r="AG1818" s="2">
        <f ca="1"/>
        <v>0.77476582835363761</v>
      </c>
      <c r="AH1818" s="2" t="str">
        <f ca="1"/>
        <v>Bad</v>
      </c>
    </row>
    <row r="1819" spans="2:34" x14ac:dyDescent="0.2">
      <c r="B1819" s="2">
        <f ca="1"/>
        <v>9.6127197875390813E-3</v>
      </c>
      <c r="O1819" s="2">
        <f ca="1"/>
        <v>0.97306786240615273</v>
      </c>
      <c r="X1819" s="2">
        <f ca="1"/>
        <v>42.185660009366437</v>
      </c>
      <c r="AG1819" s="2">
        <f ca="1"/>
        <v>0.26581866036100599</v>
      </c>
      <c r="AH1819" s="2" t="str">
        <f ca="1"/>
        <v>OK</v>
      </c>
    </row>
    <row r="1820" spans="2:34" x14ac:dyDescent="0.2">
      <c r="B1820" s="2">
        <f ca="1"/>
        <v>0.29394434223427512</v>
      </c>
      <c r="O1820" s="2">
        <f ca="1"/>
        <v>0.9637928078569532</v>
      </c>
      <c r="X1820" s="2">
        <f ca="1"/>
        <v>51.145045056999308</v>
      </c>
      <c r="AG1820" s="2">
        <f ca="1"/>
        <v>0.40670084394674966</v>
      </c>
      <c r="AH1820" s="2" t="str">
        <f ca="1"/>
        <v>Bad</v>
      </c>
    </row>
    <row r="1821" spans="2:34" x14ac:dyDescent="0.2">
      <c r="B1821" s="2">
        <f ca="1"/>
        <v>0.65727967521215303</v>
      </c>
      <c r="O1821" s="2">
        <f ca="1"/>
        <v>1.1045198548852082</v>
      </c>
      <c r="X1821" s="2">
        <f ca="1"/>
        <v>53.820360020705124</v>
      </c>
      <c r="AG1821" s="2">
        <f ca="1"/>
        <v>0.19530493603674381</v>
      </c>
      <c r="AH1821" s="2" t="str">
        <f ca="1"/>
        <v>OK</v>
      </c>
    </row>
    <row r="1822" spans="2:34" x14ac:dyDescent="0.2">
      <c r="B1822" s="2">
        <f ca="1"/>
        <v>0.94603454291357436</v>
      </c>
      <c r="O1822" s="2">
        <f ca="1"/>
        <v>-1.1743865340891444</v>
      </c>
      <c r="X1822" s="2">
        <f ca="1"/>
        <v>56.250368375473776</v>
      </c>
      <c r="AG1822" s="2">
        <f ca="1"/>
        <v>7.049648368651984E-2</v>
      </c>
      <c r="AH1822" s="2" t="str">
        <f ca="1"/>
        <v>OK</v>
      </c>
    </row>
    <row r="1823" spans="2:34" x14ac:dyDescent="0.2">
      <c r="B1823" s="2">
        <f ca="1"/>
        <v>0.5539016351171917</v>
      </c>
      <c r="O1823" s="2">
        <f ca="1"/>
        <v>0.15193328625177629</v>
      </c>
      <c r="X1823" s="2">
        <f ca="1"/>
        <v>52.782739549821393</v>
      </c>
      <c r="AG1823" s="2">
        <f ca="1"/>
        <v>0.67591439497272066</v>
      </c>
      <c r="AH1823" s="2" t="str">
        <f ca="1"/>
        <v>Bad</v>
      </c>
    </row>
    <row r="1824" spans="2:34" x14ac:dyDescent="0.2">
      <c r="B1824" s="2">
        <f ca="1"/>
        <v>9.9582370169479795E-2</v>
      </c>
      <c r="O1824" s="2">
        <f ca="1"/>
        <v>-0.59225114067842677</v>
      </c>
      <c r="X1824" s="2">
        <f ca="1"/>
        <v>54.824088216592315</v>
      </c>
      <c r="AG1824" s="2">
        <f ca="1"/>
        <v>0.78086415947123111</v>
      </c>
      <c r="AH1824" s="2" t="str">
        <f ca="1"/>
        <v>Bad</v>
      </c>
    </row>
    <row r="1825" spans="2:34" x14ac:dyDescent="0.2">
      <c r="B1825" s="2">
        <f ca="1"/>
        <v>0.60654776880643579</v>
      </c>
      <c r="O1825" s="2">
        <f ca="1"/>
        <v>1.4861428660784255</v>
      </c>
      <c r="X1825" s="2">
        <f ca="1"/>
        <v>84.547750118202728</v>
      </c>
      <c r="AG1825" s="2">
        <f ca="1"/>
        <v>0.50694791007751649</v>
      </c>
      <c r="AH1825" s="2" t="str">
        <f ca="1"/>
        <v>Bad</v>
      </c>
    </row>
    <row r="1826" spans="2:34" x14ac:dyDescent="0.2">
      <c r="B1826" s="2">
        <f ca="1"/>
        <v>0.89231755496718801</v>
      </c>
      <c r="O1826" s="2">
        <f ca="1"/>
        <v>0.17860250003731271</v>
      </c>
      <c r="X1826" s="2">
        <f ca="1"/>
        <v>34.469406679477871</v>
      </c>
      <c r="AG1826" s="2">
        <f ca="1"/>
        <v>0.5513828722384837</v>
      </c>
      <c r="AH1826" s="2" t="str">
        <f ca="1"/>
        <v>Bad</v>
      </c>
    </row>
    <row r="1827" spans="2:34" x14ac:dyDescent="0.2">
      <c r="B1827" s="2">
        <f ca="1"/>
        <v>0.63989036006779831</v>
      </c>
      <c r="O1827" s="2">
        <f ca="1"/>
        <v>0.753890452990996</v>
      </c>
      <c r="X1827" s="2">
        <f ca="1"/>
        <v>40.761034479881516</v>
      </c>
      <c r="AG1827" s="2">
        <f ca="1"/>
        <v>0.12863383978910359</v>
      </c>
      <c r="AH1827" s="2" t="str">
        <f ca="1"/>
        <v>OK</v>
      </c>
    </row>
    <row r="1828" spans="2:34" x14ac:dyDescent="0.2">
      <c r="B1828" s="2">
        <f ca="1"/>
        <v>0.43140222558442431</v>
      </c>
      <c r="O1828" s="2">
        <f ca="1"/>
        <v>-2.1462464353403941</v>
      </c>
      <c r="X1828" s="2">
        <f ca="1"/>
        <v>28.341015092104165</v>
      </c>
      <c r="AG1828" s="2">
        <f ca="1"/>
        <v>0.48147016622133432</v>
      </c>
      <c r="AH1828" s="2" t="str">
        <f ca="1"/>
        <v>Bad</v>
      </c>
    </row>
    <row r="1829" spans="2:34" x14ac:dyDescent="0.2">
      <c r="B1829" s="2">
        <f ca="1"/>
        <v>0.323550555972137</v>
      </c>
      <c r="O1829" s="2">
        <f ca="1"/>
        <v>-0.3546129624587247</v>
      </c>
      <c r="X1829" s="2">
        <f ca="1"/>
        <v>45.33809791751564</v>
      </c>
      <c r="AG1829" s="2">
        <f ca="1"/>
        <v>0.16067091693886204</v>
      </c>
      <c r="AH1829" s="2" t="str">
        <f ca="1"/>
        <v>OK</v>
      </c>
    </row>
    <row r="1830" spans="2:34" x14ac:dyDescent="0.2">
      <c r="B1830" s="2">
        <f ca="1"/>
        <v>0.14267847304599046</v>
      </c>
      <c r="O1830" s="2">
        <f ca="1"/>
        <v>-1.20359507732125</v>
      </c>
      <c r="X1830" s="2">
        <f ca="1"/>
        <v>46.299463464228168</v>
      </c>
      <c r="AG1830" s="2">
        <f ca="1"/>
        <v>0.59622376857021364</v>
      </c>
      <c r="AH1830" s="2" t="str">
        <f ca="1"/>
        <v>Bad</v>
      </c>
    </row>
    <row r="1831" spans="2:34" x14ac:dyDescent="0.2">
      <c r="B1831" s="2">
        <f ca="1"/>
        <v>0.28061874359339312</v>
      </c>
      <c r="O1831" s="2">
        <f ca="1"/>
        <v>-1.255856523967211</v>
      </c>
      <c r="X1831" s="2">
        <f ca="1"/>
        <v>42.822039830160804</v>
      </c>
      <c r="AG1831" s="2">
        <f ca="1"/>
        <v>0.82770184899592514</v>
      </c>
      <c r="AH1831" s="2" t="str">
        <f ca="1"/>
        <v>Bad</v>
      </c>
    </row>
    <row r="1832" spans="2:34" x14ac:dyDescent="0.2">
      <c r="B1832" s="2">
        <f ca="1"/>
        <v>0.16877291366882496</v>
      </c>
      <c r="O1832" s="2">
        <f ca="1"/>
        <v>-1.4815739829493413</v>
      </c>
      <c r="X1832" s="2">
        <f ca="1"/>
        <v>51.739880122212213</v>
      </c>
      <c r="AG1832" s="2">
        <f ca="1"/>
        <v>0.12098600750287658</v>
      </c>
      <c r="AH1832" s="2" t="str">
        <f ca="1"/>
        <v>OK</v>
      </c>
    </row>
    <row r="1833" spans="2:34" x14ac:dyDescent="0.2">
      <c r="B1833" s="2">
        <f ca="1"/>
        <v>0.1883047389386252</v>
      </c>
      <c r="O1833" s="2">
        <f ca="1"/>
        <v>0.98840012879684791</v>
      </c>
      <c r="X1833" s="2">
        <f ca="1"/>
        <v>54.112664446618375</v>
      </c>
      <c r="AG1833" s="2">
        <f ca="1"/>
        <v>0.71493840547656151</v>
      </c>
      <c r="AH1833" s="2" t="str">
        <f ca="1"/>
        <v>Bad</v>
      </c>
    </row>
    <row r="1834" spans="2:34" x14ac:dyDescent="0.2">
      <c r="B1834" s="2">
        <f ca="1"/>
        <v>4.0934998293530533E-2</v>
      </c>
      <c r="O1834" s="2">
        <f ca="1"/>
        <v>0.80817573945211163</v>
      </c>
      <c r="X1834" s="2">
        <f ca="1"/>
        <v>34.425001637591912</v>
      </c>
      <c r="AG1834" s="2">
        <f ca="1"/>
        <v>0.26468940383612716</v>
      </c>
      <c r="AH1834" s="2" t="str">
        <f ca="1"/>
        <v>OK</v>
      </c>
    </row>
    <row r="1835" spans="2:34" x14ac:dyDescent="0.2">
      <c r="B1835" s="2">
        <f ca="1"/>
        <v>0.34760264683226083</v>
      </c>
      <c r="O1835" s="2">
        <f ca="1"/>
        <v>-1.3894220119939362</v>
      </c>
      <c r="X1835" s="2">
        <f ca="1"/>
        <v>36.788639155671817</v>
      </c>
      <c r="AG1835" s="2">
        <f ca="1"/>
        <v>0.5961684815425583</v>
      </c>
      <c r="AH1835" s="2" t="str">
        <f ca="1"/>
        <v>Bad</v>
      </c>
    </row>
    <row r="1836" spans="2:34" x14ac:dyDescent="0.2">
      <c r="B1836" s="2">
        <f ca="1"/>
        <v>0.86670092755337325</v>
      </c>
      <c r="O1836" s="2">
        <f ca="1"/>
        <v>-0.48930607209076399</v>
      </c>
      <c r="X1836" s="2">
        <f ca="1"/>
        <v>52.497099363131312</v>
      </c>
      <c r="AG1836" s="2">
        <f ca="1"/>
        <v>0.66189723708968895</v>
      </c>
      <c r="AH1836" s="2" t="str">
        <f ca="1"/>
        <v>Bad</v>
      </c>
    </row>
    <row r="1837" spans="2:34" x14ac:dyDescent="0.2">
      <c r="B1837" s="2">
        <f ca="1"/>
        <v>0.25314090278238788</v>
      </c>
      <c r="O1837" s="2">
        <f ca="1"/>
        <v>-0.80708062481715981</v>
      </c>
      <c r="X1837" s="2">
        <f ca="1"/>
        <v>37.818460775509344</v>
      </c>
      <c r="AG1837" s="2">
        <f ca="1"/>
        <v>0.35946884058662198</v>
      </c>
      <c r="AH1837" s="2" t="str">
        <f ca="1"/>
        <v>OK</v>
      </c>
    </row>
    <row r="1838" spans="2:34" x14ac:dyDescent="0.2">
      <c r="B1838" s="2">
        <f ca="1"/>
        <v>7.8098495628360354E-3</v>
      </c>
      <c r="O1838" s="2">
        <f ca="1"/>
        <v>-0.2050022209198597</v>
      </c>
      <c r="X1838" s="2">
        <f ca="1"/>
        <v>34.765211271084212</v>
      </c>
      <c r="AG1838" s="2">
        <f ca="1"/>
        <v>0.73451339810465766</v>
      </c>
      <c r="AH1838" s="2" t="str">
        <f ca="1"/>
        <v>Bad</v>
      </c>
    </row>
    <row r="1839" spans="2:34" x14ac:dyDescent="0.2">
      <c r="B1839" s="2">
        <f ca="1"/>
        <v>0.27760730502230113</v>
      </c>
      <c r="O1839" s="2">
        <f ca="1"/>
        <v>-0.27830861527930079</v>
      </c>
      <c r="X1839" s="2">
        <f ca="1"/>
        <v>37.54711314206844</v>
      </c>
      <c r="AG1839" s="2">
        <f ca="1"/>
        <v>0.18705203069970122</v>
      </c>
      <c r="AH1839" s="2" t="str">
        <f ca="1"/>
        <v>OK</v>
      </c>
    </row>
    <row r="1840" spans="2:34" x14ac:dyDescent="0.2">
      <c r="B1840" s="2">
        <f ca="1"/>
        <v>0.89865536725615147</v>
      </c>
      <c r="O1840" s="2">
        <f ca="1"/>
        <v>0.82536748890914557</v>
      </c>
      <c r="X1840" s="2">
        <f ca="1"/>
        <v>70.662010372544856</v>
      </c>
      <c r="AG1840" s="2">
        <f ca="1"/>
        <v>0.98593557913948993</v>
      </c>
      <c r="AH1840" s="2" t="str">
        <f ca="1"/>
        <v>Bad</v>
      </c>
    </row>
    <row r="1841" spans="2:34" x14ac:dyDescent="0.2">
      <c r="B1841" s="2">
        <f ca="1"/>
        <v>0.66076532398708365</v>
      </c>
      <c r="O1841" s="2">
        <f ca="1"/>
        <v>0.10692151378650126</v>
      </c>
      <c r="X1841" s="2">
        <f ca="1"/>
        <v>49.409402301512387</v>
      </c>
      <c r="AG1841" s="2">
        <f ca="1"/>
        <v>0.25784439692946304</v>
      </c>
      <c r="AH1841" s="2" t="str">
        <f ca="1"/>
        <v>OK</v>
      </c>
    </row>
    <row r="1842" spans="2:34" x14ac:dyDescent="0.2">
      <c r="B1842" s="2">
        <f ca="1"/>
        <v>0.34563610747928353</v>
      </c>
      <c r="O1842" s="2">
        <f ca="1"/>
        <v>0.7506620493642453</v>
      </c>
      <c r="X1842" s="2">
        <f ca="1"/>
        <v>61.212218725669501</v>
      </c>
      <c r="AG1842" s="2">
        <f ca="1"/>
        <v>0.83844163241898761</v>
      </c>
      <c r="AH1842" s="2" t="str">
        <f ca="1"/>
        <v>Bad</v>
      </c>
    </row>
    <row r="1843" spans="2:34" x14ac:dyDescent="0.2">
      <c r="B1843" s="2">
        <f ca="1"/>
        <v>0.21641702470207869</v>
      </c>
      <c r="O1843" s="2">
        <f ca="1"/>
        <v>-1.2746775381169801</v>
      </c>
      <c r="X1843" s="2">
        <f ca="1"/>
        <v>43.713040154134752</v>
      </c>
      <c r="AG1843" s="2">
        <f ca="1"/>
        <v>0.75203833028266076</v>
      </c>
      <c r="AH1843" s="2" t="str">
        <f ca="1"/>
        <v>Bad</v>
      </c>
    </row>
    <row r="1844" spans="2:34" x14ac:dyDescent="0.2">
      <c r="B1844" s="2">
        <f ca="1"/>
        <v>0.42411731989624335</v>
      </c>
      <c r="O1844" s="2">
        <f ca="1"/>
        <v>-0.51251575235037161</v>
      </c>
      <c r="X1844" s="2">
        <f ca="1"/>
        <v>26.496867042126834</v>
      </c>
      <c r="AG1844" s="2">
        <f ca="1"/>
        <v>0.4566494687884346</v>
      </c>
      <c r="AH1844" s="2" t="str">
        <f ca="1"/>
        <v>Bad</v>
      </c>
    </row>
    <row r="1845" spans="2:34" x14ac:dyDescent="0.2">
      <c r="B1845" s="2">
        <f ca="1"/>
        <v>0.63217588706068439</v>
      </c>
      <c r="O1845" s="2">
        <f ca="1"/>
        <v>-9.4292746816942455E-2</v>
      </c>
      <c r="X1845" s="2">
        <f ca="1"/>
        <v>68.539852448071471</v>
      </c>
      <c r="AG1845" s="2">
        <f ca="1"/>
        <v>0.88941023204516312</v>
      </c>
      <c r="AH1845" s="2" t="str">
        <f ca="1"/>
        <v>Bad</v>
      </c>
    </row>
    <row r="1846" spans="2:34" x14ac:dyDescent="0.2">
      <c r="B1846" s="2">
        <f ca="1"/>
        <v>0.19786739276261356</v>
      </c>
      <c r="O1846" s="2">
        <f ca="1"/>
        <v>0.67693325493803114</v>
      </c>
      <c r="X1846" s="2">
        <f ca="1"/>
        <v>62.752928300028536</v>
      </c>
      <c r="AG1846" s="2">
        <f ca="1"/>
        <v>0.12243775757944153</v>
      </c>
      <c r="AH1846" s="2" t="str">
        <f ca="1"/>
        <v>OK</v>
      </c>
    </row>
    <row r="1847" spans="2:34" x14ac:dyDescent="0.2">
      <c r="B1847" s="2">
        <f ca="1"/>
        <v>0.54445779493589397</v>
      </c>
      <c r="O1847" s="2">
        <f ca="1"/>
        <v>-0.49739104186107513</v>
      </c>
      <c r="X1847" s="2">
        <f ca="1"/>
        <v>52.407219587323787</v>
      </c>
      <c r="AG1847" s="2">
        <f ca="1"/>
        <v>0.45595067872576656</v>
      </c>
      <c r="AH1847" s="2" t="str">
        <f ca="1"/>
        <v>Bad</v>
      </c>
    </row>
    <row r="1848" spans="2:34" x14ac:dyDescent="0.2">
      <c r="B1848" s="2">
        <f ca="1"/>
        <v>7.3613058414274457E-2</v>
      </c>
      <c r="O1848" s="2">
        <f ca="1"/>
        <v>-0.66276236445352632</v>
      </c>
      <c r="X1848" s="2">
        <f ca="1"/>
        <v>26.163783559801654</v>
      </c>
      <c r="AG1848" s="2">
        <f ca="1"/>
        <v>0.15530696546537315</v>
      </c>
      <c r="AH1848" s="2" t="str">
        <f ca="1"/>
        <v>OK</v>
      </c>
    </row>
    <row r="1849" spans="2:34" x14ac:dyDescent="0.2">
      <c r="B1849" s="2">
        <f ca="1"/>
        <v>0.58799088372002517</v>
      </c>
      <c r="O1849" s="2">
        <f ca="1"/>
        <v>0.25338290275742148</v>
      </c>
      <c r="X1849" s="2">
        <f ca="1"/>
        <v>59.463745969030953</v>
      </c>
      <c r="AG1849" s="2">
        <f ca="1"/>
        <v>0.32841913934218936</v>
      </c>
      <c r="AH1849" s="2" t="str">
        <f ca="1"/>
        <v>OK</v>
      </c>
    </row>
    <row r="1850" spans="2:34" x14ac:dyDescent="0.2">
      <c r="B1850" s="2">
        <f ca="1"/>
        <v>7.7494900931121435E-2</v>
      </c>
      <c r="O1850" s="2">
        <f ca="1"/>
        <v>-0.25587919580303309</v>
      </c>
      <c r="X1850" s="2">
        <f ca="1"/>
        <v>73.618449751484476</v>
      </c>
      <c r="AG1850" s="2">
        <f ca="1"/>
        <v>0.43447024541103296</v>
      </c>
      <c r="AH1850" s="2" t="str">
        <f ca="1"/>
        <v>Bad</v>
      </c>
    </row>
    <row r="1851" spans="2:34" x14ac:dyDescent="0.2">
      <c r="B1851" s="2">
        <f ca="1"/>
        <v>0.73153691468196835</v>
      </c>
      <c r="O1851" s="2">
        <f ca="1"/>
        <v>1.3533350860169417</v>
      </c>
      <c r="X1851" s="2">
        <f ca="1"/>
        <v>24.663545621867211</v>
      </c>
      <c r="AG1851" s="2">
        <f ca="1"/>
        <v>0.518594606872121</v>
      </c>
      <c r="AH1851" s="2" t="str">
        <f ca="1"/>
        <v>Bad</v>
      </c>
    </row>
    <row r="1852" spans="2:34" x14ac:dyDescent="0.2">
      <c r="B1852" s="2">
        <f ca="1"/>
        <v>0.14409507544311517</v>
      </c>
      <c r="O1852" s="2">
        <f ca="1"/>
        <v>-0.15410875501117233</v>
      </c>
      <c r="X1852" s="2">
        <f ca="1"/>
        <v>40.983301848750287</v>
      </c>
      <c r="AG1852" s="2">
        <f ca="1"/>
        <v>0.31968648886941109</v>
      </c>
      <c r="AH1852" s="2" t="str">
        <f ca="1"/>
        <v>OK</v>
      </c>
    </row>
    <row r="1853" spans="2:34" x14ac:dyDescent="0.2">
      <c r="B1853" s="2">
        <f ca="1"/>
        <v>0.71835510265422586</v>
      </c>
      <c r="O1853" s="2">
        <f ca="1"/>
        <v>0.56700704271001134</v>
      </c>
      <c r="X1853" s="2">
        <f ca="1"/>
        <v>45.904153136926311</v>
      </c>
      <c r="AG1853" s="2">
        <f ca="1"/>
        <v>0.33666047604350835</v>
      </c>
      <c r="AH1853" s="2" t="str">
        <f ca="1"/>
        <v>OK</v>
      </c>
    </row>
    <row r="1854" spans="2:34" x14ac:dyDescent="0.2">
      <c r="B1854" s="2">
        <f ca="1"/>
        <v>0.78620465032780307</v>
      </c>
      <c r="O1854" s="2">
        <f ca="1"/>
        <v>-1.2653905647436363</v>
      </c>
      <c r="X1854" s="2">
        <f ca="1"/>
        <v>46.870214620947301</v>
      </c>
      <c r="AG1854" s="2">
        <f ca="1"/>
        <v>0.50973063099255445</v>
      </c>
      <c r="AH1854" s="2" t="str">
        <f ca="1"/>
        <v>Bad</v>
      </c>
    </row>
    <row r="1855" spans="2:34" x14ac:dyDescent="0.2">
      <c r="B1855" s="2">
        <f ca="1"/>
        <v>0.28518430428362307</v>
      </c>
      <c r="O1855" s="2">
        <f ca="1"/>
        <v>0.96324468740097646</v>
      </c>
      <c r="X1855" s="2">
        <f ca="1"/>
        <v>56.075274801390563</v>
      </c>
      <c r="AG1855" s="2">
        <f ca="1"/>
        <v>0.28313797673543828</v>
      </c>
      <c r="AH1855" s="2" t="str">
        <f ca="1"/>
        <v>OK</v>
      </c>
    </row>
    <row r="1856" spans="2:34" x14ac:dyDescent="0.2">
      <c r="B1856" s="2">
        <f ca="1"/>
        <v>0.52322415961575297</v>
      </c>
      <c r="O1856" s="2">
        <f ca="1"/>
        <v>0.44003410729367548</v>
      </c>
      <c r="X1856" s="2">
        <f ca="1"/>
        <v>64.822543822745814</v>
      </c>
      <c r="AG1856" s="2">
        <f ca="1"/>
        <v>0.16262159469886028</v>
      </c>
      <c r="AH1856" s="2" t="str">
        <f ca="1"/>
        <v>OK</v>
      </c>
    </row>
    <row r="1857" spans="2:34" x14ac:dyDescent="0.2">
      <c r="B1857" s="2">
        <f ca="1"/>
        <v>0.17066274022405126</v>
      </c>
      <c r="O1857" s="2">
        <f ca="1"/>
        <v>0.61793577245638931</v>
      </c>
      <c r="X1857" s="2">
        <f ca="1"/>
        <v>75.234638492771396</v>
      </c>
      <c r="AG1857" s="2">
        <f ca="1"/>
        <v>0.45525734527552775</v>
      </c>
      <c r="AH1857" s="2" t="str">
        <f ca="1"/>
        <v>Bad</v>
      </c>
    </row>
    <row r="1858" spans="2:34" x14ac:dyDescent="0.2">
      <c r="B1858" s="2">
        <f ca="1"/>
        <v>0.59657119378311663</v>
      </c>
      <c r="O1858" s="2">
        <f ca="1"/>
        <v>0.80595617157682142</v>
      </c>
      <c r="X1858" s="2">
        <f ca="1"/>
        <v>68.059207872864405</v>
      </c>
      <c r="AG1858" s="2">
        <f ca="1"/>
        <v>0.15024712384850769</v>
      </c>
      <c r="AH1858" s="2" t="str">
        <f ca="1"/>
        <v>OK</v>
      </c>
    </row>
    <row r="1859" spans="2:34" x14ac:dyDescent="0.2">
      <c r="B1859" s="2">
        <f ca="1"/>
        <v>5.4826230371927132E-2</v>
      </c>
      <c r="O1859" s="2">
        <f ca="1"/>
        <v>0.12581016962280689</v>
      </c>
      <c r="X1859" s="2">
        <f ca="1"/>
        <v>59.319184609232643</v>
      </c>
      <c r="AG1859" s="2">
        <f ca="1"/>
        <v>0.48293984770718867</v>
      </c>
      <c r="AH1859" s="2" t="str">
        <f ca="1"/>
        <v>Bad</v>
      </c>
    </row>
    <row r="1860" spans="2:34" x14ac:dyDescent="0.2">
      <c r="B1860" s="2">
        <f ca="1"/>
        <v>1.4819137295688511E-2</v>
      </c>
      <c r="O1860" s="2">
        <f ca="1"/>
        <v>0.94655017833415656</v>
      </c>
      <c r="X1860" s="2">
        <f ca="1"/>
        <v>40.131469751709346</v>
      </c>
      <c r="AG1860" s="2">
        <f ca="1"/>
        <v>0.62087226046144406</v>
      </c>
      <c r="AH1860" s="2" t="str">
        <f ca="1"/>
        <v>Bad</v>
      </c>
    </row>
    <row r="1861" spans="2:34" x14ac:dyDescent="0.2">
      <c r="B1861" s="2">
        <f ca="1"/>
        <v>0.96030648266965657</v>
      </c>
      <c r="O1861" s="2">
        <f ca="1"/>
        <v>1.8293877851019762</v>
      </c>
      <c r="X1861" s="2">
        <f ca="1"/>
        <v>49.828963874429711</v>
      </c>
      <c r="AG1861" s="2">
        <f ca="1"/>
        <v>0.10630699407488997</v>
      </c>
      <c r="AH1861" s="2" t="str">
        <f ca="1"/>
        <v>OK</v>
      </c>
    </row>
    <row r="1862" spans="2:34" x14ac:dyDescent="0.2">
      <c r="B1862" s="2">
        <f ca="1"/>
        <v>0.97355638455409665</v>
      </c>
      <c r="O1862" s="2">
        <f ca="1"/>
        <v>-0.18306430830218884</v>
      </c>
      <c r="X1862" s="2">
        <f ca="1"/>
        <v>67.911813417538255</v>
      </c>
      <c r="AG1862" s="2">
        <f ca="1"/>
        <v>0.6755184202375295</v>
      </c>
      <c r="AH1862" s="2" t="str">
        <f ca="1"/>
        <v>Bad</v>
      </c>
    </row>
    <row r="1863" spans="2:34" x14ac:dyDescent="0.2">
      <c r="B1863" s="2">
        <f ca="1"/>
        <v>0.11227473879170558</v>
      </c>
      <c r="O1863" s="2">
        <f ca="1"/>
        <v>1.335565509461919</v>
      </c>
      <c r="X1863" s="2">
        <f ca="1"/>
        <v>45.992688278814569</v>
      </c>
      <c r="AG1863" s="2">
        <f ca="1"/>
        <v>0.43736146209044779</v>
      </c>
      <c r="AH1863" s="2" t="str">
        <f ca="1"/>
        <v>Bad</v>
      </c>
    </row>
    <row r="1864" spans="2:34" x14ac:dyDescent="0.2">
      <c r="B1864" s="2">
        <f ca="1"/>
        <v>0.67743294436482637</v>
      </c>
      <c r="O1864" s="2">
        <f ca="1"/>
        <v>-0.40495519533010194</v>
      </c>
      <c r="X1864" s="2">
        <f ca="1"/>
        <v>47.819017917882299</v>
      </c>
      <c r="AG1864" s="2">
        <f ca="1"/>
        <v>0.49381813392436857</v>
      </c>
      <c r="AH1864" s="2" t="str">
        <f ca="1"/>
        <v>Bad</v>
      </c>
    </row>
    <row r="1865" spans="2:34" x14ac:dyDescent="0.2">
      <c r="B1865" s="2">
        <f ca="1"/>
        <v>6.50535434505084E-3</v>
      </c>
      <c r="O1865" s="2">
        <f ca="1"/>
        <v>-0.11184548468456788</v>
      </c>
      <c r="X1865" s="2">
        <f ca="1"/>
        <v>41.048178848598369</v>
      </c>
      <c r="AG1865" s="2">
        <f ca="1"/>
        <v>0.5906296687885082</v>
      </c>
      <c r="AH1865" s="2" t="str">
        <f ca="1"/>
        <v>Bad</v>
      </c>
    </row>
    <row r="1866" spans="2:34" x14ac:dyDescent="0.2">
      <c r="B1866" s="2">
        <f ca="1"/>
        <v>0.91600010140774391</v>
      </c>
      <c r="O1866" s="2">
        <f ca="1"/>
        <v>-1.465279098171449</v>
      </c>
      <c r="X1866" s="2">
        <f ca="1"/>
        <v>60.948802329294907</v>
      </c>
      <c r="AG1866" s="2">
        <f ca="1"/>
        <v>0.76804957944245977</v>
      </c>
      <c r="AH1866" s="2" t="str">
        <f ca="1"/>
        <v>Bad</v>
      </c>
    </row>
    <row r="1867" spans="2:34" x14ac:dyDescent="0.2">
      <c r="B1867" s="2">
        <f ca="1"/>
        <v>0.5566901020092232</v>
      </c>
      <c r="O1867" s="2">
        <f ca="1"/>
        <v>0.49625661834614038</v>
      </c>
      <c r="X1867" s="2">
        <f ca="1"/>
        <v>34.495953957987567</v>
      </c>
      <c r="AG1867" s="2">
        <f ca="1"/>
        <v>3.5107344874134805E-2</v>
      </c>
      <c r="AH1867" s="2" t="str">
        <f ca="1"/>
        <v>Good</v>
      </c>
    </row>
    <row r="1868" spans="2:34" x14ac:dyDescent="0.2">
      <c r="B1868" s="2">
        <f ca="1"/>
        <v>0.49107083234997884</v>
      </c>
      <c r="O1868" s="2">
        <f ca="1"/>
        <v>-0.55064878698908282</v>
      </c>
      <c r="X1868" s="2">
        <f ca="1"/>
        <v>58.213250922950152</v>
      </c>
      <c r="AG1868" s="2">
        <f ca="1"/>
        <v>0.59378157014387911</v>
      </c>
      <c r="AH1868" s="2" t="str">
        <f ca="1"/>
        <v>Bad</v>
      </c>
    </row>
    <row r="1869" spans="2:34" x14ac:dyDescent="0.2">
      <c r="B1869" s="2">
        <f ca="1"/>
        <v>0.24769616300317798</v>
      </c>
      <c r="O1869" s="2">
        <f ca="1"/>
        <v>0.10590013014072713</v>
      </c>
      <c r="X1869" s="2">
        <f ca="1"/>
        <v>67.46388830376867</v>
      </c>
      <c r="AG1869" s="2">
        <f ca="1"/>
        <v>0.97696679397862085</v>
      </c>
      <c r="AH1869" s="2" t="str">
        <f ca="1"/>
        <v>Bad</v>
      </c>
    </row>
    <row r="1870" spans="2:34" x14ac:dyDescent="0.2">
      <c r="B1870" s="2">
        <f ca="1"/>
        <v>0.13154933421376569</v>
      </c>
      <c r="O1870" s="2">
        <f ca="1"/>
        <v>-2.7786929476369446E-2</v>
      </c>
      <c r="X1870" s="2">
        <f ca="1"/>
        <v>58.887932099592142</v>
      </c>
      <c r="AG1870" s="2">
        <f ca="1"/>
        <v>0.27535297325503039</v>
      </c>
      <c r="AH1870" s="2" t="str">
        <f ca="1"/>
        <v>OK</v>
      </c>
    </row>
    <row r="1871" spans="2:34" x14ac:dyDescent="0.2">
      <c r="B1871" s="2">
        <f ca="1"/>
        <v>0.64982118834633806</v>
      </c>
      <c r="O1871" s="2">
        <f ca="1"/>
        <v>-0.37143221015113542</v>
      </c>
      <c r="X1871" s="2">
        <f ca="1"/>
        <v>44.688810811972758</v>
      </c>
      <c r="AG1871" s="2">
        <f ca="1"/>
        <v>0.31225503450816272</v>
      </c>
      <c r="AH1871" s="2" t="str">
        <f ca="1"/>
        <v>OK</v>
      </c>
    </row>
    <row r="1872" spans="2:34" x14ac:dyDescent="0.2">
      <c r="B1872" s="2">
        <f ca="1"/>
        <v>0.54630881668405684</v>
      </c>
      <c r="O1872" s="2">
        <f ca="1"/>
        <v>-0.30336506872585084</v>
      </c>
      <c r="X1872" s="2">
        <f ca="1"/>
        <v>59.81314038630633</v>
      </c>
      <c r="AG1872" s="2">
        <f ca="1"/>
        <v>0.71623843364928907</v>
      </c>
      <c r="AH1872" s="2" t="str">
        <f ca="1"/>
        <v>Bad</v>
      </c>
    </row>
    <row r="1873" spans="2:34" x14ac:dyDescent="0.2">
      <c r="B1873" s="2">
        <f ca="1"/>
        <v>0.99312845954731532</v>
      </c>
      <c r="O1873" s="2">
        <f ca="1"/>
        <v>0.68071308064180669</v>
      </c>
      <c r="X1873" s="2">
        <f ca="1"/>
        <v>69.501364605966273</v>
      </c>
      <c r="AG1873" s="2">
        <f ca="1"/>
        <v>0.82716958590491441</v>
      </c>
      <c r="AH1873" s="2" t="str">
        <f ca="1"/>
        <v>Bad</v>
      </c>
    </row>
    <row r="1874" spans="2:34" x14ac:dyDescent="0.2">
      <c r="B1874" s="2">
        <f ca="1"/>
        <v>0.4696091980856465</v>
      </c>
      <c r="O1874" s="2">
        <f ca="1"/>
        <v>-6.9772523324133695E-2</v>
      </c>
      <c r="X1874" s="2">
        <f ca="1"/>
        <v>54.438919428405953</v>
      </c>
      <c r="AG1874" s="2">
        <f ca="1"/>
        <v>0.23277117228554967</v>
      </c>
      <c r="AH1874" s="2" t="str">
        <f ca="1"/>
        <v>OK</v>
      </c>
    </row>
    <row r="1875" spans="2:34" x14ac:dyDescent="0.2">
      <c r="B1875" s="2">
        <f ca="1"/>
        <v>0.97149856516988864</v>
      </c>
      <c r="O1875" s="2">
        <f ca="1"/>
        <v>-1.4540542510859504</v>
      </c>
      <c r="X1875" s="2">
        <f ca="1"/>
        <v>49.130542064212435</v>
      </c>
      <c r="AG1875" s="2">
        <f ca="1"/>
        <v>0.15508939878808392</v>
      </c>
      <c r="AH1875" s="2" t="str">
        <f ca="1"/>
        <v>OK</v>
      </c>
    </row>
    <row r="1876" spans="2:34" x14ac:dyDescent="0.2">
      <c r="B1876" s="2">
        <f ca="1"/>
        <v>0.81885057694887986</v>
      </c>
      <c r="O1876" s="2">
        <f ca="1"/>
        <v>-0.59872124468367616</v>
      </c>
      <c r="X1876" s="2">
        <f ca="1"/>
        <v>64.116538597940277</v>
      </c>
      <c r="AG1876" s="2">
        <f ca="1"/>
        <v>0.52283808683746225</v>
      </c>
      <c r="AH1876" s="2" t="str">
        <f ca="1"/>
        <v>Bad</v>
      </c>
    </row>
    <row r="1877" spans="2:34" x14ac:dyDescent="0.2">
      <c r="B1877" s="2">
        <f ca="1"/>
        <v>0.25794216350249921</v>
      </c>
      <c r="O1877" s="2">
        <f ca="1"/>
        <v>-0.43797497112395634</v>
      </c>
      <c r="X1877" s="2">
        <f ca="1"/>
        <v>52.160357698705809</v>
      </c>
      <c r="AG1877" s="2">
        <f ca="1"/>
        <v>0.84096203012287196</v>
      </c>
      <c r="AH1877" s="2" t="str">
        <f ca="1"/>
        <v>Bad</v>
      </c>
    </row>
    <row r="1878" spans="2:34" x14ac:dyDescent="0.2">
      <c r="B1878" s="2">
        <f ca="1"/>
        <v>0.42502630245284356</v>
      </c>
      <c r="O1878" s="2">
        <f ca="1"/>
        <v>1.7992334683882667</v>
      </c>
      <c r="X1878" s="2">
        <f ca="1"/>
        <v>45.424126293920395</v>
      </c>
      <c r="AG1878" s="2">
        <f ca="1"/>
        <v>0.14971537712261807</v>
      </c>
      <c r="AH1878" s="2" t="str">
        <f ca="1"/>
        <v>OK</v>
      </c>
    </row>
    <row r="1879" spans="2:34" x14ac:dyDescent="0.2">
      <c r="B1879" s="2">
        <f ca="1"/>
        <v>0.85258799552044873</v>
      </c>
      <c r="O1879" s="2">
        <f ca="1"/>
        <v>-1.0716897639117267</v>
      </c>
      <c r="X1879" s="2">
        <f ca="1"/>
        <v>75.74472474759412</v>
      </c>
      <c r="AG1879" s="2">
        <f ca="1"/>
        <v>0.48546433966247138</v>
      </c>
      <c r="AH1879" s="2" t="str">
        <f ca="1"/>
        <v>Bad</v>
      </c>
    </row>
    <row r="1880" spans="2:34" x14ac:dyDescent="0.2">
      <c r="B1880" s="2">
        <f ca="1"/>
        <v>0.86186237862848003</v>
      </c>
      <c r="O1880" s="2">
        <f ca="1"/>
        <v>-0.77272765424849243</v>
      </c>
      <c r="X1880" s="2">
        <f ca="1"/>
        <v>54.694366810474911</v>
      </c>
      <c r="AG1880" s="2">
        <f ca="1"/>
        <v>0.97105262012907256</v>
      </c>
      <c r="AH1880" s="2" t="str">
        <f ca="1"/>
        <v>Bad</v>
      </c>
    </row>
    <row r="1881" spans="2:34" x14ac:dyDescent="0.2">
      <c r="B1881" s="2">
        <f ca="1"/>
        <v>0.11835779302728389</v>
      </c>
      <c r="O1881" s="2">
        <f ca="1"/>
        <v>-1.475161479511794</v>
      </c>
      <c r="X1881" s="2">
        <f ca="1"/>
        <v>54.219682930818259</v>
      </c>
      <c r="AG1881" s="2">
        <f ca="1"/>
        <v>0.41792055721235277</v>
      </c>
      <c r="AH1881" s="2" t="str">
        <f ca="1"/>
        <v>Bad</v>
      </c>
    </row>
    <row r="1882" spans="2:34" x14ac:dyDescent="0.2">
      <c r="B1882" s="2">
        <f ca="1"/>
        <v>0.39290195332815658</v>
      </c>
      <c r="O1882" s="2">
        <f ca="1"/>
        <v>1.7929534723101868</v>
      </c>
      <c r="X1882" s="2">
        <f ca="1"/>
        <v>60.565309683225628</v>
      </c>
      <c r="AG1882" s="2">
        <f ca="1"/>
        <v>0.10128857578944706</v>
      </c>
      <c r="AH1882" s="2" t="str">
        <f ca="1"/>
        <v>OK</v>
      </c>
    </row>
    <row r="1883" spans="2:34" x14ac:dyDescent="0.2">
      <c r="B1883" s="2">
        <f ca="1"/>
        <v>0.63864350453428576</v>
      </c>
      <c r="O1883" s="2">
        <f ca="1"/>
        <v>-1.2921616242706702</v>
      </c>
      <c r="X1883" s="2">
        <f ca="1"/>
        <v>83.230146715136698</v>
      </c>
      <c r="AG1883" s="2">
        <f ca="1"/>
        <v>0.77401513000359268</v>
      </c>
      <c r="AH1883" s="2" t="str">
        <f ca="1"/>
        <v>Bad</v>
      </c>
    </row>
    <row r="1884" spans="2:34" x14ac:dyDescent="0.2">
      <c r="B1884" s="2">
        <f ca="1"/>
        <v>0.30893454225074657</v>
      </c>
      <c r="O1884" s="2">
        <f ca="1"/>
        <v>-1.9557456533312136</v>
      </c>
      <c r="X1884" s="2">
        <f ca="1"/>
        <v>36.042593272481007</v>
      </c>
      <c r="AG1884" s="2">
        <f ca="1"/>
        <v>0.10233211673632092</v>
      </c>
      <c r="AH1884" s="2" t="str">
        <f ca="1"/>
        <v>OK</v>
      </c>
    </row>
    <row r="1885" spans="2:34" x14ac:dyDescent="0.2">
      <c r="B1885" s="2">
        <f ca="1"/>
        <v>0.79226883476274446</v>
      </c>
      <c r="O1885" s="2">
        <f ca="1"/>
        <v>0.16384294897593221</v>
      </c>
      <c r="X1885" s="2">
        <f ca="1"/>
        <v>65.495225784917196</v>
      </c>
      <c r="AG1885" s="2">
        <f ca="1"/>
        <v>0.86025995508753694</v>
      </c>
      <c r="AH1885" s="2" t="str">
        <f ca="1"/>
        <v>Bad</v>
      </c>
    </row>
    <row r="1886" spans="2:34" x14ac:dyDescent="0.2">
      <c r="B1886" s="2">
        <f ca="1"/>
        <v>0.35593954930986871</v>
      </c>
      <c r="O1886" s="2">
        <f ca="1"/>
        <v>-0.63494808750669673</v>
      </c>
      <c r="X1886" s="2">
        <f ca="1"/>
        <v>48.108275360298258</v>
      </c>
      <c r="AG1886" s="2">
        <f ca="1"/>
        <v>0.72230394827240874</v>
      </c>
      <c r="AH1886" s="2" t="str">
        <f ca="1"/>
        <v>Bad</v>
      </c>
    </row>
    <row r="1887" spans="2:34" x14ac:dyDescent="0.2">
      <c r="B1887" s="2">
        <f ca="1"/>
        <v>0.67473850334744734</v>
      </c>
      <c r="O1887" s="2">
        <f ca="1"/>
        <v>0.24957749399729035</v>
      </c>
      <c r="X1887" s="2">
        <f ca="1"/>
        <v>34.223567543196431</v>
      </c>
      <c r="AG1887" s="2">
        <f ca="1"/>
        <v>0.87830050657672154</v>
      </c>
      <c r="AH1887" s="2" t="str">
        <f ca="1"/>
        <v>Bad</v>
      </c>
    </row>
    <row r="1888" spans="2:34" x14ac:dyDescent="0.2">
      <c r="B1888" s="2">
        <f ca="1"/>
        <v>1.0260106181595008E-2</v>
      </c>
      <c r="O1888" s="2">
        <f ca="1"/>
        <v>0.52091635031731554</v>
      </c>
      <c r="X1888" s="2">
        <f ca="1"/>
        <v>46.703164844010701</v>
      </c>
      <c r="AG1888" s="2">
        <f ca="1"/>
        <v>0.32843523821987097</v>
      </c>
      <c r="AH1888" s="2" t="str">
        <f ca="1"/>
        <v>OK</v>
      </c>
    </row>
    <row r="1889" spans="2:34" x14ac:dyDescent="0.2">
      <c r="B1889" s="2">
        <f ca="1"/>
        <v>0.87893448522621309</v>
      </c>
      <c r="O1889" s="2">
        <f ca="1"/>
        <v>1.9700628776526332</v>
      </c>
      <c r="X1889" s="2">
        <f ca="1"/>
        <v>27.726665260954604</v>
      </c>
      <c r="AG1889" s="2">
        <f ca="1"/>
        <v>5.8417531161561564E-2</v>
      </c>
      <c r="AH1889" s="2" t="str">
        <f ca="1"/>
        <v>OK</v>
      </c>
    </row>
    <row r="1890" spans="2:34" x14ac:dyDescent="0.2">
      <c r="B1890" s="2">
        <f ca="1"/>
        <v>3.3966716706930411E-2</v>
      </c>
      <c r="O1890" s="2">
        <f ca="1"/>
        <v>1.3002741436710621</v>
      </c>
      <c r="X1890" s="2">
        <f ca="1"/>
        <v>44.670766059263521</v>
      </c>
      <c r="AG1890" s="2">
        <f ca="1"/>
        <v>0.14826408267146274</v>
      </c>
      <c r="AH1890" s="2" t="str">
        <f ca="1"/>
        <v>OK</v>
      </c>
    </row>
    <row r="1891" spans="2:34" x14ac:dyDescent="0.2">
      <c r="B1891" s="2">
        <f ca="1"/>
        <v>0.18739805611647742</v>
      </c>
      <c r="O1891" s="2">
        <f ca="1"/>
        <v>0.52181159402744892</v>
      </c>
      <c r="X1891" s="2">
        <f ca="1"/>
        <v>55.150595397299831</v>
      </c>
      <c r="AG1891" s="2">
        <f ca="1"/>
        <v>0.34414341432169326</v>
      </c>
      <c r="AH1891" s="2" t="str">
        <f ca="1"/>
        <v>OK</v>
      </c>
    </row>
    <row r="1892" spans="2:34" x14ac:dyDescent="0.2">
      <c r="B1892" s="2">
        <f ca="1"/>
        <v>0.83542144459137724</v>
      </c>
      <c r="O1892" s="2">
        <f ca="1"/>
        <v>-4.6481521820745011E-2</v>
      </c>
      <c r="X1892" s="2">
        <f ca="1"/>
        <v>32.132206942983544</v>
      </c>
      <c r="AG1892" s="2">
        <f ca="1"/>
        <v>0.26334174404682198</v>
      </c>
      <c r="AH1892" s="2" t="str">
        <f ca="1"/>
        <v>OK</v>
      </c>
    </row>
    <row r="1893" spans="2:34" x14ac:dyDescent="0.2">
      <c r="B1893" s="2">
        <f ca="1"/>
        <v>0.22888070964528007</v>
      </c>
      <c r="O1893" s="2">
        <f ca="1"/>
        <v>6.6580765216906557E-3</v>
      </c>
      <c r="X1893" s="2">
        <f ca="1"/>
        <v>69.655641472564852</v>
      </c>
      <c r="AG1893" s="2">
        <f ca="1"/>
        <v>0.32500888548070095</v>
      </c>
      <c r="AH1893" s="2" t="str">
        <f ca="1"/>
        <v>OK</v>
      </c>
    </row>
    <row r="1894" spans="2:34" x14ac:dyDescent="0.2">
      <c r="B1894" s="2">
        <f ca="1"/>
        <v>2.5698956329677003E-2</v>
      </c>
      <c r="O1894" s="2">
        <f ca="1"/>
        <v>0.15263609400718028</v>
      </c>
      <c r="X1894" s="2">
        <f ca="1"/>
        <v>81.876046784395427</v>
      </c>
      <c r="AG1894" s="2">
        <f ca="1"/>
        <v>0.47145508988221585</v>
      </c>
      <c r="AH1894" s="2" t="str">
        <f ca="1"/>
        <v>Bad</v>
      </c>
    </row>
    <row r="1895" spans="2:34" x14ac:dyDescent="0.2">
      <c r="B1895" s="2">
        <f ca="1"/>
        <v>0.35279867379618524</v>
      </c>
      <c r="O1895" s="2">
        <f ca="1"/>
        <v>-0.62955841035883586</v>
      </c>
      <c r="X1895" s="2">
        <f ca="1"/>
        <v>29.619339362425819</v>
      </c>
      <c r="AG1895" s="2">
        <f ca="1"/>
        <v>0.8197127097815724</v>
      </c>
      <c r="AH1895" s="2" t="str">
        <f ca="1"/>
        <v>Bad</v>
      </c>
    </row>
    <row r="1896" spans="2:34" x14ac:dyDescent="0.2">
      <c r="B1896" s="2">
        <f ca="1"/>
        <v>0.82438641571748428</v>
      </c>
      <c r="O1896" s="2">
        <f ca="1"/>
        <v>0.94789098395497184</v>
      </c>
      <c r="X1896" s="2">
        <f ca="1"/>
        <v>66.865881979185232</v>
      </c>
      <c r="AG1896" s="2">
        <f ca="1"/>
        <v>4.7093001556146152E-2</v>
      </c>
      <c r="AH1896" s="2" t="str">
        <f ca="1"/>
        <v>Good</v>
      </c>
    </row>
    <row r="1897" spans="2:34" x14ac:dyDescent="0.2">
      <c r="B1897" s="2">
        <f ca="1"/>
        <v>0.81798365912938076</v>
      </c>
      <c r="O1897" s="2">
        <f ca="1"/>
        <v>-1.5480005158421151</v>
      </c>
      <c r="X1897" s="2">
        <f ca="1"/>
        <v>43.00964475389214</v>
      </c>
      <c r="AG1897" s="2">
        <f ca="1"/>
        <v>0.95714981141913413</v>
      </c>
      <c r="AH1897" s="2" t="str">
        <f ca="1"/>
        <v>Bad</v>
      </c>
    </row>
    <row r="1898" spans="2:34" x14ac:dyDescent="0.2">
      <c r="B1898" s="2">
        <f ca="1"/>
        <v>0.84095812141325754</v>
      </c>
      <c r="O1898" s="2">
        <f ca="1"/>
        <v>-0.54642868141947243</v>
      </c>
      <c r="X1898" s="2">
        <f ca="1"/>
        <v>83.479856287964395</v>
      </c>
      <c r="AG1898" s="2">
        <f ca="1"/>
        <v>0.63073051994709917</v>
      </c>
      <c r="AH1898" s="2" t="str">
        <f ca="1"/>
        <v>Bad</v>
      </c>
    </row>
    <row r="1899" spans="2:34" x14ac:dyDescent="0.2">
      <c r="B1899" s="2">
        <f ca="1"/>
        <v>0.3001413681220213</v>
      </c>
      <c r="O1899" s="2">
        <f ca="1"/>
        <v>-1.3540477219523057</v>
      </c>
      <c r="X1899" s="2">
        <f ca="1"/>
        <v>73.591360553375182</v>
      </c>
      <c r="AG1899" s="2">
        <f ca="1"/>
        <v>0.94056818363515093</v>
      </c>
      <c r="AH1899" s="2" t="str">
        <f ca="1"/>
        <v>Bad</v>
      </c>
    </row>
    <row r="1900" spans="2:34" x14ac:dyDescent="0.2">
      <c r="B1900" s="2">
        <f ca="1"/>
        <v>0.70509347378440257</v>
      </c>
      <c r="O1900" s="2">
        <f ca="1"/>
        <v>0.60751598990286348</v>
      </c>
      <c r="X1900" s="2">
        <f ca="1"/>
        <v>52.421092398985877</v>
      </c>
      <c r="AG1900" s="2">
        <f ca="1"/>
        <v>9.9120814815362612E-2</v>
      </c>
      <c r="AH1900" s="2" t="str">
        <f ca="1"/>
        <v>OK</v>
      </c>
    </row>
    <row r="1901" spans="2:34" x14ac:dyDescent="0.2">
      <c r="B1901" s="2">
        <f ca="1"/>
        <v>0.85136196209006987</v>
      </c>
      <c r="O1901" s="2">
        <f ca="1"/>
        <v>0.95826453900923592</v>
      </c>
      <c r="X1901" s="2">
        <f ca="1"/>
        <v>35.261717087220958</v>
      </c>
      <c r="AG1901" s="2">
        <f ca="1"/>
        <v>0.64037571755598721</v>
      </c>
      <c r="AH1901" s="2" t="str">
        <f ca="1"/>
        <v>Bad</v>
      </c>
    </row>
    <row r="1902" spans="2:34" x14ac:dyDescent="0.2">
      <c r="B1902" s="2">
        <f ca="1"/>
        <v>0.19390042451759815</v>
      </c>
      <c r="O1902" s="2">
        <f ca="1"/>
        <v>-1.011757950893766</v>
      </c>
      <c r="X1902" s="2">
        <f ca="1"/>
        <v>52.650672632671828</v>
      </c>
      <c r="AG1902" s="2">
        <f ca="1"/>
        <v>0.10157074044622916</v>
      </c>
      <c r="AH1902" s="2" t="str">
        <f ca="1"/>
        <v>OK</v>
      </c>
    </row>
    <row r="1903" spans="2:34" x14ac:dyDescent="0.2">
      <c r="B1903" s="2">
        <f ca="1"/>
        <v>0.72099413448653515</v>
      </c>
      <c r="O1903" s="2">
        <f ca="1"/>
        <v>-0.67693622202479098</v>
      </c>
      <c r="X1903" s="2">
        <f ca="1"/>
        <v>75.607491941664478</v>
      </c>
      <c r="AG1903" s="2">
        <f ca="1"/>
        <v>0.77494310266660937</v>
      </c>
      <c r="AH1903" s="2" t="str">
        <f ca="1"/>
        <v>Bad</v>
      </c>
    </row>
    <row r="1904" spans="2:34" x14ac:dyDescent="0.2">
      <c r="B1904" s="2">
        <f ca="1"/>
        <v>0.14204690417376664</v>
      </c>
      <c r="O1904" s="2">
        <f ca="1"/>
        <v>-1.1457362275473033</v>
      </c>
      <c r="X1904" s="2">
        <f ca="1"/>
        <v>49.55991524470668</v>
      </c>
      <c r="AG1904" s="2">
        <f ca="1"/>
        <v>2.2836175848746088E-3</v>
      </c>
      <c r="AH1904" s="2" t="str">
        <f ca="1"/>
        <v>Good</v>
      </c>
    </row>
    <row r="1905" spans="2:34" x14ac:dyDescent="0.2">
      <c r="B1905" s="2">
        <f ca="1"/>
        <v>0.56602576401740357</v>
      </c>
      <c r="O1905" s="2">
        <f ca="1"/>
        <v>0.18802703197427256</v>
      </c>
      <c r="X1905" s="2">
        <f ca="1"/>
        <v>38.425746951363863</v>
      </c>
      <c r="AG1905" s="2">
        <f ca="1"/>
        <v>0.14081112925098882</v>
      </c>
      <c r="AH1905" s="2" t="str">
        <f ca="1"/>
        <v>OK</v>
      </c>
    </row>
    <row r="1906" spans="2:34" x14ac:dyDescent="0.2">
      <c r="B1906" s="2">
        <f ca="1"/>
        <v>0.45688154966324879</v>
      </c>
      <c r="O1906" s="2">
        <f ca="1"/>
        <v>-0.45914667632882056</v>
      </c>
      <c r="X1906" s="2">
        <f ca="1"/>
        <v>63.167880374090132</v>
      </c>
      <c r="AG1906" s="2">
        <f ca="1"/>
        <v>0.17450853423345913</v>
      </c>
      <c r="AH1906" s="2" t="str">
        <f ca="1"/>
        <v>OK</v>
      </c>
    </row>
    <row r="1907" spans="2:34" x14ac:dyDescent="0.2">
      <c r="B1907" s="2">
        <f ca="1"/>
        <v>0.92741599439035327</v>
      </c>
      <c r="O1907" s="2">
        <f ca="1"/>
        <v>-0.65338334273799892</v>
      </c>
      <c r="X1907" s="2">
        <f ca="1"/>
        <v>36.99065470607075</v>
      </c>
      <c r="AG1907" s="2">
        <f ca="1"/>
        <v>0.48462150480239163</v>
      </c>
      <c r="AH1907" s="2" t="str">
        <f ca="1"/>
        <v>Bad</v>
      </c>
    </row>
    <row r="1908" spans="2:34" x14ac:dyDescent="0.2">
      <c r="B1908" s="2">
        <f ca="1"/>
        <v>3.3466655041562987E-3</v>
      </c>
      <c r="O1908" s="2">
        <f ca="1"/>
        <v>-1.5041328231240021</v>
      </c>
      <c r="X1908" s="2">
        <f ca="1"/>
        <v>88.51191772971265</v>
      </c>
      <c r="AG1908" s="2">
        <f ca="1"/>
        <v>0.42672672863113426</v>
      </c>
      <c r="AH1908" s="2" t="str">
        <f ca="1"/>
        <v>Bad</v>
      </c>
    </row>
    <row r="1909" spans="2:34" x14ac:dyDescent="0.2">
      <c r="B1909" s="2">
        <f ca="1"/>
        <v>9.5563227069682011E-2</v>
      </c>
      <c r="O1909" s="2">
        <f ca="1"/>
        <v>-1.0402718283023233E-2</v>
      </c>
      <c r="X1909" s="2">
        <f ca="1"/>
        <v>55.138950896717454</v>
      </c>
      <c r="AG1909" s="2">
        <f ca="1"/>
        <v>0.20760094643720572</v>
      </c>
      <c r="AH1909" s="2" t="str">
        <f ca="1"/>
        <v>OK</v>
      </c>
    </row>
    <row r="1910" spans="2:34" x14ac:dyDescent="0.2">
      <c r="B1910" s="2">
        <f ca="1"/>
        <v>0.47023431973083962</v>
      </c>
      <c r="O1910" s="2">
        <f ca="1"/>
        <v>8.6957731386739248E-2</v>
      </c>
      <c r="X1910" s="2">
        <f ca="1"/>
        <v>34.030972121865105</v>
      </c>
      <c r="AG1910" s="2">
        <f ca="1"/>
        <v>0.98943947116922359</v>
      </c>
      <c r="AH1910" s="2" t="str">
        <f ca="1"/>
        <v>Bad</v>
      </c>
    </row>
    <row r="1911" spans="2:34" x14ac:dyDescent="0.2">
      <c r="B1911" s="2">
        <f ca="1"/>
        <v>3.951792016504041E-2</v>
      </c>
      <c r="O1911" s="2">
        <f ca="1"/>
        <v>1.3409416897977491</v>
      </c>
      <c r="X1911" s="2">
        <f ca="1"/>
        <v>90.024011030117776</v>
      </c>
      <c r="AG1911" s="2">
        <f ca="1"/>
        <v>0.71725458965909827</v>
      </c>
      <c r="AH1911" s="2" t="str">
        <f ca="1"/>
        <v>Bad</v>
      </c>
    </row>
    <row r="1912" spans="2:34" x14ac:dyDescent="0.2">
      <c r="B1912" s="2">
        <f ca="1"/>
        <v>0.44746907051337104</v>
      </c>
      <c r="O1912" s="2">
        <f ca="1"/>
        <v>0.10839703760428702</v>
      </c>
      <c r="X1912" s="2">
        <f ca="1"/>
        <v>53.023947883265059</v>
      </c>
      <c r="AG1912" s="2">
        <f ca="1"/>
        <v>0.56203217472308298</v>
      </c>
      <c r="AH1912" s="2" t="str">
        <f ca="1"/>
        <v>Bad</v>
      </c>
    </row>
    <row r="1913" spans="2:34" x14ac:dyDescent="0.2">
      <c r="B1913" s="2">
        <f ca="1"/>
        <v>0.34755945437767766</v>
      </c>
      <c r="O1913" s="2">
        <f ca="1"/>
        <v>4.4806927469797996E-2</v>
      </c>
      <c r="X1913" s="2">
        <f ca="1"/>
        <v>40.759244358470362</v>
      </c>
      <c r="AG1913" s="2">
        <f ca="1"/>
        <v>0.53219218193348072</v>
      </c>
      <c r="AH1913" s="2" t="str">
        <f ca="1"/>
        <v>Bad</v>
      </c>
    </row>
    <row r="1914" spans="2:34" x14ac:dyDescent="0.2">
      <c r="B1914" s="2">
        <f ca="1"/>
        <v>0.58547093805817041</v>
      </c>
      <c r="O1914" s="2">
        <f ca="1"/>
        <v>0.68185244046578852</v>
      </c>
      <c r="X1914" s="2">
        <f ca="1"/>
        <v>31.88465252964545</v>
      </c>
      <c r="AG1914" s="2">
        <f ca="1"/>
        <v>7.7448791013959406E-2</v>
      </c>
      <c r="AH1914" s="2" t="str">
        <f ca="1"/>
        <v>OK</v>
      </c>
    </row>
    <row r="1915" spans="2:34" x14ac:dyDescent="0.2">
      <c r="B1915" s="2">
        <f ca="1"/>
        <v>0.11287399527542119</v>
      </c>
      <c r="O1915" s="2">
        <f ca="1"/>
        <v>1.6523878822329716</v>
      </c>
      <c r="X1915" s="2">
        <f ca="1"/>
        <v>40.77467578874117</v>
      </c>
      <c r="AG1915" s="2">
        <f ca="1"/>
        <v>0.19864253143159472</v>
      </c>
      <c r="AH1915" s="2" t="str">
        <f ca="1"/>
        <v>OK</v>
      </c>
    </row>
    <row r="1916" spans="2:34" x14ac:dyDescent="0.2">
      <c r="B1916" s="2">
        <f ca="1"/>
        <v>0.50729483337092462</v>
      </c>
      <c r="O1916" s="2">
        <f ca="1"/>
        <v>1.4615211110047239</v>
      </c>
      <c r="X1916" s="2">
        <f ca="1"/>
        <v>58.50055513141708</v>
      </c>
      <c r="AG1916" s="2">
        <f ca="1"/>
        <v>4.2866173725266909E-2</v>
      </c>
      <c r="AH1916" s="2" t="str">
        <f ca="1"/>
        <v>Good</v>
      </c>
    </row>
    <row r="1917" spans="2:34" x14ac:dyDescent="0.2">
      <c r="B1917" s="2">
        <f ca="1"/>
        <v>0.23509602794083428</v>
      </c>
      <c r="O1917" s="2">
        <f ca="1"/>
        <v>-0.18477385974488228</v>
      </c>
      <c r="X1917" s="2">
        <f ca="1"/>
        <v>25.567953413516101</v>
      </c>
      <c r="AG1917" s="2">
        <f ca="1"/>
        <v>0.31435220305203515</v>
      </c>
      <c r="AH1917" s="2" t="str">
        <f ca="1"/>
        <v>OK</v>
      </c>
    </row>
    <row r="1918" spans="2:34" x14ac:dyDescent="0.2">
      <c r="B1918" s="2">
        <f ca="1"/>
        <v>0.62715589308670605</v>
      </c>
      <c r="O1918" s="2">
        <f ca="1"/>
        <v>-0.16072506736472925</v>
      </c>
      <c r="X1918" s="2">
        <f ca="1"/>
        <v>41.286356889951826</v>
      </c>
      <c r="AG1918" s="2">
        <f ca="1"/>
        <v>0.6515304626666103</v>
      </c>
      <c r="AH1918" s="2" t="str">
        <f ca="1"/>
        <v>Bad</v>
      </c>
    </row>
    <row r="1919" spans="2:34" x14ac:dyDescent="0.2">
      <c r="B1919" s="2">
        <f ca="1"/>
        <v>0.65491992120447207</v>
      </c>
      <c r="O1919" s="2">
        <f ca="1"/>
        <v>0.44926077611683024</v>
      </c>
      <c r="X1919" s="2">
        <f ca="1"/>
        <v>68.156775327929168</v>
      </c>
      <c r="AG1919" s="2">
        <f ca="1"/>
        <v>0.57380480523155297</v>
      </c>
      <c r="AH1919" s="2" t="str">
        <f ca="1"/>
        <v>Bad</v>
      </c>
    </row>
    <row r="1920" spans="2:34" x14ac:dyDescent="0.2">
      <c r="B1920" s="2">
        <f ca="1"/>
        <v>0.3158198929034628</v>
      </c>
      <c r="O1920" s="2">
        <f ca="1"/>
        <v>-1.7665833935669384</v>
      </c>
      <c r="X1920" s="2">
        <f ca="1"/>
        <v>32.000966584041343</v>
      </c>
      <c r="AG1920" s="2">
        <f ca="1"/>
        <v>0.71180882295446968</v>
      </c>
      <c r="AH1920" s="2" t="str">
        <f ca="1"/>
        <v>Bad</v>
      </c>
    </row>
    <row r="1921" spans="2:34" x14ac:dyDescent="0.2">
      <c r="B1921" s="2">
        <f ca="1"/>
        <v>0.89311744338340171</v>
      </c>
      <c r="O1921" s="2">
        <f ca="1"/>
        <v>1.314602414316745</v>
      </c>
      <c r="X1921" s="2">
        <f ca="1"/>
        <v>50.342823971722332</v>
      </c>
      <c r="AG1921" s="2">
        <f ca="1"/>
        <v>0.64819159791695902</v>
      </c>
      <c r="AH1921" s="2" t="str">
        <f ca="1"/>
        <v>Bad</v>
      </c>
    </row>
    <row r="1922" spans="2:34" x14ac:dyDescent="0.2">
      <c r="B1922" s="2">
        <f ca="1"/>
        <v>0.12336205067897943</v>
      </c>
      <c r="O1922" s="2">
        <f ca="1"/>
        <v>-0.47055968631457568</v>
      </c>
      <c r="X1922" s="2">
        <f ca="1"/>
        <v>50.625513794969031</v>
      </c>
      <c r="AG1922" s="2">
        <f ca="1"/>
        <v>0.59097683904254339</v>
      </c>
      <c r="AH1922" s="2" t="str">
        <f ca="1"/>
        <v>Bad</v>
      </c>
    </row>
    <row r="1923" spans="2:34" x14ac:dyDescent="0.2">
      <c r="B1923" s="2">
        <f ca="1"/>
        <v>0.53390629637489773</v>
      </c>
      <c r="O1923" s="2">
        <f ca="1"/>
        <v>-0.69291677062918355</v>
      </c>
      <c r="X1923" s="2">
        <f ca="1"/>
        <v>41.117729389994587</v>
      </c>
      <c r="AG1923" s="2">
        <f ca="1"/>
        <v>0.67446047962846478</v>
      </c>
      <c r="AH1923" s="2" t="str">
        <f ca="1"/>
        <v>Bad</v>
      </c>
    </row>
    <row r="1924" spans="2:34" x14ac:dyDescent="0.2">
      <c r="B1924" s="2">
        <f ca="1"/>
        <v>0.5766818403349121</v>
      </c>
      <c r="O1924" s="2">
        <f ca="1"/>
        <v>0.5395328082933073</v>
      </c>
      <c r="X1924" s="2">
        <f ca="1"/>
        <v>45.002889500118087</v>
      </c>
      <c r="AG1924" s="2">
        <f ca="1"/>
        <v>0.17541995772570362</v>
      </c>
      <c r="AH1924" s="2" t="str">
        <f ca="1"/>
        <v>OK</v>
      </c>
    </row>
    <row r="1925" spans="2:34" x14ac:dyDescent="0.2">
      <c r="B1925" s="2">
        <f ca="1"/>
        <v>0.11739559371625452</v>
      </c>
      <c r="O1925" s="2">
        <f ca="1"/>
        <v>1.2675359991745421</v>
      </c>
      <c r="X1925" s="2">
        <f ca="1"/>
        <v>80.256213053667111</v>
      </c>
      <c r="AG1925" s="2">
        <f ca="1"/>
        <v>0.6781813072472096</v>
      </c>
      <c r="AH1925" s="2" t="str">
        <f ca="1"/>
        <v>Bad</v>
      </c>
    </row>
    <row r="1926" spans="2:34" x14ac:dyDescent="0.2">
      <c r="B1926" s="2">
        <f ca="1"/>
        <v>0.32628745455524388</v>
      </c>
      <c r="O1926" s="2">
        <f ca="1"/>
        <v>-2.4276166832449158</v>
      </c>
      <c r="X1926" s="2">
        <f ca="1"/>
        <v>51.262873252517814</v>
      </c>
      <c r="AG1926" s="2">
        <f ca="1"/>
        <v>0.18180455724013145</v>
      </c>
      <c r="AH1926" s="2" t="str">
        <f ca="1"/>
        <v>OK</v>
      </c>
    </row>
    <row r="1927" spans="2:34" x14ac:dyDescent="0.2">
      <c r="B1927" s="2">
        <f ca="1"/>
        <v>0.27753591470987327</v>
      </c>
      <c r="O1927" s="2">
        <f ca="1"/>
        <v>0.1990579818151357</v>
      </c>
      <c r="X1927" s="2">
        <f ca="1"/>
        <v>33.268444392275455</v>
      </c>
      <c r="AG1927" s="2">
        <f ca="1"/>
        <v>0.40460399251905699</v>
      </c>
      <c r="AH1927" s="2" t="str">
        <f ca="1"/>
        <v>Bad</v>
      </c>
    </row>
    <row r="1928" spans="2:34" x14ac:dyDescent="0.2">
      <c r="B1928" s="2">
        <f ca="1"/>
        <v>0.53459691127486253</v>
      </c>
      <c r="O1928" s="2">
        <f ca="1"/>
        <v>1.3702644042760019</v>
      </c>
      <c r="X1928" s="2">
        <f ca="1"/>
        <v>37.659639911986936</v>
      </c>
      <c r="AG1928" s="2">
        <f ca="1"/>
        <v>0.78574917483381923</v>
      </c>
      <c r="AH1928" s="2" t="str">
        <f ca="1"/>
        <v>Bad</v>
      </c>
    </row>
    <row r="1929" spans="2:34" x14ac:dyDescent="0.2">
      <c r="B1929" s="2">
        <f ca="1"/>
        <v>0.58001710493047431</v>
      </c>
      <c r="O1929" s="2">
        <f ca="1"/>
        <v>-2.3285585847855104</v>
      </c>
      <c r="X1929" s="2">
        <f ca="1"/>
        <v>62.272544384207066</v>
      </c>
      <c r="AG1929" s="2">
        <f ca="1"/>
        <v>0.12811149285521917</v>
      </c>
      <c r="AH1929" s="2" t="str">
        <f ca="1"/>
        <v>OK</v>
      </c>
    </row>
    <row r="1930" spans="2:34" x14ac:dyDescent="0.2">
      <c r="B1930" s="2">
        <f ca="1"/>
        <v>0.78610577890517863</v>
      </c>
      <c r="O1930" s="2">
        <f ca="1"/>
        <v>0.56234483433958571</v>
      </c>
      <c r="X1930" s="2">
        <f ca="1"/>
        <v>49.26307579203332</v>
      </c>
      <c r="AG1930" s="2">
        <f ca="1"/>
        <v>0.66415231714997147</v>
      </c>
      <c r="AH1930" s="2" t="str">
        <f ca="1"/>
        <v>Bad</v>
      </c>
    </row>
    <row r="1931" spans="2:34" x14ac:dyDescent="0.2">
      <c r="B1931" s="2">
        <f ca="1"/>
        <v>0.79137170517590416</v>
      </c>
      <c r="O1931" s="2">
        <f ca="1"/>
        <v>0.6526547201581312</v>
      </c>
      <c r="X1931" s="2">
        <f ca="1"/>
        <v>44.330536957148752</v>
      </c>
      <c r="AG1931" s="2">
        <f ca="1"/>
        <v>0.51819062085330136</v>
      </c>
      <c r="AH1931" s="2" t="str">
        <f ca="1"/>
        <v>Bad</v>
      </c>
    </row>
    <row r="1932" spans="2:34" x14ac:dyDescent="0.2">
      <c r="B1932" s="2">
        <f ca="1"/>
        <v>0.40430271008765484</v>
      </c>
      <c r="O1932" s="2">
        <f ca="1"/>
        <v>6.1197602664428107E-2</v>
      </c>
      <c r="X1932" s="2">
        <f ca="1"/>
        <v>67.94147109071379</v>
      </c>
      <c r="AG1932" s="2">
        <f ca="1"/>
        <v>0.1634195928299349</v>
      </c>
      <c r="AH1932" s="2" t="str">
        <f ca="1"/>
        <v>OK</v>
      </c>
    </row>
    <row r="1933" spans="2:34" x14ac:dyDescent="0.2">
      <c r="B1933" s="2">
        <f ca="1"/>
        <v>1.3126997965581255E-2</v>
      </c>
      <c r="O1933" s="2">
        <f ca="1"/>
        <v>0.83488908408124607</v>
      </c>
      <c r="X1933" s="2">
        <f ca="1"/>
        <v>48.924464891422161</v>
      </c>
      <c r="AG1933" s="2">
        <f ca="1"/>
        <v>6.0488787588093063E-2</v>
      </c>
      <c r="AH1933" s="2" t="str">
        <f ca="1"/>
        <v>OK</v>
      </c>
    </row>
    <row r="1934" spans="2:34" x14ac:dyDescent="0.2">
      <c r="B1934" s="2">
        <f ca="1"/>
        <v>0.99820920786704814</v>
      </c>
      <c r="O1934" s="2">
        <f ca="1"/>
        <v>1.1044582658353432</v>
      </c>
      <c r="X1934" s="2">
        <f ca="1"/>
        <v>32.428039926784102</v>
      </c>
      <c r="AG1934" s="2">
        <f ca="1"/>
        <v>0.23954747274381472</v>
      </c>
      <c r="AH1934" s="2" t="str">
        <f ca="1"/>
        <v>OK</v>
      </c>
    </row>
    <row r="1935" spans="2:34" x14ac:dyDescent="0.2">
      <c r="B1935" s="2">
        <f ca="1"/>
        <v>0.50467512806676473</v>
      </c>
      <c r="O1935" s="2">
        <f ca="1"/>
        <v>-2.3542953553584329</v>
      </c>
      <c r="X1935" s="2">
        <f ca="1"/>
        <v>27.803038365643744</v>
      </c>
      <c r="AG1935" s="2">
        <f ca="1"/>
        <v>0.62148011720224261</v>
      </c>
      <c r="AH1935" s="2" t="str">
        <f ca="1"/>
        <v>Bad</v>
      </c>
    </row>
    <row r="1936" spans="2:34" x14ac:dyDescent="0.2">
      <c r="B1936" s="2">
        <f ca="1"/>
        <v>0.52684567242579239</v>
      </c>
      <c r="O1936" s="2">
        <f ca="1"/>
        <v>-0.84782507248975736</v>
      </c>
      <c r="X1936" s="2">
        <f ca="1"/>
        <v>23.237919532024208</v>
      </c>
      <c r="AG1936" s="2">
        <f ca="1"/>
        <v>0.5065970675666247</v>
      </c>
      <c r="AH1936" s="2" t="str">
        <f ca="1"/>
        <v>Bad</v>
      </c>
    </row>
    <row r="1937" spans="2:34" x14ac:dyDescent="0.2">
      <c r="B1937" s="2">
        <f ca="1"/>
        <v>0.10645305523701865</v>
      </c>
      <c r="O1937" s="2">
        <f ca="1"/>
        <v>-0.64971100457810427</v>
      </c>
      <c r="X1937" s="2">
        <f ca="1"/>
        <v>19.392217826365371</v>
      </c>
      <c r="AG1937" s="2">
        <f ca="1"/>
        <v>0.17168815597311426</v>
      </c>
      <c r="AH1937" s="2" t="str">
        <f ca="1"/>
        <v>OK</v>
      </c>
    </row>
    <row r="1938" spans="2:34" x14ac:dyDescent="0.2">
      <c r="B1938" s="2">
        <f ca="1"/>
        <v>0.4342103083969</v>
      </c>
      <c r="O1938" s="2">
        <f ca="1"/>
        <v>1.0563550243274358</v>
      </c>
      <c r="X1938" s="2">
        <f ca="1"/>
        <v>53.533425224053431</v>
      </c>
      <c r="AG1938" s="2">
        <f ca="1"/>
        <v>0.38154248218489628</v>
      </c>
      <c r="AH1938" s="2" t="str">
        <f ca="1"/>
        <v>OK</v>
      </c>
    </row>
    <row r="1939" spans="2:34" x14ac:dyDescent="0.2">
      <c r="B1939" s="2">
        <f ca="1"/>
        <v>0.56272782849604974</v>
      </c>
      <c r="O1939" s="2">
        <f ca="1"/>
        <v>0.23456409928979982</v>
      </c>
      <c r="X1939" s="2">
        <f ca="1"/>
        <v>58.530103628790108</v>
      </c>
      <c r="AG1939" s="2">
        <f ca="1"/>
        <v>3.4386420648457872E-3</v>
      </c>
      <c r="AH1939" s="2" t="str">
        <f ca="1"/>
        <v>Good</v>
      </c>
    </row>
    <row r="1940" spans="2:34" x14ac:dyDescent="0.2">
      <c r="B1940" s="2">
        <f ca="1"/>
        <v>0.74021086339199726</v>
      </c>
      <c r="O1940" s="2">
        <f ca="1"/>
        <v>1.5661750902534863</v>
      </c>
      <c r="X1940" s="2">
        <f ca="1"/>
        <v>48.291476262655863</v>
      </c>
      <c r="AG1940" s="2">
        <f ca="1"/>
        <v>0.71826550809567302</v>
      </c>
      <c r="AH1940" s="2" t="str">
        <f ca="1"/>
        <v>Bad</v>
      </c>
    </row>
    <row r="1941" spans="2:34" x14ac:dyDescent="0.2">
      <c r="B1941" s="2">
        <f ca="1"/>
        <v>0.28555377560056505</v>
      </c>
      <c r="O1941" s="2">
        <f ca="1"/>
        <v>0.8277977643730734</v>
      </c>
      <c r="X1941" s="2">
        <f ca="1"/>
        <v>41.777718185083287</v>
      </c>
      <c r="AG1941" s="2">
        <f ca="1"/>
        <v>0.39797794392552888</v>
      </c>
      <c r="AH1941" s="2" t="str">
        <f ca="1"/>
        <v>OK</v>
      </c>
    </row>
    <row r="1942" spans="2:34" x14ac:dyDescent="0.2">
      <c r="B1942" s="2">
        <f ca="1"/>
        <v>0.88626462536946082</v>
      </c>
      <c r="O1942" s="2">
        <f ca="1"/>
        <v>0.23831307365751536</v>
      </c>
      <c r="X1942" s="2">
        <f ca="1"/>
        <v>69.53299148381231</v>
      </c>
      <c r="AG1942" s="2">
        <f ca="1"/>
        <v>0.87093338867767534</v>
      </c>
      <c r="AH1942" s="2" t="str">
        <f ca="1"/>
        <v>Bad</v>
      </c>
    </row>
    <row r="1943" spans="2:34" x14ac:dyDescent="0.2">
      <c r="B1943" s="2">
        <f ca="1"/>
        <v>0.78635381985168573</v>
      </c>
      <c r="O1943" s="2">
        <f ca="1"/>
        <v>-0.20208970543977545</v>
      </c>
      <c r="X1943" s="2">
        <f ca="1"/>
        <v>36.959341940761135</v>
      </c>
      <c r="AG1943" s="2">
        <f ca="1"/>
        <v>0.6731202123301927</v>
      </c>
      <c r="AH1943" s="2" t="str">
        <f ca="1"/>
        <v>Bad</v>
      </c>
    </row>
    <row r="1944" spans="2:34" x14ac:dyDescent="0.2">
      <c r="B1944" s="2">
        <f ca="1"/>
        <v>2.7233771581205213E-2</v>
      </c>
      <c r="O1944" s="2">
        <f ca="1"/>
        <v>-0.32674842742566146</v>
      </c>
      <c r="X1944" s="2">
        <f ca="1"/>
        <v>73.698511145084481</v>
      </c>
      <c r="AG1944" s="2">
        <f ca="1"/>
        <v>4.0101929952966797E-2</v>
      </c>
      <c r="AH1944" s="2" t="str">
        <f ca="1"/>
        <v>Good</v>
      </c>
    </row>
    <row r="1945" spans="2:34" x14ac:dyDescent="0.2">
      <c r="B1945" s="2">
        <f ca="1"/>
        <v>0.67504676593600088</v>
      </c>
      <c r="O1945" s="2">
        <f ca="1"/>
        <v>0.95563965181969124</v>
      </c>
      <c r="X1945" s="2">
        <f ca="1"/>
        <v>45.870939783271282</v>
      </c>
      <c r="AG1945" s="2">
        <f ca="1"/>
        <v>0.75204672587505317</v>
      </c>
      <c r="AH1945" s="2" t="str">
        <f ca="1"/>
        <v>Bad</v>
      </c>
    </row>
    <row r="1946" spans="2:34" x14ac:dyDescent="0.2">
      <c r="B1946" s="2">
        <f ca="1"/>
        <v>0.23817237537695002</v>
      </c>
      <c r="O1946" s="2">
        <f ca="1"/>
        <v>-0.20779731296941073</v>
      </c>
      <c r="X1946" s="2">
        <f ca="1"/>
        <v>87.07607032178862</v>
      </c>
      <c r="AG1946" s="2">
        <f ca="1"/>
        <v>0.21771736653861118</v>
      </c>
      <c r="AH1946" s="2" t="str">
        <f ca="1"/>
        <v>OK</v>
      </c>
    </row>
    <row r="1947" spans="2:34" x14ac:dyDescent="0.2">
      <c r="B1947" s="2">
        <f ca="1"/>
        <v>0.85717901112602379</v>
      </c>
      <c r="O1947" s="2">
        <f ca="1"/>
        <v>0.9302737325472874</v>
      </c>
      <c r="X1947" s="2">
        <f ca="1"/>
        <v>40.825374270142248</v>
      </c>
      <c r="AG1947" s="2">
        <f ca="1"/>
        <v>0.30333440972860259</v>
      </c>
      <c r="AH1947" s="2" t="str">
        <f ca="1"/>
        <v>OK</v>
      </c>
    </row>
    <row r="1948" spans="2:34" x14ac:dyDescent="0.2">
      <c r="B1948" s="2">
        <f ca="1"/>
        <v>0.91267745031163283</v>
      </c>
      <c r="O1948" s="2">
        <f ca="1"/>
        <v>0.48105959454274833</v>
      </c>
      <c r="X1948" s="2">
        <f ca="1"/>
        <v>41.260677388363064</v>
      </c>
      <c r="AG1948" s="2">
        <f ca="1"/>
        <v>9.3246754952502897E-3</v>
      </c>
      <c r="AH1948" s="2" t="str">
        <f ca="1"/>
        <v>Good</v>
      </c>
    </row>
    <row r="1949" spans="2:34" x14ac:dyDescent="0.2">
      <c r="B1949" s="2">
        <f ca="1"/>
        <v>0.40076898862525456</v>
      </c>
      <c r="O1949" s="2">
        <f ca="1"/>
        <v>0.10241198018549239</v>
      </c>
      <c r="X1949" s="2">
        <f ca="1"/>
        <v>38.559847497747789</v>
      </c>
      <c r="AG1949" s="2">
        <f ca="1"/>
        <v>0.88849665338705708</v>
      </c>
      <c r="AH1949" s="2" t="str">
        <f ca="1"/>
        <v>Bad</v>
      </c>
    </row>
    <row r="1950" spans="2:34" x14ac:dyDescent="0.2">
      <c r="B1950" s="2">
        <f ca="1"/>
        <v>0.40675200715914395</v>
      </c>
      <c r="O1950" s="2">
        <f ca="1"/>
        <v>0.15856369656431177</v>
      </c>
      <c r="X1950" s="2">
        <f ca="1"/>
        <v>48.102737020797399</v>
      </c>
      <c r="AG1950" s="2">
        <f ca="1"/>
        <v>0.59644222205603414</v>
      </c>
      <c r="AH1950" s="2" t="str">
        <f ca="1"/>
        <v>Bad</v>
      </c>
    </row>
    <row r="1951" spans="2:34" x14ac:dyDescent="0.2">
      <c r="B1951" s="2">
        <f ca="1"/>
        <v>0.20226214391064601</v>
      </c>
      <c r="O1951" s="2">
        <f ca="1"/>
        <v>1.091202668210409</v>
      </c>
      <c r="X1951" s="2">
        <f ca="1"/>
        <v>32.732316168331984</v>
      </c>
      <c r="AG1951" s="2">
        <f ca="1"/>
        <v>0.2801424079835515</v>
      </c>
      <c r="AH1951" s="2" t="str">
        <f ca="1"/>
        <v>OK</v>
      </c>
    </row>
    <row r="1952" spans="2:34" x14ac:dyDescent="0.2">
      <c r="B1952" s="2">
        <f ca="1"/>
        <v>0.94150597782889767</v>
      </c>
      <c r="O1952" s="2">
        <f ca="1"/>
        <v>-1.3759244727899265</v>
      </c>
      <c r="X1952" s="2">
        <f ca="1"/>
        <v>59.199597092969782</v>
      </c>
      <c r="AG1952" s="2">
        <f ca="1"/>
        <v>4.1548796821972989E-2</v>
      </c>
      <c r="AH1952" s="2" t="str">
        <f ca="1"/>
        <v>Good</v>
      </c>
    </row>
    <row r="1953" spans="2:34" x14ac:dyDescent="0.2">
      <c r="B1953" s="2">
        <f ca="1"/>
        <v>0.63056579613283548</v>
      </c>
      <c r="O1953" s="2">
        <f ca="1"/>
        <v>-0.51042912625663006</v>
      </c>
      <c r="X1953" s="2">
        <f ca="1"/>
        <v>82.354218358191048</v>
      </c>
      <c r="AG1953" s="2">
        <f ca="1"/>
        <v>0.39996197775189968</v>
      </c>
      <c r="AH1953" s="2" t="str">
        <f ca="1"/>
        <v>OK</v>
      </c>
    </row>
    <row r="1954" spans="2:34" x14ac:dyDescent="0.2">
      <c r="B1954" s="2">
        <f ca="1"/>
        <v>0.71727239397448028</v>
      </c>
      <c r="O1954" s="2">
        <f ca="1"/>
        <v>7.9594502472987369E-2</v>
      </c>
      <c r="X1954" s="2">
        <f ca="1"/>
        <v>46.176394416618074</v>
      </c>
      <c r="AG1954" s="2">
        <f ca="1"/>
        <v>0.60271095778835337</v>
      </c>
      <c r="AH1954" s="2" t="str">
        <f ca="1"/>
        <v>Bad</v>
      </c>
    </row>
    <row r="1955" spans="2:34" x14ac:dyDescent="0.2">
      <c r="B1955" s="2">
        <f ca="1"/>
        <v>0.3644648701882871</v>
      </c>
      <c r="O1955" s="2">
        <f ca="1"/>
        <v>1.3297728373482935</v>
      </c>
      <c r="X1955" s="2">
        <f ca="1"/>
        <v>28.404774439474526</v>
      </c>
      <c r="AG1955" s="2">
        <f ca="1"/>
        <v>0.69906094055613743</v>
      </c>
      <c r="AH1955" s="2" t="str">
        <f ca="1"/>
        <v>Bad</v>
      </c>
    </row>
    <row r="1956" spans="2:34" x14ac:dyDescent="0.2">
      <c r="B1956" s="2">
        <f ca="1"/>
        <v>1.372848446048569E-2</v>
      </c>
      <c r="O1956" s="2">
        <f ca="1"/>
        <v>1.5130078115892718</v>
      </c>
      <c r="X1956" s="2">
        <f ca="1"/>
        <v>30.934140078227699</v>
      </c>
      <c r="AG1956" s="2">
        <f ca="1"/>
        <v>0.41359787738634246</v>
      </c>
      <c r="AH1956" s="2" t="str">
        <f ca="1"/>
        <v>Bad</v>
      </c>
    </row>
    <row r="1957" spans="2:34" x14ac:dyDescent="0.2">
      <c r="B1957" s="2">
        <f ca="1"/>
        <v>0.5517863705255428</v>
      </c>
      <c r="O1957" s="2">
        <f ca="1"/>
        <v>0.69988695052251237</v>
      </c>
      <c r="X1957" s="2">
        <f ca="1"/>
        <v>49.306964579953302</v>
      </c>
      <c r="AG1957" s="2">
        <f ca="1"/>
        <v>0.46406287455506101</v>
      </c>
      <c r="AH1957" s="2" t="str">
        <f ca="1"/>
        <v>Bad</v>
      </c>
    </row>
    <row r="1958" spans="2:34" x14ac:dyDescent="0.2">
      <c r="B1958" s="2">
        <f ca="1"/>
        <v>0.40264780937684908</v>
      </c>
      <c r="O1958" s="2">
        <f ca="1"/>
        <v>0.41746673237035359</v>
      </c>
      <c r="X1958" s="2">
        <f ca="1"/>
        <v>58.828665861042928</v>
      </c>
      <c r="AG1958" s="2">
        <f ca="1"/>
        <v>0.11645174430165461</v>
      </c>
      <c r="AH1958" s="2" t="str">
        <f ca="1"/>
        <v>OK</v>
      </c>
    </row>
    <row r="1959" spans="2:34" x14ac:dyDescent="0.2">
      <c r="B1959" s="2">
        <f ca="1"/>
        <v>6.7474031579194182E-2</v>
      </c>
      <c r="O1959" s="2">
        <f ca="1"/>
        <v>1.4754704293865453</v>
      </c>
      <c r="X1959" s="2">
        <f ca="1"/>
        <v>73.183223977971522</v>
      </c>
      <c r="AG1959" s="2">
        <f ca="1"/>
        <v>0.76236417851919502</v>
      </c>
      <c r="AH1959" s="2" t="str">
        <f ca="1"/>
        <v>Bad</v>
      </c>
    </row>
    <row r="1960" spans="2:34" x14ac:dyDescent="0.2">
      <c r="B1960" s="2">
        <f ca="1"/>
        <v>0.82777262033598542</v>
      </c>
      <c r="O1960" s="2">
        <f ca="1"/>
        <v>0.1333904822369546</v>
      </c>
      <c r="X1960" s="2">
        <f ca="1"/>
        <v>53.599325893948361</v>
      </c>
      <c r="AG1960" s="2">
        <f ca="1"/>
        <v>0.74796445483268337</v>
      </c>
      <c r="AH1960" s="2" t="str">
        <f ca="1"/>
        <v>Bad</v>
      </c>
    </row>
    <row r="1961" spans="2:34" x14ac:dyDescent="0.2">
      <c r="B1961" s="2">
        <f ca="1"/>
        <v>0.24311238441733796</v>
      </c>
      <c r="O1961" s="2">
        <f ca="1"/>
        <v>1.3152259540741276</v>
      </c>
      <c r="X1961" s="2">
        <f ca="1"/>
        <v>40.487221585979121</v>
      </c>
      <c r="AG1961" s="2">
        <f ca="1"/>
        <v>0.50794781317913151</v>
      </c>
      <c r="AH1961" s="2" t="str">
        <f ca="1"/>
        <v>Bad</v>
      </c>
    </row>
    <row r="1962" spans="2:34" x14ac:dyDescent="0.2">
      <c r="B1962" s="2">
        <f ca="1"/>
        <v>0.876483784306197</v>
      </c>
      <c r="O1962" s="2">
        <f ca="1"/>
        <v>-0.97997498565291208</v>
      </c>
      <c r="X1962" s="2">
        <f ca="1"/>
        <v>48.550844485745415</v>
      </c>
      <c r="AG1962" s="2">
        <f ca="1"/>
        <v>0.32315891907165906</v>
      </c>
      <c r="AH1962" s="2" t="str">
        <f ca="1"/>
        <v>OK</v>
      </c>
    </row>
    <row r="1963" spans="2:34" x14ac:dyDescent="0.2">
      <c r="B1963" s="2">
        <f ca="1"/>
        <v>0.68826593519397083</v>
      </c>
      <c r="O1963" s="2">
        <f ca="1"/>
        <v>-1.1267646581851025</v>
      </c>
      <c r="X1963" s="2">
        <f ca="1"/>
        <v>57.269492938415382</v>
      </c>
      <c r="AG1963" s="2">
        <f ca="1"/>
        <v>0.57739230035832811</v>
      </c>
      <c r="AH1963" s="2" t="str">
        <f ca="1"/>
        <v>Bad</v>
      </c>
    </row>
    <row r="1964" spans="2:34" x14ac:dyDescent="0.2">
      <c r="B1964" s="2">
        <f ca="1"/>
        <v>0.89973823956506371</v>
      </c>
      <c r="O1964" s="2">
        <f ca="1"/>
        <v>-0.30662233479851331</v>
      </c>
      <c r="X1964" s="2">
        <f ca="1"/>
        <v>55.38310686548818</v>
      </c>
      <c r="AG1964" s="2">
        <f ca="1"/>
        <v>0.36505127224260514</v>
      </c>
      <c r="AH1964" s="2" t="str">
        <f ca="1"/>
        <v>OK</v>
      </c>
    </row>
    <row r="1965" spans="2:34" x14ac:dyDescent="0.2">
      <c r="B1965" s="2">
        <f ca="1"/>
        <v>0.76648861223986464</v>
      </c>
      <c r="O1965" s="2">
        <f ca="1"/>
        <v>-0.32477623797646449</v>
      </c>
      <c r="X1965" s="2">
        <f ca="1"/>
        <v>101.46736799402312</v>
      </c>
      <c r="AG1965" s="2">
        <f ca="1"/>
        <v>7.8640627932961671E-2</v>
      </c>
      <c r="AH1965" s="2" t="str">
        <f ca="1"/>
        <v>OK</v>
      </c>
    </row>
    <row r="1966" spans="2:34" x14ac:dyDescent="0.2">
      <c r="B1966" s="2">
        <f ca="1"/>
        <v>0.78174627890073856</v>
      </c>
      <c r="O1966" s="2">
        <f ca="1"/>
        <v>1.2481378973620731</v>
      </c>
      <c r="X1966" s="2">
        <f ca="1"/>
        <v>48.673253015696602</v>
      </c>
      <c r="AG1966" s="2">
        <f ca="1"/>
        <v>0.19941766537764627</v>
      </c>
      <c r="AH1966" s="2" t="str">
        <f ca="1"/>
        <v>OK</v>
      </c>
    </row>
    <row r="1967" spans="2:34" x14ac:dyDescent="0.2">
      <c r="B1967" s="2">
        <f ca="1"/>
        <v>0.8924176839933351</v>
      </c>
      <c r="O1967" s="2">
        <f ca="1"/>
        <v>2.0729594355250973</v>
      </c>
      <c r="X1967" s="2">
        <f ca="1"/>
        <v>39.370731929084585</v>
      </c>
      <c r="AG1967" s="2">
        <f ca="1"/>
        <v>0.6485408939318893</v>
      </c>
      <c r="AH1967" s="2" t="str">
        <f ca="1"/>
        <v>Bad</v>
      </c>
    </row>
    <row r="1968" spans="2:34" x14ac:dyDescent="0.2">
      <c r="B1968" s="2">
        <f ca="1"/>
        <v>0.39593666929877891</v>
      </c>
      <c r="O1968" s="2">
        <f ca="1"/>
        <v>1.3642577888327609</v>
      </c>
      <c r="X1968" s="2">
        <f ca="1"/>
        <v>66.062823554459783</v>
      </c>
      <c r="AG1968" s="2">
        <f ca="1"/>
        <v>0.70346805306736471</v>
      </c>
      <c r="AH1968" s="2" t="str">
        <f ca="1"/>
        <v>Bad</v>
      </c>
    </row>
    <row r="1969" spans="2:34" x14ac:dyDescent="0.2">
      <c r="B1969" s="2">
        <f ca="1"/>
        <v>0.82647051662724857</v>
      </c>
      <c r="O1969" s="2">
        <f ca="1"/>
        <v>-0.7875143190372067</v>
      </c>
      <c r="X1969" s="2">
        <f ca="1"/>
        <v>57.042486912183321</v>
      </c>
      <c r="AG1969" s="2">
        <f ca="1"/>
        <v>0.96707245045935419</v>
      </c>
      <c r="AH1969" s="2" t="str">
        <f ca="1"/>
        <v>Bad</v>
      </c>
    </row>
    <row r="1970" spans="2:34" x14ac:dyDescent="0.2">
      <c r="B1970" s="2">
        <f ca="1"/>
        <v>0.14922513284950645</v>
      </c>
      <c r="O1970" s="2">
        <f ca="1"/>
        <v>0.52748313492255261</v>
      </c>
      <c r="X1970" s="2">
        <f ca="1"/>
        <v>68.666644668223526</v>
      </c>
      <c r="AG1970" s="2">
        <f ca="1"/>
        <v>0.2420687932638339</v>
      </c>
      <c r="AH1970" s="2" t="str">
        <f ca="1"/>
        <v>OK</v>
      </c>
    </row>
    <row r="1971" spans="2:34" x14ac:dyDescent="0.2">
      <c r="B1971" s="2">
        <f ca="1"/>
        <v>0.79838171757817977</v>
      </c>
      <c r="O1971" s="2">
        <f ca="1"/>
        <v>-1.9150708556253664</v>
      </c>
      <c r="X1971" s="2">
        <f ca="1"/>
        <v>39.525034436871429</v>
      </c>
      <c r="AG1971" s="2">
        <f ca="1"/>
        <v>0.10844509451110129</v>
      </c>
      <c r="AH1971" s="2" t="str">
        <f ca="1"/>
        <v>OK</v>
      </c>
    </row>
    <row r="1972" spans="2:34" x14ac:dyDescent="0.2">
      <c r="B1972" s="2">
        <f ca="1"/>
        <v>0.27635019353541557</v>
      </c>
      <c r="O1972" s="2">
        <f ca="1"/>
        <v>1.4539267469769444</v>
      </c>
      <c r="X1972" s="2">
        <f ca="1"/>
        <v>46.923047787179371</v>
      </c>
      <c r="AG1972" s="2">
        <f ca="1"/>
        <v>0.68710329649443569</v>
      </c>
      <c r="AH1972" s="2" t="str">
        <f ca="1"/>
        <v>Bad</v>
      </c>
    </row>
    <row r="1973" spans="2:34" x14ac:dyDescent="0.2">
      <c r="B1973" s="2">
        <f ca="1"/>
        <v>0.40915522185100728</v>
      </c>
      <c r="O1973" s="2">
        <f ca="1"/>
        <v>-0.45770212365051394</v>
      </c>
      <c r="X1973" s="2">
        <f ca="1"/>
        <v>46.747102298125</v>
      </c>
      <c r="AG1973" s="2">
        <f ca="1"/>
        <v>0.84118127870405868</v>
      </c>
      <c r="AH1973" s="2" t="str">
        <f ca="1"/>
        <v>Bad</v>
      </c>
    </row>
    <row r="1974" spans="2:34" x14ac:dyDescent="0.2">
      <c r="B1974" s="2">
        <f ca="1"/>
        <v>0.8959891887597784</v>
      </c>
      <c r="O1974" s="2">
        <f ca="1"/>
        <v>-0.44931935269816775</v>
      </c>
      <c r="X1974" s="2">
        <f ca="1"/>
        <v>50.218504132403439</v>
      </c>
      <c r="AG1974" s="2">
        <f ca="1"/>
        <v>0.69642728069537174</v>
      </c>
      <c r="AH1974" s="2" t="str">
        <f ca="1"/>
        <v>Bad</v>
      </c>
    </row>
    <row r="1975" spans="2:34" x14ac:dyDescent="0.2">
      <c r="B1975" s="2">
        <f ca="1"/>
        <v>0.19931825346248688</v>
      </c>
      <c r="O1975" s="2">
        <f ca="1"/>
        <v>3.8790831439252361E-2</v>
      </c>
      <c r="X1975" s="2">
        <f ca="1"/>
        <v>48.317147520592499</v>
      </c>
      <c r="AG1975" s="2">
        <f ca="1"/>
        <v>0.53826195872312721</v>
      </c>
      <c r="AH1975" s="2" t="str">
        <f ca="1"/>
        <v>Bad</v>
      </c>
    </row>
    <row r="1976" spans="2:34" x14ac:dyDescent="0.2">
      <c r="B1976" s="2">
        <f ca="1"/>
        <v>0.45035231477757653</v>
      </c>
      <c r="O1976" s="2">
        <f ca="1"/>
        <v>0.25372704719693107</v>
      </c>
      <c r="X1976" s="2">
        <f ca="1"/>
        <v>42.335155275133815</v>
      </c>
      <c r="AG1976" s="2">
        <f ca="1"/>
        <v>0.20088556804065094</v>
      </c>
      <c r="AH1976" s="2" t="str">
        <f ca="1"/>
        <v>OK</v>
      </c>
    </row>
    <row r="1977" spans="2:34" x14ac:dyDescent="0.2">
      <c r="B1977" s="2">
        <f ca="1"/>
        <v>0.22282872029262646</v>
      </c>
      <c r="O1977" s="2">
        <f ca="1"/>
        <v>1.4579848782851705</v>
      </c>
      <c r="X1977" s="2">
        <f ca="1"/>
        <v>56.223364898864389</v>
      </c>
      <c r="AG1977" s="2">
        <f ca="1"/>
        <v>0.95813342137623114</v>
      </c>
      <c r="AH1977" s="2" t="str">
        <f ca="1"/>
        <v>Bad</v>
      </c>
    </row>
    <row r="1978" spans="2:34" x14ac:dyDescent="0.2">
      <c r="B1978" s="2">
        <f ca="1"/>
        <v>0.66478387892151214</v>
      </c>
      <c r="O1978" s="2">
        <f ca="1"/>
        <v>-0.74408278946494388</v>
      </c>
      <c r="X1978" s="2">
        <f ca="1"/>
        <v>55.508679545976555</v>
      </c>
      <c r="AG1978" s="2">
        <f ca="1"/>
        <v>0.77794971791130374</v>
      </c>
      <c r="AH1978" s="2" t="str">
        <f ca="1"/>
        <v>Bad</v>
      </c>
    </row>
    <row r="1979" spans="2:34" x14ac:dyDescent="0.2">
      <c r="B1979" s="2">
        <f ca="1"/>
        <v>0.93227912985753436</v>
      </c>
      <c r="O1979" s="2">
        <f ca="1"/>
        <v>0.63321030679251467</v>
      </c>
      <c r="X1979" s="2">
        <f ca="1"/>
        <v>54.168947940393195</v>
      </c>
      <c r="AG1979" s="2">
        <f ca="1"/>
        <v>6.6189343187181393E-2</v>
      </c>
      <c r="AH1979" s="2" t="str">
        <f ca="1"/>
        <v>OK</v>
      </c>
    </row>
    <row r="1980" spans="2:34" x14ac:dyDescent="0.2">
      <c r="B1980" s="2">
        <f ca="1"/>
        <v>0.90255909669679002</v>
      </c>
      <c r="O1980" s="2">
        <f ca="1"/>
        <v>0.45494520981461634</v>
      </c>
      <c r="X1980" s="2">
        <f ca="1"/>
        <v>37.990061557426714</v>
      </c>
      <c r="AG1980" s="2">
        <f ca="1"/>
        <v>0.86414398496970168</v>
      </c>
      <c r="AH1980" s="2" t="str">
        <f ca="1"/>
        <v>Bad</v>
      </c>
    </row>
    <row r="1981" spans="2:34" x14ac:dyDescent="0.2">
      <c r="B1981" s="2">
        <f ca="1"/>
        <v>0.87977718637211599</v>
      </c>
      <c r="O1981" s="2">
        <f ca="1"/>
        <v>-0.41454938696795163</v>
      </c>
      <c r="X1981" s="2">
        <f ca="1"/>
        <v>60.498067755302344</v>
      </c>
      <c r="AG1981" s="2">
        <f ca="1"/>
        <v>0.10691718578319809</v>
      </c>
      <c r="AH1981" s="2" t="str">
        <f ca="1"/>
        <v>OK</v>
      </c>
    </row>
    <row r="1982" spans="2:34" x14ac:dyDescent="0.2">
      <c r="B1982" s="2">
        <f ca="1"/>
        <v>0.98688709458539114</v>
      </c>
      <c r="O1982" s="2">
        <f ca="1"/>
        <v>0.18497529689689321</v>
      </c>
      <c r="X1982" s="2">
        <f ca="1"/>
        <v>29.896657932088587</v>
      </c>
      <c r="AG1982" s="2">
        <f ca="1"/>
        <v>0.56228476731181987</v>
      </c>
      <c r="AH1982" s="2" t="str">
        <f ca="1"/>
        <v>Bad</v>
      </c>
    </row>
    <row r="1983" spans="2:34" x14ac:dyDescent="0.2">
      <c r="B1983" s="2">
        <f ca="1"/>
        <v>0.85810532725202693</v>
      </c>
      <c r="O1983" s="2">
        <f ca="1"/>
        <v>-0.19006677886230183</v>
      </c>
      <c r="X1983" s="2">
        <f ca="1"/>
        <v>44.017087055944224</v>
      </c>
      <c r="AG1983" s="2">
        <f ca="1"/>
        <v>0.16929554456596474</v>
      </c>
      <c r="AH1983" s="2" t="str">
        <f ca="1"/>
        <v>OK</v>
      </c>
    </row>
    <row r="1984" spans="2:34" x14ac:dyDescent="0.2">
      <c r="B1984" s="2">
        <f ca="1"/>
        <v>0.84390213353042753</v>
      </c>
      <c r="O1984" s="2">
        <f ca="1"/>
        <v>0.8408856805546282</v>
      </c>
      <c r="X1984" s="2">
        <f ca="1"/>
        <v>42.091456127470778</v>
      </c>
      <c r="AG1984" s="2">
        <f ca="1"/>
        <v>0.55036849377385288</v>
      </c>
      <c r="AH1984" s="2" t="str">
        <f ca="1"/>
        <v>Bad</v>
      </c>
    </row>
    <row r="1985" spans="2:34" x14ac:dyDescent="0.2">
      <c r="B1985" s="2">
        <f ca="1"/>
        <v>0.80644627946770386</v>
      </c>
      <c r="O1985" s="2">
        <f ca="1"/>
        <v>0.81907607612485966</v>
      </c>
      <c r="X1985" s="2">
        <f ca="1"/>
        <v>31.636221435155139</v>
      </c>
      <c r="AG1985" s="2">
        <f ca="1"/>
        <v>0.5872936567945779</v>
      </c>
      <c r="AH1985" s="2" t="str">
        <f ca="1"/>
        <v>Bad</v>
      </c>
    </row>
    <row r="1986" spans="2:34" x14ac:dyDescent="0.2">
      <c r="B1986" s="2">
        <f ca="1"/>
        <v>0.42086563703712665</v>
      </c>
      <c r="O1986" s="2">
        <f ca="1"/>
        <v>-0.734997518216012</v>
      </c>
      <c r="X1986" s="2">
        <f ca="1"/>
        <v>47.807739250928563</v>
      </c>
      <c r="AG1986" s="2">
        <f ca="1"/>
        <v>0.77659615733302001</v>
      </c>
      <c r="AH1986" s="2" t="str">
        <f ca="1"/>
        <v>Bad</v>
      </c>
    </row>
    <row r="1987" spans="2:34" x14ac:dyDescent="0.2">
      <c r="B1987" s="2">
        <f ca="1"/>
        <v>8.7111769145509887E-2</v>
      </c>
      <c r="O1987" s="2">
        <f ca="1"/>
        <v>1.5150793351840801</v>
      </c>
      <c r="X1987" s="2">
        <f ca="1"/>
        <v>25.246148142091975</v>
      </c>
      <c r="AG1987" s="2">
        <f ca="1"/>
        <v>0.15008837345095327</v>
      </c>
      <c r="AH1987" s="2" t="str">
        <f ca="1"/>
        <v>OK</v>
      </c>
    </row>
    <row r="1988" spans="2:34" x14ac:dyDescent="0.2">
      <c r="B1988" s="2">
        <f ca="1"/>
        <v>0.61998409599078408</v>
      </c>
      <c r="O1988" s="2">
        <f ca="1"/>
        <v>1.5287752209792544</v>
      </c>
      <c r="X1988" s="2">
        <f ca="1"/>
        <v>39.570036322128203</v>
      </c>
      <c r="AG1988" s="2">
        <f ca="1"/>
        <v>0.98281398233678252</v>
      </c>
      <c r="AH1988" s="2" t="str">
        <f ca="1"/>
        <v>Bad</v>
      </c>
    </row>
    <row r="1989" spans="2:34" x14ac:dyDescent="0.2">
      <c r="B1989" s="2">
        <f ca="1"/>
        <v>0.19469197431548402</v>
      </c>
      <c r="O1989" s="2">
        <f ca="1"/>
        <v>-0.10241523379209877</v>
      </c>
      <c r="X1989" s="2">
        <f ca="1"/>
        <v>47.010676300046576</v>
      </c>
      <c r="AG1989" s="2">
        <f ca="1"/>
        <v>0.20929303478734362</v>
      </c>
      <c r="AH1989" s="2" t="str">
        <f ca="1"/>
        <v>OK</v>
      </c>
    </row>
    <row r="1990" spans="2:34" x14ac:dyDescent="0.2">
      <c r="B1990" s="2">
        <f ca="1"/>
        <v>0.25699570159076668</v>
      </c>
      <c r="O1990" s="2">
        <f ca="1"/>
        <v>-0.83549854295256831</v>
      </c>
      <c r="X1990" s="2">
        <f ca="1"/>
        <v>38.030548842622352</v>
      </c>
      <c r="AG1990" s="2">
        <f ca="1"/>
        <v>0.96697075226036078</v>
      </c>
      <c r="AH1990" s="2" t="str">
        <f ca="1"/>
        <v>Bad</v>
      </c>
    </row>
    <row r="1991" spans="2:34" x14ac:dyDescent="0.2">
      <c r="B1991" s="2">
        <f ca="1"/>
        <v>0.53673156082204398</v>
      </c>
      <c r="O1991" s="2">
        <f ca="1"/>
        <v>-5.2878758219553824E-2</v>
      </c>
      <c r="X1991" s="2">
        <f ca="1"/>
        <v>38.125860049769479</v>
      </c>
      <c r="AG1991" s="2">
        <f ca="1"/>
        <v>0.76349322554918175</v>
      </c>
      <c r="AH1991" s="2" t="str">
        <f ca="1"/>
        <v>Bad</v>
      </c>
    </row>
    <row r="1992" spans="2:34" x14ac:dyDescent="0.2">
      <c r="B1992" s="2">
        <f ca="1"/>
        <v>0.90061230860917751</v>
      </c>
      <c r="O1992" s="2">
        <f ca="1"/>
        <v>-0.41971381693961185</v>
      </c>
      <c r="X1992" s="2">
        <f ca="1"/>
        <v>76.304997027585515</v>
      </c>
      <c r="AG1992" s="2">
        <f ca="1"/>
        <v>0.63266222664775462</v>
      </c>
      <c r="AH1992" s="2" t="str">
        <f ca="1"/>
        <v>Bad</v>
      </c>
    </row>
    <row r="1993" spans="2:34" x14ac:dyDescent="0.2">
      <c r="B1993" s="2">
        <f ca="1"/>
        <v>0.32171393540584714</v>
      </c>
      <c r="O1993" s="2">
        <f ca="1"/>
        <v>1.0709455255440716</v>
      </c>
      <c r="X1993" s="2">
        <f ca="1"/>
        <v>40.383551446301027</v>
      </c>
      <c r="AG1993" s="2">
        <f ca="1"/>
        <v>0.41745216982752842</v>
      </c>
      <c r="AH1993" s="2" t="str">
        <f ca="1"/>
        <v>Bad</v>
      </c>
    </row>
    <row r="1994" spans="2:34" x14ac:dyDescent="0.2">
      <c r="B1994" s="2">
        <f ca="1"/>
        <v>0.14608450970624842</v>
      </c>
      <c r="O1994" s="2">
        <f ca="1"/>
        <v>-0.24548109561642015</v>
      </c>
      <c r="X1994" s="2">
        <f ca="1"/>
        <v>40.280497343701008</v>
      </c>
      <c r="AG1994" s="2">
        <f ca="1"/>
        <v>0.67214937522487683</v>
      </c>
      <c r="AH1994" s="2" t="str">
        <f ca="1"/>
        <v>Bad</v>
      </c>
    </row>
    <row r="1995" spans="2:34" x14ac:dyDescent="0.2">
      <c r="B1995" s="2">
        <f ca="1"/>
        <v>0.82363693981371511</v>
      </c>
      <c r="O1995" s="2">
        <f ca="1"/>
        <v>-7.8624095849256892E-2</v>
      </c>
      <c r="X1995" s="2">
        <f ca="1"/>
        <v>25.638222679402539</v>
      </c>
      <c r="AG1995" s="2">
        <f ca="1"/>
        <v>0.92881965520140986</v>
      </c>
      <c r="AH1995" s="2" t="str">
        <f ca="1"/>
        <v>Bad</v>
      </c>
    </row>
    <row r="1996" spans="2:34" x14ac:dyDescent="0.2">
      <c r="B1996" s="2">
        <f ca="1"/>
        <v>0.44776939083913003</v>
      </c>
      <c r="O1996" s="2">
        <f ca="1"/>
        <v>0.80794155115361466</v>
      </c>
      <c r="X1996" s="2">
        <f ca="1"/>
        <v>54.626865334862458</v>
      </c>
      <c r="AG1996" s="2">
        <f ca="1"/>
        <v>0.35111296633601885</v>
      </c>
      <c r="AH1996" s="2" t="str">
        <f ca="1"/>
        <v>OK</v>
      </c>
    </row>
    <row r="1997" spans="2:34" x14ac:dyDescent="0.2">
      <c r="B1997" s="2">
        <f ca="1"/>
        <v>0.69563170153220621</v>
      </c>
      <c r="O1997" s="2">
        <f ca="1"/>
        <v>-0.16418389985869056</v>
      </c>
      <c r="X1997" s="2">
        <f ca="1"/>
        <v>36.863508040082131</v>
      </c>
      <c r="AG1997" s="2">
        <f ca="1"/>
        <v>0.73112402688560962</v>
      </c>
      <c r="AH1997" s="2" t="str">
        <f ca="1"/>
        <v>Bad</v>
      </c>
    </row>
    <row r="1998" spans="2:34" x14ac:dyDescent="0.2">
      <c r="B1998" s="2">
        <f ca="1"/>
        <v>0.27269903316520505</v>
      </c>
      <c r="O1998" s="2">
        <f ca="1"/>
        <v>1.8197840480007699</v>
      </c>
      <c r="X1998" s="2">
        <f ca="1"/>
        <v>42.347639704455517</v>
      </c>
      <c r="AG1998" s="2">
        <f ca="1"/>
        <v>0.47046852008882878</v>
      </c>
      <c r="AH1998" s="2" t="str">
        <f ca="1"/>
        <v>Bad</v>
      </c>
    </row>
    <row r="1999" spans="2:34" x14ac:dyDescent="0.2">
      <c r="B1999" s="2">
        <f ca="1"/>
        <v>0.94107006950973981</v>
      </c>
      <c r="O1999" s="2">
        <f ca="1"/>
        <v>-1.7896573213760902</v>
      </c>
      <c r="X1999" s="2">
        <f ca="1"/>
        <v>54.264455899092852</v>
      </c>
      <c r="AG1999" s="2">
        <f ca="1"/>
        <v>0.51531641900996794</v>
      </c>
      <c r="AH1999" s="2" t="str">
        <f ca="1"/>
        <v>Bad</v>
      </c>
    </row>
    <row r="2000" spans="2:34" x14ac:dyDescent="0.2">
      <c r="B2000" s="2">
        <f ca="1"/>
        <v>0.7151641568030116</v>
      </c>
      <c r="O2000" s="2">
        <f ca="1"/>
        <v>0.96690714540311928</v>
      </c>
      <c r="X2000" s="2">
        <f ca="1"/>
        <v>55.708573033604658</v>
      </c>
      <c r="AG2000" s="2">
        <f ca="1"/>
        <v>0.86575052036016187</v>
      </c>
      <c r="AH2000" s="2" t="str">
        <f ca="1"/>
        <v>Bad</v>
      </c>
    </row>
    <row r="2001" spans="2:34" x14ac:dyDescent="0.2">
      <c r="B2001" s="2">
        <f ca="1"/>
        <v>0.6983954298718491</v>
      </c>
      <c r="O2001" s="2">
        <f ca="1"/>
        <v>0.48678953806712694</v>
      </c>
      <c r="X2001" s="2">
        <f ca="1"/>
        <v>53.882291360927539</v>
      </c>
      <c r="AG2001" s="2">
        <f ca="1"/>
        <v>4.6440681708444842E-2</v>
      </c>
      <c r="AH2001" s="2" t="str">
        <f ca="1"/>
        <v>Good</v>
      </c>
    </row>
    <row r="2002" spans="2:34" x14ac:dyDescent="0.2">
      <c r="B2002" s="2">
        <f ca="1"/>
        <v>0.60863069949131865</v>
      </c>
      <c r="O2002" s="2">
        <f ca="1"/>
        <v>0.4153896956344123</v>
      </c>
      <c r="X2002" s="2">
        <f ca="1"/>
        <v>64.276766887527941</v>
      </c>
      <c r="AG2002" s="2">
        <f ca="1"/>
        <v>0.48442880446569592</v>
      </c>
      <c r="AH2002" s="2" t="str">
        <f ca="1"/>
        <v>Bad</v>
      </c>
    </row>
    <row r="2003" spans="2:34" x14ac:dyDescent="0.2">
      <c r="B2003" s="2">
        <f ca="1"/>
        <v>0.46243644276252671</v>
      </c>
      <c r="O2003" s="2">
        <f ca="1"/>
        <v>1.1273044912392878</v>
      </c>
      <c r="X2003" s="2">
        <f ca="1"/>
        <v>46.603028281724157</v>
      </c>
      <c r="AG2003" s="2">
        <f ca="1"/>
        <v>0.61305254363895578</v>
      </c>
      <c r="AH2003" s="2" t="str">
        <f ca="1"/>
        <v>Bad</v>
      </c>
    </row>
    <row r="2004" spans="2:34" x14ac:dyDescent="0.2">
      <c r="B2004" s="2">
        <f ca="1"/>
        <v>0.7331471868378503</v>
      </c>
      <c r="O2004" s="2">
        <f ca="1"/>
        <v>-1.0109979129804316E-2</v>
      </c>
      <c r="X2004" s="2">
        <f ca="1"/>
        <v>40.350759503737592</v>
      </c>
      <c r="AG2004" s="2">
        <f ca="1"/>
        <v>0.62691171625485898</v>
      </c>
      <c r="AH2004" s="2" t="str">
        <f ca="1"/>
        <v>Bad</v>
      </c>
    </row>
    <row r="2005" spans="2:34" x14ac:dyDescent="0.2">
      <c r="B2005" s="2">
        <f ca="1"/>
        <v>1.6378103945464684E-2</v>
      </c>
      <c r="O2005" s="2">
        <f ca="1"/>
        <v>0.4724906708490062</v>
      </c>
      <c r="X2005" s="2">
        <f ca="1"/>
        <v>29.206015018127097</v>
      </c>
      <c r="AG2005" s="2">
        <f ca="1"/>
        <v>6.8752631920795837E-2</v>
      </c>
      <c r="AH2005" s="2" t="str">
        <f ca="1"/>
        <v>OK</v>
      </c>
    </row>
    <row r="2006" spans="2:34" x14ac:dyDescent="0.2">
      <c r="B2006" s="2">
        <f ca="1"/>
        <v>0.64044698677504175</v>
      </c>
      <c r="O2006" s="2">
        <f ca="1"/>
        <v>1.440942112021</v>
      </c>
      <c r="X2006" s="2">
        <f ca="1"/>
        <v>26.254016986208605</v>
      </c>
      <c r="AG2006" s="2">
        <f ca="1"/>
        <v>0.670775311968278</v>
      </c>
      <c r="AH2006" s="2" t="str">
        <f ca="1"/>
        <v>Bad</v>
      </c>
    </row>
    <row r="2007" spans="2:34" x14ac:dyDescent="0.2">
      <c r="B2007" s="2">
        <f ca="1"/>
        <v>0.13654842483393947</v>
      </c>
      <c r="O2007" s="2">
        <f ca="1"/>
        <v>0.86797048873278493</v>
      </c>
      <c r="X2007" s="2">
        <f ca="1"/>
        <v>37.064400082940935</v>
      </c>
      <c r="AG2007" s="2">
        <f ca="1"/>
        <v>0.73238321905053616</v>
      </c>
      <c r="AH2007" s="2" t="str">
        <f ca="1"/>
        <v>Bad</v>
      </c>
    </row>
    <row r="2008" spans="2:34" x14ac:dyDescent="0.2">
      <c r="B2008" s="2">
        <f ca="1"/>
        <v>0.44519246079605468</v>
      </c>
      <c r="O2008" s="2">
        <f ca="1"/>
        <v>-0.37331497730284796</v>
      </c>
      <c r="X2008" s="2">
        <f ca="1"/>
        <v>63.329245475325131</v>
      </c>
      <c r="AG2008" s="2">
        <f ca="1"/>
        <v>0.968530696895336</v>
      </c>
      <c r="AH2008" s="2" t="str">
        <f ca="1"/>
        <v>Bad</v>
      </c>
    </row>
    <row r="2009" spans="2:34" x14ac:dyDescent="0.2">
      <c r="B2009" s="2">
        <f ca="1"/>
        <v>0.85542355070301945</v>
      </c>
      <c r="O2009" s="2">
        <f ca="1"/>
        <v>4.0596881058317519E-2</v>
      </c>
      <c r="X2009" s="2">
        <f ca="1"/>
        <v>48.684377821168745</v>
      </c>
      <c r="AG2009" s="2">
        <f ca="1"/>
        <v>0.92441828601296305</v>
      </c>
      <c r="AH2009" s="2" t="str">
        <f ca="1"/>
        <v>Bad</v>
      </c>
    </row>
    <row r="2010" spans="2:34" x14ac:dyDescent="0.2">
      <c r="B2010" s="2">
        <f ca="1"/>
        <v>0.16477460398067612</v>
      </c>
      <c r="O2010" s="2">
        <f ca="1"/>
        <v>0.85838831818178729</v>
      </c>
      <c r="X2010" s="2">
        <f ca="1"/>
        <v>60.89677293973439</v>
      </c>
      <c r="AG2010" s="2">
        <f ca="1"/>
        <v>0.91659797544395061</v>
      </c>
      <c r="AH2010" s="2" t="str">
        <f ca="1"/>
        <v>Bad</v>
      </c>
    </row>
    <row r="2011" spans="2:34" x14ac:dyDescent="0.2">
      <c r="B2011" s="2">
        <f ca="1"/>
        <v>7.4292853313833174E-3</v>
      </c>
      <c r="O2011" s="2">
        <f ca="1"/>
        <v>0.66697665099536285</v>
      </c>
      <c r="X2011" s="2">
        <f ca="1"/>
        <v>40.57066127631942</v>
      </c>
      <c r="AG2011" s="2">
        <f ca="1"/>
        <v>0.27426335788964451</v>
      </c>
      <c r="AH2011" s="2" t="str">
        <f ca="1"/>
        <v>OK</v>
      </c>
    </row>
    <row r="2012" spans="2:34" x14ac:dyDescent="0.2">
      <c r="B2012" s="2">
        <f ca="1"/>
        <v>0.35666316309607926</v>
      </c>
      <c r="O2012" s="2">
        <f ca="1"/>
        <v>0.417030309371067</v>
      </c>
      <c r="X2012" s="2">
        <f ca="1"/>
        <v>24.567301632536601</v>
      </c>
      <c r="AG2012" s="2">
        <f ca="1"/>
        <v>0.4990188188175364</v>
      </c>
      <c r="AH2012" s="2" t="str">
        <f ca="1"/>
        <v>Bad</v>
      </c>
    </row>
    <row r="2013" spans="2:34" x14ac:dyDescent="0.2">
      <c r="B2013" s="2">
        <f ca="1"/>
        <v>8.0578398786257832E-2</v>
      </c>
      <c r="O2013" s="2">
        <f ca="1"/>
        <v>-0.1960437540073163</v>
      </c>
      <c r="X2013" s="2">
        <f ca="1"/>
        <v>63.341745805246646</v>
      </c>
      <c r="AG2013" s="2">
        <f ca="1"/>
        <v>0.60980409957093262</v>
      </c>
      <c r="AH2013" s="2" t="str">
        <f ca="1"/>
        <v>Bad</v>
      </c>
    </row>
    <row r="2014" spans="2:34" x14ac:dyDescent="0.2">
      <c r="B2014" s="2">
        <f ca="1"/>
        <v>0.15311349599387558</v>
      </c>
      <c r="O2014" s="2">
        <f ca="1"/>
        <v>0.39301910320962002</v>
      </c>
      <c r="X2014" s="2">
        <f ca="1"/>
        <v>74.558170519481138</v>
      </c>
      <c r="AG2014" s="2">
        <f ca="1"/>
        <v>0.71785746196189315</v>
      </c>
      <c r="AH2014" s="2" t="str">
        <f ca="1"/>
        <v>Bad</v>
      </c>
    </row>
    <row r="2015" spans="2:34" x14ac:dyDescent="0.2">
      <c r="B2015" s="2">
        <f ca="1"/>
        <v>0.13245006648725188</v>
      </c>
      <c r="O2015" s="2">
        <f ca="1"/>
        <v>1.4603219505682119</v>
      </c>
      <c r="X2015" s="2">
        <f ca="1"/>
        <v>38.922859326779211</v>
      </c>
      <c r="AG2015" s="2">
        <f ca="1"/>
        <v>0.32552079111876053</v>
      </c>
      <c r="AH2015" s="2" t="str">
        <f ca="1"/>
        <v>OK</v>
      </c>
    </row>
    <row r="2016" spans="2:34" x14ac:dyDescent="0.2">
      <c r="B2016" s="2">
        <f ca="1"/>
        <v>0.53646981855273634</v>
      </c>
      <c r="O2016" s="2">
        <f ca="1"/>
        <v>-1.9325320975259757</v>
      </c>
      <c r="X2016" s="2">
        <f ca="1"/>
        <v>47.092934876375992</v>
      </c>
      <c r="AG2016" s="2">
        <f ca="1"/>
        <v>0.71436858629203992</v>
      </c>
      <c r="AH2016" s="2" t="str">
        <f ca="1"/>
        <v>Bad</v>
      </c>
    </row>
    <row r="2017" spans="2:34" x14ac:dyDescent="0.2">
      <c r="B2017" s="2">
        <f ca="1"/>
        <v>0.28359464267061729</v>
      </c>
      <c r="O2017" s="2">
        <f ca="1"/>
        <v>1.123372751732155</v>
      </c>
      <c r="X2017" s="2">
        <f ca="1"/>
        <v>30.988022828114282</v>
      </c>
      <c r="AG2017" s="2">
        <f ca="1"/>
        <v>0.54716248408130008</v>
      </c>
      <c r="AH2017" s="2" t="str">
        <f ca="1"/>
        <v>Bad</v>
      </c>
    </row>
    <row r="2018" spans="2:34" x14ac:dyDescent="0.2">
      <c r="B2018" s="2">
        <f ca="1"/>
        <v>0.27669189974164476</v>
      </c>
      <c r="O2018" s="2">
        <f ca="1"/>
        <v>-2.0115504280226997</v>
      </c>
      <c r="X2018" s="2">
        <f ca="1"/>
        <v>42.130852663904214</v>
      </c>
      <c r="AG2018" s="2">
        <f ca="1"/>
        <v>0.60720015226932467</v>
      </c>
      <c r="AH2018" s="2" t="str">
        <f ca="1"/>
        <v>Bad</v>
      </c>
    </row>
    <row r="2019" spans="2:34" x14ac:dyDescent="0.2">
      <c r="B2019" s="2">
        <f ca="1"/>
        <v>0.21838328662957252</v>
      </c>
      <c r="O2019" s="2">
        <f ca="1"/>
        <v>-2.2693747980289727</v>
      </c>
      <c r="X2019" s="2">
        <f ca="1"/>
        <v>48.667294518154947</v>
      </c>
      <c r="AG2019" s="2">
        <f ca="1"/>
        <v>8.1801561415992152E-2</v>
      </c>
      <c r="AH2019" s="2" t="str">
        <f ca="1"/>
        <v>OK</v>
      </c>
    </row>
    <row r="2020" spans="2:34" x14ac:dyDescent="0.2">
      <c r="B2020" s="2">
        <f ca="1"/>
        <v>0.70023228352239442</v>
      </c>
      <c r="O2020" s="2">
        <f ca="1"/>
        <v>0.70995346026634487</v>
      </c>
      <c r="X2020" s="2">
        <f ca="1"/>
        <v>72.639326308596651</v>
      </c>
      <c r="AG2020" s="2">
        <f ca="1"/>
        <v>0.68758144904617602</v>
      </c>
      <c r="AH2020" s="2" t="str">
        <f ca="1"/>
        <v>Bad</v>
      </c>
    </row>
    <row r="2021" spans="2:34" x14ac:dyDescent="0.2">
      <c r="B2021" s="2">
        <f ca="1"/>
        <v>0.26147899288010268</v>
      </c>
      <c r="O2021" s="2">
        <f ca="1"/>
        <v>-0.69085522598618598</v>
      </c>
      <c r="X2021" s="2">
        <f ca="1"/>
        <v>78.588829459261717</v>
      </c>
      <c r="AG2021" s="2">
        <f ca="1"/>
        <v>0.29357993360421952</v>
      </c>
      <c r="AH2021" s="2" t="str">
        <f ca="1"/>
        <v>OK</v>
      </c>
    </row>
    <row r="2022" spans="2:34" x14ac:dyDescent="0.2">
      <c r="B2022" s="2">
        <f ca="1"/>
        <v>0.67129620782950505</v>
      </c>
      <c r="O2022" s="2">
        <f ca="1"/>
        <v>1.2933228136332351</v>
      </c>
      <c r="X2022" s="2">
        <f ca="1"/>
        <v>56.672721459658639</v>
      </c>
      <c r="AG2022" s="2">
        <f ca="1"/>
        <v>0.43924563787868665</v>
      </c>
      <c r="AH2022" s="2" t="str">
        <f ca="1"/>
        <v>Bad</v>
      </c>
    </row>
    <row r="2023" spans="2:34" x14ac:dyDescent="0.2">
      <c r="B2023" s="2">
        <f ca="1"/>
        <v>0.37982499524106683</v>
      </c>
      <c r="O2023" s="2">
        <f ca="1"/>
        <v>0.85208157176836186</v>
      </c>
      <c r="X2023" s="2">
        <f ca="1"/>
        <v>52.253848268937837</v>
      </c>
      <c r="AG2023" s="2">
        <f ca="1"/>
        <v>0.76856754796823257</v>
      </c>
      <c r="AH2023" s="2" t="str">
        <f ca="1"/>
        <v>Bad</v>
      </c>
    </row>
    <row r="2024" spans="2:34" x14ac:dyDescent="0.2">
      <c r="B2024" s="2">
        <f ca="1"/>
        <v>0.75676081662727079</v>
      </c>
      <c r="O2024" s="2">
        <f ca="1"/>
        <v>-0.61115464517768758</v>
      </c>
      <c r="X2024" s="2">
        <f ca="1"/>
        <v>77.02873764702349</v>
      </c>
      <c r="AG2024" s="2">
        <f ca="1"/>
        <v>0.5176778397570625</v>
      </c>
      <c r="AH2024" s="2" t="str">
        <f ca="1"/>
        <v>Bad</v>
      </c>
    </row>
    <row r="2025" spans="2:34" x14ac:dyDescent="0.2">
      <c r="B2025" s="2">
        <f ca="1"/>
        <v>0.10318853494258362</v>
      </c>
      <c r="O2025" s="2">
        <f ca="1"/>
        <v>-0.81238413106071439</v>
      </c>
      <c r="X2025" s="2">
        <f ca="1"/>
        <v>60.352352959871986</v>
      </c>
      <c r="AG2025" s="2">
        <f ca="1"/>
        <v>0.99464761774086519</v>
      </c>
      <c r="AH2025" s="2" t="str">
        <f ca="1"/>
        <v>Bad</v>
      </c>
    </row>
    <row r="2026" spans="2:34" x14ac:dyDescent="0.2">
      <c r="B2026" s="2">
        <f ca="1"/>
        <v>0.15393867268839823</v>
      </c>
      <c r="O2026" s="2">
        <f ca="1"/>
        <v>8.5536598178038825E-2</v>
      </c>
      <c r="X2026" s="2">
        <f ca="1"/>
        <v>42.8863084842964</v>
      </c>
      <c r="AG2026" s="2">
        <f ca="1"/>
        <v>0.9346898986735368</v>
      </c>
      <c r="AH2026" s="2" t="str">
        <f ca="1"/>
        <v>Bad</v>
      </c>
    </row>
    <row r="2027" spans="2:34" x14ac:dyDescent="0.2">
      <c r="B2027" s="2">
        <f ca="1"/>
        <v>8.9694550703356857E-2</v>
      </c>
      <c r="O2027" s="2">
        <f ca="1"/>
        <v>0.50492402720828722</v>
      </c>
      <c r="X2027" s="2">
        <f ca="1"/>
        <v>57.422998160868922</v>
      </c>
      <c r="AG2027" s="2">
        <f ca="1"/>
        <v>0.18662284561582232</v>
      </c>
      <c r="AH2027" s="2" t="str">
        <f ca="1"/>
        <v>OK</v>
      </c>
    </row>
    <row r="2028" spans="2:34" x14ac:dyDescent="0.2">
      <c r="B2028" s="2">
        <f ca="1"/>
        <v>0.59840374179573397</v>
      </c>
      <c r="O2028" s="2">
        <f ca="1"/>
        <v>-0.41450162399038859</v>
      </c>
      <c r="X2028" s="2">
        <f ca="1"/>
        <v>31.484570453569859</v>
      </c>
      <c r="AG2028" s="2">
        <f ca="1"/>
        <v>0.16485517816649331</v>
      </c>
      <c r="AH2028" s="2" t="str">
        <f ca="1"/>
        <v>OK</v>
      </c>
    </row>
    <row r="2029" spans="2:34" x14ac:dyDescent="0.2">
      <c r="B2029" s="2">
        <f ca="1"/>
        <v>0.1674826741008979</v>
      </c>
      <c r="O2029" s="2">
        <f ca="1"/>
        <v>0.81253461747335221</v>
      </c>
      <c r="X2029" s="2">
        <f ca="1"/>
        <v>37.794703148178158</v>
      </c>
      <c r="AG2029" s="2">
        <f ca="1"/>
        <v>0.24413722134776705</v>
      </c>
      <c r="AH2029" s="2" t="str">
        <f ca="1"/>
        <v>OK</v>
      </c>
    </row>
    <row r="2030" spans="2:34" x14ac:dyDescent="0.2">
      <c r="B2030" s="2">
        <f ca="1"/>
        <v>0.57501510444826276</v>
      </c>
      <c r="O2030" s="2">
        <f ca="1"/>
        <v>0.54796110801336784</v>
      </c>
      <c r="X2030" s="2">
        <f ca="1"/>
        <v>38.91086830604209</v>
      </c>
      <c r="AG2030" s="2">
        <f ca="1"/>
        <v>0.7959357480096525</v>
      </c>
      <c r="AH2030" s="2" t="str">
        <f ca="1"/>
        <v>Bad</v>
      </c>
    </row>
    <row r="2031" spans="2:34" x14ac:dyDescent="0.2">
      <c r="B2031" s="2">
        <f ca="1"/>
        <v>0.82653853705669733</v>
      </c>
      <c r="O2031" s="2">
        <f ca="1"/>
        <v>0.74302547390543749</v>
      </c>
      <c r="X2031" s="2">
        <f ca="1"/>
        <v>58.905894845489286</v>
      </c>
      <c r="AG2031" s="2">
        <f ca="1"/>
        <v>0.77311684774577927</v>
      </c>
      <c r="AH2031" s="2" t="str">
        <f ca="1"/>
        <v>Bad</v>
      </c>
    </row>
    <row r="2032" spans="2:34" x14ac:dyDescent="0.2">
      <c r="B2032" s="2">
        <f ca="1"/>
        <v>0.16794472057027976</v>
      </c>
      <c r="O2032" s="2">
        <f ca="1"/>
        <v>1.904286399456014</v>
      </c>
      <c r="X2032" s="2">
        <f ca="1"/>
        <v>63.534841593778459</v>
      </c>
      <c r="AG2032" s="2">
        <f ca="1"/>
        <v>0.8052159322494199</v>
      </c>
      <c r="AH2032" s="2" t="str">
        <f ca="1"/>
        <v>Bad</v>
      </c>
    </row>
    <row r="2033" spans="2:34" x14ac:dyDescent="0.2">
      <c r="B2033" s="2">
        <f ca="1"/>
        <v>0.71409219059297024</v>
      </c>
      <c r="O2033" s="2">
        <f ca="1"/>
        <v>1.2109558706085868</v>
      </c>
      <c r="X2033" s="2">
        <f ca="1"/>
        <v>64.92154474886749</v>
      </c>
      <c r="AG2033" s="2">
        <f ca="1"/>
        <v>0.38821180128981303</v>
      </c>
      <c r="AH2033" s="2" t="str">
        <f ca="1"/>
        <v>OK</v>
      </c>
    </row>
    <row r="2034" spans="2:34" x14ac:dyDescent="0.2">
      <c r="B2034" s="2">
        <f ca="1"/>
        <v>0.52388167027403365</v>
      </c>
      <c r="O2034" s="2">
        <f ca="1"/>
        <v>1.7846468783679921</v>
      </c>
      <c r="X2034" s="2">
        <f ca="1"/>
        <v>30.705291712719124</v>
      </c>
      <c r="AG2034" s="2">
        <f ca="1"/>
        <v>0.96488013509282999</v>
      </c>
      <c r="AH2034" s="2" t="str">
        <f ca="1"/>
        <v>Bad</v>
      </c>
    </row>
    <row r="2035" spans="2:34" x14ac:dyDescent="0.2">
      <c r="B2035" s="2">
        <f ca="1"/>
        <v>0.48213727249457383</v>
      </c>
      <c r="O2035" s="2">
        <f ca="1"/>
        <v>-0.1674836441854009</v>
      </c>
      <c r="X2035" s="2">
        <f ca="1"/>
        <v>43.491728273024052</v>
      </c>
      <c r="AG2035" s="2">
        <f ca="1"/>
        <v>0.48321110880928164</v>
      </c>
      <c r="AH2035" s="2" t="str">
        <f ca="1"/>
        <v>Bad</v>
      </c>
    </row>
    <row r="2036" spans="2:34" x14ac:dyDescent="0.2">
      <c r="B2036" s="2">
        <f ca="1"/>
        <v>0.94935396192788835</v>
      </c>
      <c r="O2036" s="2">
        <f ca="1"/>
        <v>0.19403613295550154</v>
      </c>
      <c r="X2036" s="2">
        <f ca="1"/>
        <v>52.400420405002734</v>
      </c>
      <c r="AG2036" s="2">
        <f ca="1"/>
        <v>0.92018399341139445</v>
      </c>
      <c r="AH2036" s="2" t="str">
        <f ca="1"/>
        <v>Bad</v>
      </c>
    </row>
    <row r="2037" spans="2:34" x14ac:dyDescent="0.2">
      <c r="B2037" s="2">
        <f ca="1"/>
        <v>0.51672290028659984</v>
      </c>
      <c r="O2037" s="2">
        <f ca="1"/>
        <v>1.651405966652189</v>
      </c>
      <c r="X2037" s="2">
        <f ca="1"/>
        <v>57.988043270714797</v>
      </c>
      <c r="AG2037" s="2">
        <f ca="1"/>
        <v>0.96447790728313376</v>
      </c>
      <c r="AH2037" s="2" t="str">
        <f ca="1"/>
        <v>Bad</v>
      </c>
    </row>
    <row r="2038" spans="2:34" x14ac:dyDescent="0.2">
      <c r="B2038" s="2">
        <f ca="1"/>
        <v>0.99431461360724649</v>
      </c>
      <c r="O2038" s="2">
        <f ca="1"/>
        <v>0.76071623413863187</v>
      </c>
      <c r="X2038" s="2">
        <f ca="1"/>
        <v>53.864841416159486</v>
      </c>
      <c r="AG2038" s="2">
        <f ca="1"/>
        <v>2.0263060579248648E-3</v>
      </c>
      <c r="AH2038" s="2" t="str">
        <f ca="1"/>
        <v>Good</v>
      </c>
    </row>
    <row r="2039" spans="2:34" x14ac:dyDescent="0.2">
      <c r="B2039" s="2">
        <f ca="1"/>
        <v>0.96908948732529665</v>
      </c>
      <c r="O2039" s="2">
        <f ca="1"/>
        <v>-1.0552575369136046</v>
      </c>
      <c r="X2039" s="2">
        <f ca="1"/>
        <v>34.393367989968596</v>
      </c>
      <c r="AG2039" s="2">
        <f ca="1"/>
        <v>0.18576366536999522</v>
      </c>
      <c r="AH2039" s="2" t="str">
        <f ca="1"/>
        <v>OK</v>
      </c>
    </row>
    <row r="2040" spans="2:34" x14ac:dyDescent="0.2">
      <c r="B2040" s="2">
        <f ca="1"/>
        <v>0.34741189166255193</v>
      </c>
      <c r="O2040" s="2">
        <f ca="1"/>
        <v>4.4508546956609739E-2</v>
      </c>
      <c r="X2040" s="2">
        <f ca="1"/>
        <v>81.280553062166661</v>
      </c>
      <c r="AG2040" s="2">
        <f ca="1"/>
        <v>0.77298682342437353</v>
      </c>
      <c r="AH2040" s="2" t="str">
        <f ca="1"/>
        <v>Bad</v>
      </c>
    </row>
    <row r="2041" spans="2:34" x14ac:dyDescent="0.2">
      <c r="B2041" s="2">
        <f ca="1"/>
        <v>0.56862975585827602</v>
      </c>
      <c r="O2041" s="2">
        <f ca="1"/>
        <v>7.6497114307903277E-2</v>
      </c>
      <c r="X2041" s="2">
        <f ca="1"/>
        <v>41.037578683196934</v>
      </c>
      <c r="AG2041" s="2">
        <f ca="1"/>
        <v>0.97948965839718283</v>
      </c>
      <c r="AH2041" s="2" t="str">
        <f ca="1"/>
        <v>Bad</v>
      </c>
    </row>
    <row r="2042" spans="2:34" x14ac:dyDescent="0.2">
      <c r="B2042" s="2">
        <f ca="1"/>
        <v>0.5308683994046115</v>
      </c>
      <c r="O2042" s="2">
        <f ca="1"/>
        <v>-1.0901252890398778</v>
      </c>
      <c r="X2042" s="2">
        <f ca="1"/>
        <v>38.616924949911173</v>
      </c>
      <c r="AG2042" s="2">
        <f ca="1"/>
        <v>0.47146934994870149</v>
      </c>
      <c r="AH2042" s="2" t="str">
        <f ca="1"/>
        <v>Bad</v>
      </c>
    </row>
    <row r="2043" spans="2:34" x14ac:dyDescent="0.2">
      <c r="B2043" s="2">
        <f ca="1"/>
        <v>0.48657107698739588</v>
      </c>
      <c r="O2043" s="2">
        <f ca="1"/>
        <v>1.3101686534011134</v>
      </c>
      <c r="X2043" s="2">
        <f ca="1"/>
        <v>25.249329128326984</v>
      </c>
      <c r="AG2043" s="2">
        <f ca="1"/>
        <v>0.86828292513988092</v>
      </c>
      <c r="AH2043" s="2" t="str">
        <f ca="1"/>
        <v>Bad</v>
      </c>
    </row>
    <row r="2044" spans="2:34" x14ac:dyDescent="0.2">
      <c r="B2044" s="2">
        <f ca="1"/>
        <v>0.49316003747900905</v>
      </c>
      <c r="O2044" s="2">
        <f ca="1"/>
        <v>-1.4852717376524198</v>
      </c>
      <c r="X2044" s="2">
        <f ca="1"/>
        <v>54.409473627762281</v>
      </c>
      <c r="AG2044" s="2">
        <f ca="1"/>
        <v>0.87097688255045935</v>
      </c>
      <c r="AH2044" s="2" t="str">
        <f ca="1"/>
        <v>Bad</v>
      </c>
    </row>
    <row r="2045" spans="2:34" x14ac:dyDescent="0.2">
      <c r="B2045" s="2">
        <f ca="1"/>
        <v>0.21677700682373291</v>
      </c>
      <c r="O2045" s="2">
        <f ca="1"/>
        <v>-0.64709125097835118</v>
      </c>
      <c r="X2045" s="2">
        <f ca="1"/>
        <v>40.472504094341787</v>
      </c>
      <c r="AG2045" s="2">
        <f ca="1"/>
        <v>7.8329263257091553E-2</v>
      </c>
      <c r="AH2045" s="2" t="str">
        <f ca="1"/>
        <v>OK</v>
      </c>
    </row>
    <row r="2046" spans="2:34" x14ac:dyDescent="0.2">
      <c r="B2046" s="2">
        <f ca="1"/>
        <v>0.13818645033068178</v>
      </c>
      <c r="O2046" s="2">
        <f ca="1"/>
        <v>-0.34711553316441052</v>
      </c>
      <c r="X2046" s="2">
        <f ca="1"/>
        <v>54.384364302472861</v>
      </c>
      <c r="AG2046" s="2">
        <f ca="1"/>
        <v>0.49224614857355009</v>
      </c>
      <c r="AH2046" s="2" t="str">
        <f ca="1"/>
        <v>Bad</v>
      </c>
    </row>
    <row r="2047" spans="2:34" x14ac:dyDescent="0.2">
      <c r="B2047" s="2">
        <f ca="1"/>
        <v>0.19827002972953345</v>
      </c>
      <c r="O2047" s="2">
        <f ca="1"/>
        <v>0.34154510041832614</v>
      </c>
      <c r="X2047" s="2">
        <f ca="1"/>
        <v>58.669916547559879</v>
      </c>
      <c r="AG2047" s="2">
        <f ca="1"/>
        <v>0.11783314835338299</v>
      </c>
      <c r="AH2047" s="2" t="str">
        <f ca="1"/>
        <v>OK</v>
      </c>
    </row>
    <row r="2048" spans="2:34" x14ac:dyDescent="0.2">
      <c r="B2048" s="2">
        <f ca="1"/>
        <v>0.89091155066053429</v>
      </c>
      <c r="O2048" s="2">
        <f ca="1"/>
        <v>-0.88846931133209317</v>
      </c>
      <c r="X2048" s="2">
        <f ca="1"/>
        <v>79.76631626508626</v>
      </c>
      <c r="AG2048" s="2">
        <f ca="1"/>
        <v>0.44987915069167417</v>
      </c>
      <c r="AH2048" s="2" t="str">
        <f ca="1"/>
        <v>Bad</v>
      </c>
    </row>
    <row r="2049" spans="2:34" x14ac:dyDescent="0.2">
      <c r="B2049" s="2">
        <f ca="1"/>
        <v>0.87584283198789614</v>
      </c>
      <c r="O2049" s="2">
        <f ca="1"/>
        <v>0.16408487489675194</v>
      </c>
      <c r="X2049" s="2">
        <f ca="1"/>
        <v>51.015622456045548</v>
      </c>
      <c r="AG2049" s="2">
        <f ca="1"/>
        <v>0.24427272242678333</v>
      </c>
      <c r="AH2049" s="2" t="str">
        <f ca="1"/>
        <v>OK</v>
      </c>
    </row>
    <row r="2050" spans="2:34" x14ac:dyDescent="0.2">
      <c r="B2050" s="2">
        <f ca="1"/>
        <v>0.73436641904284894</v>
      </c>
      <c r="O2050" s="2">
        <f ca="1"/>
        <v>2.099995556799978</v>
      </c>
      <c r="X2050" s="2">
        <f ca="1"/>
        <v>30.128746523160331</v>
      </c>
      <c r="AG2050" s="2">
        <f ca="1"/>
        <v>0.89712488246644373</v>
      </c>
      <c r="AH2050" s="2" t="str">
        <f ca="1"/>
        <v>Bad</v>
      </c>
    </row>
    <row r="2051" spans="2:34" x14ac:dyDescent="0.2">
      <c r="B2051" s="2">
        <f ca="1"/>
        <v>0.35593964456663674</v>
      </c>
      <c r="O2051" s="2">
        <f ca="1"/>
        <v>1.3559087996645116</v>
      </c>
      <c r="X2051" s="2">
        <f ca="1"/>
        <v>49.074325409091841</v>
      </c>
      <c r="AG2051" s="2">
        <f ca="1"/>
        <v>0.57987610576703141</v>
      </c>
      <c r="AH2051" s="2" t="str">
        <f ca="1"/>
        <v>Bad</v>
      </c>
    </row>
    <row r="2052" spans="2:34" x14ac:dyDescent="0.2">
      <c r="B2052" s="2">
        <f ca="1"/>
        <v>0.84267933124074945</v>
      </c>
      <c r="O2052" s="2">
        <f ca="1"/>
        <v>-1.2685466278714368</v>
      </c>
      <c r="X2052" s="2">
        <f ca="1"/>
        <v>82.719792330602502</v>
      </c>
      <c r="AG2052" s="2">
        <f ca="1"/>
        <v>0.43829637469455762</v>
      </c>
      <c r="AH2052" s="2" t="str">
        <f ca="1"/>
        <v>Bad</v>
      </c>
    </row>
    <row r="2053" spans="2:34" x14ac:dyDescent="0.2">
      <c r="B2053" s="2">
        <f ca="1"/>
        <v>0.93836023786233036</v>
      </c>
      <c r="O2053" s="2">
        <f ca="1"/>
        <v>-0.22218761915798704</v>
      </c>
      <c r="X2053" s="2">
        <f ca="1"/>
        <v>35.479209453551697</v>
      </c>
      <c r="AG2053" s="2">
        <f ca="1"/>
        <v>0.79864540916191284</v>
      </c>
      <c r="AH2053" s="2" t="str">
        <f ca="1"/>
        <v>Bad</v>
      </c>
    </row>
    <row r="2054" spans="2:34" x14ac:dyDescent="0.2">
      <c r="B2054" s="2">
        <f ca="1"/>
        <v>0.38712424399027534</v>
      </c>
      <c r="O2054" s="2">
        <f ca="1"/>
        <v>1.544486673806523</v>
      </c>
      <c r="X2054" s="2">
        <f ca="1"/>
        <v>31.53625978953216</v>
      </c>
      <c r="AG2054" s="2">
        <f ca="1"/>
        <v>0.45669008491356977</v>
      </c>
      <c r="AH2054" s="2" t="str">
        <f ca="1"/>
        <v>Bad</v>
      </c>
    </row>
    <row r="2055" spans="2:34" x14ac:dyDescent="0.2">
      <c r="B2055" s="2">
        <f ca="1"/>
        <v>0.72989271441992698</v>
      </c>
      <c r="O2055" s="2">
        <f ca="1"/>
        <v>-0.96594647221209318</v>
      </c>
      <c r="X2055" s="2">
        <f ca="1"/>
        <v>62.588810397877509</v>
      </c>
      <c r="AG2055" s="2">
        <f ca="1"/>
        <v>0.99139620109165683</v>
      </c>
      <c r="AH2055" s="2" t="str">
        <f ca="1"/>
        <v>Bad</v>
      </c>
    </row>
    <row r="2056" spans="2:34" x14ac:dyDescent="0.2">
      <c r="B2056" s="2">
        <f ca="1"/>
        <v>0.58620766272905067</v>
      </c>
      <c r="O2056" s="2">
        <f ca="1"/>
        <v>0.39271816716546276</v>
      </c>
      <c r="X2056" s="2">
        <f ca="1"/>
        <v>56.318426779198958</v>
      </c>
      <c r="AG2056" s="2">
        <f ca="1"/>
        <v>6.8187829199148009E-2</v>
      </c>
      <c r="AH2056" s="2" t="str">
        <f ca="1"/>
        <v>OK</v>
      </c>
    </row>
    <row r="2057" spans="2:34" x14ac:dyDescent="0.2">
      <c r="B2057" s="2">
        <f ca="1"/>
        <v>7.2450153623593971E-2</v>
      </c>
      <c r="O2057" s="2">
        <f ca="1"/>
        <v>2.6828588044283714</v>
      </c>
      <c r="X2057" s="2">
        <f ca="1"/>
        <v>38.007193092750576</v>
      </c>
      <c r="AG2057" s="2">
        <f ca="1"/>
        <v>0.22935391639773473</v>
      </c>
      <c r="AH2057" s="2" t="str">
        <f ca="1"/>
        <v>OK</v>
      </c>
    </row>
    <row r="2058" spans="2:34" x14ac:dyDescent="0.2">
      <c r="B2058" s="2">
        <f ca="1"/>
        <v>0.93351685162947917</v>
      </c>
      <c r="O2058" s="2">
        <f ca="1"/>
        <v>-1.1829624779593473</v>
      </c>
      <c r="X2058" s="2">
        <f ca="1"/>
        <v>39.697369834322323</v>
      </c>
      <c r="AG2058" s="2">
        <f ca="1"/>
        <v>0.16492308700095992</v>
      </c>
      <c r="AH2058" s="2" t="str">
        <f ca="1"/>
        <v>OK</v>
      </c>
    </row>
    <row r="2059" spans="2:34" x14ac:dyDescent="0.2">
      <c r="B2059" s="2">
        <f ca="1"/>
        <v>0.83100605317534315</v>
      </c>
      <c r="O2059" s="2">
        <f ca="1"/>
        <v>-1.5166983423311839</v>
      </c>
      <c r="X2059" s="2">
        <f ca="1"/>
        <v>55.253202217661006</v>
      </c>
      <c r="AG2059" s="2">
        <f ca="1"/>
        <v>0.53212350408078746</v>
      </c>
      <c r="AH2059" s="2" t="str">
        <f ca="1"/>
        <v>Bad</v>
      </c>
    </row>
    <row r="2060" spans="2:34" x14ac:dyDescent="0.2">
      <c r="B2060" s="2">
        <f ca="1"/>
        <v>0.93742481396500077</v>
      </c>
      <c r="O2060" s="2">
        <f ca="1"/>
        <v>0.51523700642870485</v>
      </c>
      <c r="X2060" s="2">
        <f ca="1"/>
        <v>61.056704408186455</v>
      </c>
      <c r="AG2060" s="2">
        <f ca="1"/>
        <v>0.54046013497928769</v>
      </c>
      <c r="AH2060" s="2" t="str">
        <f ca="1"/>
        <v>Bad</v>
      </c>
    </row>
    <row r="2061" spans="2:34" x14ac:dyDescent="0.2">
      <c r="B2061" s="2">
        <f ca="1"/>
        <v>0.42019331797060744</v>
      </c>
      <c r="O2061" s="2">
        <f ca="1"/>
        <v>0.10092647470365211</v>
      </c>
      <c r="X2061" s="2">
        <f ca="1"/>
        <v>65.070794773686686</v>
      </c>
      <c r="AG2061" s="2">
        <f ca="1"/>
        <v>0.93126390937409531</v>
      </c>
      <c r="AH2061" s="2" t="str">
        <f ca="1"/>
        <v>Bad</v>
      </c>
    </row>
    <row r="2062" spans="2:34" x14ac:dyDescent="0.2">
      <c r="B2062" s="2">
        <f ca="1"/>
        <v>8.8577272810002494E-2</v>
      </c>
      <c r="O2062" s="2">
        <f ca="1"/>
        <v>0.70898561954095518</v>
      </c>
      <c r="X2062" s="2">
        <f ca="1"/>
        <v>50.279943368437145</v>
      </c>
      <c r="AG2062" s="2">
        <f ca="1"/>
        <v>0.63284479276575878</v>
      </c>
      <c r="AH2062" s="2" t="str">
        <f ca="1"/>
        <v>Bad</v>
      </c>
    </row>
    <row r="2063" spans="2:34" x14ac:dyDescent="0.2">
      <c r="B2063" s="2">
        <f ca="1"/>
        <v>0.278067749968959</v>
      </c>
      <c r="O2063" s="2">
        <f ca="1"/>
        <v>-0.34029372399107116</v>
      </c>
      <c r="X2063" s="2">
        <f ca="1"/>
        <v>37.647948010286278</v>
      </c>
      <c r="AG2063" s="2">
        <f ca="1"/>
        <v>0.31598414535429509</v>
      </c>
      <c r="AH2063" s="2" t="str">
        <f ca="1"/>
        <v>OK</v>
      </c>
    </row>
    <row r="2064" spans="2:34" x14ac:dyDescent="0.2">
      <c r="B2064" s="2">
        <f ca="1"/>
        <v>6.4601535219074524E-2</v>
      </c>
      <c r="O2064" s="2">
        <f ca="1"/>
        <v>-1.2793566220491941</v>
      </c>
      <c r="X2064" s="2">
        <f ca="1"/>
        <v>38.215882389156917</v>
      </c>
      <c r="AG2064" s="2">
        <f ca="1"/>
        <v>0.39755807513089514</v>
      </c>
      <c r="AH2064" s="2" t="str">
        <f ca="1"/>
        <v>OK</v>
      </c>
    </row>
    <row r="2065" spans="2:34" x14ac:dyDescent="0.2">
      <c r="B2065" s="2">
        <f ca="1"/>
        <v>0.14821119561762641</v>
      </c>
      <c r="O2065" s="2">
        <f ca="1"/>
        <v>-0.6015128065751415</v>
      </c>
      <c r="X2065" s="2">
        <f ca="1"/>
        <v>80.725159539512262</v>
      </c>
      <c r="AG2065" s="2">
        <f ca="1"/>
        <v>0.73500419386276472</v>
      </c>
      <c r="AH2065" s="2" t="str">
        <f ca="1"/>
        <v>Bad</v>
      </c>
    </row>
    <row r="2066" spans="2:34" x14ac:dyDescent="0.2">
      <c r="B2066" s="2">
        <f ca="1"/>
        <v>0.51084192244719273</v>
      </c>
      <c r="O2066" s="2">
        <f ca="1"/>
        <v>0.81043564059203421</v>
      </c>
      <c r="X2066" s="2">
        <f ca="1"/>
        <v>72.220128865496903</v>
      </c>
      <c r="AG2066" s="2">
        <f ca="1"/>
        <v>0.32631530682289611</v>
      </c>
      <c r="AH2066" s="2" t="str">
        <f ca="1"/>
        <v>OK</v>
      </c>
    </row>
    <row r="2067" spans="2:34" x14ac:dyDescent="0.2">
      <c r="B2067" s="2">
        <f ca="1"/>
        <v>0.50140197245064311</v>
      </c>
      <c r="O2067" s="2">
        <f ca="1"/>
        <v>-1.6395122905965445</v>
      </c>
      <c r="X2067" s="2">
        <f ca="1"/>
        <v>25.173458482024117</v>
      </c>
      <c r="AG2067" s="2">
        <f ca="1"/>
        <v>9.4991200381332908E-2</v>
      </c>
      <c r="AH2067" s="2" t="str">
        <f ca="1"/>
        <v>OK</v>
      </c>
    </row>
    <row r="2068" spans="2:34" x14ac:dyDescent="0.2">
      <c r="B2068" s="2">
        <f ca="1"/>
        <v>0.67632759580494106</v>
      </c>
      <c r="O2068" s="2">
        <f ca="1"/>
        <v>0.7139925892123572</v>
      </c>
      <c r="X2068" s="2">
        <f ca="1"/>
        <v>49.057088686571532</v>
      </c>
      <c r="AG2068" s="2">
        <f ca="1"/>
        <v>0.74801715068072938</v>
      </c>
      <c r="AH2068" s="2" t="str">
        <f ca="1"/>
        <v>Bad</v>
      </c>
    </row>
    <row r="2069" spans="2:34" x14ac:dyDescent="0.2">
      <c r="B2069" s="2">
        <f ca="1"/>
        <v>0.29651388540229351</v>
      </c>
      <c r="O2069" s="2">
        <f ca="1"/>
        <v>0.47315448150097605</v>
      </c>
      <c r="X2069" s="2">
        <f ca="1"/>
        <v>43.733599713708706</v>
      </c>
      <c r="AG2069" s="2">
        <f ca="1"/>
        <v>0.54231457446244824</v>
      </c>
      <c r="AH2069" s="2" t="str">
        <f ca="1"/>
        <v>Bad</v>
      </c>
    </row>
    <row r="2070" spans="2:34" x14ac:dyDescent="0.2">
      <c r="B2070" s="2">
        <f ca="1"/>
        <v>0.23835206371365425</v>
      </c>
      <c r="O2070" s="2">
        <f ca="1"/>
        <v>-1.0842689911459273</v>
      </c>
      <c r="X2070" s="2">
        <f ca="1"/>
        <v>50.258460255714624</v>
      </c>
      <c r="AG2070" s="2">
        <f ca="1"/>
        <v>0.81638894068095036</v>
      </c>
      <c r="AH2070" s="2" t="str">
        <f ca="1"/>
        <v>Bad</v>
      </c>
    </row>
    <row r="2071" spans="2:34" x14ac:dyDescent="0.2">
      <c r="B2071" s="2">
        <f ca="1"/>
        <v>0.90452185330589474</v>
      </c>
      <c r="O2071" s="2">
        <f ca="1"/>
        <v>0.41033872626035173</v>
      </c>
      <c r="X2071" s="2">
        <f ca="1"/>
        <v>83.787849233228414</v>
      </c>
      <c r="AG2071" s="2">
        <f ca="1"/>
        <v>0.10152211475944939</v>
      </c>
      <c r="AH2071" s="2" t="str">
        <f ca="1"/>
        <v>OK</v>
      </c>
    </row>
    <row r="2072" spans="2:34" x14ac:dyDescent="0.2">
      <c r="B2072" s="2">
        <f ca="1"/>
        <v>0.49089618477081731</v>
      </c>
      <c r="O2072" s="2">
        <f ca="1"/>
        <v>-0.30872760907532176</v>
      </c>
      <c r="X2072" s="2">
        <f ca="1"/>
        <v>58.956115429597176</v>
      </c>
      <c r="AG2072" s="2">
        <f ca="1"/>
        <v>0.28303025400375104</v>
      </c>
      <c r="AH2072" s="2" t="str">
        <f ca="1"/>
        <v>OK</v>
      </c>
    </row>
    <row r="2073" spans="2:34" x14ac:dyDescent="0.2">
      <c r="B2073" s="2">
        <f ca="1"/>
        <v>0.11255170809358184</v>
      </c>
      <c r="O2073" s="2">
        <f ca="1"/>
        <v>-0.11672701662996797</v>
      </c>
      <c r="X2073" s="2">
        <f ca="1"/>
        <v>62.894230401185062</v>
      </c>
      <c r="AG2073" s="2">
        <f ca="1"/>
        <v>0.78369613045173914</v>
      </c>
      <c r="AH2073" s="2" t="str">
        <f ca="1"/>
        <v>Bad</v>
      </c>
    </row>
    <row r="2074" spans="2:34" x14ac:dyDescent="0.2">
      <c r="B2074" s="2">
        <f ca="1"/>
        <v>2.6777224543497846E-2</v>
      </c>
      <c r="O2074" s="2">
        <f ca="1"/>
        <v>-0.9907923720993479</v>
      </c>
      <c r="X2074" s="2">
        <f ca="1"/>
        <v>57.085348665302085</v>
      </c>
      <c r="AG2074" s="2">
        <f ca="1"/>
        <v>0.94676404410543324</v>
      </c>
      <c r="AH2074" s="2" t="str">
        <f ca="1"/>
        <v>Bad</v>
      </c>
    </row>
    <row r="2075" spans="2:34" x14ac:dyDescent="0.2">
      <c r="B2075" s="2">
        <f ca="1"/>
        <v>0.51359878124835912</v>
      </c>
      <c r="O2075" s="2">
        <f ca="1"/>
        <v>-7.7616320962917998E-2</v>
      </c>
      <c r="X2075" s="2">
        <f ca="1"/>
        <v>58.385523820849848</v>
      </c>
      <c r="AG2075" s="2">
        <f ca="1"/>
        <v>0.34227237364463248</v>
      </c>
      <c r="AH2075" s="2" t="str">
        <f ca="1"/>
        <v>OK</v>
      </c>
    </row>
    <row r="2076" spans="2:34" x14ac:dyDescent="0.2">
      <c r="B2076" s="2">
        <f ca="1"/>
        <v>0.77579462495600415</v>
      </c>
      <c r="O2076" s="2">
        <f ca="1"/>
        <v>-0.5165457885801028</v>
      </c>
      <c r="X2076" s="2">
        <f ca="1"/>
        <v>65.053730138569065</v>
      </c>
      <c r="AG2076" s="2">
        <f ca="1"/>
        <v>0.64770674149232765</v>
      </c>
      <c r="AH2076" s="2" t="str">
        <f ca="1"/>
        <v>Bad</v>
      </c>
    </row>
    <row r="2077" spans="2:34" x14ac:dyDescent="0.2">
      <c r="B2077" s="2">
        <f ca="1"/>
        <v>0.73662752992689939</v>
      </c>
      <c r="O2077" s="2">
        <f ca="1"/>
        <v>-0.69276560404553977</v>
      </c>
      <c r="X2077" s="2">
        <f ca="1"/>
        <v>55.651234578872398</v>
      </c>
      <c r="AG2077" s="2">
        <f ca="1"/>
        <v>0.22740904868483458</v>
      </c>
      <c r="AH2077" s="2" t="str">
        <f ca="1"/>
        <v>OK</v>
      </c>
    </row>
    <row r="2078" spans="2:34" x14ac:dyDescent="0.2">
      <c r="B2078" s="2">
        <f ca="1"/>
        <v>0.41452950185570958</v>
      </c>
      <c r="O2078" s="2">
        <f ca="1"/>
        <v>0.96214798819305802</v>
      </c>
      <c r="X2078" s="2">
        <f ca="1"/>
        <v>68.378199666275819</v>
      </c>
      <c r="AG2078" s="2">
        <f ca="1"/>
        <v>0.28428366017672579</v>
      </c>
      <c r="AH2078" s="2" t="str">
        <f ca="1"/>
        <v>OK</v>
      </c>
    </row>
    <row r="2079" spans="2:34" x14ac:dyDescent="0.2">
      <c r="B2079" s="2">
        <f ca="1"/>
        <v>0.8828050980305282</v>
      </c>
      <c r="O2079" s="2">
        <f ca="1"/>
        <v>-5.4581616942285006E-3</v>
      </c>
      <c r="X2079" s="2">
        <f ca="1"/>
        <v>63.306768364113367</v>
      </c>
      <c r="AG2079" s="2">
        <f ca="1"/>
        <v>0.79019811122774186</v>
      </c>
      <c r="AH2079" s="2" t="str">
        <f ca="1"/>
        <v>Bad</v>
      </c>
    </row>
    <row r="2080" spans="2:34" x14ac:dyDescent="0.2">
      <c r="B2080" s="2">
        <f ca="1"/>
        <v>0.15110535663800517</v>
      </c>
      <c r="O2080" s="2">
        <f ca="1"/>
        <v>-0.38255560764075647</v>
      </c>
      <c r="X2080" s="2">
        <f ca="1"/>
        <v>35.944466241686065</v>
      </c>
      <c r="AG2080" s="2">
        <f ca="1"/>
        <v>0.20819104416381773</v>
      </c>
      <c r="AH2080" s="2" t="str">
        <f ca="1"/>
        <v>OK</v>
      </c>
    </row>
    <row r="2081" spans="2:34" x14ac:dyDescent="0.2">
      <c r="B2081" s="2">
        <f ca="1"/>
        <v>0.98250824244830293</v>
      </c>
      <c r="O2081" s="2">
        <f ca="1"/>
        <v>0.34392193681402694</v>
      </c>
      <c r="X2081" s="2">
        <f ca="1"/>
        <v>34.454240270519989</v>
      </c>
      <c r="AG2081" s="2">
        <f ca="1"/>
        <v>0.795353850065039</v>
      </c>
      <c r="AH2081" s="2" t="str">
        <f ca="1"/>
        <v>Bad</v>
      </c>
    </row>
    <row r="2082" spans="2:34" x14ac:dyDescent="0.2">
      <c r="B2082" s="2">
        <f ca="1"/>
        <v>0.15898212514422849</v>
      </c>
      <c r="O2082" s="2">
        <f ca="1"/>
        <v>3.049648352288826</v>
      </c>
      <c r="X2082" s="2">
        <f ca="1"/>
        <v>71.531815818157028</v>
      </c>
      <c r="AG2082" s="2">
        <f ca="1"/>
        <v>0.69442233981224288</v>
      </c>
      <c r="AH2082" s="2" t="str">
        <f ca="1"/>
        <v>Bad</v>
      </c>
    </row>
    <row r="2083" spans="2:34" x14ac:dyDescent="0.2">
      <c r="B2083" s="2">
        <f ca="1"/>
        <v>0.61088993384848123</v>
      </c>
      <c r="O2083" s="2">
        <f ca="1"/>
        <v>-0.81986213538071628</v>
      </c>
      <c r="X2083" s="2">
        <f ca="1"/>
        <v>53.535656628625887</v>
      </c>
      <c r="AG2083" s="2">
        <f ca="1"/>
        <v>8.6302394058605625E-2</v>
      </c>
      <c r="AH2083" s="2" t="str">
        <f ca="1"/>
        <v>OK</v>
      </c>
    </row>
    <row r="2084" spans="2:34" x14ac:dyDescent="0.2">
      <c r="B2084" s="2">
        <f ca="1"/>
        <v>0.67959388695911738</v>
      </c>
      <c r="O2084" s="2">
        <f ca="1"/>
        <v>-0.75595468413858302</v>
      </c>
      <c r="X2084" s="2">
        <f ca="1"/>
        <v>44.63982822797621</v>
      </c>
      <c r="AG2084" s="2">
        <f ca="1"/>
        <v>0.30441408632422684</v>
      </c>
      <c r="AH2084" s="2" t="str">
        <f ca="1"/>
        <v>OK</v>
      </c>
    </row>
    <row r="2085" spans="2:34" x14ac:dyDescent="0.2">
      <c r="B2085" s="2">
        <f ca="1"/>
        <v>0.57812783596370609</v>
      </c>
      <c r="O2085" s="2">
        <f ca="1"/>
        <v>2.1965791228986546</v>
      </c>
      <c r="X2085" s="2">
        <f ca="1"/>
        <v>58.758445881837559</v>
      </c>
      <c r="AG2085" s="2">
        <f ca="1"/>
        <v>0.39401323891581752</v>
      </c>
      <c r="AH2085" s="2" t="str">
        <f ca="1"/>
        <v>OK</v>
      </c>
    </row>
    <row r="2086" spans="2:34" x14ac:dyDescent="0.2">
      <c r="B2086" s="2">
        <f ca="1"/>
        <v>0.59716886201999553</v>
      </c>
      <c r="O2086" s="2">
        <f ca="1"/>
        <v>-0.12370381378405426</v>
      </c>
      <c r="X2086" s="2">
        <f ca="1"/>
        <v>36.270674279633099</v>
      </c>
      <c r="AG2086" s="2">
        <f ca="1"/>
        <v>0.20517287006605223</v>
      </c>
      <c r="AH2086" s="2" t="str">
        <f ca="1"/>
        <v>OK</v>
      </c>
    </row>
    <row r="2087" spans="2:34" x14ac:dyDescent="0.2">
      <c r="B2087" s="2">
        <f ca="1"/>
        <v>0.89188290066973219</v>
      </c>
      <c r="O2087" s="2">
        <f ca="1"/>
        <v>-0.52677425829081703</v>
      </c>
      <c r="X2087" s="2">
        <f ca="1"/>
        <v>63.967229899095635</v>
      </c>
      <c r="AG2087" s="2">
        <f ca="1"/>
        <v>0.26180718343661091</v>
      </c>
      <c r="AH2087" s="2" t="str">
        <f ca="1"/>
        <v>OK</v>
      </c>
    </row>
    <row r="2088" spans="2:34" x14ac:dyDescent="0.2">
      <c r="B2088" s="2">
        <f ca="1"/>
        <v>0.4734495194428725</v>
      </c>
      <c r="O2088" s="2">
        <f ca="1"/>
        <v>1.3710749067563455</v>
      </c>
      <c r="X2088" s="2">
        <f ca="1"/>
        <v>36.266815993927928</v>
      </c>
      <c r="AG2088" s="2">
        <f ca="1"/>
        <v>0.27936773335857068</v>
      </c>
      <c r="AH2088" s="2" t="str">
        <f ca="1"/>
        <v>OK</v>
      </c>
    </row>
    <row r="2089" spans="2:34" x14ac:dyDescent="0.2">
      <c r="B2089" s="2">
        <f ca="1"/>
        <v>0.23268682407457453</v>
      </c>
      <c r="O2089" s="2">
        <f ca="1"/>
        <v>0.15859491418441221</v>
      </c>
      <c r="X2089" s="2">
        <f ca="1"/>
        <v>25.385070103419388</v>
      </c>
      <c r="AG2089" s="2">
        <f ca="1"/>
        <v>0.16915501990176351</v>
      </c>
      <c r="AH2089" s="2" t="str">
        <f ca="1"/>
        <v>OK</v>
      </c>
    </row>
    <row r="2090" spans="2:34" x14ac:dyDescent="0.2">
      <c r="B2090" s="2">
        <f ca="1"/>
        <v>0.31579060473946496</v>
      </c>
      <c r="O2090" s="2">
        <f ca="1"/>
        <v>1.8999854728888694</v>
      </c>
      <c r="X2090" s="2">
        <f ca="1"/>
        <v>26.81532783718761</v>
      </c>
      <c r="AG2090" s="2">
        <f ca="1"/>
        <v>0.49379111217290972</v>
      </c>
      <c r="AH2090" s="2" t="str">
        <f ca="1"/>
        <v>Bad</v>
      </c>
    </row>
    <row r="2091" spans="2:34" x14ac:dyDescent="0.2">
      <c r="B2091" s="2">
        <f ca="1"/>
        <v>0.27557146927076892</v>
      </c>
      <c r="O2091" s="2">
        <f ca="1"/>
        <v>-0.78034398987299813</v>
      </c>
      <c r="X2091" s="2">
        <f ca="1"/>
        <v>63.651024074719309</v>
      </c>
      <c r="AG2091" s="2">
        <f ca="1"/>
        <v>0.89257115138956977</v>
      </c>
      <c r="AH2091" s="2" t="str">
        <f ca="1"/>
        <v>Bad</v>
      </c>
    </row>
    <row r="2092" spans="2:34" x14ac:dyDescent="0.2">
      <c r="B2092" s="2">
        <f ca="1"/>
        <v>0.79075836778194319</v>
      </c>
      <c r="O2092" s="2">
        <f ca="1"/>
        <v>0.95875701616054154</v>
      </c>
      <c r="X2092" s="2">
        <f ca="1"/>
        <v>59.136127710409255</v>
      </c>
      <c r="AG2092" s="2">
        <f ca="1"/>
        <v>0.10790188833215897</v>
      </c>
      <c r="AH2092" s="2" t="str">
        <f ca="1"/>
        <v>OK</v>
      </c>
    </row>
    <row r="2093" spans="2:34" x14ac:dyDescent="0.2">
      <c r="B2093" s="2">
        <f ca="1"/>
        <v>0.9118488072941513</v>
      </c>
      <c r="O2093" s="2">
        <f ca="1"/>
        <v>-4.3514574149128259E-2</v>
      </c>
      <c r="X2093" s="2">
        <f ca="1"/>
        <v>62.041686028858848</v>
      </c>
      <c r="AG2093" s="2">
        <f ca="1"/>
        <v>0.94304321126812996</v>
      </c>
      <c r="AH2093" s="2" t="str">
        <f ca="1"/>
        <v>Bad</v>
      </c>
    </row>
    <row r="2094" spans="2:34" x14ac:dyDescent="0.2">
      <c r="B2094" s="2">
        <f ca="1"/>
        <v>0.70005632964024667</v>
      </c>
      <c r="O2094" s="2">
        <f ca="1"/>
        <v>1.4485901194031761</v>
      </c>
      <c r="X2094" s="2">
        <f ca="1"/>
        <v>52.670966609356789</v>
      </c>
      <c r="AG2094" s="2">
        <f ca="1"/>
        <v>0.52078375177486613</v>
      </c>
      <c r="AH2094" s="2" t="str">
        <f ca="1"/>
        <v>Bad</v>
      </c>
    </row>
    <row r="2095" spans="2:34" x14ac:dyDescent="0.2">
      <c r="B2095" s="2">
        <f ca="1"/>
        <v>0.39939832950586918</v>
      </c>
      <c r="O2095" s="2">
        <f ca="1"/>
        <v>0.18781231523949538</v>
      </c>
      <c r="X2095" s="2">
        <f ca="1"/>
        <v>17.031909137022783</v>
      </c>
      <c r="AG2095" s="2">
        <f ca="1"/>
        <v>0.12324690346415235</v>
      </c>
      <c r="AH2095" s="2" t="str">
        <f ca="1"/>
        <v>OK</v>
      </c>
    </row>
    <row r="2096" spans="2:34" x14ac:dyDescent="0.2">
      <c r="B2096" s="2">
        <f ca="1"/>
        <v>0.95523797859782755</v>
      </c>
      <c r="O2096" s="2">
        <f ca="1"/>
        <v>-3.0741848083265223E-2</v>
      </c>
      <c r="X2096" s="2">
        <f ca="1"/>
        <v>39.741690727041409</v>
      </c>
      <c r="AG2096" s="2">
        <f ca="1"/>
        <v>0.29454639262289195</v>
      </c>
      <c r="AH2096" s="2" t="str">
        <f ca="1"/>
        <v>OK</v>
      </c>
    </row>
    <row r="2097" spans="2:34" x14ac:dyDescent="0.2">
      <c r="B2097" s="2">
        <f ca="1"/>
        <v>0.61760310338544233</v>
      </c>
      <c r="O2097" s="2">
        <f ca="1"/>
        <v>-0.19910590959190747</v>
      </c>
      <c r="X2097" s="2">
        <f ca="1"/>
        <v>48.535227097013369</v>
      </c>
      <c r="AG2097" s="2">
        <f ca="1"/>
        <v>0.55658808765390044</v>
      </c>
      <c r="AH2097" s="2" t="str">
        <f ca="1"/>
        <v>Bad</v>
      </c>
    </row>
    <row r="2098" spans="2:34" x14ac:dyDescent="0.2">
      <c r="B2098" s="2">
        <f ca="1"/>
        <v>0.45292910973291844</v>
      </c>
      <c r="O2098" s="2">
        <f ca="1"/>
        <v>-1.0113793517732059</v>
      </c>
      <c r="X2098" s="2">
        <f ca="1"/>
        <v>47.841757636164402</v>
      </c>
      <c r="AG2098" s="2">
        <f ca="1"/>
        <v>0.42754968153450612</v>
      </c>
      <c r="AH2098" s="2" t="str">
        <f ca="1"/>
        <v>Bad</v>
      </c>
    </row>
    <row r="2099" spans="2:34" x14ac:dyDescent="0.2">
      <c r="B2099" s="2">
        <f ca="1"/>
        <v>0.73039697487309319</v>
      </c>
      <c r="O2099" s="2">
        <f ca="1"/>
        <v>-0.98923411288139684</v>
      </c>
      <c r="X2099" s="2">
        <f ca="1"/>
        <v>33.656254795478844</v>
      </c>
      <c r="AG2099" s="2">
        <f ca="1"/>
        <v>0.28429084951845818</v>
      </c>
      <c r="AH2099" s="2" t="str">
        <f ca="1"/>
        <v>OK</v>
      </c>
    </row>
    <row r="2100" spans="2:34" x14ac:dyDescent="0.2">
      <c r="B2100" s="2">
        <f ca="1"/>
        <v>0.49842928667827846</v>
      </c>
      <c r="O2100" s="2">
        <f ca="1"/>
        <v>-0.37486945054052973</v>
      </c>
      <c r="X2100" s="2">
        <f ca="1"/>
        <v>65.170181199061588</v>
      </c>
      <c r="AG2100" s="2">
        <f ca="1"/>
        <v>0.55116993361577804</v>
      </c>
      <c r="AH2100" s="2" t="str">
        <f ca="1"/>
        <v>Bad</v>
      </c>
    </row>
    <row r="2101" spans="2:34" x14ac:dyDescent="0.2">
      <c r="B2101" s="2">
        <f ca="1"/>
        <v>0.88767574361224755</v>
      </c>
      <c r="O2101" s="2">
        <f ca="1"/>
        <v>-0.22159674029420418</v>
      </c>
      <c r="X2101" s="2">
        <f ca="1"/>
        <v>37.161620031656845</v>
      </c>
      <c r="AG2101" s="2">
        <f ca="1"/>
        <v>0.59774972249771663</v>
      </c>
      <c r="AH2101" s="2" t="str">
        <f ca="1"/>
        <v>Bad</v>
      </c>
    </row>
    <row r="2102" spans="2:34" x14ac:dyDescent="0.2">
      <c r="B2102" s="2">
        <f ca="1"/>
        <v>0.87990475778104882</v>
      </c>
      <c r="O2102" s="2">
        <f ca="1"/>
        <v>-0.93387580802642567</v>
      </c>
      <c r="X2102" s="2">
        <f ca="1"/>
        <v>45.084795952873016</v>
      </c>
      <c r="AG2102" s="2">
        <f ca="1"/>
        <v>7.6181892356190994E-2</v>
      </c>
      <c r="AH2102" s="2" t="str">
        <f ca="1"/>
        <v>OK</v>
      </c>
    </row>
    <row r="2103" spans="2:34" x14ac:dyDescent="0.2">
      <c r="B2103" s="2">
        <f ca="1"/>
        <v>0.13155191597993809</v>
      </c>
      <c r="O2103" s="2">
        <f ca="1"/>
        <v>-0.8127363775786941</v>
      </c>
      <c r="X2103" s="2">
        <f ca="1"/>
        <v>73.265213816920323</v>
      </c>
      <c r="AG2103" s="2">
        <f ca="1"/>
        <v>0.31255575906705846</v>
      </c>
      <c r="AH2103" s="2" t="str">
        <f ca="1"/>
        <v>OK</v>
      </c>
    </row>
    <row r="2104" spans="2:34" x14ac:dyDescent="0.2">
      <c r="B2104" s="2">
        <f ca="1"/>
        <v>0.62206175321955182</v>
      </c>
      <c r="O2104" s="2">
        <f ca="1"/>
        <v>-2.0234324716878236</v>
      </c>
      <c r="X2104" s="2">
        <f ca="1"/>
        <v>47.402168491297701</v>
      </c>
      <c r="AG2104" s="2">
        <f ca="1"/>
        <v>0.9820109176415297</v>
      </c>
      <c r="AH2104" s="2" t="str">
        <f ca="1"/>
        <v>Bad</v>
      </c>
    </row>
    <row r="2105" spans="2:34" x14ac:dyDescent="0.2">
      <c r="B2105" s="2">
        <f ca="1"/>
        <v>0.50467385029586653</v>
      </c>
      <c r="O2105" s="2">
        <f ca="1"/>
        <v>1.0059753103888491</v>
      </c>
      <c r="X2105" s="2">
        <f ca="1"/>
        <v>52.510900826451973</v>
      </c>
      <c r="AG2105" s="2">
        <f ca="1"/>
        <v>0.75823906910982841</v>
      </c>
      <c r="AH2105" s="2" t="str">
        <f ca="1"/>
        <v>Bad</v>
      </c>
    </row>
    <row r="2106" spans="2:34" x14ac:dyDescent="0.2">
      <c r="B2106" s="2">
        <f ca="1"/>
        <v>0.25124769105562472</v>
      </c>
      <c r="O2106" s="2">
        <f ca="1"/>
        <v>-0.10446335952398034</v>
      </c>
      <c r="X2106" s="2">
        <f ca="1"/>
        <v>25.544543924288931</v>
      </c>
      <c r="AG2106" s="2">
        <f ca="1"/>
        <v>0.34606458402846774</v>
      </c>
      <c r="AH2106" s="2" t="str">
        <f ca="1"/>
        <v>OK</v>
      </c>
    </row>
    <row r="2107" spans="2:34" x14ac:dyDescent="0.2">
      <c r="B2107" s="2">
        <f ca="1"/>
        <v>0.98132954161813846</v>
      </c>
      <c r="O2107" s="2">
        <f ca="1"/>
        <v>0.68231254401925323</v>
      </c>
      <c r="X2107" s="2">
        <f ca="1"/>
        <v>43.045301158952356</v>
      </c>
      <c r="AG2107" s="2">
        <f ca="1"/>
        <v>0.5779120896402572</v>
      </c>
      <c r="AH2107" s="2" t="str">
        <f ca="1"/>
        <v>Bad</v>
      </c>
    </row>
    <row r="2108" spans="2:34" x14ac:dyDescent="0.2">
      <c r="B2108" s="2">
        <f ca="1"/>
        <v>0.53432930557828162</v>
      </c>
      <c r="O2108" s="2">
        <f ca="1"/>
        <v>-0.69106274711995352</v>
      </c>
      <c r="X2108" s="2">
        <f ca="1"/>
        <v>41.394242560561771</v>
      </c>
      <c r="AG2108" s="2">
        <f ca="1"/>
        <v>0.90125611290720142</v>
      </c>
      <c r="AH2108" s="2" t="str">
        <f ca="1"/>
        <v>Bad</v>
      </c>
    </row>
    <row r="2109" spans="2:34" x14ac:dyDescent="0.2">
      <c r="B2109" s="2">
        <f ca="1"/>
        <v>0.86291741130339794</v>
      </c>
      <c r="O2109" s="2">
        <f ca="1"/>
        <v>1.6745684315386296</v>
      </c>
      <c r="X2109" s="2">
        <f ca="1"/>
        <v>51.836068728367366</v>
      </c>
      <c r="AG2109" s="2">
        <f ca="1"/>
        <v>0.31122383781098373</v>
      </c>
      <c r="AH2109" s="2" t="str">
        <f ca="1"/>
        <v>OK</v>
      </c>
    </row>
    <row r="2110" spans="2:34" x14ac:dyDescent="0.2">
      <c r="B2110" s="2">
        <f ca="1"/>
        <v>0.22264932298409934</v>
      </c>
      <c r="O2110" s="2">
        <f ca="1"/>
        <v>-0.87930935586379122</v>
      </c>
      <c r="X2110" s="2">
        <f ca="1"/>
        <v>71.583925723968875</v>
      </c>
      <c r="AG2110" s="2">
        <f ca="1"/>
        <v>0.1464954275106789</v>
      </c>
      <c r="AH2110" s="2" t="str">
        <f ca="1"/>
        <v>OK</v>
      </c>
    </row>
    <row r="2111" spans="2:34" x14ac:dyDescent="0.2">
      <c r="B2111" s="2">
        <f ca="1"/>
        <v>0.22321314866412911</v>
      </c>
      <c r="O2111" s="2">
        <f ca="1"/>
        <v>1.5872245850572233</v>
      </c>
      <c r="X2111" s="2">
        <f ca="1"/>
        <v>68.86710098741041</v>
      </c>
      <c r="AG2111" s="2">
        <f ca="1"/>
        <v>0.68791280548670852</v>
      </c>
      <c r="AH2111" s="2" t="str">
        <f ca="1"/>
        <v>Bad</v>
      </c>
    </row>
    <row r="2112" spans="2:34" x14ac:dyDescent="0.2">
      <c r="B2112" s="2">
        <f ca="1"/>
        <v>0.75628530156917551</v>
      </c>
      <c r="O2112" s="2">
        <f ca="1"/>
        <v>0.55355927268520011</v>
      </c>
      <c r="X2112" s="2">
        <f ca="1"/>
        <v>44.578700797689407</v>
      </c>
      <c r="AG2112" s="2">
        <f ca="1"/>
        <v>0.21710759214462239</v>
      </c>
      <c r="AH2112" s="2" t="str">
        <f ca="1"/>
        <v>OK</v>
      </c>
    </row>
    <row r="2113" spans="2:34" x14ac:dyDescent="0.2">
      <c r="B2113" s="2">
        <f ca="1"/>
        <v>0.12373164958059202</v>
      </c>
      <c r="O2113" s="2">
        <f ca="1"/>
        <v>-0.29331064054633121</v>
      </c>
      <c r="X2113" s="2">
        <f ca="1"/>
        <v>37.853940830839889</v>
      </c>
      <c r="AG2113" s="2">
        <f ca="1"/>
        <v>0.5557104346552042</v>
      </c>
      <c r="AH2113" s="2" t="str">
        <f ca="1"/>
        <v>Bad</v>
      </c>
    </row>
    <row r="2114" spans="2:34" x14ac:dyDescent="0.2">
      <c r="B2114" s="2">
        <f ca="1"/>
        <v>0.56493860974307664</v>
      </c>
      <c r="O2114" s="2">
        <f ca="1"/>
        <v>0.64494788699110683</v>
      </c>
      <c r="X2114" s="2">
        <f ca="1"/>
        <v>37.239342650639244</v>
      </c>
      <c r="AG2114" s="2">
        <f ca="1"/>
        <v>5.5809084801269337E-2</v>
      </c>
      <c r="AH2114" s="2" t="str">
        <f ca="1"/>
        <v>OK</v>
      </c>
    </row>
    <row r="2115" spans="2:34" x14ac:dyDescent="0.2">
      <c r="B2115" s="2">
        <f ca="1"/>
        <v>0.28372157354840377</v>
      </c>
      <c r="O2115" s="2">
        <f ca="1"/>
        <v>-0.87489358240411252</v>
      </c>
      <c r="X2115" s="2">
        <f ca="1"/>
        <v>53.650755737168154</v>
      </c>
      <c r="AG2115" s="2">
        <f ca="1"/>
        <v>0.62707956457244296</v>
      </c>
      <c r="AH2115" s="2" t="str">
        <f ca="1"/>
        <v>Bad</v>
      </c>
    </row>
    <row r="2116" spans="2:34" x14ac:dyDescent="0.2">
      <c r="B2116" s="2">
        <f ca="1"/>
        <v>0.76505643161992132</v>
      </c>
      <c r="O2116" s="2">
        <f ca="1"/>
        <v>-0.68323419998699775</v>
      </c>
      <c r="X2116" s="2">
        <f ca="1"/>
        <v>63.657455730665966</v>
      </c>
      <c r="AG2116" s="2">
        <f ca="1"/>
        <v>0.45515734442704003</v>
      </c>
      <c r="AH2116" s="2" t="str">
        <f ca="1"/>
        <v>Bad</v>
      </c>
    </row>
    <row r="2117" spans="2:34" x14ac:dyDescent="0.2">
      <c r="B2117" s="2">
        <f ca="1"/>
        <v>0.17956071443572386</v>
      </c>
      <c r="O2117" s="2">
        <f ca="1"/>
        <v>-0.72374219844871268</v>
      </c>
      <c r="X2117" s="2">
        <f ca="1"/>
        <v>66.249402680291283</v>
      </c>
      <c r="AG2117" s="2">
        <f ca="1"/>
        <v>0.72058879924210228</v>
      </c>
      <c r="AH2117" s="2" t="str">
        <f ca="1"/>
        <v>Bad</v>
      </c>
    </row>
    <row r="2118" spans="2:34" x14ac:dyDescent="0.2">
      <c r="B2118" s="2">
        <f ca="1"/>
        <v>0.56291468733421102</v>
      </c>
      <c r="O2118" s="2">
        <f ca="1"/>
        <v>0.37135112500297707</v>
      </c>
      <c r="X2118" s="2">
        <f ca="1"/>
        <v>79.757876466394904</v>
      </c>
      <c r="AG2118" s="2">
        <f ca="1"/>
        <v>0.14626799379923705</v>
      </c>
      <c r="AH2118" s="2" t="str">
        <f ca="1"/>
        <v>OK</v>
      </c>
    </row>
    <row r="2119" spans="2:34" x14ac:dyDescent="0.2">
      <c r="B2119" s="2">
        <f ca="1"/>
        <v>0.60158982684274553</v>
      </c>
      <c r="O2119" s="2">
        <f ca="1"/>
        <v>-0.83339435967552011</v>
      </c>
      <c r="X2119" s="2">
        <f ca="1"/>
        <v>43.592783890226229</v>
      </c>
      <c r="AG2119" s="2">
        <f ca="1"/>
        <v>0.91370539058468281</v>
      </c>
      <c r="AH2119" s="2" t="str">
        <f ca="1"/>
        <v>Bad</v>
      </c>
    </row>
    <row r="2120" spans="2:34" x14ac:dyDescent="0.2">
      <c r="B2120" s="2">
        <f ca="1"/>
        <v>0.48530337004085089</v>
      </c>
      <c r="O2120" s="2">
        <f ca="1"/>
        <v>-0.62445426886591104</v>
      </c>
      <c r="X2120" s="2">
        <f ca="1"/>
        <v>42.069730656955116</v>
      </c>
      <c r="AG2120" s="2">
        <f ca="1"/>
        <v>0.60142894290413662</v>
      </c>
      <c r="AH2120" s="2" t="str">
        <f ca="1"/>
        <v>Bad</v>
      </c>
    </row>
    <row r="2121" spans="2:34" x14ac:dyDescent="0.2">
      <c r="B2121" s="2">
        <f ca="1"/>
        <v>3.4079319308094158E-2</v>
      </c>
      <c r="O2121" s="2">
        <f ca="1"/>
        <v>-2.4791718438816872</v>
      </c>
      <c r="X2121" s="2">
        <f ca="1"/>
        <v>48.86228765443483</v>
      </c>
      <c r="AG2121" s="2">
        <f ca="1"/>
        <v>0.15075160395289133</v>
      </c>
      <c r="AH2121" s="2" t="str">
        <f ca="1"/>
        <v>OK</v>
      </c>
    </row>
    <row r="2122" spans="2:34" x14ac:dyDescent="0.2">
      <c r="B2122" s="2">
        <f ca="1"/>
        <v>0.29477231196093401</v>
      </c>
      <c r="O2122" s="2">
        <f ca="1"/>
        <v>0.34748922018414286</v>
      </c>
      <c r="X2122" s="2">
        <f ca="1"/>
        <v>56.244200504405946</v>
      </c>
      <c r="AG2122" s="2">
        <f ca="1"/>
        <v>0.24446321271857707</v>
      </c>
      <c r="AH2122" s="2" t="str">
        <f ca="1"/>
        <v>OK</v>
      </c>
    </row>
    <row r="2123" spans="2:34" x14ac:dyDescent="0.2">
      <c r="B2123" s="2">
        <f ca="1"/>
        <v>0.33579688077893977</v>
      </c>
      <c r="O2123" s="2">
        <f ca="1"/>
        <v>0.1667783110244935</v>
      </c>
      <c r="X2123" s="2">
        <f ca="1"/>
        <v>36.241791488100759</v>
      </c>
      <c r="AG2123" s="2">
        <f ca="1"/>
        <v>0.15165698643414238</v>
      </c>
      <c r="AH2123" s="2" t="str">
        <f ca="1"/>
        <v>OK</v>
      </c>
    </row>
    <row r="2124" spans="2:34" x14ac:dyDescent="0.2">
      <c r="B2124" s="2">
        <f ca="1"/>
        <v>0.76870397498700505</v>
      </c>
      <c r="O2124" s="2">
        <f ca="1"/>
        <v>4.148155680878008E-2</v>
      </c>
      <c r="X2124" s="2">
        <f ca="1"/>
        <v>36.140775057217446</v>
      </c>
      <c r="AG2124" s="2">
        <f ca="1"/>
        <v>0.5813166284107949</v>
      </c>
      <c r="AH2124" s="2" t="str">
        <f ca="1"/>
        <v>Bad</v>
      </c>
    </row>
    <row r="2125" spans="2:34" x14ac:dyDescent="0.2">
      <c r="B2125" s="2">
        <f ca="1"/>
        <v>0.43335165576433843</v>
      </c>
      <c r="O2125" s="2">
        <f ca="1"/>
        <v>0.33850305915531598</v>
      </c>
      <c r="X2125" s="2">
        <f ca="1"/>
        <v>67.743946157044689</v>
      </c>
      <c r="AG2125" s="2">
        <f ca="1"/>
        <v>5.9267074802205499E-2</v>
      </c>
      <c r="AH2125" s="2" t="str">
        <f ca="1"/>
        <v>OK</v>
      </c>
    </row>
    <row r="2126" spans="2:34" x14ac:dyDescent="0.2">
      <c r="B2126" s="2">
        <f ca="1"/>
        <v>0.48124613851999798</v>
      </c>
      <c r="O2126" s="2">
        <f ca="1"/>
        <v>1.0360091212722899</v>
      </c>
      <c r="X2126" s="2">
        <f ca="1"/>
        <v>62.19683220454349</v>
      </c>
      <c r="AG2126" s="2">
        <f ca="1"/>
        <v>0.94732409916987126</v>
      </c>
      <c r="AH2126" s="2" t="str">
        <f ca="1"/>
        <v>Bad</v>
      </c>
    </row>
    <row r="2127" spans="2:34" x14ac:dyDescent="0.2">
      <c r="B2127" s="2">
        <f ca="1"/>
        <v>0.34185542782392275</v>
      </c>
      <c r="O2127" s="2">
        <f ca="1"/>
        <v>0.75948123448501703</v>
      </c>
      <c r="X2127" s="2">
        <f ca="1"/>
        <v>63.050049271971318</v>
      </c>
      <c r="AG2127" s="2">
        <f ca="1"/>
        <v>0.98139371515877993</v>
      </c>
      <c r="AH2127" s="2" t="str">
        <f ca="1"/>
        <v>Bad</v>
      </c>
    </row>
    <row r="2128" spans="2:34" x14ac:dyDescent="0.2">
      <c r="B2128" s="2">
        <f ca="1"/>
        <v>0.14648217477336911</v>
      </c>
      <c r="O2128" s="2">
        <f ca="1"/>
        <v>-1.014251477155566</v>
      </c>
      <c r="X2128" s="2">
        <f ca="1"/>
        <v>32.095146165232016</v>
      </c>
      <c r="AG2128" s="2">
        <f ca="1"/>
        <v>0.14191515788289899</v>
      </c>
      <c r="AH2128" s="2" t="str">
        <f ca="1"/>
        <v>OK</v>
      </c>
    </row>
    <row r="2129" spans="2:34" x14ac:dyDescent="0.2">
      <c r="B2129" s="2">
        <f ca="1"/>
        <v>0.93955491560461146</v>
      </c>
      <c r="O2129" s="2">
        <f ca="1"/>
        <v>0.15330130075647769</v>
      </c>
      <c r="X2129" s="2">
        <f ca="1"/>
        <v>35.818669414327942</v>
      </c>
      <c r="AG2129" s="2">
        <f ca="1"/>
        <v>0.66847452193396517</v>
      </c>
      <c r="AH2129" s="2" t="str">
        <f ca="1"/>
        <v>Bad</v>
      </c>
    </row>
    <row r="2130" spans="2:34" x14ac:dyDescent="0.2">
      <c r="B2130" s="2">
        <f ca="1"/>
        <v>0.55014260725831465</v>
      </c>
      <c r="O2130" s="2">
        <f ca="1"/>
        <v>-0.81262152313826375</v>
      </c>
      <c r="X2130" s="2">
        <f ca="1"/>
        <v>29.459716065529818</v>
      </c>
      <c r="AG2130" s="2">
        <f ca="1"/>
        <v>0.49841268839893793</v>
      </c>
      <c r="AH2130" s="2" t="str">
        <f ca="1"/>
        <v>Bad</v>
      </c>
    </row>
    <row r="2131" spans="2:34" x14ac:dyDescent="0.2">
      <c r="B2131" s="2">
        <f ca="1"/>
        <v>8.4414362770725893E-2</v>
      </c>
      <c r="O2131" s="2">
        <f ca="1"/>
        <v>5.6679238875550118E-2</v>
      </c>
      <c r="X2131" s="2">
        <f ca="1"/>
        <v>73.47764709140786</v>
      </c>
      <c r="AG2131" s="2">
        <f ca="1"/>
        <v>0.14650184974762603</v>
      </c>
      <c r="AH2131" s="2" t="str">
        <f ca="1"/>
        <v>OK</v>
      </c>
    </row>
    <row r="2132" spans="2:34" x14ac:dyDescent="0.2">
      <c r="B2132" s="2">
        <f ca="1"/>
        <v>0.48399987500003516</v>
      </c>
      <c r="O2132" s="2">
        <f ca="1"/>
        <v>-0.76531643997707732</v>
      </c>
      <c r="X2132" s="2">
        <f ca="1"/>
        <v>74.83291888468051</v>
      </c>
      <c r="AG2132" s="2">
        <f ca="1"/>
        <v>0.12099498724859092</v>
      </c>
      <c r="AH2132" s="2" t="str">
        <f ca="1"/>
        <v>OK</v>
      </c>
    </row>
    <row r="2133" spans="2:34" x14ac:dyDescent="0.2">
      <c r="B2133" s="2">
        <f ca="1"/>
        <v>0.13076910065349634</v>
      </c>
      <c r="O2133" s="2">
        <f ca="1"/>
        <v>0.10543877663828811</v>
      </c>
      <c r="X2133" s="2">
        <f ca="1"/>
        <v>37.401011815966577</v>
      </c>
      <c r="AG2133" s="2">
        <f ca="1"/>
        <v>0.45656104549321608</v>
      </c>
      <c r="AH2133" s="2" t="str">
        <f ca="1"/>
        <v>Bad</v>
      </c>
    </row>
    <row r="2134" spans="2:34" x14ac:dyDescent="0.2">
      <c r="B2134" s="2">
        <f ca="1"/>
        <v>0.95029351824435371</v>
      </c>
      <c r="O2134" s="2">
        <f ca="1"/>
        <v>-0.25153597775844627</v>
      </c>
      <c r="X2134" s="2">
        <f ca="1"/>
        <v>48.108294325816175</v>
      </c>
      <c r="AG2134" s="2">
        <f ca="1"/>
        <v>0.97326009062860419</v>
      </c>
      <c r="AH2134" s="2" t="str">
        <f ca="1"/>
        <v>Bad</v>
      </c>
    </row>
    <row r="2135" spans="2:34" x14ac:dyDescent="0.2">
      <c r="B2135" s="2">
        <f ca="1"/>
        <v>0.36908484990251678</v>
      </c>
      <c r="O2135" s="2">
        <f ca="1"/>
        <v>0.36886418891746409</v>
      </c>
      <c r="X2135" s="2">
        <f ca="1"/>
        <v>45.701227335751781</v>
      </c>
      <c r="AG2135" s="2">
        <f ca="1"/>
        <v>0.99876167045662378</v>
      </c>
      <c r="AH2135" s="2" t="str">
        <f ca="1"/>
        <v>Bad</v>
      </c>
    </row>
    <row r="2136" spans="2:34" x14ac:dyDescent="0.2">
      <c r="B2136" s="2">
        <f ca="1"/>
        <v>0.78300320181746086</v>
      </c>
      <c r="O2136" s="2">
        <f ca="1"/>
        <v>-0.9736331773676401</v>
      </c>
      <c r="X2136" s="2">
        <f ca="1"/>
        <v>30.711449960375464</v>
      </c>
      <c r="AG2136" s="2">
        <f ca="1"/>
        <v>0.70707188217717376</v>
      </c>
      <c r="AH2136" s="2" t="str">
        <f ca="1"/>
        <v>Bad</v>
      </c>
    </row>
    <row r="2137" spans="2:34" x14ac:dyDescent="0.2">
      <c r="B2137" s="2">
        <f ca="1"/>
        <v>0.49186898241749155</v>
      </c>
      <c r="O2137" s="2">
        <f ca="1"/>
        <v>-1.2528934555927804</v>
      </c>
      <c r="X2137" s="2">
        <f ca="1"/>
        <v>50.557081668449953</v>
      </c>
      <c r="AG2137" s="2">
        <f ca="1"/>
        <v>6.6384567797793226E-2</v>
      </c>
      <c r="AH2137" s="2" t="str">
        <f ca="1"/>
        <v>OK</v>
      </c>
    </row>
    <row r="2138" spans="2:34" x14ac:dyDescent="0.2">
      <c r="B2138" s="2">
        <f ca="1"/>
        <v>0.52098398978319205</v>
      </c>
      <c r="O2138" s="2">
        <f ca="1"/>
        <v>-1.4476217511994669</v>
      </c>
      <c r="X2138" s="2">
        <f ca="1"/>
        <v>66.112278041674386</v>
      </c>
      <c r="AG2138" s="2">
        <f ca="1"/>
        <v>0.69263876369632937</v>
      </c>
      <c r="AH2138" s="2" t="str">
        <f ca="1"/>
        <v>Bad</v>
      </c>
    </row>
    <row r="2139" spans="2:34" x14ac:dyDescent="0.2">
      <c r="B2139" s="2">
        <f ca="1"/>
        <v>0.53402991670864064</v>
      </c>
      <c r="O2139" s="2">
        <f ca="1"/>
        <v>0.21313038741782514</v>
      </c>
      <c r="X2139" s="2">
        <f ca="1"/>
        <v>46.664553888188244</v>
      </c>
      <c r="AG2139" s="2">
        <f ca="1"/>
        <v>0.637758989425115</v>
      </c>
      <c r="AH2139" s="2" t="str">
        <f ca="1"/>
        <v>Bad</v>
      </c>
    </row>
    <row r="2140" spans="2:34" x14ac:dyDescent="0.2">
      <c r="B2140" s="2">
        <f ca="1"/>
        <v>0.77145291337293642</v>
      </c>
      <c r="O2140" s="2">
        <f ca="1"/>
        <v>-1.1930081074949024</v>
      </c>
      <c r="X2140" s="2">
        <f ca="1"/>
        <v>43.038451403278721</v>
      </c>
      <c r="AG2140" s="2">
        <f ca="1"/>
        <v>0.20489215695818386</v>
      </c>
      <c r="AH2140" s="2" t="str">
        <f ca="1"/>
        <v>OK</v>
      </c>
    </row>
    <row r="2141" spans="2:34" x14ac:dyDescent="0.2">
      <c r="B2141" s="2">
        <f ca="1"/>
        <v>0.41872606114782851</v>
      </c>
      <c r="O2141" s="2">
        <f ca="1"/>
        <v>-4.7939511677836125E-2</v>
      </c>
      <c r="X2141" s="2">
        <f ca="1"/>
        <v>38.626482824737735</v>
      </c>
      <c r="AG2141" s="2">
        <f ca="1"/>
        <v>0.60850658736562302</v>
      </c>
      <c r="AH2141" s="2" t="str">
        <f ca="1"/>
        <v>Bad</v>
      </c>
    </row>
    <row r="2142" spans="2:34" x14ac:dyDescent="0.2">
      <c r="B2142" s="2">
        <f ca="1"/>
        <v>0.5818605754101025</v>
      </c>
      <c r="O2142" s="2">
        <f ca="1"/>
        <v>-0.3529446969461425</v>
      </c>
      <c r="X2142" s="2">
        <f ca="1"/>
        <v>48.080312013879137</v>
      </c>
      <c r="AG2142" s="2">
        <f ca="1"/>
        <v>0.27360788438794659</v>
      </c>
      <c r="AH2142" s="2" t="str">
        <f ca="1"/>
        <v>OK</v>
      </c>
    </row>
    <row r="2143" spans="2:34" x14ac:dyDescent="0.2">
      <c r="B2143" s="2">
        <f ca="1"/>
        <v>0.59466671638161261</v>
      </c>
      <c r="O2143" s="2">
        <f ca="1"/>
        <v>-0.89137494328577849</v>
      </c>
      <c r="X2143" s="2">
        <f ca="1"/>
        <v>26.148268998285012</v>
      </c>
      <c r="AG2143" s="2">
        <f ca="1"/>
        <v>0.7927729839171056</v>
      </c>
      <c r="AH2143" s="2" t="str">
        <f ca="1"/>
        <v>Bad</v>
      </c>
    </row>
    <row r="2144" spans="2:34" x14ac:dyDescent="0.2">
      <c r="B2144" s="2">
        <f ca="1"/>
        <v>0.82726144186012096</v>
      </c>
      <c r="O2144" s="2">
        <f ca="1"/>
        <v>-2.4143117267823819</v>
      </c>
      <c r="X2144" s="2">
        <f ca="1"/>
        <v>21.687183870274165</v>
      </c>
      <c r="AG2144" s="2">
        <f ca="1"/>
        <v>0.6291032100343783</v>
      </c>
      <c r="AH2144" s="2" t="str">
        <f ca="1"/>
        <v>Bad</v>
      </c>
    </row>
    <row r="2145" spans="2:34" x14ac:dyDescent="0.2">
      <c r="B2145" s="2">
        <f ca="1"/>
        <v>0.72011905045171809</v>
      </c>
      <c r="O2145" s="2">
        <f ca="1"/>
        <v>0.19065627410390931</v>
      </c>
      <c r="X2145" s="2">
        <f ca="1"/>
        <v>30.727896890032007</v>
      </c>
      <c r="AG2145" s="2">
        <f ca="1"/>
        <v>0.28902256342049459</v>
      </c>
      <c r="AH2145" s="2" t="str">
        <f ca="1"/>
        <v>OK</v>
      </c>
    </row>
    <row r="2146" spans="2:34" x14ac:dyDescent="0.2">
      <c r="B2146" s="2">
        <f ca="1"/>
        <v>0.88412083400753327</v>
      </c>
      <c r="O2146" s="2">
        <f ca="1"/>
        <v>8.7269125762563612E-2</v>
      </c>
      <c r="X2146" s="2">
        <f ca="1"/>
        <v>49.473903778342851</v>
      </c>
      <c r="AG2146" s="2">
        <f ca="1"/>
        <v>0.89215977472491881</v>
      </c>
      <c r="AH2146" s="2" t="str">
        <f ca="1"/>
        <v>Bad</v>
      </c>
    </row>
    <row r="2147" spans="2:34" x14ac:dyDescent="0.2">
      <c r="B2147" s="2">
        <f ca="1"/>
        <v>0.23548849583202225</v>
      </c>
      <c r="O2147" s="2">
        <f ca="1"/>
        <v>-0.76291560589047613</v>
      </c>
      <c r="X2147" s="2">
        <f ca="1"/>
        <v>45.831666682174344</v>
      </c>
      <c r="AG2147" s="2">
        <f ca="1"/>
        <v>0.55789265762772122</v>
      </c>
      <c r="AH2147" s="2" t="str">
        <f ca="1"/>
        <v>Bad</v>
      </c>
    </row>
    <row r="2148" spans="2:34" x14ac:dyDescent="0.2">
      <c r="B2148" s="2">
        <f ca="1"/>
        <v>0.92568900140572974</v>
      </c>
      <c r="O2148" s="2">
        <f ca="1"/>
        <v>0.92714200340663488</v>
      </c>
      <c r="X2148" s="2">
        <f ca="1"/>
        <v>53.079926587153771</v>
      </c>
      <c r="AG2148" s="2">
        <f ca="1"/>
        <v>0.19528143650604468</v>
      </c>
      <c r="AH2148" s="2" t="str">
        <f ca="1"/>
        <v>OK</v>
      </c>
    </row>
    <row r="2149" spans="2:34" x14ac:dyDescent="0.2">
      <c r="B2149" s="2">
        <f ca="1"/>
        <v>0.78605944052982335</v>
      </c>
      <c r="O2149" s="2">
        <f ca="1"/>
        <v>-0.32431822404436184</v>
      </c>
      <c r="X2149" s="2">
        <f ca="1"/>
        <v>67.226090397533909</v>
      </c>
      <c r="AG2149" s="2">
        <f ca="1"/>
        <v>0.16559969858772572</v>
      </c>
      <c r="AH2149" s="2" t="str">
        <f ca="1"/>
        <v>OK</v>
      </c>
    </row>
    <row r="2150" spans="2:34" x14ac:dyDescent="0.2">
      <c r="B2150" s="2">
        <f ca="1"/>
        <v>7.5533447077316795E-2</v>
      </c>
      <c r="O2150" s="2">
        <f ca="1"/>
        <v>0.1006623878370865</v>
      </c>
      <c r="X2150" s="2">
        <f ca="1"/>
        <v>63.866938774887899</v>
      </c>
      <c r="AG2150" s="2">
        <f ca="1"/>
        <v>0.41956203259724845</v>
      </c>
      <c r="AH2150" s="2" t="str">
        <f ca="1"/>
        <v>Bad</v>
      </c>
    </row>
    <row r="2151" spans="2:34" x14ac:dyDescent="0.2">
      <c r="B2151" s="2">
        <f ca="1"/>
        <v>0.45991219315820131</v>
      </c>
      <c r="O2151" s="2">
        <f ca="1"/>
        <v>-0.11151033408338308</v>
      </c>
      <c r="X2151" s="2">
        <f ca="1"/>
        <v>23.238991201589215</v>
      </c>
      <c r="AG2151" s="2">
        <f ca="1"/>
        <v>0.56815679485878201</v>
      </c>
      <c r="AH2151" s="2" t="str">
        <f ca="1"/>
        <v>Bad</v>
      </c>
    </row>
    <row r="2152" spans="2:34" x14ac:dyDescent="0.2">
      <c r="B2152" s="2">
        <f ca="1"/>
        <v>0.69438711667854669</v>
      </c>
      <c r="O2152" s="2">
        <f ca="1"/>
        <v>0.39700774676360545</v>
      </c>
      <c r="X2152" s="2">
        <f ca="1"/>
        <v>31.517094411387312</v>
      </c>
      <c r="AG2152" s="2">
        <f ca="1"/>
        <v>0.27223596387997984</v>
      </c>
      <c r="AH2152" s="2" t="str">
        <f ca="1"/>
        <v>OK</v>
      </c>
    </row>
    <row r="2153" spans="2:34" x14ac:dyDescent="0.2">
      <c r="B2153" s="2">
        <f ca="1"/>
        <v>0.25967040189214985</v>
      </c>
      <c r="O2153" s="2">
        <f ca="1"/>
        <v>0.68274534809357257</v>
      </c>
      <c r="X2153" s="2">
        <f ca="1"/>
        <v>58.026339978274351</v>
      </c>
      <c r="AG2153" s="2">
        <f ca="1"/>
        <v>0.88041180880954029</v>
      </c>
      <c r="AH2153" s="2" t="str">
        <f ca="1"/>
        <v>Bad</v>
      </c>
    </row>
    <row r="2154" spans="2:34" x14ac:dyDescent="0.2">
      <c r="B2154" s="2">
        <f ca="1"/>
        <v>0.58715350082472173</v>
      </c>
      <c r="O2154" s="2">
        <f ca="1"/>
        <v>-3.1744971988393869</v>
      </c>
      <c r="X2154" s="2">
        <f ca="1"/>
        <v>29.725596006192596</v>
      </c>
      <c r="AG2154" s="2">
        <f ca="1"/>
        <v>0.53934212584498553</v>
      </c>
      <c r="AH2154" s="2" t="str">
        <f ca="1"/>
        <v>Bad</v>
      </c>
    </row>
    <row r="2155" spans="2:34" x14ac:dyDescent="0.2">
      <c r="B2155" s="2">
        <f ca="1"/>
        <v>7.3892369897872623E-2</v>
      </c>
      <c r="O2155" s="2">
        <f ca="1"/>
        <v>0.50260779268196587</v>
      </c>
      <c r="X2155" s="2">
        <f ca="1"/>
        <v>58.63132501960682</v>
      </c>
      <c r="AG2155" s="2">
        <f ca="1"/>
        <v>0.70247424899938005</v>
      </c>
      <c r="AH2155" s="2" t="str">
        <f ca="1"/>
        <v>Bad</v>
      </c>
    </row>
    <row r="2156" spans="2:34" x14ac:dyDescent="0.2">
      <c r="B2156" s="2">
        <f ca="1"/>
        <v>0.35850994863184282</v>
      </c>
      <c r="O2156" s="2">
        <f ca="1"/>
        <v>-0.34027383851427867</v>
      </c>
      <c r="X2156" s="2">
        <f ca="1"/>
        <v>51.588900239612244</v>
      </c>
      <c r="AG2156" s="2">
        <f ca="1"/>
        <v>0.69998432424440438</v>
      </c>
      <c r="AH2156" s="2" t="str">
        <f ca="1"/>
        <v>Bad</v>
      </c>
    </row>
    <row r="2157" spans="2:34" x14ac:dyDescent="0.2">
      <c r="B2157" s="2">
        <f ca="1"/>
        <v>0.71749055035905651</v>
      </c>
      <c r="O2157" s="2">
        <f ca="1"/>
        <v>-3.7043806485125834E-2</v>
      </c>
      <c r="X2157" s="2">
        <f ca="1"/>
        <v>40.076519049815403</v>
      </c>
      <c r="AG2157" s="2">
        <f ca="1"/>
        <v>0.75378444887401219</v>
      </c>
      <c r="AH2157" s="2" t="str">
        <f ca="1"/>
        <v>Bad</v>
      </c>
    </row>
    <row r="2158" spans="2:34" x14ac:dyDescent="0.2">
      <c r="B2158" s="2">
        <f ca="1"/>
        <v>0.81365071529541622</v>
      </c>
      <c r="O2158" s="2">
        <f ca="1"/>
        <v>0.50571061525261185</v>
      </c>
      <c r="X2158" s="2">
        <f ca="1"/>
        <v>30.797375547922638</v>
      </c>
      <c r="AG2158" s="2">
        <f ca="1"/>
        <v>0.76255899383019776</v>
      </c>
      <c r="AH2158" s="2" t="str">
        <f ca="1"/>
        <v>Bad</v>
      </c>
    </row>
    <row r="2159" spans="2:34" x14ac:dyDescent="0.2">
      <c r="B2159" s="2">
        <f ca="1"/>
        <v>0.56880487450993411</v>
      </c>
      <c r="O2159" s="2">
        <f ca="1"/>
        <v>-0.20537507407121647</v>
      </c>
      <c r="X2159" s="2">
        <f ca="1"/>
        <v>29.340821900433557</v>
      </c>
      <c r="AG2159" s="2">
        <f ca="1"/>
        <v>0.89477213520193333</v>
      </c>
      <c r="AH2159" s="2" t="str">
        <f ca="1"/>
        <v>Bad</v>
      </c>
    </row>
    <row r="2160" spans="2:34" x14ac:dyDescent="0.2">
      <c r="B2160" s="2">
        <f ca="1"/>
        <v>0.54644419539770483</v>
      </c>
      <c r="O2160" s="2">
        <f ca="1"/>
        <v>-0.44733017404927239</v>
      </c>
      <c r="X2160" s="2">
        <f ca="1"/>
        <v>39.065821213500477</v>
      </c>
      <c r="AG2160" s="2">
        <f ca="1"/>
        <v>0.20485707198357872</v>
      </c>
      <c r="AH2160" s="2" t="str">
        <f ca="1"/>
        <v>OK</v>
      </c>
    </row>
    <row r="2161" spans="2:34" x14ac:dyDescent="0.2">
      <c r="B2161" s="2">
        <f ca="1"/>
        <v>0.68585163736303389</v>
      </c>
      <c r="O2161" s="2">
        <f ca="1"/>
        <v>-1.6067251040903112</v>
      </c>
      <c r="X2161" s="2">
        <f ca="1"/>
        <v>59.200400701895795</v>
      </c>
      <c r="AG2161" s="2">
        <f ca="1"/>
        <v>0.64342856973739426</v>
      </c>
      <c r="AH2161" s="2" t="str">
        <f ca="1"/>
        <v>Bad</v>
      </c>
    </row>
    <row r="2162" spans="2:34" x14ac:dyDescent="0.2">
      <c r="B2162" s="2">
        <f ca="1"/>
        <v>0.86828354409418296</v>
      </c>
      <c r="O2162" s="2">
        <f ca="1"/>
        <v>-0.20572990678434336</v>
      </c>
      <c r="X2162" s="2">
        <f ca="1"/>
        <v>35.877607227902736</v>
      </c>
      <c r="AG2162" s="2">
        <f ca="1"/>
        <v>4.4467485058540701E-2</v>
      </c>
      <c r="AH2162" s="2" t="str">
        <f ca="1"/>
        <v>Good</v>
      </c>
    </row>
    <row r="2163" spans="2:34" x14ac:dyDescent="0.2">
      <c r="B2163" s="2">
        <f ca="1"/>
        <v>0.68380179873212432</v>
      </c>
      <c r="O2163" s="2">
        <f ca="1"/>
        <v>-0.49479172989962944</v>
      </c>
      <c r="X2163" s="2">
        <f ca="1"/>
        <v>31.905888128328151</v>
      </c>
      <c r="AG2163" s="2">
        <f ca="1"/>
        <v>0.2584000343437256</v>
      </c>
      <c r="AH2163" s="2" t="str">
        <f ca="1"/>
        <v>OK</v>
      </c>
    </row>
    <row r="2164" spans="2:34" x14ac:dyDescent="0.2">
      <c r="B2164" s="2">
        <f ca="1"/>
        <v>0.58511754863159893</v>
      </c>
      <c r="O2164" s="2">
        <f ca="1"/>
        <v>0.46108480167305754</v>
      </c>
      <c r="X2164" s="2">
        <f ca="1"/>
        <v>38.297805896152241</v>
      </c>
      <c r="AG2164" s="2">
        <f ca="1"/>
        <v>0.42398749400528746</v>
      </c>
      <c r="AH2164" s="2" t="str">
        <f ca="1"/>
        <v>Bad</v>
      </c>
    </row>
    <row r="2165" spans="2:34" x14ac:dyDescent="0.2">
      <c r="B2165" s="2">
        <f ca="1"/>
        <v>0.39444772006273943</v>
      </c>
      <c r="O2165" s="2">
        <f ca="1"/>
        <v>-0.18917102638158265</v>
      </c>
      <c r="X2165" s="2">
        <f ca="1"/>
        <v>37.238465393436833</v>
      </c>
      <c r="AG2165" s="2">
        <f ca="1"/>
        <v>0.43052067217703338</v>
      </c>
      <c r="AH2165" s="2" t="str">
        <f ca="1"/>
        <v>Bad</v>
      </c>
    </row>
    <row r="2166" spans="2:34" x14ac:dyDescent="0.2">
      <c r="B2166" s="2">
        <f ca="1"/>
        <v>0.18241340821037233</v>
      </c>
      <c r="O2166" s="2">
        <f ca="1"/>
        <v>-3.110673796026155</v>
      </c>
      <c r="X2166" s="2">
        <f ca="1"/>
        <v>36.267014392560256</v>
      </c>
      <c r="AG2166" s="2">
        <f ca="1"/>
        <v>0.21834024633919702</v>
      </c>
      <c r="AH2166" s="2" t="str">
        <f ca="1"/>
        <v>OK</v>
      </c>
    </row>
    <row r="2167" spans="2:34" x14ac:dyDescent="0.2">
      <c r="B2167" s="2">
        <f ca="1"/>
        <v>0.5447416547472208</v>
      </c>
      <c r="O2167" s="2">
        <f ca="1"/>
        <v>-0.68691336971819106</v>
      </c>
      <c r="X2167" s="2">
        <f ca="1"/>
        <v>46.499337451818462</v>
      </c>
      <c r="AG2167" s="2">
        <f ca="1"/>
        <v>0.23082977310850561</v>
      </c>
      <c r="AH2167" s="2" t="str">
        <f ca="1"/>
        <v>OK</v>
      </c>
    </row>
    <row r="2168" spans="2:34" x14ac:dyDescent="0.2">
      <c r="B2168" s="2">
        <f ca="1"/>
        <v>0.8946528287689075</v>
      </c>
      <c r="O2168" s="2">
        <f ca="1"/>
        <v>-0.3472949884137812</v>
      </c>
      <c r="X2168" s="2">
        <f ca="1"/>
        <v>27.48308632561281</v>
      </c>
      <c r="AG2168" s="2">
        <f ca="1"/>
        <v>0.5383352560315573</v>
      </c>
      <c r="AH2168" s="2" t="str">
        <f ca="1"/>
        <v>Bad</v>
      </c>
    </row>
    <row r="2169" spans="2:34" x14ac:dyDescent="0.2">
      <c r="B2169" s="2">
        <f ca="1"/>
        <v>8.1832918340896121E-3</v>
      </c>
      <c r="O2169" s="2">
        <f ca="1"/>
        <v>-0.25637255706200718</v>
      </c>
      <c r="X2169" s="2">
        <f ca="1"/>
        <v>58.683920351513848</v>
      </c>
      <c r="AG2169" s="2">
        <f ca="1"/>
        <v>0.76566100544322913</v>
      </c>
      <c r="AH2169" s="2" t="str">
        <f ca="1"/>
        <v>Bad</v>
      </c>
    </row>
    <row r="2170" spans="2:34" x14ac:dyDescent="0.2">
      <c r="B2170" s="2">
        <f ca="1"/>
        <v>0.37414427650260329</v>
      </c>
      <c r="O2170" s="2">
        <f ca="1"/>
        <v>0.21141084315064387</v>
      </c>
      <c r="X2170" s="2">
        <f ca="1"/>
        <v>54.625636132940379</v>
      </c>
      <c r="AG2170" s="2">
        <f ca="1"/>
        <v>2.1589117393522983E-2</v>
      </c>
      <c r="AH2170" s="2" t="str">
        <f ca="1"/>
        <v>Good</v>
      </c>
    </row>
    <row r="2171" spans="2:34" x14ac:dyDescent="0.2">
      <c r="B2171" s="2">
        <f ca="1"/>
        <v>0.29126599271981046</v>
      </c>
      <c r="O2171" s="2">
        <f ca="1"/>
        <v>2.0481411264327596</v>
      </c>
      <c r="X2171" s="2">
        <f ca="1"/>
        <v>60.147058613955991</v>
      </c>
      <c r="AG2171" s="2">
        <f ca="1"/>
        <v>0.93910733146345127</v>
      </c>
      <c r="AH2171" s="2" t="str">
        <f ca="1"/>
        <v>Bad</v>
      </c>
    </row>
    <row r="2172" spans="2:34" x14ac:dyDescent="0.2">
      <c r="B2172" s="2">
        <f ca="1"/>
        <v>0.75261621611867624</v>
      </c>
      <c r="O2172" s="2">
        <f ca="1"/>
        <v>-0.9213674491743139</v>
      </c>
      <c r="X2172" s="2">
        <f ca="1"/>
        <v>82.120667543292868</v>
      </c>
      <c r="AG2172" s="2">
        <f ca="1"/>
        <v>0.6271239636765964</v>
      </c>
      <c r="AH2172" s="2" t="str">
        <f ca="1"/>
        <v>Bad</v>
      </c>
    </row>
    <row r="2173" spans="2:34" x14ac:dyDescent="0.2">
      <c r="B2173" s="2">
        <f ca="1"/>
        <v>0.98154693464473053</v>
      </c>
      <c r="O2173" s="2">
        <f ca="1"/>
        <v>0.15766358657758456</v>
      </c>
      <c r="X2173" s="2">
        <f ca="1"/>
        <v>55.328042166565567</v>
      </c>
      <c r="AG2173" s="2">
        <f ca="1"/>
        <v>7.7100551143434837E-2</v>
      </c>
      <c r="AH2173" s="2" t="str">
        <f ca="1"/>
        <v>OK</v>
      </c>
    </row>
    <row r="2174" spans="2:34" x14ac:dyDescent="0.2">
      <c r="B2174" s="2">
        <f ca="1"/>
        <v>0.16671255683828057</v>
      </c>
      <c r="O2174" s="2">
        <f ca="1"/>
        <v>-0.54725465587585242</v>
      </c>
      <c r="X2174" s="2">
        <f ca="1"/>
        <v>38.298838942165048</v>
      </c>
      <c r="AG2174" s="2">
        <f ca="1"/>
        <v>0.99643038697820141</v>
      </c>
      <c r="AH2174" s="2" t="str">
        <f ca="1"/>
        <v>Bad</v>
      </c>
    </row>
    <row r="2175" spans="2:34" x14ac:dyDescent="0.2">
      <c r="B2175" s="2">
        <f ca="1"/>
        <v>0.41222619421325679</v>
      </c>
      <c r="O2175" s="2">
        <f ca="1"/>
        <v>1.2015480977233939</v>
      </c>
      <c r="X2175" s="2">
        <f ca="1"/>
        <v>64.184377438131804</v>
      </c>
      <c r="AG2175" s="2">
        <f ca="1"/>
        <v>0.42470034284086333</v>
      </c>
      <c r="AH2175" s="2" t="str">
        <f ca="1"/>
        <v>Bad</v>
      </c>
    </row>
    <row r="2176" spans="2:34" x14ac:dyDescent="0.2">
      <c r="B2176" s="2">
        <f ca="1"/>
        <v>0.29319582949183465</v>
      </c>
      <c r="O2176" s="2">
        <f ca="1"/>
        <v>0.44885940945180686</v>
      </c>
      <c r="X2176" s="2">
        <f ca="1"/>
        <v>29.546431315905757</v>
      </c>
      <c r="AG2176" s="2">
        <f ca="1"/>
        <v>0.12208563066038458</v>
      </c>
      <c r="AH2176" s="2" t="str">
        <f ca="1"/>
        <v>OK</v>
      </c>
    </row>
    <row r="2177" spans="2:34" x14ac:dyDescent="0.2">
      <c r="B2177" s="2">
        <f ca="1"/>
        <v>0.29743965045622978</v>
      </c>
      <c r="O2177" s="2">
        <f ca="1"/>
        <v>-1.7616676667007204E-2</v>
      </c>
      <c r="X2177" s="2">
        <f ca="1"/>
        <v>45.056494826980213</v>
      </c>
      <c r="AG2177" s="2">
        <f ca="1"/>
        <v>6.3326525755890817E-2</v>
      </c>
      <c r="AH2177" s="2" t="str">
        <f ca="1"/>
        <v>OK</v>
      </c>
    </row>
    <row r="2178" spans="2:34" x14ac:dyDescent="0.2">
      <c r="B2178" s="2">
        <f ca="1"/>
        <v>0.81809948157871526</v>
      </c>
      <c r="O2178" s="2">
        <f ca="1"/>
        <v>0.29193541434009157</v>
      </c>
      <c r="X2178" s="2">
        <f ca="1"/>
        <v>33.156450483429715</v>
      </c>
      <c r="AG2178" s="2">
        <f ca="1"/>
        <v>0.23575148265788881</v>
      </c>
      <c r="AH2178" s="2" t="str">
        <f ca="1"/>
        <v>OK</v>
      </c>
    </row>
    <row r="2179" spans="2:34" x14ac:dyDescent="0.2">
      <c r="B2179" s="2">
        <f ca="1"/>
        <v>0.50029034902247171</v>
      </c>
      <c r="O2179" s="2">
        <f ca="1"/>
        <v>-0.20656055302030399</v>
      </c>
      <c r="X2179" s="2">
        <f ca="1"/>
        <v>46.161920491128399</v>
      </c>
      <c r="AG2179" s="2">
        <f ca="1"/>
        <v>0.38572924938404851</v>
      </c>
      <c r="AH2179" s="2" t="str">
        <f ca="1"/>
        <v>OK</v>
      </c>
    </row>
    <row r="2180" spans="2:34" x14ac:dyDescent="0.2">
      <c r="B2180" s="2">
        <f ca="1"/>
        <v>0.31304397560336317</v>
      </c>
      <c r="O2180" s="2">
        <f ca="1"/>
        <v>-1.2872362198251708</v>
      </c>
      <c r="X2180" s="2">
        <f ca="1"/>
        <v>58.418603012403906</v>
      </c>
      <c r="AG2180" s="2">
        <f ca="1"/>
        <v>8.735329212792653E-2</v>
      </c>
      <c r="AH2180" s="2" t="str">
        <f ca="1"/>
        <v>OK</v>
      </c>
    </row>
    <row r="2181" spans="2:34" x14ac:dyDescent="0.2">
      <c r="B2181" s="2">
        <f ca="1"/>
        <v>0.64133659626519623</v>
      </c>
      <c r="O2181" s="2">
        <f ca="1"/>
        <v>0.69475354434859571</v>
      </c>
      <c r="X2181" s="2">
        <f ca="1"/>
        <v>40.781107257121754</v>
      </c>
      <c r="AG2181" s="2">
        <f ca="1"/>
        <v>0.14594408616152332</v>
      </c>
      <c r="AH2181" s="2" t="str">
        <f ca="1"/>
        <v>OK</v>
      </c>
    </row>
    <row r="2182" spans="2:34" x14ac:dyDescent="0.2">
      <c r="B2182" s="2">
        <f ca="1"/>
        <v>0.30363457564829632</v>
      </c>
      <c r="O2182" s="2">
        <f ca="1"/>
        <v>-1.2842525278593773</v>
      </c>
      <c r="X2182" s="2">
        <f ca="1"/>
        <v>37.503642836985705</v>
      </c>
      <c r="AG2182" s="2">
        <f ca="1"/>
        <v>0.1332702793392857</v>
      </c>
      <c r="AH2182" s="2" t="str">
        <f ca="1"/>
        <v>OK</v>
      </c>
    </row>
    <row r="2183" spans="2:34" x14ac:dyDescent="0.2">
      <c r="B2183" s="2">
        <f ca="1"/>
        <v>0.38799313168489213</v>
      </c>
      <c r="O2183" s="2">
        <f ca="1"/>
        <v>2.0578632841915239</v>
      </c>
      <c r="X2183" s="2">
        <f ca="1"/>
        <v>47.665332044447723</v>
      </c>
      <c r="AG2183" s="2">
        <f ca="1"/>
        <v>0.42838774782391598</v>
      </c>
      <c r="AH2183" s="2" t="str">
        <f ca="1"/>
        <v>Bad</v>
      </c>
    </row>
    <row r="2184" spans="2:34" x14ac:dyDescent="0.2">
      <c r="B2184" s="2">
        <f ca="1"/>
        <v>0.1075417752290142</v>
      </c>
      <c r="O2184" s="2">
        <f ca="1"/>
        <v>1.4523621406602412</v>
      </c>
      <c r="X2184" s="2">
        <f ca="1"/>
        <v>59.498537828800657</v>
      </c>
      <c r="AG2184" s="2">
        <f ca="1"/>
        <v>0.94878445897999697</v>
      </c>
      <c r="AH2184" s="2" t="str">
        <f ca="1"/>
        <v>Bad</v>
      </c>
    </row>
    <row r="2185" spans="2:34" x14ac:dyDescent="0.2">
      <c r="B2185" s="2">
        <f ca="1"/>
        <v>0.67008189979041077</v>
      </c>
      <c r="O2185" s="2">
        <f ca="1"/>
        <v>-1.5677377379421937</v>
      </c>
      <c r="X2185" s="2">
        <f ca="1"/>
        <v>21.122375260671046</v>
      </c>
      <c r="AG2185" s="2">
        <f ca="1"/>
        <v>5.8747805058763092E-2</v>
      </c>
      <c r="AH2185" s="2" t="str">
        <f ca="1"/>
        <v>OK</v>
      </c>
    </row>
    <row r="2186" spans="2:34" x14ac:dyDescent="0.2">
      <c r="B2186" s="2">
        <f ca="1"/>
        <v>6.4036208074944367E-2</v>
      </c>
      <c r="O2186" s="2">
        <f ca="1"/>
        <v>-0.37642378243705893</v>
      </c>
      <c r="X2186" s="2">
        <f ca="1"/>
        <v>71.370204899181502</v>
      </c>
      <c r="AG2186" s="2">
        <f ca="1"/>
        <v>0.23534624217495748</v>
      </c>
      <c r="AH2186" s="2" t="str">
        <f ca="1"/>
        <v>OK</v>
      </c>
    </row>
    <row r="2187" spans="2:34" x14ac:dyDescent="0.2">
      <c r="B2187" s="2">
        <f ca="1"/>
        <v>0.83643099999266024</v>
      </c>
      <c r="O2187" s="2">
        <f ca="1"/>
        <v>0.4042881611029624</v>
      </c>
      <c r="X2187" s="2">
        <f ca="1"/>
        <v>50.500143149056015</v>
      </c>
      <c r="AG2187" s="2">
        <f ca="1"/>
        <v>0.77145342166974817</v>
      </c>
      <c r="AH2187" s="2" t="str">
        <f ca="1"/>
        <v>Bad</v>
      </c>
    </row>
    <row r="2188" spans="2:34" x14ac:dyDescent="0.2">
      <c r="B2188" s="2">
        <f ca="1"/>
        <v>0.76642596629846627</v>
      </c>
      <c r="O2188" s="2">
        <f ca="1"/>
        <v>0.54922830761480235</v>
      </c>
      <c r="X2188" s="2">
        <f ca="1"/>
        <v>40.2077045876933</v>
      </c>
      <c r="AG2188" s="2">
        <f ca="1"/>
        <v>0.30284957595597284</v>
      </c>
      <c r="AH2188" s="2" t="str">
        <f ca="1"/>
        <v>OK</v>
      </c>
    </row>
    <row r="2189" spans="2:34" x14ac:dyDescent="0.2">
      <c r="B2189" s="2">
        <f ca="1"/>
        <v>0.79587611071390607</v>
      </c>
      <c r="O2189" s="2">
        <f ca="1"/>
        <v>0.60158295199216583</v>
      </c>
      <c r="X2189" s="2">
        <f ca="1"/>
        <v>66.454068585848518</v>
      </c>
      <c r="AG2189" s="2">
        <f ca="1"/>
        <v>0.48046286201408805</v>
      </c>
      <c r="AH2189" s="2" t="str">
        <f ca="1"/>
        <v>Bad</v>
      </c>
    </row>
    <row r="2190" spans="2:34" x14ac:dyDescent="0.2">
      <c r="B2190" s="2">
        <f ca="1"/>
        <v>0.19695483181652418</v>
      </c>
      <c r="O2190" s="2">
        <f ca="1"/>
        <v>-1.2403609068059989</v>
      </c>
      <c r="X2190" s="2">
        <f ca="1"/>
        <v>19.335938353966743</v>
      </c>
      <c r="AG2190" s="2">
        <f ca="1"/>
        <v>0.18794465574647101</v>
      </c>
      <c r="AH2190" s="2" t="str">
        <f ca="1"/>
        <v>OK</v>
      </c>
    </row>
    <row r="2191" spans="2:34" x14ac:dyDescent="0.2">
      <c r="B2191" s="2">
        <f ca="1"/>
        <v>0.18820148633219147</v>
      </c>
      <c r="O2191" s="2">
        <f ca="1"/>
        <v>0.61804600005972954</v>
      </c>
      <c r="X2191" s="2">
        <f ca="1"/>
        <v>29.658033094455654</v>
      </c>
      <c r="AG2191" s="2">
        <f ca="1"/>
        <v>0.70062381225526327</v>
      </c>
      <c r="AH2191" s="2" t="str">
        <f ca="1"/>
        <v>Bad</v>
      </c>
    </row>
    <row r="2192" spans="2:34" x14ac:dyDescent="0.2">
      <c r="B2192" s="2">
        <f ca="1"/>
        <v>0.11251552834943546</v>
      </c>
      <c r="O2192" s="2">
        <f ca="1"/>
        <v>-1.9399611764404681</v>
      </c>
      <c r="X2192" s="2">
        <f ca="1"/>
        <v>60.861481834134707</v>
      </c>
      <c r="AG2192" s="2">
        <f ca="1"/>
        <v>0.17301283246206189</v>
      </c>
      <c r="AH2192" s="2" t="str">
        <f ca="1"/>
        <v>OK</v>
      </c>
    </row>
    <row r="2193" spans="2:34" x14ac:dyDescent="0.2">
      <c r="B2193" s="2">
        <f ca="1"/>
        <v>0.96773681174104298</v>
      </c>
      <c r="O2193" s="2">
        <f ca="1"/>
        <v>-1.8374599469076796</v>
      </c>
      <c r="X2193" s="2">
        <f ca="1"/>
        <v>33.545928340270677</v>
      </c>
      <c r="AG2193" s="2">
        <f ca="1"/>
        <v>0.73702917208572094</v>
      </c>
      <c r="AH2193" s="2" t="str">
        <f ca="1"/>
        <v>Bad</v>
      </c>
    </row>
    <row r="2194" spans="2:34" x14ac:dyDescent="0.2">
      <c r="B2194" s="2">
        <f ca="1"/>
        <v>0.24203306017783133</v>
      </c>
      <c r="O2194" s="2">
        <f ca="1"/>
        <v>-0.69546613039320127</v>
      </c>
      <c r="X2194" s="2">
        <f ca="1"/>
        <v>62.397422573904684</v>
      </c>
      <c r="AG2194" s="2">
        <f ca="1"/>
        <v>0.41806011183734615</v>
      </c>
      <c r="AH2194" s="2" t="str">
        <f ca="1"/>
        <v>Bad</v>
      </c>
    </row>
    <row r="2195" spans="2:34" x14ac:dyDescent="0.2">
      <c r="B2195" s="2">
        <f ca="1"/>
        <v>0.48161304558966345</v>
      </c>
      <c r="O2195" s="2">
        <f ca="1"/>
        <v>0.61160953164123621</v>
      </c>
      <c r="X2195" s="2">
        <f ca="1"/>
        <v>64.442560111691023</v>
      </c>
      <c r="AG2195" s="2">
        <f ca="1"/>
        <v>0.87246206190449227</v>
      </c>
      <c r="AH2195" s="2" t="str">
        <f ca="1"/>
        <v>Bad</v>
      </c>
    </row>
    <row r="2196" spans="2:34" x14ac:dyDescent="0.2">
      <c r="B2196" s="2">
        <f ca="1"/>
        <v>0.91912163358011201</v>
      </c>
      <c r="O2196" s="2">
        <f ca="1"/>
        <v>-1.486238308165621</v>
      </c>
      <c r="X2196" s="2">
        <f ca="1"/>
        <v>31.62320835188725</v>
      </c>
      <c r="AG2196" s="2">
        <f ca="1"/>
        <v>0.64637838888257937</v>
      </c>
      <c r="AH2196" s="2" t="str">
        <f ca="1"/>
        <v>Bad</v>
      </c>
    </row>
    <row r="2197" spans="2:34" x14ac:dyDescent="0.2">
      <c r="B2197" s="2">
        <f ca="1"/>
        <v>0.69712940107100474</v>
      </c>
      <c r="O2197" s="2">
        <f ca="1"/>
        <v>-0.65764007971523364</v>
      </c>
      <c r="X2197" s="2">
        <f ca="1"/>
        <v>45.765571416115193</v>
      </c>
      <c r="AG2197" s="2">
        <f ca="1"/>
        <v>0.17401542206770326</v>
      </c>
      <c r="AH2197" s="2" t="str">
        <f ca="1"/>
        <v>OK</v>
      </c>
    </row>
    <row r="2198" spans="2:34" x14ac:dyDescent="0.2">
      <c r="B2198" s="2">
        <f ca="1"/>
        <v>0.9537573039780376</v>
      </c>
      <c r="O2198" s="2">
        <f ca="1"/>
        <v>0.77688086137847912</v>
      </c>
      <c r="X2198" s="2">
        <f ca="1"/>
        <v>53.448957551307927</v>
      </c>
      <c r="AG2198" s="2">
        <f ca="1"/>
        <v>0.23230153860713232</v>
      </c>
      <c r="AH2198" s="2" t="str">
        <f ca="1"/>
        <v>OK</v>
      </c>
    </row>
    <row r="2199" spans="2:34" x14ac:dyDescent="0.2">
      <c r="B2199" s="2">
        <f ca="1"/>
        <v>0.10962257514135754</v>
      </c>
      <c r="O2199" s="2">
        <f ca="1"/>
        <v>-0.28173857964672999</v>
      </c>
      <c r="X2199" s="2">
        <f ca="1"/>
        <v>81.736726005138379</v>
      </c>
      <c r="AG2199" s="2">
        <f ca="1"/>
        <v>0.30114214693661157</v>
      </c>
      <c r="AH2199" s="2" t="str">
        <f ca="1"/>
        <v>OK</v>
      </c>
    </row>
    <row r="2200" spans="2:34" x14ac:dyDescent="0.2">
      <c r="B2200" s="2">
        <f ca="1"/>
        <v>6.2243254322964514E-2</v>
      </c>
      <c r="O2200" s="2">
        <f ca="1"/>
        <v>-0.36995571612804545</v>
      </c>
      <c r="X2200" s="2">
        <f ca="1"/>
        <v>64.804237577796059</v>
      </c>
      <c r="AG2200" s="2">
        <f ca="1"/>
        <v>0.92258737714458205</v>
      </c>
      <c r="AH2200" s="2" t="str">
        <f ca="1"/>
        <v>Bad</v>
      </c>
    </row>
    <row r="2201" spans="2:34" x14ac:dyDescent="0.2">
      <c r="B2201" s="2">
        <f ca="1"/>
        <v>6.0091090309809747E-2</v>
      </c>
      <c r="O2201" s="2">
        <f ca="1"/>
        <v>1.3654189087056523</v>
      </c>
      <c r="X2201" s="2">
        <f ca="1"/>
        <v>30.393719498866716</v>
      </c>
      <c r="AG2201" s="2">
        <f ca="1"/>
        <v>0.36033355934913103</v>
      </c>
      <c r="AH2201" s="2" t="str">
        <f ca="1"/>
        <v>OK</v>
      </c>
    </row>
    <row r="2202" spans="2:34" x14ac:dyDescent="0.2">
      <c r="B2202" s="2">
        <f ca="1"/>
        <v>0.68719330725221051</v>
      </c>
      <c r="O2202" s="2">
        <f ca="1"/>
        <v>0.34024394076755299</v>
      </c>
      <c r="X2202" s="2">
        <f ca="1"/>
        <v>49.30004865943846</v>
      </c>
      <c r="AG2202" s="2">
        <f ca="1"/>
        <v>0.51087605672441794</v>
      </c>
      <c r="AH2202" s="2" t="str">
        <f ca="1"/>
        <v>Bad</v>
      </c>
    </row>
    <row r="2203" spans="2:34" x14ac:dyDescent="0.2">
      <c r="B2203" s="2">
        <f ca="1"/>
        <v>0.56246496050876793</v>
      </c>
      <c r="O2203" s="2">
        <f ca="1"/>
        <v>-1.2513497857861029</v>
      </c>
      <c r="X2203" s="2">
        <f ca="1"/>
        <v>38.557754304792937</v>
      </c>
      <c r="AG2203" s="2">
        <f ca="1"/>
        <v>0.92498569091007443</v>
      </c>
      <c r="AH2203" s="2" t="str">
        <f ca="1"/>
        <v>Bad</v>
      </c>
    </row>
    <row r="2204" spans="2:34" x14ac:dyDescent="0.2">
      <c r="B2204" s="2">
        <f ca="1"/>
        <v>6.676033473976406E-2</v>
      </c>
      <c r="O2204" s="2">
        <f ca="1"/>
        <v>0.33454797943029707</v>
      </c>
      <c r="X2204" s="2">
        <f ca="1"/>
        <v>34.651648230630947</v>
      </c>
      <c r="AG2204" s="2">
        <f ca="1"/>
        <v>0.94092618819375673</v>
      </c>
      <c r="AH2204" s="2" t="str">
        <f ca="1"/>
        <v>Bad</v>
      </c>
    </row>
    <row r="2205" spans="2:34" x14ac:dyDescent="0.2">
      <c r="B2205" s="2">
        <f ca="1"/>
        <v>0.33291573891518156</v>
      </c>
      <c r="O2205" s="2">
        <f ca="1"/>
        <v>2.4138956121390266E-2</v>
      </c>
      <c r="X2205" s="2">
        <f ca="1"/>
        <v>51.905602146650168</v>
      </c>
      <c r="AG2205" s="2">
        <f ca="1"/>
        <v>0.20243202725723886</v>
      </c>
      <c r="AH2205" s="2" t="str">
        <f ca="1"/>
        <v>OK</v>
      </c>
    </row>
    <row r="2206" spans="2:34" x14ac:dyDescent="0.2">
      <c r="B2206" s="2">
        <f ca="1"/>
        <v>0.75682629350662345</v>
      </c>
      <c r="O2206" s="2">
        <f ca="1"/>
        <v>-0.10822781296613905</v>
      </c>
      <c r="X2206" s="2">
        <f ca="1"/>
        <v>60.366262529640473</v>
      </c>
      <c r="AG2206" s="2">
        <f ca="1"/>
        <v>0.97775473192605911</v>
      </c>
      <c r="AH2206" s="2" t="str">
        <f ca="1"/>
        <v>Bad</v>
      </c>
    </row>
    <row r="2207" spans="2:34" x14ac:dyDescent="0.2">
      <c r="B2207" s="2">
        <f ca="1"/>
        <v>0.34293518015264457</v>
      </c>
      <c r="O2207" s="2">
        <f ca="1"/>
        <v>-0.69270409243795794</v>
      </c>
      <c r="X2207" s="2">
        <f ca="1"/>
        <v>29.537705303101518</v>
      </c>
      <c r="AG2207" s="2">
        <f ca="1"/>
        <v>0.36779722975772655</v>
      </c>
      <c r="AH2207" s="2" t="str">
        <f ca="1"/>
        <v>OK</v>
      </c>
    </row>
    <row r="2208" spans="2:34" x14ac:dyDescent="0.2">
      <c r="B2208" s="2">
        <f ca="1"/>
        <v>0.61823398550275965</v>
      </c>
      <c r="O2208" s="2">
        <f ca="1"/>
        <v>-1.1482744829544903E-2</v>
      </c>
      <c r="X2208" s="2">
        <f ca="1"/>
        <v>34.164553009129705</v>
      </c>
      <c r="AG2208" s="2">
        <f ca="1"/>
        <v>0.96469791589899168</v>
      </c>
      <c r="AH2208" s="2" t="str">
        <f ca="1"/>
        <v>Bad</v>
      </c>
    </row>
    <row r="2209" spans="2:34" x14ac:dyDescent="0.2">
      <c r="B2209" s="2">
        <f ca="1"/>
        <v>0.27983236902298314</v>
      </c>
      <c r="O2209" s="2">
        <f ca="1"/>
        <v>0.17194593713512377</v>
      </c>
      <c r="X2209" s="2">
        <f ca="1"/>
        <v>36.106889939917146</v>
      </c>
      <c r="AG2209" s="2">
        <f ca="1"/>
        <v>0.5887801739869154</v>
      </c>
      <c r="AH2209" s="2" t="str">
        <f ca="1"/>
        <v>Bad</v>
      </c>
    </row>
    <row r="2210" spans="2:34" x14ac:dyDescent="0.2">
      <c r="B2210" s="2">
        <f ca="1"/>
        <v>0.87552186664986609</v>
      </c>
      <c r="O2210" s="2">
        <f ca="1"/>
        <v>-1.010467710375025</v>
      </c>
      <c r="X2210" s="2">
        <f ca="1"/>
        <v>53.516680542036987</v>
      </c>
      <c r="AG2210" s="2">
        <f ca="1"/>
        <v>0.38063595147897744</v>
      </c>
      <c r="AH2210" s="2" t="str">
        <f ca="1"/>
        <v>OK</v>
      </c>
    </row>
    <row r="2211" spans="2:34" x14ac:dyDescent="0.2">
      <c r="B2211" s="2">
        <f ca="1"/>
        <v>0.27717402541883018</v>
      </c>
      <c r="O2211" s="2">
        <f ca="1"/>
        <v>0.34229381381542295</v>
      </c>
      <c r="X2211" s="2">
        <f ca="1"/>
        <v>37.608353931903061</v>
      </c>
      <c r="AG2211" s="2">
        <f ca="1"/>
        <v>2.7224091578197607E-2</v>
      </c>
      <c r="AH2211" s="2" t="str">
        <f ca="1"/>
        <v>Good</v>
      </c>
    </row>
    <row r="2212" spans="2:34" x14ac:dyDescent="0.2">
      <c r="B2212" s="2">
        <f ca="1"/>
        <v>0.98433304014094647</v>
      </c>
      <c r="O2212" s="2">
        <f ca="1"/>
        <v>0.81883426472527909</v>
      </c>
      <c r="X2212" s="2">
        <f ca="1"/>
        <v>67.824470841018027</v>
      </c>
      <c r="AG2212" s="2">
        <f ca="1"/>
        <v>0.23277573769644677</v>
      </c>
      <c r="AH2212" s="2" t="str">
        <f ca="1"/>
        <v>OK</v>
      </c>
    </row>
    <row r="2213" spans="2:34" x14ac:dyDescent="0.2">
      <c r="B2213" s="2">
        <f ca="1"/>
        <v>0.98884385134612973</v>
      </c>
      <c r="O2213" s="2">
        <f ca="1"/>
        <v>-1.029697238326106E-2</v>
      </c>
      <c r="X2213" s="2">
        <f ca="1"/>
        <v>53.115919266871941</v>
      </c>
      <c r="AG2213" s="2">
        <f ca="1"/>
        <v>0.12118549407063917</v>
      </c>
      <c r="AH2213" s="2" t="str">
        <f ca="1"/>
        <v>OK</v>
      </c>
    </row>
    <row r="2214" spans="2:34" x14ac:dyDescent="0.2">
      <c r="B2214" s="2">
        <f ca="1"/>
        <v>0.97807336095189545</v>
      </c>
      <c r="O2214" s="2">
        <f ca="1"/>
        <v>1.5202633038656421</v>
      </c>
      <c r="X2214" s="2">
        <f ca="1"/>
        <v>34.860628041228644</v>
      </c>
      <c r="AG2214" s="2">
        <f ca="1"/>
        <v>0.90312467835777488</v>
      </c>
      <c r="AH2214" s="2" t="str">
        <f ca="1"/>
        <v>Bad</v>
      </c>
    </row>
    <row r="2215" spans="2:34" x14ac:dyDescent="0.2">
      <c r="B2215" s="2">
        <f ca="1"/>
        <v>0.71634365530615018</v>
      </c>
      <c r="O2215" s="2">
        <f ca="1"/>
        <v>-0.22704773011973561</v>
      </c>
      <c r="X2215" s="2">
        <f ca="1"/>
        <v>63.556187328364658</v>
      </c>
      <c r="AG2215" s="2">
        <f ca="1"/>
        <v>0.22624357292628416</v>
      </c>
      <c r="AH2215" s="2" t="str">
        <f ca="1"/>
        <v>OK</v>
      </c>
    </row>
    <row r="2216" spans="2:34" x14ac:dyDescent="0.2">
      <c r="B2216" s="2">
        <f ca="1"/>
        <v>0.3127544928505388</v>
      </c>
      <c r="O2216" s="2">
        <f ca="1"/>
        <v>1.8089557678857202</v>
      </c>
      <c r="X2216" s="2">
        <f ca="1"/>
        <v>68.091296653352899</v>
      </c>
      <c r="AG2216" s="2">
        <f ca="1"/>
        <v>0.61176394412082913</v>
      </c>
      <c r="AH2216" s="2" t="str">
        <f ca="1"/>
        <v>Bad</v>
      </c>
    </row>
    <row r="2217" spans="2:34" x14ac:dyDescent="0.2">
      <c r="B2217" s="2">
        <f ca="1"/>
        <v>0.92120540981619459</v>
      </c>
      <c r="O2217" s="2">
        <f ca="1"/>
        <v>0.52648190881575985</v>
      </c>
      <c r="X2217" s="2">
        <f ca="1"/>
        <v>23.562983801970496</v>
      </c>
      <c r="AG2217" s="2">
        <f ca="1"/>
        <v>0.70944893051965008</v>
      </c>
      <c r="AH2217" s="2" t="str">
        <f ca="1"/>
        <v>Bad</v>
      </c>
    </row>
    <row r="2218" spans="2:34" x14ac:dyDescent="0.2">
      <c r="B2218" s="2">
        <f ca="1"/>
        <v>0.85885992956972146</v>
      </c>
      <c r="O2218" s="2">
        <f ca="1"/>
        <v>-1.4493290040599338</v>
      </c>
      <c r="X2218" s="2">
        <f ca="1"/>
        <v>58.261034397140115</v>
      </c>
      <c r="AG2218" s="2">
        <f ca="1"/>
        <v>0.47873466236138262</v>
      </c>
      <c r="AH2218" s="2" t="str">
        <f ca="1"/>
        <v>Bad</v>
      </c>
    </row>
    <row r="2219" spans="2:34" x14ac:dyDescent="0.2">
      <c r="B2219" s="2">
        <f ca="1"/>
        <v>0.51555422738360068</v>
      </c>
      <c r="O2219" s="2">
        <f ca="1"/>
        <v>1.0137190765413544</v>
      </c>
      <c r="X2219" s="2">
        <f ca="1"/>
        <v>50.36688716758767</v>
      </c>
      <c r="AG2219" s="2">
        <f ca="1"/>
        <v>0.43162062622839592</v>
      </c>
      <c r="AH2219" s="2" t="str">
        <f ca="1"/>
        <v>Bad</v>
      </c>
    </row>
    <row r="2220" spans="2:34" x14ac:dyDescent="0.2">
      <c r="B2220" s="2">
        <f ca="1"/>
        <v>0.41528883065108912</v>
      </c>
      <c r="O2220" s="2">
        <f ca="1"/>
        <v>-0.7819888211617444</v>
      </c>
      <c r="X2220" s="2">
        <f ca="1"/>
        <v>82.26330634143747</v>
      </c>
      <c r="AG2220" s="2">
        <f ca="1"/>
        <v>0.33298742617832877</v>
      </c>
      <c r="AH2220" s="2" t="str">
        <f ca="1"/>
        <v>OK</v>
      </c>
    </row>
    <row r="2221" spans="2:34" x14ac:dyDescent="0.2">
      <c r="B2221" s="2">
        <f ca="1"/>
        <v>6.2630595479269191E-2</v>
      </c>
      <c r="O2221" s="2">
        <f ca="1"/>
        <v>-1.8167827717731293</v>
      </c>
      <c r="X2221" s="2">
        <f ca="1"/>
        <v>46.306286829754022</v>
      </c>
      <c r="AG2221" s="2">
        <f ca="1"/>
        <v>0.87439102580575101</v>
      </c>
      <c r="AH2221" s="2" t="str">
        <f ca="1"/>
        <v>Bad</v>
      </c>
    </row>
    <row r="2222" spans="2:34" x14ac:dyDescent="0.2">
      <c r="B2222" s="2">
        <f ca="1"/>
        <v>0.8779976567893244</v>
      </c>
      <c r="O2222" s="2">
        <f ca="1"/>
        <v>1.7266957009264043</v>
      </c>
      <c r="X2222" s="2">
        <f ca="1"/>
        <v>31.173599299944676</v>
      </c>
      <c r="AG2222" s="2">
        <f ca="1"/>
        <v>0.62166308398482495</v>
      </c>
      <c r="AH2222" s="2" t="str">
        <f ca="1"/>
        <v>Bad</v>
      </c>
    </row>
    <row r="2223" spans="2:34" x14ac:dyDescent="0.2">
      <c r="B2223" s="2">
        <f ca="1"/>
        <v>0.18152096724603739</v>
      </c>
      <c r="O2223" s="2">
        <f ca="1"/>
        <v>0.57854574885151111</v>
      </c>
      <c r="X2223" s="2">
        <f ca="1"/>
        <v>74.641076541452108</v>
      </c>
      <c r="AG2223" s="2">
        <f ca="1"/>
        <v>1.4989382868081158E-2</v>
      </c>
      <c r="AH2223" s="2" t="str">
        <f ca="1"/>
        <v>Good</v>
      </c>
    </row>
    <row r="2224" spans="2:34" x14ac:dyDescent="0.2">
      <c r="B2224" s="2">
        <f ca="1"/>
        <v>0.4908060174608162</v>
      </c>
      <c r="O2224" s="2">
        <f ca="1"/>
        <v>-1.5505067142737312</v>
      </c>
      <c r="X2224" s="2">
        <f ca="1"/>
        <v>37.151107111181169</v>
      </c>
      <c r="AG2224" s="2">
        <f ca="1"/>
        <v>0.76533112482259225</v>
      </c>
      <c r="AH2224" s="2" t="str">
        <f ca="1"/>
        <v>Bad</v>
      </c>
    </row>
    <row r="2225" spans="2:34" x14ac:dyDescent="0.2">
      <c r="B2225" s="2">
        <f ca="1"/>
        <v>0.92937753314614913</v>
      </c>
      <c r="O2225" s="2">
        <f ca="1"/>
        <v>-0.2582926551743237</v>
      </c>
      <c r="X2225" s="2">
        <f ca="1"/>
        <v>43.594940183661464</v>
      </c>
      <c r="AG2225" s="2">
        <f ca="1"/>
        <v>0.40358441137310663</v>
      </c>
      <c r="AH2225" s="2" t="str">
        <f ca="1"/>
        <v>Bad</v>
      </c>
    </row>
    <row r="2226" spans="2:34" x14ac:dyDescent="0.2">
      <c r="B2226" s="2">
        <f ca="1"/>
        <v>0.36378159819438283</v>
      </c>
      <c r="O2226" s="2">
        <f ca="1"/>
        <v>-1.0337314876428216</v>
      </c>
      <c r="X2226" s="2">
        <f ca="1"/>
        <v>42.711295565614961</v>
      </c>
      <c r="AG2226" s="2">
        <f ca="1"/>
        <v>0.59669965018548043</v>
      </c>
      <c r="AH2226" s="2" t="str">
        <f ca="1"/>
        <v>Bad</v>
      </c>
    </row>
    <row r="2227" spans="2:34" x14ac:dyDescent="0.2">
      <c r="B2227" s="2">
        <f ca="1"/>
        <v>0.36811798894057635</v>
      </c>
      <c r="O2227" s="2">
        <f ca="1"/>
        <v>-0.1293451509342986</v>
      </c>
      <c r="X2227" s="2">
        <f ca="1"/>
        <v>86.001931325371459</v>
      </c>
      <c r="AG2227" s="2">
        <f ca="1"/>
        <v>0.87335719982651372</v>
      </c>
      <c r="AH2227" s="2" t="str">
        <f ca="1"/>
        <v>Bad</v>
      </c>
    </row>
    <row r="2228" spans="2:34" x14ac:dyDescent="0.2">
      <c r="B2228" s="2">
        <f ca="1"/>
        <v>0.81046072035771521</v>
      </c>
      <c r="O2228" s="2">
        <f ca="1"/>
        <v>-0.82565399125808003</v>
      </c>
      <c r="X2228" s="2">
        <f ca="1"/>
        <v>53.729245521549359</v>
      </c>
      <c r="AG2228" s="2">
        <f ca="1"/>
        <v>0.99042276362621817</v>
      </c>
      <c r="AH2228" s="2" t="str">
        <f ca="1"/>
        <v>Bad</v>
      </c>
    </row>
    <row r="2229" spans="2:34" x14ac:dyDescent="0.2">
      <c r="B2229" s="2">
        <f ca="1"/>
        <v>0.57249721019618383</v>
      </c>
      <c r="O2229" s="2">
        <f ca="1"/>
        <v>0.42462963179424934</v>
      </c>
      <c r="X2229" s="2">
        <f ca="1"/>
        <v>64.835906268469373</v>
      </c>
      <c r="AG2229" s="2">
        <f ca="1"/>
        <v>0.83583135988205481</v>
      </c>
      <c r="AH2229" s="2" t="str">
        <f ca="1"/>
        <v>Bad</v>
      </c>
    </row>
    <row r="2230" spans="2:34" x14ac:dyDescent="0.2">
      <c r="B2230" s="2">
        <f ca="1"/>
        <v>0.42704992038270428</v>
      </c>
      <c r="O2230" s="2">
        <f ca="1"/>
        <v>0.56604523933937478</v>
      </c>
      <c r="X2230" s="2">
        <f ca="1"/>
        <v>68.998115715840683</v>
      </c>
      <c r="AG2230" s="2">
        <f ca="1"/>
        <v>0.18432718585888486</v>
      </c>
      <c r="AH2230" s="2" t="str">
        <f ca="1"/>
        <v>OK</v>
      </c>
    </row>
    <row r="2231" spans="2:34" x14ac:dyDescent="0.2">
      <c r="B2231" s="2">
        <f ca="1"/>
        <v>0.28087359926644506</v>
      </c>
      <c r="O2231" s="2">
        <f ca="1"/>
        <v>2.0569632937529096</v>
      </c>
      <c r="X2231" s="2">
        <f ca="1"/>
        <v>47.513647797871471</v>
      </c>
      <c r="AG2231" s="2">
        <f ca="1"/>
        <v>0.65393034240525094</v>
      </c>
      <c r="AH2231" s="2" t="str">
        <f ca="1"/>
        <v>Bad</v>
      </c>
    </row>
    <row r="2232" spans="2:34" x14ac:dyDescent="0.2">
      <c r="B2232" s="2">
        <f ca="1"/>
        <v>0.57710133994727553</v>
      </c>
      <c r="O2232" s="2">
        <f ca="1"/>
        <v>0.45702969375959507</v>
      </c>
      <c r="X2232" s="2">
        <f ca="1"/>
        <v>49.843245051986152</v>
      </c>
      <c r="AG2232" s="2">
        <f ca="1"/>
        <v>0.72127976843536801</v>
      </c>
      <c r="AH2232" s="2" t="str">
        <f ca="1"/>
        <v>Bad</v>
      </c>
    </row>
    <row r="2233" spans="2:34" x14ac:dyDescent="0.2">
      <c r="B2233" s="2">
        <f ca="1"/>
        <v>0.77174921638837124</v>
      </c>
      <c r="O2233" s="2">
        <f ca="1"/>
        <v>0.2684710682408889</v>
      </c>
      <c r="X2233" s="2">
        <f ca="1"/>
        <v>36.395063053641636</v>
      </c>
      <c r="AG2233" s="2">
        <f ca="1"/>
        <v>0.56299767225090491</v>
      </c>
      <c r="AH2233" s="2" t="str">
        <f ca="1"/>
        <v>Bad</v>
      </c>
    </row>
    <row r="2234" spans="2:34" x14ac:dyDescent="0.2">
      <c r="B2234" s="2">
        <f ca="1"/>
        <v>3.9090099966100578E-2</v>
      </c>
      <c r="O2234" s="2">
        <f ca="1"/>
        <v>2.0599854075110464</v>
      </c>
      <c r="X2234" s="2">
        <f ca="1"/>
        <v>82.690984766191619</v>
      </c>
      <c r="AG2234" s="2">
        <f ca="1"/>
        <v>8.2223714227018574E-2</v>
      </c>
      <c r="AH2234" s="2" t="str">
        <f ca="1"/>
        <v>OK</v>
      </c>
    </row>
    <row r="2235" spans="2:34" x14ac:dyDescent="0.2">
      <c r="B2235" s="2">
        <f ca="1"/>
        <v>0.21769114589674143</v>
      </c>
      <c r="O2235" s="2">
        <f ca="1"/>
        <v>1.1275196720604999</v>
      </c>
      <c r="X2235" s="2">
        <f ca="1"/>
        <v>35.912962679812075</v>
      </c>
      <c r="AG2235" s="2">
        <f ca="1"/>
        <v>0.99552948272542219</v>
      </c>
      <c r="AH2235" s="2" t="str">
        <f ca="1"/>
        <v>Bad</v>
      </c>
    </row>
    <row r="2236" spans="2:34" x14ac:dyDescent="0.2">
      <c r="B2236" s="2">
        <f ca="1"/>
        <v>0.67034124324670441</v>
      </c>
      <c r="O2236" s="2">
        <f ca="1"/>
        <v>-0.86494188764058477</v>
      </c>
      <c r="X2236" s="2">
        <f ca="1"/>
        <v>40.944332595612863</v>
      </c>
      <c r="AG2236" s="2">
        <f ca="1"/>
        <v>0.91466128168283722</v>
      </c>
      <c r="AH2236" s="2" t="str">
        <f ca="1"/>
        <v>Bad</v>
      </c>
    </row>
    <row r="2237" spans="2:34" x14ac:dyDescent="0.2">
      <c r="B2237" s="2">
        <f ca="1"/>
        <v>0.41179810603978928</v>
      </c>
      <c r="O2237" s="2">
        <f ca="1"/>
        <v>-1.8185715173552004</v>
      </c>
      <c r="X2237" s="2">
        <f ca="1"/>
        <v>42.325579581952432</v>
      </c>
      <c r="AG2237" s="2">
        <f ca="1"/>
        <v>0.40056013390599654</v>
      </c>
      <c r="AH2237" s="2" t="str">
        <f ca="1"/>
        <v>Bad</v>
      </c>
    </row>
    <row r="2238" spans="2:34" x14ac:dyDescent="0.2">
      <c r="B2238" s="2">
        <f ca="1"/>
        <v>7.2696871445546707E-2</v>
      </c>
      <c r="O2238" s="2">
        <f ca="1"/>
        <v>-0.65454685101839993</v>
      </c>
      <c r="X2238" s="2">
        <f ca="1"/>
        <v>70.541141844797835</v>
      </c>
      <c r="AG2238" s="2">
        <f ca="1"/>
        <v>0.21186336704167896</v>
      </c>
      <c r="AH2238" s="2" t="str">
        <f ca="1"/>
        <v>OK</v>
      </c>
    </row>
    <row r="2239" spans="2:34" x14ac:dyDescent="0.2">
      <c r="B2239" s="2">
        <f ca="1"/>
        <v>6.9212126059667867E-3</v>
      </c>
      <c r="O2239" s="2">
        <f ca="1"/>
        <v>-0.30257456745796485</v>
      </c>
      <c r="X2239" s="2">
        <f ca="1"/>
        <v>25.71350172461727</v>
      </c>
      <c r="AG2239" s="2">
        <f ca="1"/>
        <v>4.3993110604666263E-2</v>
      </c>
      <c r="AH2239" s="2" t="str">
        <f ca="1"/>
        <v>Good</v>
      </c>
    </row>
    <row r="2240" spans="2:34" x14ac:dyDescent="0.2">
      <c r="B2240" s="2">
        <f ca="1"/>
        <v>0.73113654085973789</v>
      </c>
      <c r="O2240" s="2">
        <f ca="1"/>
        <v>-2.2511189222648449</v>
      </c>
      <c r="X2240" s="2">
        <f ca="1"/>
        <v>58.02436171256759</v>
      </c>
      <c r="AG2240" s="2">
        <f ca="1"/>
        <v>0.24040737178962601</v>
      </c>
      <c r="AH2240" s="2" t="str">
        <f ca="1"/>
        <v>OK</v>
      </c>
    </row>
    <row r="2241" spans="2:34" x14ac:dyDescent="0.2">
      <c r="B2241" s="2">
        <f ca="1"/>
        <v>0.6877236774315858</v>
      </c>
      <c r="O2241" s="2">
        <f ca="1"/>
        <v>0.74564460365343455</v>
      </c>
      <c r="X2241" s="2">
        <f ca="1"/>
        <v>22.630534481412425</v>
      </c>
      <c r="AG2241" s="2">
        <f ca="1"/>
        <v>0.70101963500742803</v>
      </c>
      <c r="AH2241" s="2" t="str">
        <f ca="1"/>
        <v>Bad</v>
      </c>
    </row>
    <row r="2242" spans="2:34" x14ac:dyDescent="0.2">
      <c r="B2242" s="2">
        <f ca="1"/>
        <v>0.36390443229282909</v>
      </c>
      <c r="O2242" s="2">
        <f ca="1"/>
        <v>-3.18349225703181E-2</v>
      </c>
      <c r="X2242" s="2">
        <f ca="1"/>
        <v>37.718388871680716</v>
      </c>
      <c r="AG2242" s="2">
        <f ca="1"/>
        <v>0.47587473559661997</v>
      </c>
      <c r="AH2242" s="2" t="str">
        <f ca="1"/>
        <v>Bad</v>
      </c>
    </row>
    <row r="2243" spans="2:34" x14ac:dyDescent="0.2">
      <c r="B2243" s="2">
        <f ca="1"/>
        <v>0.18250262508626691</v>
      </c>
      <c r="O2243" s="2">
        <f ca="1"/>
        <v>1.6332961264410712</v>
      </c>
      <c r="X2243" s="2">
        <f ca="1"/>
        <v>39.967414196935295</v>
      </c>
      <c r="AG2243" s="2">
        <f ca="1"/>
        <v>0.73924188694364412</v>
      </c>
      <c r="AH2243" s="2" t="str">
        <f ca="1"/>
        <v>Bad</v>
      </c>
    </row>
    <row r="2244" spans="2:34" x14ac:dyDescent="0.2">
      <c r="B2244" s="2">
        <f ca="1"/>
        <v>0.99400301248279965</v>
      </c>
      <c r="O2244" s="2">
        <f ca="1"/>
        <v>-0.21534137598579975</v>
      </c>
      <c r="X2244" s="2">
        <f ca="1"/>
        <v>56.362587914390822</v>
      </c>
      <c r="AG2244" s="2">
        <f ca="1"/>
        <v>0.40799944865350257</v>
      </c>
      <c r="AH2244" s="2" t="str">
        <f ca="1"/>
        <v>Bad</v>
      </c>
    </row>
    <row r="2245" spans="2:34" x14ac:dyDescent="0.2">
      <c r="B2245" s="2">
        <f ca="1"/>
        <v>0.64020317502667035</v>
      </c>
      <c r="O2245" s="2">
        <f ca="1"/>
        <v>-0.94322189561000713</v>
      </c>
      <c r="X2245" s="2">
        <f ca="1"/>
        <v>56.226773486106907</v>
      </c>
      <c r="AG2245" s="2">
        <f ca="1"/>
        <v>0.46633266792405137</v>
      </c>
      <c r="AH2245" s="2" t="str">
        <f ca="1"/>
        <v>Bad</v>
      </c>
    </row>
    <row r="2246" spans="2:34" x14ac:dyDescent="0.2">
      <c r="B2246" s="2">
        <f ca="1"/>
        <v>0.60050167912187802</v>
      </c>
      <c r="O2246" s="2">
        <f ca="1"/>
        <v>-0.30219384832102769</v>
      </c>
      <c r="X2246" s="2">
        <f ca="1"/>
        <v>74.854762517728417</v>
      </c>
      <c r="AG2246" s="2">
        <f ca="1"/>
        <v>0.63705443016831009</v>
      </c>
      <c r="AH2246" s="2" t="str">
        <f ca="1"/>
        <v>Bad</v>
      </c>
    </row>
    <row r="2247" spans="2:34" x14ac:dyDescent="0.2">
      <c r="B2247" s="2">
        <f ca="1"/>
        <v>0.49798317620447063</v>
      </c>
      <c r="O2247" s="2">
        <f ca="1"/>
        <v>-0.69432263609223599</v>
      </c>
      <c r="X2247" s="2">
        <f ca="1"/>
        <v>42.612197596016344</v>
      </c>
      <c r="AG2247" s="2">
        <f ca="1"/>
        <v>0.59470078222397005</v>
      </c>
      <c r="AH2247" s="2" t="str">
        <f ca="1"/>
        <v>Bad</v>
      </c>
    </row>
    <row r="2248" spans="2:34" x14ac:dyDescent="0.2">
      <c r="B2248" s="2">
        <f ca="1"/>
        <v>9.6990375988113664E-2</v>
      </c>
      <c r="O2248" s="2">
        <f ca="1"/>
        <v>1.6820814657478136</v>
      </c>
      <c r="X2248" s="2">
        <f ca="1"/>
        <v>43.763166514967715</v>
      </c>
      <c r="AG2248" s="2">
        <f ca="1"/>
        <v>0.2396144575331649</v>
      </c>
      <c r="AH2248" s="2" t="str">
        <f ca="1"/>
        <v>OK</v>
      </c>
    </row>
    <row r="2249" spans="2:34" x14ac:dyDescent="0.2">
      <c r="B2249" s="2">
        <f ca="1"/>
        <v>0.80349459512500365</v>
      </c>
      <c r="O2249" s="2">
        <f ca="1"/>
        <v>-0.15098051157873615</v>
      </c>
      <c r="X2249" s="2">
        <f ca="1"/>
        <v>36.047858576184268</v>
      </c>
      <c r="AG2249" s="2">
        <f ca="1"/>
        <v>0.6781662990582602</v>
      </c>
      <c r="AH2249" s="2" t="str">
        <f ca="1"/>
        <v>Bad</v>
      </c>
    </row>
    <row r="2250" spans="2:34" x14ac:dyDescent="0.2">
      <c r="B2250" s="2">
        <f ca="1"/>
        <v>0.79380498559404944</v>
      </c>
      <c r="O2250" s="2">
        <f ca="1"/>
        <v>-0.99387245022049253</v>
      </c>
      <c r="X2250" s="2">
        <f ca="1"/>
        <v>69.847810783188493</v>
      </c>
      <c r="AG2250" s="2">
        <f ca="1"/>
        <v>0.65285898865047365</v>
      </c>
      <c r="AH2250" s="2" t="str">
        <f ca="1"/>
        <v>Bad</v>
      </c>
    </row>
    <row r="2251" spans="2:34" x14ac:dyDescent="0.2">
      <c r="B2251" s="2">
        <f ca="1"/>
        <v>0.4590278416245126</v>
      </c>
      <c r="O2251" s="2">
        <f ca="1"/>
        <v>-1.6732654975476915</v>
      </c>
      <c r="X2251" s="2">
        <f ca="1"/>
        <v>31.37548636546758</v>
      </c>
      <c r="AG2251" s="2">
        <f ca="1"/>
        <v>0.65220991704216624</v>
      </c>
      <c r="AH2251" s="2" t="str">
        <f ca="1"/>
        <v>Bad</v>
      </c>
    </row>
    <row r="2252" spans="2:34" x14ac:dyDescent="0.2">
      <c r="B2252" s="2">
        <f ca="1"/>
        <v>0.14608719991780283</v>
      </c>
      <c r="O2252" s="2">
        <f ca="1"/>
        <v>0.1199270441632284</v>
      </c>
      <c r="X2252" s="2">
        <f ca="1"/>
        <v>47.816121139284078</v>
      </c>
      <c r="AG2252" s="2">
        <f ca="1"/>
        <v>0.86896143437482753</v>
      </c>
      <c r="AH2252" s="2" t="str">
        <f ca="1"/>
        <v>Bad</v>
      </c>
    </row>
    <row r="2253" spans="2:34" x14ac:dyDescent="0.2">
      <c r="B2253" s="2">
        <f ca="1"/>
        <v>0.38209943702044713</v>
      </c>
      <c r="O2253" s="2">
        <f ca="1"/>
        <v>0.49493218378753184</v>
      </c>
      <c r="X2253" s="2">
        <f ca="1"/>
        <v>48.40779475445909</v>
      </c>
      <c r="AG2253" s="2">
        <f ca="1"/>
        <v>0.49493380209959237</v>
      </c>
      <c r="AH2253" s="2" t="str">
        <f ca="1"/>
        <v>Bad</v>
      </c>
    </row>
    <row r="2254" spans="2:34" x14ac:dyDescent="0.2">
      <c r="B2254" s="2">
        <f ca="1"/>
        <v>0.96964261827303044</v>
      </c>
      <c r="O2254" s="2">
        <f ca="1"/>
        <v>0.12030786582990072</v>
      </c>
      <c r="X2254" s="2">
        <f ca="1"/>
        <v>41.358456918871056</v>
      </c>
      <c r="AG2254" s="2">
        <f ca="1"/>
        <v>0.53938718896569626</v>
      </c>
      <c r="AH2254" s="2" t="str">
        <f ca="1"/>
        <v>Bad</v>
      </c>
    </row>
    <row r="2255" spans="2:34" x14ac:dyDescent="0.2">
      <c r="B2255" s="2">
        <f ca="1"/>
        <v>6.2779092405637504E-2</v>
      </c>
      <c r="O2255" s="2">
        <f ca="1"/>
        <v>1.6632423648668164</v>
      </c>
      <c r="X2255" s="2">
        <f ca="1"/>
        <v>49.147511895461761</v>
      </c>
      <c r="AG2255" s="2">
        <f ca="1"/>
        <v>0.11063907225166036</v>
      </c>
      <c r="AH2255" s="2" t="str">
        <f ca="1"/>
        <v>OK</v>
      </c>
    </row>
    <row r="2256" spans="2:34" x14ac:dyDescent="0.2">
      <c r="B2256" s="2">
        <f ca="1"/>
        <v>0.89932921498913765</v>
      </c>
      <c r="O2256" s="2">
        <f ca="1"/>
        <v>0.37396016347249783</v>
      </c>
      <c r="X2256" s="2">
        <f ca="1"/>
        <v>53.056257653527972</v>
      </c>
      <c r="AG2256" s="2">
        <f ca="1"/>
        <v>0.9179824239185157</v>
      </c>
      <c r="AH2256" s="2" t="str">
        <f ca="1"/>
        <v>Bad</v>
      </c>
    </row>
    <row r="2257" spans="2:34" x14ac:dyDescent="0.2">
      <c r="B2257" s="2">
        <f ca="1"/>
        <v>0.81219644588868278</v>
      </c>
      <c r="O2257" s="2">
        <f ca="1"/>
        <v>-0.15969398551922762</v>
      </c>
      <c r="X2257" s="2">
        <f ca="1"/>
        <v>33.56385952723101</v>
      </c>
      <c r="AG2257" s="2">
        <f ca="1"/>
        <v>0.93146547104292798</v>
      </c>
      <c r="AH2257" s="2" t="str">
        <f ca="1"/>
        <v>Bad</v>
      </c>
    </row>
    <row r="2258" spans="2:34" x14ac:dyDescent="0.2">
      <c r="B2258" s="2">
        <f ca="1"/>
        <v>9.1209876231295173E-2</v>
      </c>
      <c r="O2258" s="2">
        <f ca="1"/>
        <v>-0.16118925073227344</v>
      </c>
      <c r="X2258" s="2">
        <f ca="1"/>
        <v>24.776857825657043</v>
      </c>
      <c r="AG2258" s="2">
        <f ca="1"/>
        <v>0.9864986940395073</v>
      </c>
      <c r="AH2258" s="2" t="str">
        <f ca="1"/>
        <v>Bad</v>
      </c>
    </row>
    <row r="2259" spans="2:34" x14ac:dyDescent="0.2">
      <c r="B2259" s="2">
        <f ca="1"/>
        <v>0.3770818578442392</v>
      </c>
      <c r="O2259" s="2">
        <f ca="1"/>
        <v>-0.51063476337279401</v>
      </c>
      <c r="X2259" s="2">
        <f ca="1"/>
        <v>70.145382452375031</v>
      </c>
      <c r="AG2259" s="2">
        <f ca="1"/>
        <v>0.27682780944285734</v>
      </c>
      <c r="AH2259" s="2" t="str">
        <f ca="1"/>
        <v>OK</v>
      </c>
    </row>
    <row r="2260" spans="2:34" x14ac:dyDescent="0.2">
      <c r="B2260" s="2">
        <f ca="1"/>
        <v>0.31669742290324421</v>
      </c>
      <c r="O2260" s="2">
        <f ca="1"/>
        <v>-1.0942301563628694</v>
      </c>
      <c r="X2260" s="2">
        <f ca="1"/>
        <v>52.427053777309361</v>
      </c>
      <c r="AG2260" s="2">
        <f ca="1"/>
        <v>0.22675367739141983</v>
      </c>
      <c r="AH2260" s="2" t="str">
        <f ca="1"/>
        <v>OK</v>
      </c>
    </row>
    <row r="2261" spans="2:34" x14ac:dyDescent="0.2">
      <c r="B2261" s="2">
        <f ca="1"/>
        <v>0.10933891885950175</v>
      </c>
      <c r="O2261" s="2">
        <f ca="1"/>
        <v>7.1421910218202586E-2</v>
      </c>
      <c r="X2261" s="2">
        <f ca="1"/>
        <v>20.387105252230725</v>
      </c>
      <c r="AG2261" s="2">
        <f ca="1"/>
        <v>0.92312127828186097</v>
      </c>
      <c r="AH2261" s="2" t="str">
        <f ca="1"/>
        <v>Bad</v>
      </c>
    </row>
    <row r="2262" spans="2:34" x14ac:dyDescent="0.2">
      <c r="B2262" s="2">
        <f ca="1"/>
        <v>0.37409522773075032</v>
      </c>
      <c r="O2262" s="2">
        <f ca="1"/>
        <v>0.96387496385824667</v>
      </c>
      <c r="X2262" s="2">
        <f ca="1"/>
        <v>46.889235663833666</v>
      </c>
      <c r="AG2262" s="2">
        <f ca="1"/>
        <v>0.76493039748301084</v>
      </c>
      <c r="AH2262" s="2" t="str">
        <f ca="1"/>
        <v>Bad</v>
      </c>
    </row>
    <row r="2263" spans="2:34" x14ac:dyDescent="0.2">
      <c r="B2263" s="2">
        <f ca="1"/>
        <v>0.84181314874714919</v>
      </c>
      <c r="O2263" s="2">
        <f ca="1"/>
        <v>-0.93575297211438591</v>
      </c>
      <c r="X2263" s="2">
        <f ca="1"/>
        <v>101.86493434058846</v>
      </c>
      <c r="AG2263" s="2">
        <f ca="1"/>
        <v>0.16000504253073777</v>
      </c>
      <c r="AH2263" s="2" t="str">
        <f ca="1"/>
        <v>OK</v>
      </c>
    </row>
    <row r="2264" spans="2:34" x14ac:dyDescent="0.2">
      <c r="B2264" s="2">
        <f ca="1"/>
        <v>0.95997815667099995</v>
      </c>
      <c r="O2264" s="2">
        <f ca="1"/>
        <v>-1.1502663747891044</v>
      </c>
      <c r="X2264" s="2">
        <f ca="1"/>
        <v>35.590325605288854</v>
      </c>
      <c r="AG2264" s="2">
        <f ca="1"/>
        <v>4.9636551372581827E-2</v>
      </c>
      <c r="AH2264" s="2" t="str">
        <f ca="1"/>
        <v>Good</v>
      </c>
    </row>
    <row r="2265" spans="2:34" x14ac:dyDescent="0.2">
      <c r="B2265" s="2">
        <f ca="1"/>
        <v>0.34370162503291835</v>
      </c>
      <c r="O2265" s="2">
        <f ca="1"/>
        <v>-0.78871678057357109</v>
      </c>
      <c r="X2265" s="2">
        <f ca="1"/>
        <v>72.253018088159479</v>
      </c>
      <c r="AG2265" s="2">
        <f ca="1"/>
        <v>0.68930647467308992</v>
      </c>
      <c r="AH2265" s="2" t="str">
        <f ca="1"/>
        <v>Bad</v>
      </c>
    </row>
    <row r="2266" spans="2:34" x14ac:dyDescent="0.2">
      <c r="B2266" s="2">
        <f ca="1"/>
        <v>0.52397158847944891</v>
      </c>
      <c r="O2266" s="2">
        <f ca="1"/>
        <v>-1.7181744896404074</v>
      </c>
      <c r="X2266" s="2">
        <f ca="1"/>
        <v>44.817898275901854</v>
      </c>
      <c r="AG2266" s="2">
        <f ca="1"/>
        <v>0.37992800050672204</v>
      </c>
      <c r="AH2266" s="2" t="str">
        <f ca="1"/>
        <v>OK</v>
      </c>
    </row>
    <row r="2267" spans="2:34" x14ac:dyDescent="0.2">
      <c r="B2267" s="2">
        <f ca="1"/>
        <v>0.86322399145367612</v>
      </c>
      <c r="O2267" s="2">
        <f ca="1"/>
        <v>0.53083157759635491</v>
      </c>
      <c r="X2267" s="2">
        <f ca="1"/>
        <v>37.500441830999662</v>
      </c>
      <c r="AG2267" s="2">
        <f ca="1"/>
        <v>0.60003492001707404</v>
      </c>
      <c r="AH2267" s="2" t="str">
        <f ca="1"/>
        <v>Bad</v>
      </c>
    </row>
    <row r="2268" spans="2:34" x14ac:dyDescent="0.2">
      <c r="B2268" s="2">
        <f ca="1"/>
        <v>0.21496730121272734</v>
      </c>
      <c r="O2268" s="2">
        <f ca="1"/>
        <v>1.0559332026445345</v>
      </c>
      <c r="X2268" s="2">
        <f ca="1"/>
        <v>22.030631010321891</v>
      </c>
      <c r="AG2268" s="2">
        <f ca="1"/>
        <v>0.84681370495497754</v>
      </c>
      <c r="AH2268" s="2" t="str">
        <f ca="1"/>
        <v>Bad</v>
      </c>
    </row>
    <row r="2269" spans="2:34" x14ac:dyDescent="0.2">
      <c r="B2269" s="2">
        <f ca="1"/>
        <v>0.85596465829413781</v>
      </c>
      <c r="O2269" s="2">
        <f ca="1"/>
        <v>1.6085811356905455</v>
      </c>
      <c r="X2269" s="2">
        <f ca="1"/>
        <v>37.750321170634464</v>
      </c>
      <c r="AG2269" s="2">
        <f ca="1"/>
        <v>0.32872379975443344</v>
      </c>
      <c r="AH2269" s="2" t="str">
        <f ca="1"/>
        <v>OK</v>
      </c>
    </row>
    <row r="2270" spans="2:34" x14ac:dyDescent="0.2">
      <c r="B2270" s="2">
        <f ca="1"/>
        <v>0.30910035069496744</v>
      </c>
      <c r="O2270" s="2">
        <f ca="1"/>
        <v>0.94684877564180958</v>
      </c>
      <c r="X2270" s="2">
        <f ca="1"/>
        <v>72.268180126482022</v>
      </c>
      <c r="AG2270" s="2">
        <f ca="1"/>
        <v>0.11204890748113128</v>
      </c>
      <c r="AH2270" s="2" t="str">
        <f ca="1"/>
        <v>OK</v>
      </c>
    </row>
    <row r="2271" spans="2:34" x14ac:dyDescent="0.2">
      <c r="B2271" s="2">
        <f ca="1"/>
        <v>0.8724500790612808</v>
      </c>
      <c r="O2271" s="2">
        <f ca="1"/>
        <v>-2.2074006174791552</v>
      </c>
      <c r="X2271" s="2">
        <f ca="1"/>
        <v>57.462593963589264</v>
      </c>
      <c r="AG2271" s="2">
        <f ca="1"/>
        <v>0.43430068338486394</v>
      </c>
      <c r="AH2271" s="2" t="str">
        <f ca="1"/>
        <v>Bad</v>
      </c>
    </row>
    <row r="2272" spans="2:34" x14ac:dyDescent="0.2">
      <c r="B2272" s="2">
        <f ca="1"/>
        <v>0.33267225563652247</v>
      </c>
      <c r="O2272" s="2">
        <f ca="1"/>
        <v>-0.78853848615258093</v>
      </c>
      <c r="X2272" s="2">
        <f ca="1"/>
        <v>37.79735888571382</v>
      </c>
      <c r="AG2272" s="2">
        <f ca="1"/>
        <v>0.56999032835296415</v>
      </c>
      <c r="AH2272" s="2" t="str">
        <f ca="1"/>
        <v>Bad</v>
      </c>
    </row>
    <row r="2273" spans="2:34" x14ac:dyDescent="0.2">
      <c r="B2273" s="2">
        <f ca="1"/>
        <v>0.76267282994952912</v>
      </c>
      <c r="O2273" s="2">
        <f ca="1"/>
        <v>-1.2518550409362295</v>
      </c>
      <c r="X2273" s="2">
        <f ca="1"/>
        <v>42.821621139841106</v>
      </c>
      <c r="AG2273" s="2">
        <f ca="1"/>
        <v>0.31714596869063483</v>
      </c>
      <c r="AH2273" s="2" t="str">
        <f ca="1"/>
        <v>OK</v>
      </c>
    </row>
    <row r="2274" spans="2:34" x14ac:dyDescent="0.2">
      <c r="B2274" s="2">
        <f ca="1"/>
        <v>0.76995941113219679</v>
      </c>
      <c r="O2274" s="2">
        <f ca="1"/>
        <v>-0.61639046791725138</v>
      </c>
      <c r="X2274" s="2">
        <f ca="1"/>
        <v>43.102436320916333</v>
      </c>
      <c r="AG2274" s="2">
        <f ca="1"/>
        <v>0.65502280134348601</v>
      </c>
      <c r="AH2274" s="2" t="str">
        <f ca="1"/>
        <v>Bad</v>
      </c>
    </row>
    <row r="2275" spans="2:34" x14ac:dyDescent="0.2">
      <c r="B2275" s="2">
        <f ca="1"/>
        <v>0.35629228424572745</v>
      </c>
      <c r="O2275" s="2">
        <f ca="1"/>
        <v>-0.20564069832623663</v>
      </c>
      <c r="X2275" s="2">
        <f ca="1"/>
        <v>60.16615219813459</v>
      </c>
      <c r="AG2275" s="2">
        <f ca="1"/>
        <v>0.1949928461148791</v>
      </c>
      <c r="AH2275" s="2" t="str">
        <f ca="1"/>
        <v>OK</v>
      </c>
    </row>
    <row r="2276" spans="2:34" x14ac:dyDescent="0.2">
      <c r="B2276" s="2">
        <f ca="1"/>
        <v>0.11981164120835697</v>
      </c>
      <c r="O2276" s="2">
        <f ca="1"/>
        <v>-1.1809583317795955</v>
      </c>
      <c r="X2276" s="2">
        <f ca="1"/>
        <v>36.551546207997092</v>
      </c>
      <c r="AG2276" s="2">
        <f ca="1"/>
        <v>0.24432758048472336</v>
      </c>
      <c r="AH2276" s="2" t="str">
        <f ca="1"/>
        <v>OK</v>
      </c>
    </row>
    <row r="2277" spans="2:34" x14ac:dyDescent="0.2">
      <c r="B2277" s="2">
        <f ca="1"/>
        <v>0.60916790628429385</v>
      </c>
      <c r="O2277" s="2">
        <f ca="1"/>
        <v>-1.3029223647261934</v>
      </c>
      <c r="X2277" s="2">
        <f ca="1"/>
        <v>39.772023740199771</v>
      </c>
      <c r="AG2277" s="2">
        <f ca="1"/>
        <v>0.8088256008154493</v>
      </c>
      <c r="AH2277" s="2" t="str">
        <f ca="1"/>
        <v>Bad</v>
      </c>
    </row>
    <row r="2278" spans="2:34" x14ac:dyDescent="0.2">
      <c r="B2278" s="2">
        <f ca="1"/>
        <v>0.37885247290515101</v>
      </c>
      <c r="O2278" s="2">
        <f ca="1"/>
        <v>-1.12347421906886</v>
      </c>
      <c r="X2278" s="2">
        <f ca="1"/>
        <v>47.544590880474544</v>
      </c>
      <c r="AG2278" s="2">
        <f ca="1"/>
        <v>0.69663560454898366</v>
      </c>
      <c r="AH2278" s="2" t="str">
        <f ca="1"/>
        <v>Bad</v>
      </c>
    </row>
    <row r="2279" spans="2:34" x14ac:dyDescent="0.2">
      <c r="B2279" s="2">
        <f ca="1"/>
        <v>0.76721261708894661</v>
      </c>
      <c r="O2279" s="2">
        <f ca="1"/>
        <v>0.62445932712685415</v>
      </c>
      <c r="X2279" s="2">
        <f ca="1"/>
        <v>81.279434992385148</v>
      </c>
      <c r="AG2279" s="2">
        <f ca="1"/>
        <v>0.12244601252292364</v>
      </c>
      <c r="AH2279" s="2" t="str">
        <f ca="1"/>
        <v>OK</v>
      </c>
    </row>
    <row r="2280" spans="2:34" x14ac:dyDescent="0.2">
      <c r="B2280" s="2">
        <f ca="1"/>
        <v>0.5836208194643222</v>
      </c>
      <c r="O2280" s="2">
        <f ca="1"/>
        <v>-0.98131598338557358</v>
      </c>
      <c r="X2280" s="2">
        <f ca="1"/>
        <v>49.918892813386179</v>
      </c>
      <c r="AG2280" s="2">
        <f ca="1"/>
        <v>2.3841549349896685E-3</v>
      </c>
      <c r="AH2280" s="2" t="str">
        <f ca="1"/>
        <v>Good</v>
      </c>
    </row>
    <row r="2281" spans="2:34" x14ac:dyDescent="0.2">
      <c r="B2281" s="2">
        <f ca="1"/>
        <v>0.10983890223345583</v>
      </c>
      <c r="O2281" s="2">
        <f ca="1"/>
        <v>-0.4895355893029506</v>
      </c>
      <c r="X2281" s="2">
        <f ca="1"/>
        <v>57.564728566423597</v>
      </c>
      <c r="AG2281" s="2">
        <f ca="1"/>
        <v>0.62214412294039634</v>
      </c>
      <c r="AH2281" s="2" t="str">
        <f ca="1"/>
        <v>Bad</v>
      </c>
    </row>
    <row r="2282" spans="2:34" x14ac:dyDescent="0.2">
      <c r="B2282" s="2">
        <f ca="1"/>
        <v>0.41793616780459142</v>
      </c>
      <c r="O2282" s="2">
        <f ca="1"/>
        <v>-3.6197638247188637</v>
      </c>
      <c r="X2282" s="2">
        <f ca="1"/>
        <v>41.87527227298812</v>
      </c>
      <c r="AG2282" s="2">
        <f ca="1"/>
        <v>0.21928720862880269</v>
      </c>
      <c r="AH2282" s="2" t="str">
        <f ca="1"/>
        <v>OK</v>
      </c>
    </row>
    <row r="2283" spans="2:34" x14ac:dyDescent="0.2">
      <c r="B2283" s="2">
        <f ca="1"/>
        <v>0.93806994179863712</v>
      </c>
      <c r="O2283" s="2">
        <f ca="1"/>
        <v>5.5242195374923718E-2</v>
      </c>
      <c r="X2283" s="2">
        <f ca="1"/>
        <v>36.085890466282727</v>
      </c>
      <c r="AG2283" s="2">
        <f ca="1"/>
        <v>0.69833952928192966</v>
      </c>
      <c r="AH2283" s="2" t="str">
        <f ca="1"/>
        <v>Bad</v>
      </c>
    </row>
    <row r="2284" spans="2:34" x14ac:dyDescent="0.2">
      <c r="B2284" s="2">
        <f ca="1"/>
        <v>0.51853115026194807</v>
      </c>
      <c r="O2284" s="2">
        <f ca="1"/>
        <v>1.0535252693295507</v>
      </c>
      <c r="X2284" s="2">
        <f ca="1"/>
        <v>41.870378131328387</v>
      </c>
      <c r="AG2284" s="2">
        <f ca="1"/>
        <v>0.13027047861893948</v>
      </c>
      <c r="AH2284" s="2" t="str">
        <f ca="1"/>
        <v>OK</v>
      </c>
    </row>
    <row r="2285" spans="2:34" x14ac:dyDescent="0.2">
      <c r="B2285" s="2">
        <f ca="1"/>
        <v>2.3238207383899478E-2</v>
      </c>
      <c r="O2285" s="2">
        <f ca="1"/>
        <v>-1.4260555988960049</v>
      </c>
      <c r="X2285" s="2">
        <f ca="1"/>
        <v>63.314547590607916</v>
      </c>
      <c r="AG2285" s="2">
        <f ca="1"/>
        <v>0.52537523447925705</v>
      </c>
      <c r="AH2285" s="2" t="str">
        <f ca="1"/>
        <v>Bad</v>
      </c>
    </row>
    <row r="2286" spans="2:34" x14ac:dyDescent="0.2">
      <c r="B2286" s="2">
        <f ca="1"/>
        <v>3.7454806914329897E-3</v>
      </c>
      <c r="O2286" s="2">
        <f ca="1"/>
        <v>0.10478361495098229</v>
      </c>
      <c r="X2286" s="2">
        <f ca="1"/>
        <v>23.242355338537742</v>
      </c>
      <c r="AG2286" s="2">
        <f ca="1"/>
        <v>0.51515586425311954</v>
      </c>
      <c r="AH2286" s="2" t="str">
        <f ca="1"/>
        <v>Bad</v>
      </c>
    </row>
    <row r="2287" spans="2:34" x14ac:dyDescent="0.2">
      <c r="B2287" s="2">
        <f ca="1"/>
        <v>0.88950109314415138</v>
      </c>
      <c r="O2287" s="2">
        <f ca="1"/>
        <v>-1.2439303287430032</v>
      </c>
      <c r="X2287" s="2">
        <f ca="1"/>
        <v>39.580404993902306</v>
      </c>
      <c r="AG2287" s="2">
        <f ca="1"/>
        <v>0.53530452712363075</v>
      </c>
      <c r="AH2287" s="2" t="str">
        <f ca="1"/>
        <v>Bad</v>
      </c>
    </row>
    <row r="2288" spans="2:34" x14ac:dyDescent="0.2">
      <c r="B2288" s="2">
        <f ca="1"/>
        <v>0.52152594672649455</v>
      </c>
      <c r="O2288" s="2">
        <f ca="1"/>
        <v>0.55548429811265254</v>
      </c>
      <c r="X2288" s="2">
        <f ca="1"/>
        <v>50.565190711994802</v>
      </c>
      <c r="AG2288" s="2">
        <f ca="1"/>
        <v>3.6560658276491909E-2</v>
      </c>
      <c r="AH2288" s="2" t="str">
        <f ca="1"/>
        <v>Good</v>
      </c>
    </row>
    <row r="2289" spans="2:34" x14ac:dyDescent="0.2">
      <c r="B2289" s="2">
        <f ca="1"/>
        <v>0.84029347052776959</v>
      </c>
      <c r="O2289" s="2">
        <f ca="1"/>
        <v>-0.32847194973519717</v>
      </c>
      <c r="X2289" s="2">
        <f ca="1"/>
        <v>32.93897377313948</v>
      </c>
      <c r="AG2289" s="2">
        <f ca="1"/>
        <v>0.33015380207327372</v>
      </c>
      <c r="AH2289" s="2" t="str">
        <f ca="1"/>
        <v>OK</v>
      </c>
    </row>
    <row r="2290" spans="2:34" x14ac:dyDescent="0.2">
      <c r="B2290" s="2">
        <f ca="1"/>
        <v>0.33708370153127043</v>
      </c>
      <c r="O2290" s="2">
        <f ca="1"/>
        <v>-0.2078694530250893</v>
      </c>
      <c r="X2290" s="2">
        <f ca="1"/>
        <v>58.219836117400547</v>
      </c>
      <c r="AG2290" s="2">
        <f ca="1"/>
        <v>0.52838314344927073</v>
      </c>
      <c r="AH2290" s="2" t="str">
        <f ca="1"/>
        <v>Bad</v>
      </c>
    </row>
    <row r="2291" spans="2:34" x14ac:dyDescent="0.2">
      <c r="B2291" s="2">
        <f ca="1"/>
        <v>0.4312219054294133</v>
      </c>
      <c r="O2291" s="2">
        <f ca="1"/>
        <v>4.0486095113635972E-3</v>
      </c>
      <c r="X2291" s="2">
        <f ca="1"/>
        <v>61.585466770192944</v>
      </c>
      <c r="AG2291" s="2">
        <f ca="1"/>
        <v>0.15637025927202619</v>
      </c>
      <c r="AH2291" s="2" t="str">
        <f ca="1"/>
        <v>OK</v>
      </c>
    </row>
    <row r="2292" spans="2:34" x14ac:dyDescent="0.2">
      <c r="B2292" s="2">
        <f ca="1"/>
        <v>5.3440145812715834E-2</v>
      </c>
      <c r="O2292" s="2">
        <f ca="1"/>
        <v>-0.56102059830802087</v>
      </c>
      <c r="X2292" s="2">
        <f ca="1"/>
        <v>34.550225872819539</v>
      </c>
      <c r="AG2292" s="2">
        <f ca="1"/>
        <v>0.72726874514504303</v>
      </c>
      <c r="AH2292" s="2" t="str">
        <f ca="1"/>
        <v>Bad</v>
      </c>
    </row>
    <row r="2293" spans="2:34" x14ac:dyDescent="0.2">
      <c r="B2293" s="2">
        <f ca="1"/>
        <v>0.82899116738195855</v>
      </c>
      <c r="O2293" s="2">
        <f ca="1"/>
        <v>-1.3772522500363558</v>
      </c>
      <c r="X2293" s="2">
        <f ca="1"/>
        <v>22.729205750845086</v>
      </c>
      <c r="AG2293" s="2">
        <f ca="1"/>
        <v>0.58149129697130686</v>
      </c>
      <c r="AH2293" s="2" t="str">
        <f ca="1"/>
        <v>Bad</v>
      </c>
    </row>
    <row r="2294" spans="2:34" x14ac:dyDescent="0.2">
      <c r="B2294" s="2">
        <f ca="1"/>
        <v>0.18248803255851587</v>
      </c>
      <c r="O2294" s="2">
        <f ca="1"/>
        <v>-0.33817467375217214</v>
      </c>
      <c r="X2294" s="2">
        <f ca="1"/>
        <v>36.489678578868428</v>
      </c>
      <c r="AG2294" s="2">
        <f ca="1"/>
        <v>0.73348109754046953</v>
      </c>
      <c r="AH2294" s="2" t="str">
        <f ca="1"/>
        <v>Bad</v>
      </c>
    </row>
    <row r="2295" spans="2:34" x14ac:dyDescent="0.2">
      <c r="B2295" s="2">
        <f ca="1"/>
        <v>0.27097198588154869</v>
      </c>
      <c r="O2295" s="2">
        <f ca="1"/>
        <v>0.61534368856448851</v>
      </c>
      <c r="X2295" s="2">
        <f ca="1"/>
        <v>43.273171215790327</v>
      </c>
      <c r="AG2295" s="2">
        <f ca="1"/>
        <v>9.8032986973628056E-2</v>
      </c>
      <c r="AH2295" s="2" t="str">
        <f ca="1"/>
        <v>OK</v>
      </c>
    </row>
    <row r="2296" spans="2:34" x14ac:dyDescent="0.2">
      <c r="B2296" s="2">
        <f ca="1"/>
        <v>0.34031990571770776</v>
      </c>
      <c r="O2296" s="2">
        <f ca="1"/>
        <v>-0.74282379324468983</v>
      </c>
      <c r="X2296" s="2">
        <f ca="1"/>
        <v>54.163694725662012</v>
      </c>
      <c r="AG2296" s="2">
        <f ca="1"/>
        <v>0.47482041166477984</v>
      </c>
      <c r="AH2296" s="2" t="str">
        <f ca="1"/>
        <v>Bad</v>
      </c>
    </row>
    <row r="2297" spans="2:34" x14ac:dyDescent="0.2">
      <c r="B2297" s="2">
        <f ca="1"/>
        <v>0.28473958129232679</v>
      </c>
      <c r="O2297" s="2">
        <f ca="1"/>
        <v>0.9418945302554137</v>
      </c>
      <c r="X2297" s="2">
        <f ca="1"/>
        <v>45.256277037944116</v>
      </c>
      <c r="AG2297" s="2">
        <f ca="1"/>
        <v>0.88327278608369686</v>
      </c>
      <c r="AH2297" s="2" t="str">
        <f ca="1"/>
        <v>Bad</v>
      </c>
    </row>
    <row r="2298" spans="2:34" x14ac:dyDescent="0.2">
      <c r="B2298" s="2">
        <f ca="1"/>
        <v>0.57737203546159188</v>
      </c>
      <c r="O2298" s="2">
        <f ca="1"/>
        <v>1.1644928165589683</v>
      </c>
      <c r="X2298" s="2">
        <f ca="1"/>
        <v>48.918137933342791</v>
      </c>
      <c r="AG2298" s="2">
        <f ca="1"/>
        <v>0.30371500664046569</v>
      </c>
      <c r="AH2298" s="2" t="str">
        <f ca="1"/>
        <v>OK</v>
      </c>
    </row>
    <row r="2299" spans="2:34" x14ac:dyDescent="0.2">
      <c r="B2299" s="2">
        <f ca="1"/>
        <v>0.72343139572744186</v>
      </c>
      <c r="O2299" s="2">
        <f ca="1"/>
        <v>-0.98058063628421444</v>
      </c>
      <c r="X2299" s="2">
        <f ca="1"/>
        <v>50.109644974951102</v>
      </c>
      <c r="AG2299" s="2">
        <f ca="1"/>
        <v>0.19179767712390494</v>
      </c>
      <c r="AH2299" s="2" t="str">
        <f ca="1"/>
        <v>OK</v>
      </c>
    </row>
    <row r="2300" spans="2:34" x14ac:dyDescent="0.2">
      <c r="B2300" s="2">
        <f ca="1"/>
        <v>5.2972140334702766E-2</v>
      </c>
      <c r="O2300" s="2">
        <f ca="1"/>
        <v>0.25303827398711426</v>
      </c>
      <c r="X2300" s="2">
        <f ca="1"/>
        <v>58.834323916288469</v>
      </c>
      <c r="AG2300" s="2">
        <f ca="1"/>
        <v>0.3815028972832375</v>
      </c>
      <c r="AH2300" s="2" t="str">
        <f ca="1"/>
        <v>OK</v>
      </c>
    </row>
    <row r="2301" spans="2:34" x14ac:dyDescent="0.2">
      <c r="B2301" s="2">
        <f ca="1"/>
        <v>0.70890026256165406</v>
      </c>
      <c r="O2301" s="2">
        <f ca="1"/>
        <v>0.24500641979591659</v>
      </c>
      <c r="X2301" s="2">
        <f ca="1"/>
        <v>61.952475667159703</v>
      </c>
      <c r="AG2301" s="2">
        <f ca="1"/>
        <v>0.19470585006234842</v>
      </c>
      <c r="AH2301" s="2" t="str">
        <f ca="1"/>
        <v>OK</v>
      </c>
    </row>
    <row r="2302" spans="2:34" x14ac:dyDescent="0.2">
      <c r="B2302" s="2">
        <f ca="1"/>
        <v>0.76944665252917122</v>
      </c>
      <c r="O2302" s="2">
        <f ca="1"/>
        <v>1.0758588912339049</v>
      </c>
      <c r="X2302" s="2">
        <f ca="1"/>
        <v>38.979665216305349</v>
      </c>
      <c r="AG2302" s="2">
        <f ca="1"/>
        <v>0.20988881078234156</v>
      </c>
      <c r="AH2302" s="2" t="str">
        <f ca="1"/>
        <v>OK</v>
      </c>
    </row>
    <row r="2303" spans="2:34" x14ac:dyDescent="0.2">
      <c r="B2303" s="2">
        <f ca="1"/>
        <v>0.39844155681488735</v>
      </c>
      <c r="O2303" s="2">
        <f ca="1"/>
        <v>-1.2247288522910613</v>
      </c>
      <c r="X2303" s="2">
        <f ca="1"/>
        <v>79.080685768060107</v>
      </c>
      <c r="AG2303" s="2">
        <f ca="1"/>
        <v>0.19054825902221051</v>
      </c>
      <c r="AH2303" s="2" t="str">
        <f ca="1"/>
        <v>OK</v>
      </c>
    </row>
    <row r="2304" spans="2:34" x14ac:dyDescent="0.2">
      <c r="B2304" s="2">
        <f ca="1"/>
        <v>0.51791263803310228</v>
      </c>
      <c r="O2304" s="2">
        <f ca="1"/>
        <v>1.7156599344026928</v>
      </c>
      <c r="X2304" s="2">
        <f ca="1"/>
        <v>61.679321494680977</v>
      </c>
      <c r="AG2304" s="2">
        <f ca="1"/>
        <v>0.31085725386479623</v>
      </c>
      <c r="AH2304" s="2" t="str">
        <f ca="1"/>
        <v>OK</v>
      </c>
    </row>
    <row r="2305" spans="2:34" x14ac:dyDescent="0.2">
      <c r="B2305" s="2">
        <f ca="1"/>
        <v>0.86631130530603717</v>
      </c>
      <c r="O2305" s="2">
        <f ca="1"/>
        <v>0.4336665199771248</v>
      </c>
      <c r="X2305" s="2">
        <f ca="1"/>
        <v>22.649645852993608</v>
      </c>
      <c r="AG2305" s="2">
        <f ca="1"/>
        <v>0.36192503485887362</v>
      </c>
      <c r="AH2305" s="2" t="str">
        <f ca="1"/>
        <v>OK</v>
      </c>
    </row>
    <row r="2306" spans="2:34" x14ac:dyDescent="0.2">
      <c r="B2306" s="2">
        <f ca="1"/>
        <v>0.72661938543953997</v>
      </c>
      <c r="O2306" s="2">
        <f ca="1"/>
        <v>0.14027692383190948</v>
      </c>
      <c r="X2306" s="2">
        <f ca="1"/>
        <v>40.881345610041116</v>
      </c>
      <c r="AG2306" s="2">
        <f ca="1"/>
        <v>0.35941030133441698</v>
      </c>
      <c r="AH2306" s="2" t="str">
        <f ca="1"/>
        <v>OK</v>
      </c>
    </row>
    <row r="2307" spans="2:34" x14ac:dyDescent="0.2">
      <c r="B2307" s="2">
        <f ca="1"/>
        <v>0.88050529973990277</v>
      </c>
      <c r="O2307" s="2">
        <f ca="1"/>
        <v>-0.95290340944866347</v>
      </c>
      <c r="X2307" s="2">
        <f ca="1"/>
        <v>41.492404476504696</v>
      </c>
      <c r="AG2307" s="2">
        <f ca="1"/>
        <v>3.577048947057726E-2</v>
      </c>
      <c r="AH2307" s="2" t="str">
        <f ca="1"/>
        <v>Good</v>
      </c>
    </row>
    <row r="2308" spans="2:34" x14ac:dyDescent="0.2">
      <c r="B2308" s="2">
        <f ca="1"/>
        <v>0.73046852073030433</v>
      </c>
      <c r="O2308" s="2">
        <f ca="1"/>
        <v>-1.372618315080125</v>
      </c>
      <c r="X2308" s="2">
        <f ca="1"/>
        <v>39.531801063644821</v>
      </c>
      <c r="AG2308" s="2">
        <f ca="1"/>
        <v>1.9695973683712564E-2</v>
      </c>
      <c r="AH2308" s="2" t="str">
        <f ca="1"/>
        <v>Good</v>
      </c>
    </row>
    <row r="2309" spans="2:34" x14ac:dyDescent="0.2">
      <c r="B2309" s="2">
        <f ca="1"/>
        <v>0.26791169841574591</v>
      </c>
      <c r="O2309" s="2">
        <f ca="1"/>
        <v>1.7189206657241916E-2</v>
      </c>
      <c r="X2309" s="2">
        <f ca="1"/>
        <v>51.624828681166221</v>
      </c>
      <c r="AG2309" s="2">
        <f ca="1"/>
        <v>0.75848456775403439</v>
      </c>
      <c r="AH2309" s="2" t="str">
        <f ca="1"/>
        <v>Bad</v>
      </c>
    </row>
    <row r="2310" spans="2:34" x14ac:dyDescent="0.2">
      <c r="B2310" s="2">
        <f ca="1"/>
        <v>0.94871037016744997</v>
      </c>
      <c r="O2310" s="2">
        <f ca="1"/>
        <v>-1.3503015150507591</v>
      </c>
      <c r="X2310" s="2">
        <f ca="1"/>
        <v>65.230890140360586</v>
      </c>
      <c r="AG2310" s="2">
        <f ca="1"/>
        <v>0.83657452589210091</v>
      </c>
      <c r="AH2310" s="2" t="str">
        <f ca="1"/>
        <v>Bad</v>
      </c>
    </row>
    <row r="2311" spans="2:34" x14ac:dyDescent="0.2">
      <c r="B2311" s="2">
        <f ca="1"/>
        <v>0.46827867766319953</v>
      </c>
      <c r="O2311" s="2">
        <f ca="1"/>
        <v>0.37653442411085741</v>
      </c>
      <c r="X2311" s="2">
        <f ca="1"/>
        <v>52.173298652081037</v>
      </c>
      <c r="AG2311" s="2">
        <f ca="1"/>
        <v>0.22394150508033461</v>
      </c>
      <c r="AH2311" s="2" t="str">
        <f ca="1"/>
        <v>OK</v>
      </c>
    </row>
    <row r="2312" spans="2:34" x14ac:dyDescent="0.2">
      <c r="B2312" s="2">
        <f ca="1"/>
        <v>0.94503586063016742</v>
      </c>
      <c r="O2312" s="2">
        <f ca="1"/>
        <v>-0.58786429862119749</v>
      </c>
      <c r="X2312" s="2">
        <f ca="1"/>
        <v>70.786810088211624</v>
      </c>
      <c r="AG2312" s="2">
        <f ca="1"/>
        <v>0.80331439521095382</v>
      </c>
      <c r="AH2312" s="2" t="str">
        <f ca="1"/>
        <v>Bad</v>
      </c>
    </row>
    <row r="2313" spans="2:34" x14ac:dyDescent="0.2">
      <c r="B2313" s="2">
        <f ca="1"/>
        <v>5.5263130656939552E-2</v>
      </c>
      <c r="O2313" s="2">
        <f ca="1"/>
        <v>0.14644315035427793</v>
      </c>
      <c r="X2313" s="2">
        <f ca="1"/>
        <v>44.491669652872517</v>
      </c>
      <c r="AG2313" s="2">
        <f ca="1"/>
        <v>0.73479730414259858</v>
      </c>
      <c r="AH2313" s="2" t="str">
        <f ca="1"/>
        <v>Bad</v>
      </c>
    </row>
    <row r="2314" spans="2:34" x14ac:dyDescent="0.2">
      <c r="B2314" s="2">
        <f ca="1"/>
        <v>0.71070964858769603</v>
      </c>
      <c r="O2314" s="2">
        <f ca="1"/>
        <v>-0.4431614343626043</v>
      </c>
      <c r="X2314" s="2">
        <f ca="1"/>
        <v>60.382068305730755</v>
      </c>
      <c r="AG2314" s="2">
        <f ca="1"/>
        <v>0.55212639013315723</v>
      </c>
      <c r="AH2314" s="2" t="str">
        <f ca="1"/>
        <v>Bad</v>
      </c>
    </row>
    <row r="2315" spans="2:34" x14ac:dyDescent="0.2">
      <c r="B2315" s="2">
        <f ca="1"/>
        <v>0.79623070570257215</v>
      </c>
      <c r="O2315" s="2">
        <f ca="1"/>
        <v>0.44495148210562496</v>
      </c>
      <c r="X2315" s="2">
        <f ca="1"/>
        <v>48.876661725001199</v>
      </c>
      <c r="AG2315" s="2">
        <f ca="1"/>
        <v>0.5287010677292856</v>
      </c>
      <c r="AH2315" s="2" t="str">
        <f ca="1"/>
        <v>Bad</v>
      </c>
    </row>
    <row r="2316" spans="2:34" x14ac:dyDescent="0.2">
      <c r="B2316" s="2">
        <f ca="1"/>
        <v>0.75880251160256496</v>
      </c>
      <c r="O2316" s="2">
        <f ca="1"/>
        <v>-0.71258613663836612</v>
      </c>
      <c r="X2316" s="2">
        <f ca="1"/>
        <v>41.207615928356027</v>
      </c>
      <c r="AG2316" s="2">
        <f ca="1"/>
        <v>0.46180948042284786</v>
      </c>
      <c r="AH2316" s="2" t="str">
        <f ca="1"/>
        <v>Bad</v>
      </c>
    </row>
    <row r="2317" spans="2:34" x14ac:dyDescent="0.2">
      <c r="B2317" s="2">
        <f ca="1"/>
        <v>0.78535418717950689</v>
      </c>
      <c r="O2317" s="2">
        <f ca="1"/>
        <v>-1.0821481549520733</v>
      </c>
      <c r="X2317" s="2">
        <f ca="1"/>
        <v>43.753743896557609</v>
      </c>
      <c r="AG2317" s="2">
        <f ca="1"/>
        <v>0.61752370995463601</v>
      </c>
      <c r="AH2317" s="2" t="str">
        <f ca="1"/>
        <v>Bad</v>
      </c>
    </row>
    <row r="2318" spans="2:34" x14ac:dyDescent="0.2">
      <c r="B2318" s="2">
        <f ca="1"/>
        <v>0.48528460205098267</v>
      </c>
      <c r="O2318" s="2">
        <f ca="1"/>
        <v>-0.61917043923879156</v>
      </c>
      <c r="X2318" s="2">
        <f ca="1"/>
        <v>45.21104188381323</v>
      </c>
      <c r="AG2318" s="2">
        <f ca="1"/>
        <v>0.86743509100742644</v>
      </c>
      <c r="AH2318" s="2" t="str">
        <f ca="1"/>
        <v>Bad</v>
      </c>
    </row>
    <row r="2319" spans="2:34" x14ac:dyDescent="0.2">
      <c r="B2319" s="2">
        <f ca="1"/>
        <v>0.93384137932138311</v>
      </c>
      <c r="O2319" s="2">
        <f ca="1"/>
        <v>-0.45725961885950217</v>
      </c>
      <c r="X2319" s="2">
        <f ca="1"/>
        <v>37.223966172035936</v>
      </c>
      <c r="AG2319" s="2">
        <f ca="1"/>
        <v>0.78260911825401824</v>
      </c>
      <c r="AH2319" s="2" t="str">
        <f ca="1"/>
        <v>Bad</v>
      </c>
    </row>
    <row r="2320" spans="2:34" x14ac:dyDescent="0.2">
      <c r="B2320" s="2">
        <f ca="1"/>
        <v>0.35381769348355685</v>
      </c>
      <c r="O2320" s="2">
        <f ca="1"/>
        <v>-0.28970636580846298</v>
      </c>
      <c r="X2320" s="2">
        <f ca="1"/>
        <v>36.268354735291254</v>
      </c>
      <c r="AG2320" s="2">
        <f ca="1"/>
        <v>0.16434207550342772</v>
      </c>
      <c r="AH2320" s="2" t="str">
        <f ca="1"/>
        <v>OK</v>
      </c>
    </row>
    <row r="2321" spans="2:34" x14ac:dyDescent="0.2">
      <c r="B2321" s="2">
        <f ca="1"/>
        <v>0.38868427639253511</v>
      </c>
      <c r="O2321" s="2">
        <f ca="1"/>
        <v>-2.0056767492052798</v>
      </c>
      <c r="X2321" s="2">
        <f ca="1"/>
        <v>53.467377705732929</v>
      </c>
      <c r="AG2321" s="2">
        <f ca="1"/>
        <v>0.32974868731265183</v>
      </c>
      <c r="AH2321" s="2" t="str">
        <f ca="1"/>
        <v>OK</v>
      </c>
    </row>
    <row r="2322" spans="2:34" x14ac:dyDescent="0.2">
      <c r="B2322" s="2">
        <f ca="1"/>
        <v>0.68208003245999471</v>
      </c>
      <c r="O2322" s="2">
        <f ca="1"/>
        <v>-0.48874692518091623</v>
      </c>
      <c r="X2322" s="2">
        <f ca="1"/>
        <v>19.676505232351662</v>
      </c>
      <c r="AG2322" s="2">
        <f ca="1"/>
        <v>0.88288952048411118</v>
      </c>
      <c r="AH2322" s="2" t="str">
        <f ca="1"/>
        <v>Bad</v>
      </c>
    </row>
    <row r="2323" spans="2:34" x14ac:dyDescent="0.2">
      <c r="B2323" s="2">
        <f ca="1"/>
        <v>0.36220365441474711</v>
      </c>
      <c r="O2323" s="2">
        <f ca="1"/>
        <v>0.85024363351640064</v>
      </c>
      <c r="X2323" s="2">
        <f ca="1"/>
        <v>36.837706737816141</v>
      </c>
      <c r="AG2323" s="2">
        <f ca="1"/>
        <v>0.48790164551799076</v>
      </c>
      <c r="AH2323" s="2" t="str">
        <f ca="1"/>
        <v>Bad</v>
      </c>
    </row>
    <row r="2324" spans="2:34" x14ac:dyDescent="0.2">
      <c r="B2324" s="2">
        <f ca="1"/>
        <v>0.49333282061107275</v>
      </c>
      <c r="O2324" s="2">
        <f ca="1"/>
        <v>-8.6846610196461463E-2</v>
      </c>
      <c r="X2324" s="2">
        <f ca="1"/>
        <v>38.233410227271264</v>
      </c>
      <c r="AG2324" s="2">
        <f ca="1"/>
        <v>0.35317914203446876</v>
      </c>
      <c r="AH2324" s="2" t="str">
        <f ca="1"/>
        <v>OK</v>
      </c>
    </row>
    <row r="2325" spans="2:34" x14ac:dyDescent="0.2">
      <c r="B2325" s="2">
        <f ca="1"/>
        <v>0.93400523297979299</v>
      </c>
      <c r="O2325" s="2">
        <f ca="1"/>
        <v>-1.8474419467974716</v>
      </c>
      <c r="X2325" s="2">
        <f ca="1"/>
        <v>45.611987854904463</v>
      </c>
      <c r="AG2325" s="2">
        <f ca="1"/>
        <v>0.72293284190812335</v>
      </c>
      <c r="AH2325" s="2" t="str">
        <f ca="1"/>
        <v>Bad</v>
      </c>
    </row>
    <row r="2326" spans="2:34" x14ac:dyDescent="0.2">
      <c r="B2326" s="2">
        <f ca="1"/>
        <v>0.89564294025092739</v>
      </c>
      <c r="O2326" s="2">
        <f ca="1"/>
        <v>1.1434297196346999</v>
      </c>
      <c r="X2326" s="2">
        <f ca="1"/>
        <v>37.458055207070871</v>
      </c>
      <c r="AG2326" s="2">
        <f ca="1"/>
        <v>0.22702036071125975</v>
      </c>
      <c r="AH2326" s="2" t="str">
        <f ca="1"/>
        <v>OK</v>
      </c>
    </row>
    <row r="2327" spans="2:34" x14ac:dyDescent="0.2">
      <c r="B2327" s="2">
        <f ca="1"/>
        <v>0.59726273805175167</v>
      </c>
      <c r="O2327" s="2">
        <f ca="1"/>
        <v>2.35618405256078</v>
      </c>
      <c r="X2327" s="2">
        <f ca="1"/>
        <v>56.114845227099536</v>
      </c>
      <c r="AG2327" s="2">
        <f ca="1"/>
        <v>0.39414914974024584</v>
      </c>
      <c r="AH2327" s="2" t="str">
        <f ca="1"/>
        <v>OK</v>
      </c>
    </row>
    <row r="2328" spans="2:34" x14ac:dyDescent="0.2">
      <c r="B2328" s="2">
        <f ca="1"/>
        <v>0.55026967027440743</v>
      </c>
      <c r="O2328" s="2">
        <f ca="1"/>
        <v>-0.32063136875122739</v>
      </c>
      <c r="X2328" s="2">
        <f ca="1"/>
        <v>48.441710681935163</v>
      </c>
      <c r="AG2328" s="2">
        <f ca="1"/>
        <v>0.87832254369068719</v>
      </c>
      <c r="AH2328" s="2" t="str">
        <f ca="1"/>
        <v>Bad</v>
      </c>
    </row>
    <row r="2329" spans="2:34" x14ac:dyDescent="0.2">
      <c r="B2329" s="2">
        <f ca="1"/>
        <v>0.13011155748870884</v>
      </c>
      <c r="O2329" s="2">
        <f ca="1"/>
        <v>-0.15855849342748043</v>
      </c>
      <c r="X2329" s="2">
        <f ca="1"/>
        <v>67.63876640807328</v>
      </c>
      <c r="AG2329" s="2">
        <f ca="1"/>
        <v>0.47777902480660028</v>
      </c>
      <c r="AH2329" s="2" t="str">
        <f ca="1"/>
        <v>Bad</v>
      </c>
    </row>
    <row r="2330" spans="2:34" x14ac:dyDescent="0.2">
      <c r="B2330" s="2">
        <f ca="1"/>
        <v>0.45827223058535815</v>
      </c>
      <c r="O2330" s="2">
        <f ca="1"/>
        <v>0.13219478123869849</v>
      </c>
      <c r="X2330" s="2">
        <f ca="1"/>
        <v>52.381881424376751</v>
      </c>
      <c r="AG2330" s="2">
        <f ca="1"/>
        <v>0.54217004105636901</v>
      </c>
      <c r="AH2330" s="2" t="str">
        <f ca="1"/>
        <v>Bad</v>
      </c>
    </row>
    <row r="2331" spans="2:34" x14ac:dyDescent="0.2">
      <c r="B2331" s="2">
        <f ca="1"/>
        <v>0.53813463372560499</v>
      </c>
      <c r="O2331" s="2">
        <f ca="1"/>
        <v>-0.66834234841956608</v>
      </c>
      <c r="X2331" s="2">
        <f ca="1"/>
        <v>53.720751350337281</v>
      </c>
      <c r="AG2331" s="2">
        <f ca="1"/>
        <v>0.56337470119993016</v>
      </c>
      <c r="AH2331" s="2" t="str">
        <f ca="1"/>
        <v>Bad</v>
      </c>
    </row>
    <row r="2332" spans="2:34" x14ac:dyDescent="0.2">
      <c r="B2332" s="2">
        <f ca="1"/>
        <v>0.3480886524400757</v>
      </c>
      <c r="O2332" s="2">
        <f ca="1"/>
        <v>-0.40129653741648896</v>
      </c>
      <c r="X2332" s="2">
        <f ca="1"/>
        <v>41.180514020949914</v>
      </c>
      <c r="AG2332" s="2">
        <f ca="1"/>
        <v>7.7897843163922786E-2</v>
      </c>
      <c r="AH2332" s="2" t="str">
        <f ca="1"/>
        <v>OK</v>
      </c>
    </row>
    <row r="2333" spans="2:34" x14ac:dyDescent="0.2">
      <c r="B2333" s="2">
        <f ca="1"/>
        <v>0.55851425124025789</v>
      </c>
      <c r="O2333" s="2">
        <f ca="1"/>
        <v>1.2252034183352929</v>
      </c>
      <c r="X2333" s="2">
        <f ca="1"/>
        <v>39.940820601980597</v>
      </c>
      <c r="AG2333" s="2">
        <f ca="1"/>
        <v>0.20079082984695318</v>
      </c>
      <c r="AH2333" s="2" t="str">
        <f ca="1"/>
        <v>OK</v>
      </c>
    </row>
    <row r="2334" spans="2:34" x14ac:dyDescent="0.2">
      <c r="B2334" s="2">
        <f ca="1"/>
        <v>0.64820494365112546</v>
      </c>
      <c r="O2334" s="2">
        <f ca="1"/>
        <v>-0.35880251270389246</v>
      </c>
      <c r="X2334" s="2">
        <f ca="1"/>
        <v>46.482066871118917</v>
      </c>
      <c r="AG2334" s="2">
        <f ca="1"/>
        <v>0.22925605213809375</v>
      </c>
      <c r="AH2334" s="2" t="str">
        <f ca="1"/>
        <v>OK</v>
      </c>
    </row>
    <row r="2335" spans="2:34" x14ac:dyDescent="0.2">
      <c r="B2335" s="2">
        <f ca="1"/>
        <v>0.2348719110988331</v>
      </c>
      <c r="O2335" s="2">
        <f ca="1"/>
        <v>0.51313807781759035</v>
      </c>
      <c r="X2335" s="2">
        <f ca="1"/>
        <v>66.517797281063821</v>
      </c>
      <c r="AG2335" s="2">
        <f ca="1"/>
        <v>0.71702830072631896</v>
      </c>
      <c r="AH2335" s="2" t="str">
        <f ca="1"/>
        <v>Bad</v>
      </c>
    </row>
    <row r="2336" spans="2:34" x14ac:dyDescent="0.2">
      <c r="B2336" s="2">
        <f ca="1"/>
        <v>0.65184493242621766</v>
      </c>
      <c r="O2336" s="2">
        <f ca="1"/>
        <v>0.30288407189792138</v>
      </c>
      <c r="X2336" s="2">
        <f ca="1"/>
        <v>48.934651180585547</v>
      </c>
      <c r="AG2336" s="2">
        <f ca="1"/>
        <v>0.37578401304160769</v>
      </c>
      <c r="AH2336" s="2" t="str">
        <f ca="1"/>
        <v>OK</v>
      </c>
    </row>
    <row r="2337" spans="2:34" x14ac:dyDescent="0.2">
      <c r="B2337" s="2">
        <f ca="1"/>
        <v>0.32363464650570806</v>
      </c>
      <c r="O2337" s="2">
        <f ca="1"/>
        <v>-0.19613218774715979</v>
      </c>
      <c r="X2337" s="2">
        <f ca="1"/>
        <v>30.363735815379378</v>
      </c>
      <c r="AG2337" s="2">
        <f ca="1"/>
        <v>0.5031255492426332</v>
      </c>
      <c r="AH2337" s="2" t="str">
        <f ca="1"/>
        <v>Bad</v>
      </c>
    </row>
    <row r="2338" spans="2:34" x14ac:dyDescent="0.2">
      <c r="B2338" s="2">
        <f ca="1"/>
        <v>0.11858721183944465</v>
      </c>
      <c r="O2338" s="2">
        <f ca="1"/>
        <v>0.76245131386372345</v>
      </c>
      <c r="X2338" s="2">
        <f ca="1"/>
        <v>44.300711032662079</v>
      </c>
      <c r="AG2338" s="2">
        <f ca="1"/>
        <v>0.27925348567774355</v>
      </c>
      <c r="AH2338" s="2" t="str">
        <f ca="1"/>
        <v>OK</v>
      </c>
    </row>
    <row r="2339" spans="2:34" x14ac:dyDescent="0.2">
      <c r="B2339" s="2">
        <f ca="1"/>
        <v>0.29645895271432243</v>
      </c>
      <c r="O2339" s="2">
        <f ca="1"/>
        <v>0.67932937619641076</v>
      </c>
      <c r="X2339" s="2">
        <f ca="1"/>
        <v>46.711971859366159</v>
      </c>
      <c r="AG2339" s="2">
        <f ca="1"/>
        <v>2.5170225021078574E-2</v>
      </c>
      <c r="AH2339" s="2" t="str">
        <f ca="1"/>
        <v>Good</v>
      </c>
    </row>
    <row r="2340" spans="2:34" x14ac:dyDescent="0.2">
      <c r="B2340" s="2">
        <f ca="1"/>
        <v>0.58206396110674219</v>
      </c>
      <c r="O2340" s="2">
        <f ca="1"/>
        <v>0.41912751401460341</v>
      </c>
      <c r="X2340" s="2">
        <f ca="1"/>
        <v>49.258210967142375</v>
      </c>
      <c r="AG2340" s="2">
        <f ca="1"/>
        <v>0.35261100394646294</v>
      </c>
      <c r="AH2340" s="2" t="str">
        <f ca="1"/>
        <v>OK</v>
      </c>
    </row>
    <row r="2341" spans="2:34" x14ac:dyDescent="0.2">
      <c r="B2341" s="2">
        <f ca="1"/>
        <v>0.38314148302487694</v>
      </c>
      <c r="O2341" s="2">
        <f ca="1"/>
        <v>-0.19832103730020056</v>
      </c>
      <c r="X2341" s="2">
        <f ca="1"/>
        <v>53.348635895286883</v>
      </c>
      <c r="AG2341" s="2">
        <f ca="1"/>
        <v>0.65094663543135067</v>
      </c>
      <c r="AH2341" s="2" t="str">
        <f ca="1"/>
        <v>Bad</v>
      </c>
    </row>
    <row r="2342" spans="2:34" x14ac:dyDescent="0.2">
      <c r="B2342" s="2">
        <f ca="1"/>
        <v>0.80593236510363964</v>
      </c>
      <c r="O2342" s="2">
        <f ca="1"/>
        <v>3.2006484268373767</v>
      </c>
      <c r="X2342" s="2">
        <f ca="1"/>
        <v>55.762466817869402</v>
      </c>
      <c r="AG2342" s="2">
        <f ca="1"/>
        <v>0.98248560568462673</v>
      </c>
      <c r="AH2342" s="2" t="str">
        <f ca="1"/>
        <v>Bad</v>
      </c>
    </row>
    <row r="2343" spans="2:34" x14ac:dyDescent="0.2">
      <c r="B2343" s="2">
        <f ca="1"/>
        <v>0.37882753996108165</v>
      </c>
      <c r="O2343" s="2">
        <f ca="1"/>
        <v>-1.604915626921672</v>
      </c>
      <c r="X2343" s="2">
        <f ca="1"/>
        <v>44.516114350682543</v>
      </c>
      <c r="AG2343" s="2">
        <f ca="1"/>
        <v>6.3332224579007113E-2</v>
      </c>
      <c r="AH2343" s="2" t="str">
        <f ca="1"/>
        <v>OK</v>
      </c>
    </row>
    <row r="2344" spans="2:34" x14ac:dyDescent="0.2">
      <c r="B2344" s="2">
        <f ca="1"/>
        <v>0.4809929473032688</v>
      </c>
      <c r="O2344" s="2">
        <f ca="1"/>
        <v>0.66599489468645678</v>
      </c>
      <c r="X2344" s="2">
        <f ca="1"/>
        <v>54.243825125761376</v>
      </c>
      <c r="AG2344" s="2">
        <f ca="1"/>
        <v>0.34135672189888733</v>
      </c>
      <c r="AH2344" s="2" t="str">
        <f ca="1"/>
        <v>OK</v>
      </c>
    </row>
    <row r="2345" spans="2:34" x14ac:dyDescent="0.2">
      <c r="B2345" s="2">
        <f ca="1"/>
        <v>0.55423443552916329</v>
      </c>
      <c r="O2345" s="2">
        <f ca="1"/>
        <v>2.2642193544492386</v>
      </c>
      <c r="X2345" s="2">
        <f ca="1"/>
        <v>57.473981319971614</v>
      </c>
      <c r="AG2345" s="2">
        <f ca="1"/>
        <v>0.24390106361513775</v>
      </c>
      <c r="AH2345" s="2" t="str">
        <f ca="1"/>
        <v>OK</v>
      </c>
    </row>
    <row r="2346" spans="2:34" x14ac:dyDescent="0.2">
      <c r="B2346" s="2">
        <f ca="1"/>
        <v>0.27421742432601692</v>
      </c>
      <c r="O2346" s="2">
        <f ca="1"/>
        <v>0.78200705319282848</v>
      </c>
      <c r="X2346" s="2">
        <f ca="1"/>
        <v>32.424570070270164</v>
      </c>
      <c r="AG2346" s="2">
        <f ca="1"/>
        <v>0.99867159958106555</v>
      </c>
      <c r="AH2346" s="2" t="str">
        <f ca="1"/>
        <v>Bad</v>
      </c>
    </row>
    <row r="2347" spans="2:34" x14ac:dyDescent="0.2">
      <c r="B2347" s="2">
        <f ca="1"/>
        <v>0.37795127408430096</v>
      </c>
      <c r="O2347" s="2">
        <f ca="1"/>
        <v>0.32622752822819184</v>
      </c>
      <c r="X2347" s="2">
        <f ca="1"/>
        <v>35.898821970106638</v>
      </c>
      <c r="AG2347" s="2">
        <f ca="1"/>
        <v>0.70223537388411761</v>
      </c>
      <c r="AH2347" s="2" t="str">
        <f ca="1"/>
        <v>Bad</v>
      </c>
    </row>
    <row r="2348" spans="2:34" x14ac:dyDescent="0.2">
      <c r="B2348" s="2">
        <f ca="1"/>
        <v>0.96214214567268019</v>
      </c>
      <c r="O2348" s="2">
        <f ca="1"/>
        <v>-0.38966147834860998</v>
      </c>
      <c r="X2348" s="2">
        <f ca="1"/>
        <v>60.047625143265449</v>
      </c>
      <c r="AG2348" s="2">
        <f ca="1"/>
        <v>0.52115945529606056</v>
      </c>
      <c r="AH2348" s="2" t="str">
        <f ca="1"/>
        <v>Bad</v>
      </c>
    </row>
    <row r="2349" spans="2:34" x14ac:dyDescent="0.2">
      <c r="B2349" s="2">
        <f ca="1"/>
        <v>0.73397272514036715</v>
      </c>
      <c r="O2349" s="2">
        <f ca="1"/>
        <v>-0.12598968055583412</v>
      </c>
      <c r="X2349" s="2">
        <f ca="1"/>
        <v>50.574544750128382</v>
      </c>
      <c r="AG2349" s="2">
        <f ca="1"/>
        <v>0.25382679385124907</v>
      </c>
      <c r="AH2349" s="2" t="str">
        <f ca="1"/>
        <v>OK</v>
      </c>
    </row>
    <row r="2350" spans="2:34" x14ac:dyDescent="0.2">
      <c r="B2350" s="2">
        <f ca="1"/>
        <v>0.58779545548335399</v>
      </c>
      <c r="O2350" s="2">
        <f ca="1"/>
        <v>1.5291951818772826</v>
      </c>
      <c r="X2350" s="2">
        <f ca="1"/>
        <v>52.313660920672895</v>
      </c>
      <c r="AG2350" s="2">
        <f ca="1"/>
        <v>0.977789910131873</v>
      </c>
      <c r="AH2350" s="2" t="str">
        <f ca="1"/>
        <v>Bad</v>
      </c>
    </row>
    <row r="2351" spans="2:34" x14ac:dyDescent="0.2">
      <c r="B2351" s="2">
        <f ca="1"/>
        <v>0.3795727790455532</v>
      </c>
      <c r="O2351" s="2">
        <f ca="1"/>
        <v>-1.6407341487090989</v>
      </c>
      <c r="X2351" s="2">
        <f ca="1"/>
        <v>44.855249382020041</v>
      </c>
      <c r="AG2351" s="2">
        <f ca="1"/>
        <v>0.27938664627379817</v>
      </c>
      <c r="AH2351" s="2" t="str">
        <f ca="1"/>
        <v>OK</v>
      </c>
    </row>
    <row r="2352" spans="2:34" x14ac:dyDescent="0.2">
      <c r="B2352" s="2">
        <f ca="1"/>
        <v>0.22031584703149587</v>
      </c>
      <c r="O2352" s="2">
        <f ca="1"/>
        <v>-0.35672909560734173</v>
      </c>
      <c r="X2352" s="2">
        <f ca="1"/>
        <v>58.9120950339031</v>
      </c>
      <c r="AG2352" s="2">
        <f ca="1"/>
        <v>0.75824990754089017</v>
      </c>
      <c r="AH2352" s="2" t="str">
        <f ca="1"/>
        <v>Bad</v>
      </c>
    </row>
    <row r="2353" spans="2:34" x14ac:dyDescent="0.2">
      <c r="B2353" s="2">
        <f ca="1"/>
        <v>0.32382064680109246</v>
      </c>
      <c r="O2353" s="2">
        <f ca="1"/>
        <v>-0.16515604941582424</v>
      </c>
      <c r="X2353" s="2">
        <f ca="1"/>
        <v>67.29191927389364</v>
      </c>
      <c r="AG2353" s="2">
        <f ca="1"/>
        <v>0.72557110395786739</v>
      </c>
      <c r="AH2353" s="2" t="str">
        <f ca="1"/>
        <v>Bad</v>
      </c>
    </row>
    <row r="2354" spans="2:34" x14ac:dyDescent="0.2">
      <c r="B2354" s="2">
        <f ca="1"/>
        <v>0.58399807368112411</v>
      </c>
      <c r="O2354" s="2">
        <f ca="1"/>
        <v>-0.45512607171515029</v>
      </c>
      <c r="X2354" s="2">
        <f ca="1"/>
        <v>57.723968142036306</v>
      </c>
      <c r="AG2354" s="2">
        <f ca="1"/>
        <v>0.10072311618715402</v>
      </c>
      <c r="AH2354" s="2" t="str">
        <f ca="1"/>
        <v>OK</v>
      </c>
    </row>
    <row r="2355" spans="2:34" x14ac:dyDescent="0.2">
      <c r="B2355" s="2">
        <f ca="1"/>
        <v>0.45489980700713351</v>
      </c>
      <c r="O2355" s="2">
        <f ca="1"/>
        <v>0.87750225985350272</v>
      </c>
      <c r="X2355" s="2">
        <f ca="1"/>
        <v>48.688399679474408</v>
      </c>
      <c r="AG2355" s="2">
        <f ca="1"/>
        <v>0.75963505543461629</v>
      </c>
      <c r="AH2355" s="2" t="str">
        <f ca="1"/>
        <v>Bad</v>
      </c>
    </row>
    <row r="2356" spans="2:34" x14ac:dyDescent="0.2">
      <c r="B2356" s="2">
        <f ca="1"/>
        <v>0.28463735913246357</v>
      </c>
      <c r="O2356" s="2">
        <f ca="1"/>
        <v>-0.421189456813166</v>
      </c>
      <c r="X2356" s="2">
        <f ca="1"/>
        <v>40.424731474243558</v>
      </c>
      <c r="AG2356" s="2">
        <f ca="1"/>
        <v>0.90052156560169716</v>
      </c>
      <c r="AH2356" s="2" t="str">
        <f ca="1"/>
        <v>Bad</v>
      </c>
    </row>
    <row r="2357" spans="2:34" x14ac:dyDescent="0.2">
      <c r="B2357" s="2">
        <f ca="1"/>
        <v>0.12056638951520449</v>
      </c>
      <c r="O2357" s="2">
        <f ca="1"/>
        <v>7.8583271338967364E-2</v>
      </c>
      <c r="X2357" s="2">
        <f ca="1"/>
        <v>37.464037279358408</v>
      </c>
      <c r="AG2357" s="2">
        <f ca="1"/>
        <v>0.7822651093727131</v>
      </c>
      <c r="AH2357" s="2" t="str">
        <f ca="1"/>
        <v>Bad</v>
      </c>
    </row>
    <row r="2358" spans="2:34" x14ac:dyDescent="0.2">
      <c r="B2358" s="2">
        <f ca="1"/>
        <v>1.9715889020311073E-2</v>
      </c>
      <c r="O2358" s="2">
        <f ca="1"/>
        <v>5.8759790407463743E-2</v>
      </c>
      <c r="X2358" s="2">
        <f ca="1"/>
        <v>59.741063474513616</v>
      </c>
      <c r="AG2358" s="2">
        <f ca="1"/>
        <v>0.2272719811660604</v>
      </c>
      <c r="AH2358" s="2" t="str">
        <f ca="1"/>
        <v>OK</v>
      </c>
    </row>
    <row r="2359" spans="2:34" x14ac:dyDescent="0.2">
      <c r="B2359" s="2">
        <f ca="1"/>
        <v>0.77898436410362892</v>
      </c>
      <c r="O2359" s="2">
        <f ca="1"/>
        <v>1.3114944668724811</v>
      </c>
      <c r="X2359" s="2">
        <f ca="1"/>
        <v>76.876308103066478</v>
      </c>
      <c r="AG2359" s="2">
        <f ca="1"/>
        <v>1.4449810877899205E-2</v>
      </c>
      <c r="AH2359" s="2" t="str">
        <f ca="1"/>
        <v>Good</v>
      </c>
    </row>
    <row r="2360" spans="2:34" x14ac:dyDescent="0.2">
      <c r="B2360" s="2">
        <f ca="1"/>
        <v>0.34895316358471296</v>
      </c>
      <c r="O2360" s="2">
        <f ca="1"/>
        <v>0.17340571833245311</v>
      </c>
      <c r="X2360" s="2">
        <f ca="1"/>
        <v>36.477112147302471</v>
      </c>
      <c r="AG2360" s="2">
        <f ca="1"/>
        <v>0.59250689862648476</v>
      </c>
      <c r="AH2360" s="2" t="str">
        <f ca="1"/>
        <v>Bad</v>
      </c>
    </row>
    <row r="2361" spans="2:34" x14ac:dyDescent="0.2">
      <c r="B2361" s="2">
        <f ca="1"/>
        <v>0.45483611715091965</v>
      </c>
      <c r="O2361" s="2">
        <f ca="1"/>
        <v>-0.64465088595077924</v>
      </c>
      <c r="X2361" s="2">
        <f ca="1"/>
        <v>55.114718041444668</v>
      </c>
      <c r="AG2361" s="2">
        <f ca="1"/>
        <v>0.15043709689642926</v>
      </c>
      <c r="AH2361" s="2" t="str">
        <f ca="1"/>
        <v>OK</v>
      </c>
    </row>
    <row r="2362" spans="2:34" x14ac:dyDescent="0.2">
      <c r="B2362" s="2">
        <f ca="1"/>
        <v>0.61144331375535832</v>
      </c>
      <c r="O2362" s="2">
        <f ca="1"/>
        <v>1.5292591499268038</v>
      </c>
      <c r="X2362" s="2">
        <f ca="1"/>
        <v>57.732868309514146</v>
      </c>
      <c r="AG2362" s="2">
        <f ca="1"/>
        <v>0.56804757511324477</v>
      </c>
      <c r="AH2362" s="2" t="str">
        <f ca="1"/>
        <v>Bad</v>
      </c>
    </row>
    <row r="2363" spans="2:34" x14ac:dyDescent="0.2">
      <c r="B2363" s="2">
        <f ca="1"/>
        <v>0.23345663515392134</v>
      </c>
      <c r="O2363" s="2">
        <f ca="1"/>
        <v>0.22383529065532204</v>
      </c>
      <c r="X2363" s="2">
        <f ca="1"/>
        <v>39.019073417656493</v>
      </c>
      <c r="AG2363" s="2">
        <f ca="1"/>
        <v>0.53939611586177905</v>
      </c>
      <c r="AH2363" s="2" t="str">
        <f ca="1"/>
        <v>Bad</v>
      </c>
    </row>
    <row r="2364" spans="2:34" x14ac:dyDescent="0.2">
      <c r="B2364" s="2">
        <f ca="1"/>
        <v>0.43382122865228334</v>
      </c>
      <c r="O2364" s="2">
        <f ca="1"/>
        <v>-0.21091753915674216</v>
      </c>
      <c r="X2364" s="2">
        <f ca="1"/>
        <v>43.269723926549595</v>
      </c>
      <c r="AG2364" s="2">
        <f ca="1"/>
        <v>0.54840407826463222</v>
      </c>
      <c r="AH2364" s="2" t="str">
        <f ca="1"/>
        <v>Bad</v>
      </c>
    </row>
    <row r="2365" spans="2:34" x14ac:dyDescent="0.2">
      <c r="B2365" s="2">
        <f ca="1"/>
        <v>0.46928298161665882</v>
      </c>
      <c r="O2365" s="2">
        <f ca="1"/>
        <v>1.0239982541631825</v>
      </c>
      <c r="X2365" s="2">
        <f ca="1"/>
        <v>43.531360918924129</v>
      </c>
      <c r="AG2365" s="2">
        <f ca="1"/>
        <v>0.27319318057314024</v>
      </c>
      <c r="AH2365" s="2" t="str">
        <f ca="1"/>
        <v>OK</v>
      </c>
    </row>
    <row r="2366" spans="2:34" x14ac:dyDescent="0.2">
      <c r="B2366" s="2">
        <f ca="1"/>
        <v>0.28085315895735019</v>
      </c>
      <c r="O2366" s="2">
        <f ca="1"/>
        <v>-0.48537421848773554</v>
      </c>
      <c r="X2366" s="2">
        <f ca="1"/>
        <v>72.41405279618742</v>
      </c>
      <c r="AG2366" s="2">
        <f ca="1"/>
        <v>0.49327242791109271</v>
      </c>
      <c r="AH2366" s="2" t="str">
        <f ca="1"/>
        <v>Bad</v>
      </c>
    </row>
    <row r="2367" spans="2:34" x14ac:dyDescent="0.2">
      <c r="B2367" s="2">
        <f ca="1"/>
        <v>0.10349037221716118</v>
      </c>
      <c r="O2367" s="2">
        <f ca="1"/>
        <v>0.59042578330896167</v>
      </c>
      <c r="X2367" s="2">
        <f ca="1"/>
        <v>60.999110959679825</v>
      </c>
      <c r="AG2367" s="2">
        <f ca="1"/>
        <v>0.34766283549961763</v>
      </c>
      <c r="AH2367" s="2" t="str">
        <f ca="1"/>
        <v>OK</v>
      </c>
    </row>
    <row r="2368" spans="2:34" x14ac:dyDescent="0.2">
      <c r="B2368" s="2">
        <f ca="1"/>
        <v>0.16391100787849844</v>
      </c>
      <c r="O2368" s="2">
        <f ca="1"/>
        <v>-0.49570387815562389</v>
      </c>
      <c r="X2368" s="2">
        <f ca="1"/>
        <v>51.894106010251534</v>
      </c>
      <c r="AG2368" s="2">
        <f ca="1"/>
        <v>0.58567255499891879</v>
      </c>
      <c r="AH2368" s="2" t="str">
        <f ca="1"/>
        <v>Bad</v>
      </c>
    </row>
    <row r="2369" spans="2:34" x14ac:dyDescent="0.2">
      <c r="B2369" s="2">
        <f ca="1"/>
        <v>0.45779653692965683</v>
      </c>
      <c r="O2369" s="2">
        <f ca="1"/>
        <v>0.96879038120725047</v>
      </c>
      <c r="X2369" s="2">
        <f ca="1"/>
        <v>34.622750025684923</v>
      </c>
      <c r="AG2369" s="2">
        <f ca="1"/>
        <v>0.24048994742185803</v>
      </c>
      <c r="AH2369" s="2" t="str">
        <f ca="1"/>
        <v>OK</v>
      </c>
    </row>
    <row r="2370" spans="2:34" x14ac:dyDescent="0.2">
      <c r="B2370" s="2">
        <f ca="1"/>
        <v>0.69889673764287541</v>
      </c>
      <c r="O2370" s="2">
        <f ca="1"/>
        <v>2.0773097528703612</v>
      </c>
      <c r="X2370" s="2">
        <f ca="1"/>
        <v>67.72491800680956</v>
      </c>
      <c r="AG2370" s="2">
        <f ca="1"/>
        <v>0.99424520946631278</v>
      </c>
      <c r="AH2370" s="2" t="str">
        <f ca="1"/>
        <v>Bad</v>
      </c>
    </row>
    <row r="2371" spans="2:34" x14ac:dyDescent="0.2">
      <c r="B2371" s="2">
        <f ca="1"/>
        <v>9.9899117933964776E-2</v>
      </c>
      <c r="O2371" s="2">
        <f ca="1"/>
        <v>-0.41015798604037923</v>
      </c>
      <c r="X2371" s="2">
        <f ca="1"/>
        <v>72.332728870496311</v>
      </c>
      <c r="AG2371" s="2">
        <f ca="1"/>
        <v>0.3001697409558477</v>
      </c>
      <c r="AH2371" s="2" t="str">
        <f ca="1"/>
        <v>OK</v>
      </c>
    </row>
    <row r="2372" spans="2:34" x14ac:dyDescent="0.2">
      <c r="B2372" s="2">
        <f ca="1"/>
        <v>0.9096502287984729</v>
      </c>
      <c r="O2372" s="2">
        <f ca="1"/>
        <v>0.80441899980775033</v>
      </c>
      <c r="X2372" s="2">
        <f ca="1"/>
        <v>30.209640246804792</v>
      </c>
      <c r="AG2372" s="2">
        <f ca="1"/>
        <v>0.34886341100260343</v>
      </c>
      <c r="AH2372" s="2" t="str">
        <f ca="1"/>
        <v>OK</v>
      </c>
    </row>
    <row r="2373" spans="2:34" x14ac:dyDescent="0.2">
      <c r="B2373" s="2">
        <f ca="1"/>
        <v>0.91219334087782866</v>
      </c>
      <c r="O2373" s="2">
        <f ca="1"/>
        <v>0.30502624264688016</v>
      </c>
      <c r="X2373" s="2">
        <f ca="1"/>
        <v>49.864433248046048</v>
      </c>
      <c r="AG2373" s="2">
        <f ca="1"/>
        <v>0.14596649635862557</v>
      </c>
      <c r="AH2373" s="2" t="str">
        <f ca="1"/>
        <v>OK</v>
      </c>
    </row>
    <row r="2374" spans="2:34" x14ac:dyDescent="0.2">
      <c r="B2374" s="2">
        <f ca="1"/>
        <v>0.48343014758384273</v>
      </c>
      <c r="O2374" s="2">
        <f ca="1"/>
        <v>0.41780547971609017</v>
      </c>
      <c r="X2374" s="2">
        <f ca="1"/>
        <v>54.528225953862837</v>
      </c>
      <c r="AG2374" s="2">
        <f ca="1"/>
        <v>0.30660615470280828</v>
      </c>
      <c r="AH2374" s="2" t="str">
        <f ca="1"/>
        <v>OK</v>
      </c>
    </row>
    <row r="2375" spans="2:34" x14ac:dyDescent="0.2">
      <c r="B2375" s="2">
        <f ca="1"/>
        <v>0.73561336007289446</v>
      </c>
      <c r="O2375" s="2">
        <f ca="1"/>
        <v>-1.4237204041391667</v>
      </c>
      <c r="X2375" s="2">
        <f ca="1"/>
        <v>50.498492319326608</v>
      </c>
      <c r="AG2375" s="2">
        <f ca="1"/>
        <v>0.56401747296175708</v>
      </c>
      <c r="AH2375" s="2" t="str">
        <f ca="1"/>
        <v>Bad</v>
      </c>
    </row>
    <row r="2376" spans="2:34" x14ac:dyDescent="0.2">
      <c r="B2376" s="2">
        <f ca="1"/>
        <v>6.1377090399005629E-2</v>
      </c>
      <c r="O2376" s="2">
        <f ca="1"/>
        <v>-0.83408464722700193</v>
      </c>
      <c r="X2376" s="2">
        <f ca="1"/>
        <v>78.455329815342267</v>
      </c>
      <c r="AG2376" s="2">
        <f ca="1"/>
        <v>0.49059628839377378</v>
      </c>
      <c r="AH2376" s="2" t="str">
        <f ca="1"/>
        <v>Bad</v>
      </c>
    </row>
    <row r="2377" spans="2:34" x14ac:dyDescent="0.2">
      <c r="B2377" s="2">
        <f ca="1"/>
        <v>0.274713742592404</v>
      </c>
      <c r="O2377" s="2">
        <f ca="1"/>
        <v>-0.12390124230996111</v>
      </c>
      <c r="X2377" s="2">
        <f ca="1"/>
        <v>28.519321604307272</v>
      </c>
      <c r="AG2377" s="2">
        <f ca="1"/>
        <v>0.15514893980988442</v>
      </c>
      <c r="AH2377" s="2" t="str">
        <f ca="1"/>
        <v>OK</v>
      </c>
    </row>
    <row r="2378" spans="2:34" x14ac:dyDescent="0.2">
      <c r="B2378" s="2">
        <f ca="1"/>
        <v>0.80588032646231245</v>
      </c>
      <c r="O2378" s="2">
        <f ca="1"/>
        <v>-0.49569662464277525</v>
      </c>
      <c r="X2378" s="2">
        <f ca="1"/>
        <v>23.050361763874115</v>
      </c>
      <c r="AG2378" s="2">
        <f ca="1"/>
        <v>0.35054139721410094</v>
      </c>
      <c r="AH2378" s="2" t="str">
        <f ca="1"/>
        <v>OK</v>
      </c>
    </row>
    <row r="2379" spans="2:34" x14ac:dyDescent="0.2">
      <c r="B2379" s="2">
        <f ca="1"/>
        <v>0.21893532195272436</v>
      </c>
      <c r="O2379" s="2">
        <f ca="1"/>
        <v>1.410075280022967</v>
      </c>
      <c r="X2379" s="2">
        <f ca="1"/>
        <v>47.941850721708185</v>
      </c>
      <c r="AG2379" s="2">
        <f ca="1"/>
        <v>6.6243657843347181E-2</v>
      </c>
      <c r="AH2379" s="2" t="str">
        <f ca="1"/>
        <v>OK</v>
      </c>
    </row>
    <row r="2380" spans="2:34" x14ac:dyDescent="0.2">
      <c r="B2380" s="2">
        <f ca="1"/>
        <v>0.99981622755387822</v>
      </c>
      <c r="O2380" s="2">
        <f ca="1"/>
        <v>-2.5076072765727941</v>
      </c>
      <c r="X2380" s="2">
        <f ca="1"/>
        <v>70.344827959109736</v>
      </c>
      <c r="AG2380" s="2">
        <f ca="1"/>
        <v>0.461315065233322</v>
      </c>
      <c r="AH2380" s="2" t="str">
        <f ca="1"/>
        <v>Bad</v>
      </c>
    </row>
    <row r="2381" spans="2:34" x14ac:dyDescent="0.2">
      <c r="B2381" s="2">
        <f ca="1"/>
        <v>0.51870291373661193</v>
      </c>
      <c r="O2381" s="2">
        <f ca="1"/>
        <v>-0.60598313192909736</v>
      </c>
      <c r="X2381" s="2">
        <f ca="1"/>
        <v>92.57164735031219</v>
      </c>
      <c r="AG2381" s="2">
        <f ca="1"/>
        <v>0.24058372682687335</v>
      </c>
      <c r="AH2381" s="2" t="str">
        <f ca="1"/>
        <v>OK</v>
      </c>
    </row>
    <row r="2382" spans="2:34" x14ac:dyDescent="0.2">
      <c r="B2382" s="2">
        <f ca="1"/>
        <v>0.98422259371983301</v>
      </c>
      <c r="O2382" s="2">
        <f ca="1"/>
        <v>0.81278956740829655</v>
      </c>
      <c r="X2382" s="2">
        <f ca="1"/>
        <v>43.331634735390082</v>
      </c>
      <c r="AG2382" s="2">
        <f ca="1"/>
        <v>0.63795335038908485</v>
      </c>
      <c r="AH2382" s="2" t="str">
        <f ca="1"/>
        <v>Bad</v>
      </c>
    </row>
    <row r="2383" spans="2:34" x14ac:dyDescent="0.2">
      <c r="B2383" s="2">
        <f ca="1"/>
        <v>0.79393945249382902</v>
      </c>
      <c r="O2383" s="2">
        <f ca="1"/>
        <v>1.2085681441060883</v>
      </c>
      <c r="X2383" s="2">
        <f ca="1"/>
        <v>52.462826803359775</v>
      </c>
      <c r="AG2383" s="2">
        <f ca="1"/>
        <v>0.12777367011348972</v>
      </c>
      <c r="AH2383" s="2" t="str">
        <f ca="1"/>
        <v>OK</v>
      </c>
    </row>
    <row r="2384" spans="2:34" x14ac:dyDescent="0.2">
      <c r="B2384" s="2">
        <f ca="1"/>
        <v>0.65857668268633307</v>
      </c>
      <c r="O2384" s="2">
        <f ca="1"/>
        <v>0.47387608188690894</v>
      </c>
      <c r="X2384" s="2">
        <f ca="1"/>
        <v>55.602350065274528</v>
      </c>
      <c r="AG2384" s="2">
        <f ca="1"/>
        <v>0.88708293465009636</v>
      </c>
      <c r="AH2384" s="2" t="str">
        <f ca="1"/>
        <v>Bad</v>
      </c>
    </row>
    <row r="2385" spans="2:34" x14ac:dyDescent="0.2">
      <c r="B2385" s="2">
        <f ca="1"/>
        <v>0.67640100059121711</v>
      </c>
      <c r="O2385" s="2">
        <f ca="1"/>
        <v>0.9297301449319777</v>
      </c>
      <c r="X2385" s="2">
        <f ca="1"/>
        <v>45.51910773613757</v>
      </c>
      <c r="AG2385" s="2">
        <f ca="1"/>
        <v>0.62498145573560482</v>
      </c>
      <c r="AH2385" s="2" t="str">
        <f ca="1"/>
        <v>Bad</v>
      </c>
    </row>
    <row r="2386" spans="2:34" x14ac:dyDescent="0.2">
      <c r="B2386" s="2">
        <f ca="1"/>
        <v>0.19092326551992489</v>
      </c>
      <c r="O2386" s="2">
        <f ca="1"/>
        <v>-0.72952304334014906</v>
      </c>
      <c r="X2386" s="2">
        <f ca="1"/>
        <v>97.155010242834237</v>
      </c>
      <c r="AG2386" s="2">
        <f ca="1"/>
        <v>0.59782261435981066</v>
      </c>
      <c r="AH2386" s="2" t="str">
        <f ca="1"/>
        <v>Bad</v>
      </c>
    </row>
    <row r="2387" spans="2:34" x14ac:dyDescent="0.2">
      <c r="B2387" s="2">
        <f ca="1"/>
        <v>0.68427081958770053</v>
      </c>
      <c r="O2387" s="2">
        <f ca="1"/>
        <v>-1.1789262507450871</v>
      </c>
      <c r="X2387" s="2">
        <f ca="1"/>
        <v>88.197629342432506</v>
      </c>
      <c r="AG2387" s="2">
        <f ca="1"/>
        <v>0.72060507270065299</v>
      </c>
      <c r="AH2387" s="2" t="str">
        <f ca="1"/>
        <v>Bad</v>
      </c>
    </row>
    <row r="2388" spans="2:34" x14ac:dyDescent="0.2">
      <c r="B2388" s="2">
        <f ca="1"/>
        <v>0.71349401742500351</v>
      </c>
      <c r="O2388" s="2">
        <f ca="1"/>
        <v>7.6968787832425556E-2</v>
      </c>
      <c r="X2388" s="2">
        <f ca="1"/>
        <v>64.357071808424024</v>
      </c>
      <c r="AG2388" s="2">
        <f ca="1"/>
        <v>0.73336634614485718</v>
      </c>
      <c r="AH2388" s="2" t="str">
        <f ca="1"/>
        <v>Bad</v>
      </c>
    </row>
    <row r="2389" spans="2:34" x14ac:dyDescent="0.2">
      <c r="B2389" s="2">
        <f ca="1"/>
        <v>0.89911617678993672</v>
      </c>
      <c r="O2389" s="2">
        <f ca="1"/>
        <v>0.11162045922075049</v>
      </c>
      <c r="X2389" s="2">
        <f ca="1"/>
        <v>34.605346557641326</v>
      </c>
      <c r="AG2389" s="2">
        <f ca="1"/>
        <v>0.16943447481387386</v>
      </c>
      <c r="AH2389" s="2" t="str">
        <f ca="1"/>
        <v>OK</v>
      </c>
    </row>
    <row r="2390" spans="2:34" x14ac:dyDescent="0.2">
      <c r="B2390" s="2">
        <f ca="1"/>
        <v>0.3406412191723005</v>
      </c>
      <c r="O2390" s="2">
        <f ca="1"/>
        <v>-1.1008846267745702</v>
      </c>
      <c r="X2390" s="2">
        <f ca="1"/>
        <v>31.198776529676664</v>
      </c>
      <c r="AG2390" s="2">
        <f ca="1"/>
        <v>0.57833977481992793</v>
      </c>
      <c r="AH2390" s="2" t="str">
        <f ca="1"/>
        <v>Bad</v>
      </c>
    </row>
    <row r="2391" spans="2:34" x14ac:dyDescent="0.2">
      <c r="B2391" s="2">
        <f ca="1"/>
        <v>0.34693562505994469</v>
      </c>
      <c r="O2391" s="2">
        <f ca="1"/>
        <v>-0.3163871253930477</v>
      </c>
      <c r="X2391" s="2">
        <f ca="1"/>
        <v>76.709717074814449</v>
      </c>
      <c r="AG2391" s="2">
        <f ca="1"/>
        <v>0.68311818104056266</v>
      </c>
      <c r="AH2391" s="2" t="str">
        <f ca="1"/>
        <v>Bad</v>
      </c>
    </row>
    <row r="2392" spans="2:34" x14ac:dyDescent="0.2">
      <c r="B2392" s="2">
        <f ca="1"/>
        <v>0.84489394619256952</v>
      </c>
      <c r="O2392" s="2">
        <f ca="1"/>
        <v>1.5917608207884753</v>
      </c>
      <c r="X2392" s="2">
        <f ca="1"/>
        <v>53.756943653706919</v>
      </c>
      <c r="AG2392" s="2">
        <f ca="1"/>
        <v>0.72582564363242597</v>
      </c>
      <c r="AH2392" s="2" t="str">
        <f ca="1"/>
        <v>Bad</v>
      </c>
    </row>
    <row r="2393" spans="2:34" x14ac:dyDescent="0.2">
      <c r="B2393" s="2">
        <f ca="1"/>
        <v>0.76254158714184261</v>
      </c>
      <c r="O2393" s="2">
        <f ca="1"/>
        <v>0.32354035076196241</v>
      </c>
      <c r="X2393" s="2">
        <f ca="1"/>
        <v>33.340603063452733</v>
      </c>
      <c r="AG2393" s="2">
        <f ca="1"/>
        <v>6.80207647284643E-2</v>
      </c>
      <c r="AH2393" s="2" t="str">
        <f ca="1"/>
        <v>OK</v>
      </c>
    </row>
    <row r="2394" spans="2:34" x14ac:dyDescent="0.2">
      <c r="B2394" s="2">
        <f ca="1"/>
        <v>0.37586960843468731</v>
      </c>
      <c r="O2394" s="2">
        <f ca="1"/>
        <v>-0.92421561404093999</v>
      </c>
      <c r="X2394" s="2">
        <f ca="1"/>
        <v>46.368422468438489</v>
      </c>
      <c r="AG2394" s="2">
        <f ca="1"/>
        <v>0.7759948859020589</v>
      </c>
      <c r="AH2394" s="2" t="str">
        <f ca="1"/>
        <v>Bad</v>
      </c>
    </row>
    <row r="2395" spans="2:34" x14ac:dyDescent="0.2">
      <c r="B2395" s="2">
        <f ca="1"/>
        <v>0.45423654664169555</v>
      </c>
      <c r="O2395" s="2">
        <f ca="1"/>
        <v>-0.44202770255861068</v>
      </c>
      <c r="X2395" s="2">
        <f ca="1"/>
        <v>45.126566981759204</v>
      </c>
      <c r="AG2395" s="2">
        <f ca="1"/>
        <v>0.63232293151760133</v>
      </c>
      <c r="AH2395" s="2" t="str">
        <f ca="1"/>
        <v>Bad</v>
      </c>
    </row>
    <row r="2396" spans="2:34" x14ac:dyDescent="0.2">
      <c r="B2396" s="2">
        <f ca="1"/>
        <v>0.84197576068197755</v>
      </c>
      <c r="O2396" s="2">
        <f ca="1"/>
        <v>0.95551892209497147</v>
      </c>
      <c r="X2396" s="2">
        <f ca="1"/>
        <v>46.751041282224399</v>
      </c>
      <c r="AG2396" s="2">
        <f ca="1"/>
        <v>0.2162722650218285</v>
      </c>
      <c r="AH2396" s="2" t="str">
        <f ca="1"/>
        <v>OK</v>
      </c>
    </row>
    <row r="2397" spans="2:34" x14ac:dyDescent="0.2">
      <c r="B2397" s="2">
        <f ca="1"/>
        <v>0.60999247691058822</v>
      </c>
      <c r="O2397" s="2">
        <f ca="1"/>
        <v>1.6511240115362236</v>
      </c>
      <c r="X2397" s="2">
        <f ca="1"/>
        <v>34.57609651417436</v>
      </c>
      <c r="AG2397" s="2">
        <f ca="1"/>
        <v>0.83291211636995155</v>
      </c>
      <c r="AH2397" s="2" t="str">
        <f ca="1"/>
        <v>Bad</v>
      </c>
    </row>
    <row r="2398" spans="2:34" x14ac:dyDescent="0.2">
      <c r="B2398" s="2">
        <f ca="1"/>
        <v>0.7606430570705065</v>
      </c>
      <c r="O2398" s="2">
        <f ca="1"/>
        <v>-2.1412311245208069</v>
      </c>
      <c r="X2398" s="2">
        <f ca="1"/>
        <v>72.732234768346046</v>
      </c>
      <c r="AG2398" s="2">
        <f ca="1"/>
        <v>8.426407273077996E-2</v>
      </c>
      <c r="AH2398" s="2" t="str">
        <f ca="1"/>
        <v>OK</v>
      </c>
    </row>
    <row r="2399" spans="2:34" x14ac:dyDescent="0.2">
      <c r="B2399" s="2">
        <f ca="1"/>
        <v>0.93569244733478629</v>
      </c>
      <c r="O2399" s="2">
        <f ca="1"/>
        <v>1.0485979720046035</v>
      </c>
      <c r="X2399" s="2">
        <f ca="1"/>
        <v>32.282410379180156</v>
      </c>
      <c r="AG2399" s="2">
        <f ca="1"/>
        <v>0.69096735017822164</v>
      </c>
      <c r="AH2399" s="2" t="str">
        <f ca="1"/>
        <v>Bad</v>
      </c>
    </row>
    <row r="2400" spans="2:34" x14ac:dyDescent="0.2">
      <c r="B2400" s="2">
        <f ca="1"/>
        <v>0.75525433787031826</v>
      </c>
      <c r="O2400" s="2">
        <f ca="1"/>
        <v>1.2947507168681029</v>
      </c>
      <c r="X2400" s="2">
        <f ca="1"/>
        <v>46.904906866123461</v>
      </c>
      <c r="AG2400" s="2">
        <f ca="1"/>
        <v>0.26986705672415923</v>
      </c>
      <c r="AH2400" s="2" t="str">
        <f ca="1"/>
        <v>OK</v>
      </c>
    </row>
    <row r="2401" spans="2:34" x14ac:dyDescent="0.2">
      <c r="B2401" s="2">
        <f ca="1"/>
        <v>0.44751601933347795</v>
      </c>
      <c r="O2401" s="2">
        <f ca="1"/>
        <v>9.9017960937044736E-2</v>
      </c>
      <c r="X2401" s="2">
        <f ca="1"/>
        <v>63.45879137930438</v>
      </c>
      <c r="AG2401" s="2">
        <f ca="1"/>
        <v>0.51805078118180692</v>
      </c>
      <c r="AH2401" s="2" t="str">
        <f ca="1"/>
        <v>Bad</v>
      </c>
    </row>
    <row r="2402" spans="2:34" x14ac:dyDescent="0.2">
      <c r="B2402" s="2">
        <f ca="1"/>
        <v>0.52304415306105767</v>
      </c>
      <c r="O2402" s="2">
        <f ca="1"/>
        <v>1.6275479709875429</v>
      </c>
      <c r="X2402" s="2">
        <f ca="1"/>
        <v>122.6499167241229</v>
      </c>
      <c r="AG2402" s="2">
        <f ca="1"/>
        <v>0.62416458478346626</v>
      </c>
      <c r="AH2402" s="2" t="str">
        <f ca="1"/>
        <v>Bad</v>
      </c>
    </row>
    <row r="2403" spans="2:34" x14ac:dyDescent="0.2">
      <c r="B2403" s="2">
        <f ca="1"/>
        <v>0.9645175873872025</v>
      </c>
      <c r="O2403" s="2">
        <f ca="1"/>
        <v>-7.6676426722193256E-2</v>
      </c>
      <c r="X2403" s="2">
        <f ca="1"/>
        <v>55.864968665966842</v>
      </c>
      <c r="AG2403" s="2">
        <f ca="1"/>
        <v>7.9568207907101396E-2</v>
      </c>
      <c r="AH2403" s="2" t="str">
        <f ca="1"/>
        <v>OK</v>
      </c>
    </row>
    <row r="2404" spans="2:34" x14ac:dyDescent="0.2">
      <c r="B2404" s="2">
        <f ca="1"/>
        <v>0.13692577425352925</v>
      </c>
      <c r="O2404" s="2">
        <f ca="1"/>
        <v>0.42309986936346783</v>
      </c>
      <c r="X2404" s="2">
        <f ca="1"/>
        <v>53.87819318787264</v>
      </c>
      <c r="AG2404" s="2">
        <f ca="1"/>
        <v>0.73947754883203687</v>
      </c>
      <c r="AH2404" s="2" t="str">
        <f ca="1"/>
        <v>Bad</v>
      </c>
    </row>
    <row r="2405" spans="2:34" x14ac:dyDescent="0.2">
      <c r="B2405" s="2">
        <f ca="1"/>
        <v>1.1931944753235335E-2</v>
      </c>
      <c r="O2405" s="2">
        <f ca="1"/>
        <v>-7.5171850658902473E-2</v>
      </c>
      <c r="X2405" s="2">
        <f ca="1"/>
        <v>21.607825374949186</v>
      </c>
      <c r="AG2405" s="2">
        <f ca="1"/>
        <v>0.62256027413692006</v>
      </c>
      <c r="AH2405" s="2" t="str">
        <f ca="1"/>
        <v>Bad</v>
      </c>
    </row>
    <row r="2406" spans="2:34" x14ac:dyDescent="0.2">
      <c r="B2406" s="2">
        <f ca="1"/>
        <v>0.94531414784879009</v>
      </c>
      <c r="O2406" s="2">
        <f ca="1"/>
        <v>-0.66853885435974825</v>
      </c>
      <c r="X2406" s="2">
        <f ca="1"/>
        <v>42.423252980950338</v>
      </c>
      <c r="AG2406" s="2">
        <f ca="1"/>
        <v>0.87527679650560475</v>
      </c>
      <c r="AH2406" s="2" t="str">
        <f ca="1"/>
        <v>Bad</v>
      </c>
    </row>
    <row r="2407" spans="2:34" x14ac:dyDescent="0.2">
      <c r="B2407" s="2">
        <f ca="1"/>
        <v>0.45958571782260571</v>
      </c>
      <c r="O2407" s="2">
        <f ca="1"/>
        <v>0.75258386738291272</v>
      </c>
      <c r="X2407" s="2">
        <f ca="1"/>
        <v>49.20784073732338</v>
      </c>
      <c r="AG2407" s="2">
        <f ca="1"/>
        <v>0.90640593572923311</v>
      </c>
      <c r="AH2407" s="2" t="str">
        <f ca="1"/>
        <v>Bad</v>
      </c>
    </row>
    <row r="2408" spans="2:34" x14ac:dyDescent="0.2">
      <c r="B2408" s="2">
        <f ca="1"/>
        <v>0.30247894162398881</v>
      </c>
      <c r="O2408" s="2">
        <f ca="1"/>
        <v>-0.251232792067966</v>
      </c>
      <c r="X2408" s="2">
        <f ca="1"/>
        <v>70.07115927036547</v>
      </c>
      <c r="AG2408" s="2">
        <f ca="1"/>
        <v>0.85635338218325741</v>
      </c>
      <c r="AH2408" s="2" t="str">
        <f ca="1"/>
        <v>Bad</v>
      </c>
    </row>
    <row r="2409" spans="2:34" x14ac:dyDescent="0.2">
      <c r="B2409" s="2">
        <f ca="1"/>
        <v>0.48464174678225014</v>
      </c>
      <c r="O2409" s="2">
        <f ca="1"/>
        <v>0.53331785173753221</v>
      </c>
      <c r="X2409" s="2">
        <f ca="1"/>
        <v>34.148006176993803</v>
      </c>
      <c r="AG2409" s="2">
        <f ca="1"/>
        <v>0.44630991985731017</v>
      </c>
      <c r="AH2409" s="2" t="str">
        <f ca="1"/>
        <v>Bad</v>
      </c>
    </row>
    <row r="2410" spans="2:34" x14ac:dyDescent="0.2">
      <c r="B2410" s="2">
        <f ca="1"/>
        <v>0.53307281817563967</v>
      </c>
      <c r="O2410" s="2">
        <f ca="1"/>
        <v>1.9524997220705398</v>
      </c>
      <c r="X2410" s="2">
        <f ca="1"/>
        <v>30.722232975364033</v>
      </c>
      <c r="AG2410" s="2">
        <f ca="1"/>
        <v>0.75532894990619104</v>
      </c>
      <c r="AH2410" s="2" t="str">
        <f ca="1"/>
        <v>Bad</v>
      </c>
    </row>
    <row r="2411" spans="2:34" x14ac:dyDescent="0.2">
      <c r="B2411" s="2">
        <f ca="1"/>
        <v>0.7561054453389473</v>
      </c>
      <c r="O2411" s="2">
        <f ca="1"/>
        <v>0.35233341387191419</v>
      </c>
      <c r="X2411" s="2">
        <f ca="1"/>
        <v>48.630995752334286</v>
      </c>
      <c r="AG2411" s="2">
        <f ca="1"/>
        <v>0.86086769968050958</v>
      </c>
      <c r="AH2411" s="2" t="str">
        <f ca="1"/>
        <v>Bad</v>
      </c>
    </row>
    <row r="2412" spans="2:34" x14ac:dyDescent="0.2">
      <c r="B2412" s="2">
        <f ca="1"/>
        <v>0.79183704440672087</v>
      </c>
      <c r="O2412" s="2">
        <f ca="1"/>
        <v>0.77308015692023779</v>
      </c>
      <c r="X2412" s="2">
        <f ca="1"/>
        <v>81.239793125255616</v>
      </c>
      <c r="AG2412" s="2">
        <f ca="1"/>
        <v>0.62027828406584851</v>
      </c>
      <c r="AH2412" s="2" t="str">
        <f ca="1"/>
        <v>Bad</v>
      </c>
    </row>
    <row r="2413" spans="2:34" x14ac:dyDescent="0.2">
      <c r="B2413" s="2">
        <f ca="1"/>
        <v>6.8505600726331162E-2</v>
      </c>
      <c r="O2413" s="2">
        <f ca="1"/>
        <v>1.6912940841521782</v>
      </c>
      <c r="X2413" s="2">
        <f ca="1"/>
        <v>48.317193792309602</v>
      </c>
      <c r="AG2413" s="2">
        <f ca="1"/>
        <v>0.41713472638937366</v>
      </c>
      <c r="AH2413" s="2" t="str">
        <f ca="1"/>
        <v>Bad</v>
      </c>
    </row>
    <row r="2414" spans="2:34" x14ac:dyDescent="0.2">
      <c r="B2414" s="2">
        <f ca="1"/>
        <v>0.71776950205773393</v>
      </c>
      <c r="O2414" s="2">
        <f ca="1"/>
        <v>-0.56458199026531486</v>
      </c>
      <c r="X2414" s="2">
        <f ca="1"/>
        <v>36.529389701884945</v>
      </c>
      <c r="AG2414" s="2">
        <f ca="1"/>
        <v>0.35377758519387248</v>
      </c>
      <c r="AH2414" s="2" t="str">
        <f ca="1"/>
        <v>OK</v>
      </c>
    </row>
    <row r="2415" spans="2:34" x14ac:dyDescent="0.2">
      <c r="B2415" s="2">
        <f ca="1"/>
        <v>0.40860072857546825</v>
      </c>
      <c r="O2415" s="2">
        <f ca="1"/>
        <v>-0.34306646564669835</v>
      </c>
      <c r="X2415" s="2">
        <f ca="1"/>
        <v>29.114710619189484</v>
      </c>
      <c r="AG2415" s="2">
        <f ca="1"/>
        <v>0.38324445452672751</v>
      </c>
      <c r="AH2415" s="2" t="str">
        <f ca="1"/>
        <v>OK</v>
      </c>
    </row>
    <row r="2416" spans="2:34" x14ac:dyDescent="0.2">
      <c r="B2416" s="2">
        <f ca="1"/>
        <v>0.96083673039308204</v>
      </c>
      <c r="O2416" s="2">
        <f ca="1"/>
        <v>-0.42655236002570457</v>
      </c>
      <c r="X2416" s="2">
        <f ca="1"/>
        <v>35.844361947130764</v>
      </c>
      <c r="AG2416" s="2">
        <f ca="1"/>
        <v>0.31387369896216355</v>
      </c>
      <c r="AH2416" s="2" t="str">
        <f ca="1"/>
        <v>OK</v>
      </c>
    </row>
    <row r="2417" spans="2:34" x14ac:dyDescent="0.2">
      <c r="B2417" s="2">
        <f ca="1"/>
        <v>0.54842242959206011</v>
      </c>
      <c r="O2417" s="2">
        <f ca="1"/>
        <v>-0.69703702233461307</v>
      </c>
      <c r="X2417" s="2">
        <f ca="1"/>
        <v>39.831766207316932</v>
      </c>
      <c r="AG2417" s="2">
        <f ca="1"/>
        <v>8.1811961600741778E-3</v>
      </c>
      <c r="AH2417" s="2" t="str">
        <f ca="1"/>
        <v>Good</v>
      </c>
    </row>
    <row r="2418" spans="2:34" x14ac:dyDescent="0.2">
      <c r="B2418" s="2">
        <f ca="1"/>
        <v>0.85682935380787972</v>
      </c>
      <c r="O2418" s="2">
        <f ca="1"/>
        <v>0.43246586128346504</v>
      </c>
      <c r="X2418" s="2">
        <f ca="1"/>
        <v>35.750490904150261</v>
      </c>
      <c r="AG2418" s="2">
        <f ca="1"/>
        <v>0.25159682563050079</v>
      </c>
      <c r="AH2418" s="2" t="str">
        <f ca="1"/>
        <v>OK</v>
      </c>
    </row>
    <row r="2419" spans="2:34" x14ac:dyDescent="0.2">
      <c r="B2419" s="2">
        <f ca="1"/>
        <v>8.8312016373018887E-2</v>
      </c>
      <c r="O2419" s="2">
        <f ca="1"/>
        <v>1.0042689095990573</v>
      </c>
      <c r="X2419" s="2">
        <f ca="1"/>
        <v>67.461565921010205</v>
      </c>
      <c r="AG2419" s="2">
        <f ca="1"/>
        <v>1.9452746576255953E-2</v>
      </c>
      <c r="AH2419" s="2" t="str">
        <f ca="1"/>
        <v>Good</v>
      </c>
    </row>
    <row r="2420" spans="2:34" x14ac:dyDescent="0.2">
      <c r="B2420" s="2">
        <f ca="1"/>
        <v>0.17640029502580323</v>
      </c>
      <c r="O2420" s="2">
        <f ca="1"/>
        <v>-1.9729862539127629E-2</v>
      </c>
      <c r="X2420" s="2">
        <f ca="1"/>
        <v>81.816004452739151</v>
      </c>
      <c r="AG2420" s="2">
        <f ca="1"/>
        <v>0.95525546596809496</v>
      </c>
      <c r="AH2420" s="2" t="str">
        <f ca="1"/>
        <v>Bad</v>
      </c>
    </row>
    <row r="2421" spans="2:34" x14ac:dyDescent="0.2">
      <c r="B2421" s="2">
        <f ca="1"/>
        <v>0.80715886591374342</v>
      </c>
      <c r="O2421" s="2">
        <f ca="1"/>
        <v>0.98498745182285874</v>
      </c>
      <c r="X2421" s="2">
        <f ca="1"/>
        <v>61.241826150949024</v>
      </c>
      <c r="AG2421" s="2">
        <f ca="1"/>
        <v>0.16146681556046838</v>
      </c>
      <c r="AH2421" s="2" t="str">
        <f ca="1"/>
        <v>OK</v>
      </c>
    </row>
    <row r="2422" spans="2:34" x14ac:dyDescent="0.2">
      <c r="B2422" s="2">
        <f ca="1"/>
        <v>0.83195787544586008</v>
      </c>
      <c r="O2422" s="2">
        <f ca="1"/>
        <v>-0.14924214989893214</v>
      </c>
      <c r="X2422" s="2">
        <f ca="1"/>
        <v>11.453986201028645</v>
      </c>
      <c r="AG2422" s="2">
        <f ca="1"/>
        <v>0.5093697569396396</v>
      </c>
      <c r="AH2422" s="2" t="str">
        <f ca="1"/>
        <v>Bad</v>
      </c>
    </row>
    <row r="2423" spans="2:34" x14ac:dyDescent="0.2">
      <c r="B2423" s="2">
        <f ca="1"/>
        <v>0.56795329596853183</v>
      </c>
      <c r="O2423" s="2">
        <f ca="1"/>
        <v>-0.25927176205842772</v>
      </c>
      <c r="X2423" s="2">
        <f ca="1"/>
        <v>44.687119434209627</v>
      </c>
      <c r="AG2423" s="2">
        <f ca="1"/>
        <v>0.44089294719946048</v>
      </c>
      <c r="AH2423" s="2" t="str">
        <f ca="1"/>
        <v>Bad</v>
      </c>
    </row>
    <row r="2424" spans="2:34" x14ac:dyDescent="0.2">
      <c r="B2424" s="2">
        <f ca="1"/>
        <v>0.17334042284620854</v>
      </c>
      <c r="O2424" s="2">
        <f ca="1"/>
        <v>0.36831405397822053</v>
      </c>
      <c r="X2424" s="2">
        <f ca="1"/>
        <v>107.01886809701909</v>
      </c>
      <c r="AG2424" s="2">
        <f ca="1"/>
        <v>0.39462070524100756</v>
      </c>
      <c r="AH2424" s="2" t="str">
        <f ca="1"/>
        <v>OK</v>
      </c>
    </row>
    <row r="2425" spans="2:34" x14ac:dyDescent="0.2">
      <c r="B2425" s="2">
        <f ca="1"/>
        <v>0.73597919988076121</v>
      </c>
      <c r="O2425" s="2">
        <f ca="1"/>
        <v>1.2656283346679789</v>
      </c>
      <c r="X2425" s="2">
        <f ca="1"/>
        <v>40.07562032975693</v>
      </c>
      <c r="AG2425" s="2">
        <f ca="1"/>
        <v>0.11314757787280416</v>
      </c>
      <c r="AH2425" s="2" t="str">
        <f ca="1"/>
        <v>OK</v>
      </c>
    </row>
    <row r="2426" spans="2:34" x14ac:dyDescent="0.2">
      <c r="B2426" s="2">
        <f ca="1"/>
        <v>0.34095921285334763</v>
      </c>
      <c r="O2426" s="2">
        <f ca="1"/>
        <v>0.79153048769443946</v>
      </c>
      <c r="X2426" s="2">
        <f ca="1"/>
        <v>65.533555923470061</v>
      </c>
      <c r="AG2426" s="2">
        <f ca="1"/>
        <v>0.26452867081220477</v>
      </c>
      <c r="AH2426" s="2" t="str">
        <f ca="1"/>
        <v>OK</v>
      </c>
    </row>
    <row r="2427" spans="2:34" x14ac:dyDescent="0.2">
      <c r="B2427" s="2">
        <f ca="1"/>
        <v>0.19211941195519699</v>
      </c>
      <c r="O2427" s="2">
        <f ca="1"/>
        <v>0.43619296518103484</v>
      </c>
      <c r="X2427" s="2">
        <f ca="1"/>
        <v>45.25098563578689</v>
      </c>
      <c r="AG2427" s="2">
        <f ca="1"/>
        <v>0.94283018855332479</v>
      </c>
      <c r="AH2427" s="2" t="str">
        <f ca="1"/>
        <v>Bad</v>
      </c>
    </row>
    <row r="2428" spans="2:34" x14ac:dyDescent="0.2">
      <c r="B2428" s="2">
        <f ca="1"/>
        <v>0.88268847608530754</v>
      </c>
      <c r="O2428" s="2">
        <f ca="1"/>
        <v>-1.4508956725121547</v>
      </c>
      <c r="X2428" s="2">
        <f ca="1"/>
        <v>65.563303088718385</v>
      </c>
      <c r="AG2428" s="2">
        <f ca="1"/>
        <v>0.48537589019873595</v>
      </c>
      <c r="AH2428" s="2" t="str">
        <f ca="1"/>
        <v>Bad</v>
      </c>
    </row>
    <row r="2429" spans="2:34" x14ac:dyDescent="0.2">
      <c r="B2429" s="2">
        <f ca="1"/>
        <v>0.49513890636136781</v>
      </c>
      <c r="O2429" s="2">
        <f ca="1"/>
        <v>-0.88539124612069986</v>
      </c>
      <c r="X2429" s="2">
        <f ca="1"/>
        <v>29.970306226829344</v>
      </c>
      <c r="AG2429" s="2">
        <f ca="1"/>
        <v>0.7321832819293157</v>
      </c>
      <c r="AH2429" s="2" t="str">
        <f ca="1"/>
        <v>Bad</v>
      </c>
    </row>
    <row r="2430" spans="2:34" x14ac:dyDescent="0.2">
      <c r="B2430" s="2">
        <f ca="1"/>
        <v>0.10350899878713182</v>
      </c>
      <c r="O2430" s="2">
        <f ca="1"/>
        <v>0.3596404766431533</v>
      </c>
      <c r="X2430" s="2">
        <f ca="1"/>
        <v>45.051845307884093</v>
      </c>
      <c r="AG2430" s="2">
        <f ca="1"/>
        <v>0.45604401153245466</v>
      </c>
      <c r="AH2430" s="2" t="str">
        <f ca="1"/>
        <v>Bad</v>
      </c>
    </row>
    <row r="2431" spans="2:34" x14ac:dyDescent="0.2">
      <c r="B2431" s="2">
        <f ca="1"/>
        <v>0.87841452031496714</v>
      </c>
      <c r="O2431" s="2">
        <f ca="1"/>
        <v>-1.000202156660116</v>
      </c>
      <c r="X2431" s="2">
        <f ca="1"/>
        <v>58.097166090425858</v>
      </c>
      <c r="AG2431" s="2">
        <f ca="1"/>
        <v>0.1327218611353016</v>
      </c>
      <c r="AH2431" s="2" t="str">
        <f ca="1"/>
        <v>OK</v>
      </c>
    </row>
    <row r="2432" spans="2:34" x14ac:dyDescent="0.2">
      <c r="B2432" s="2">
        <f ca="1"/>
        <v>0.496656385587954</v>
      </c>
      <c r="O2432" s="2">
        <f ca="1"/>
        <v>1.3456662149389687</v>
      </c>
      <c r="X2432" s="2">
        <f ca="1"/>
        <v>50.774714451605362</v>
      </c>
      <c r="AG2432" s="2">
        <f ca="1"/>
        <v>7.5737257347751941E-2</v>
      </c>
      <c r="AH2432" s="2" t="str">
        <f ca="1"/>
        <v>OK</v>
      </c>
    </row>
    <row r="2433" spans="2:34" x14ac:dyDescent="0.2">
      <c r="B2433" s="2">
        <f ca="1"/>
        <v>0.10499760744034581</v>
      </c>
      <c r="O2433" s="2">
        <f ca="1"/>
        <v>3.0201193937579105</v>
      </c>
      <c r="X2433" s="2">
        <f ca="1"/>
        <v>47.910482480116798</v>
      </c>
      <c r="AG2433" s="2">
        <f ca="1"/>
        <v>0.19145041621152892</v>
      </c>
      <c r="AH2433" s="2" t="str">
        <f ca="1"/>
        <v>OK</v>
      </c>
    </row>
    <row r="2434" spans="2:34" x14ac:dyDescent="0.2">
      <c r="B2434" s="2">
        <f ca="1"/>
        <v>1.9512808201850751E-2</v>
      </c>
      <c r="O2434" s="2">
        <f ca="1"/>
        <v>0.97613310271152021</v>
      </c>
      <c r="X2434" s="2">
        <f ca="1"/>
        <v>23.461260053224407</v>
      </c>
      <c r="AG2434" s="2">
        <f ca="1"/>
        <v>0.68621908700860645</v>
      </c>
      <c r="AH2434" s="2" t="str">
        <f ca="1"/>
        <v>Bad</v>
      </c>
    </row>
    <row r="2435" spans="2:34" x14ac:dyDescent="0.2">
      <c r="B2435" s="2">
        <f ca="1"/>
        <v>0.18761098352353933</v>
      </c>
      <c r="O2435" s="2">
        <f ca="1"/>
        <v>1.5377199482237696</v>
      </c>
      <c r="X2435" s="2">
        <f ca="1"/>
        <v>63.024679524098126</v>
      </c>
      <c r="AG2435" s="2">
        <f ca="1"/>
        <v>0.68427476485712968</v>
      </c>
      <c r="AH2435" s="2" t="str">
        <f ca="1"/>
        <v>Bad</v>
      </c>
    </row>
    <row r="2436" spans="2:34" x14ac:dyDescent="0.2">
      <c r="B2436" s="2">
        <f ca="1"/>
        <v>0.14974861926423344</v>
      </c>
      <c r="O2436" s="2">
        <f ca="1"/>
        <v>-8.2476480199365938E-3</v>
      </c>
      <c r="X2436" s="2">
        <f ca="1"/>
        <v>31.966013948678565</v>
      </c>
      <c r="AG2436" s="2">
        <f ca="1"/>
        <v>0.1684906227328582</v>
      </c>
      <c r="AH2436" s="2" t="str">
        <f ca="1"/>
        <v>OK</v>
      </c>
    </row>
    <row r="2437" spans="2:34" x14ac:dyDescent="0.2">
      <c r="B2437" s="2">
        <f ca="1"/>
        <v>0.66927621577276453</v>
      </c>
      <c r="O2437" s="2">
        <f ca="1"/>
        <v>-1.6837005379445606</v>
      </c>
      <c r="X2437" s="2">
        <f ca="1"/>
        <v>83.002764093986201</v>
      </c>
      <c r="AG2437" s="2">
        <f ca="1"/>
        <v>0.37449508088507155</v>
      </c>
      <c r="AH2437" s="2" t="str">
        <f ca="1"/>
        <v>OK</v>
      </c>
    </row>
    <row r="2438" spans="2:34" x14ac:dyDescent="0.2">
      <c r="B2438" s="2">
        <f ca="1"/>
        <v>0.28362986083101727</v>
      </c>
      <c r="O2438" s="2">
        <f ca="1"/>
        <v>4.4883449550666817E-2</v>
      </c>
      <c r="X2438" s="2">
        <f ca="1"/>
        <v>66.247643915739218</v>
      </c>
      <c r="AG2438" s="2">
        <f ca="1"/>
        <v>0.37581112680910111</v>
      </c>
      <c r="AH2438" s="2" t="str">
        <f ca="1"/>
        <v>OK</v>
      </c>
    </row>
    <row r="2439" spans="2:34" x14ac:dyDescent="0.2">
      <c r="B2439" s="2">
        <f ca="1"/>
        <v>0.23870036946278828</v>
      </c>
      <c r="O2439" s="2">
        <f ca="1"/>
        <v>-0.70970431626516572</v>
      </c>
      <c r="X2439" s="2">
        <f ca="1"/>
        <v>29.80546836886311</v>
      </c>
      <c r="AG2439" s="2">
        <f ca="1"/>
        <v>2.100865403637564E-2</v>
      </c>
      <c r="AH2439" s="2" t="str">
        <f ca="1"/>
        <v>Good</v>
      </c>
    </row>
    <row r="2440" spans="2:34" x14ac:dyDescent="0.2">
      <c r="B2440" s="2">
        <f ca="1"/>
        <v>0.48393526197867587</v>
      </c>
      <c r="O2440" s="2">
        <f ca="1"/>
        <v>0.27595552585175309</v>
      </c>
      <c r="X2440" s="2">
        <f ca="1"/>
        <v>37.885599994422719</v>
      </c>
      <c r="AG2440" s="2">
        <f ca="1"/>
        <v>0.82020959330131005</v>
      </c>
      <c r="AH2440" s="2" t="str">
        <f ca="1"/>
        <v>Bad</v>
      </c>
    </row>
    <row r="2441" spans="2:34" x14ac:dyDescent="0.2">
      <c r="B2441" s="2">
        <f ca="1"/>
        <v>0.93910213431316625</v>
      </c>
      <c r="O2441" s="2">
        <f ca="1"/>
        <v>0.75064114843049345</v>
      </c>
      <c r="X2441" s="2">
        <f ca="1"/>
        <v>43.200317117340532</v>
      </c>
      <c r="AG2441" s="2">
        <f ca="1"/>
        <v>0.16135036376913359</v>
      </c>
      <c r="AH2441" s="2" t="str">
        <f ca="1"/>
        <v>OK</v>
      </c>
    </row>
    <row r="2442" spans="2:34" x14ac:dyDescent="0.2">
      <c r="B2442" s="2">
        <f ca="1"/>
        <v>0.5855622486809775</v>
      </c>
      <c r="O2442" s="2">
        <f ca="1"/>
        <v>0.77176895281297808</v>
      </c>
      <c r="X2442" s="2">
        <f ca="1"/>
        <v>57.267577365966496</v>
      </c>
      <c r="AG2442" s="2">
        <f ca="1"/>
        <v>0.41200489895569081</v>
      </c>
      <c r="AH2442" s="2" t="str">
        <f ca="1"/>
        <v>Bad</v>
      </c>
    </row>
    <row r="2443" spans="2:34" x14ac:dyDescent="0.2">
      <c r="B2443" s="2">
        <f ca="1"/>
        <v>0.38754105038661457</v>
      </c>
      <c r="O2443" s="2">
        <f ca="1"/>
        <v>-2.2627969817145615</v>
      </c>
      <c r="X2443" s="2">
        <f ca="1"/>
        <v>37.126509731352236</v>
      </c>
      <c r="AG2443" s="2">
        <f ca="1"/>
        <v>0.80526518354842325</v>
      </c>
      <c r="AH2443" s="2" t="str">
        <f ca="1"/>
        <v>Bad</v>
      </c>
    </row>
    <row r="2444" spans="2:34" x14ac:dyDescent="0.2">
      <c r="B2444" s="2">
        <f ca="1"/>
        <v>0.43789061747177693</v>
      </c>
      <c r="O2444" s="2">
        <f ca="1"/>
        <v>-0.62869554782941472</v>
      </c>
      <c r="X2444" s="2">
        <f ca="1"/>
        <v>51.686282578950724</v>
      </c>
      <c r="AG2444" s="2">
        <f ca="1"/>
        <v>0.82727840243587814</v>
      </c>
      <c r="AH2444" s="2" t="str">
        <f ca="1"/>
        <v>Bad</v>
      </c>
    </row>
    <row r="2445" spans="2:34" x14ac:dyDescent="0.2">
      <c r="B2445" s="2">
        <f ca="1"/>
        <v>0.27952661148164393</v>
      </c>
      <c r="O2445" s="2">
        <f ca="1"/>
        <v>-0.4022593379644433</v>
      </c>
      <c r="X2445" s="2">
        <f ca="1"/>
        <v>51.673255246981157</v>
      </c>
      <c r="AG2445" s="2">
        <f ca="1"/>
        <v>0.31773314141711761</v>
      </c>
      <c r="AH2445" s="2" t="str">
        <f ca="1"/>
        <v>OK</v>
      </c>
    </row>
    <row r="2446" spans="2:34" x14ac:dyDescent="0.2">
      <c r="B2446" s="2">
        <f ca="1"/>
        <v>0.4325350013133864</v>
      </c>
      <c r="O2446" s="2">
        <f ca="1"/>
        <v>-5.4401509547877223E-2</v>
      </c>
      <c r="X2446" s="2">
        <f ca="1"/>
        <v>69.014773518700196</v>
      </c>
      <c r="AG2446" s="2">
        <f ca="1"/>
        <v>0.12939267281502809</v>
      </c>
      <c r="AH2446" s="2" t="str">
        <f ca="1"/>
        <v>OK</v>
      </c>
    </row>
    <row r="2447" spans="2:34" x14ac:dyDescent="0.2">
      <c r="B2447" s="2">
        <f ca="1"/>
        <v>0.25105023513036051</v>
      </c>
      <c r="O2447" s="2">
        <f ca="1"/>
        <v>-0.88993641331644391</v>
      </c>
      <c r="X2447" s="2">
        <f ca="1"/>
        <v>68.773204658680811</v>
      </c>
      <c r="AG2447" s="2">
        <f ca="1"/>
        <v>8.2607573719802652E-2</v>
      </c>
      <c r="AH2447" s="2" t="str">
        <f ca="1"/>
        <v>OK</v>
      </c>
    </row>
    <row r="2448" spans="2:34" x14ac:dyDescent="0.2">
      <c r="B2448" s="2">
        <f ca="1"/>
        <v>0.5389004939745492</v>
      </c>
      <c r="O2448" s="2">
        <f ca="1"/>
        <v>0.59250406472309614</v>
      </c>
      <c r="X2448" s="2">
        <f ca="1"/>
        <v>49.889511432554542</v>
      </c>
      <c r="AG2448" s="2">
        <f ca="1"/>
        <v>0.60988827676052781</v>
      </c>
      <c r="AH2448" s="2" t="str">
        <f ca="1"/>
        <v>Bad</v>
      </c>
    </row>
    <row r="2449" spans="2:34" x14ac:dyDescent="0.2">
      <c r="B2449" s="2">
        <f ca="1"/>
        <v>0.80842110662215716</v>
      </c>
      <c r="O2449" s="2">
        <f ca="1"/>
        <v>-0.83407019705617358</v>
      </c>
      <c r="X2449" s="2">
        <f ca="1"/>
        <v>87.263411779060903</v>
      </c>
      <c r="AG2449" s="2">
        <f ca="1"/>
        <v>0.30667233004661942</v>
      </c>
      <c r="AH2449" s="2" t="str">
        <f ca="1"/>
        <v>OK</v>
      </c>
    </row>
    <row r="2450" spans="2:34" x14ac:dyDescent="0.2">
      <c r="B2450" s="2">
        <f ca="1"/>
        <v>0.48528671506827314</v>
      </c>
      <c r="O2450" s="2">
        <f ca="1"/>
        <v>-0.61205115571029034</v>
      </c>
      <c r="X2450" s="2">
        <f ca="1"/>
        <v>58.866281156260023</v>
      </c>
      <c r="AG2450" s="2">
        <f ca="1"/>
        <v>6.9097770749382725E-2</v>
      </c>
      <c r="AH2450" s="2" t="str">
        <f ca="1"/>
        <v>OK</v>
      </c>
    </row>
    <row r="2451" spans="2:34" x14ac:dyDescent="0.2">
      <c r="B2451" s="2">
        <f ca="1"/>
        <v>0.92691238000742993</v>
      </c>
      <c r="O2451" s="2">
        <f ca="1"/>
        <v>-0.93529364548242677</v>
      </c>
      <c r="X2451" s="2">
        <f ca="1"/>
        <v>48.550716203906276</v>
      </c>
      <c r="AG2451" s="2">
        <f ca="1"/>
        <v>0.9074379107683801</v>
      </c>
      <c r="AH2451" s="2" t="str">
        <f ca="1"/>
        <v>Bad</v>
      </c>
    </row>
    <row r="2452" spans="2:34" x14ac:dyDescent="0.2">
      <c r="B2452" s="2">
        <f ca="1"/>
        <v>0.2549245903022701</v>
      </c>
      <c r="O2452" s="2">
        <f ca="1"/>
        <v>0.51055197948792153</v>
      </c>
      <c r="X2452" s="2">
        <f ca="1"/>
        <v>23.688794900176106</v>
      </c>
      <c r="AG2452" s="2">
        <f ca="1"/>
        <v>0.14805750071075829</v>
      </c>
      <c r="AH2452" s="2" t="str">
        <f ca="1"/>
        <v>OK</v>
      </c>
    </row>
    <row r="2453" spans="2:34" x14ac:dyDescent="0.2">
      <c r="B2453" s="2">
        <f ca="1"/>
        <v>0.11447063270867885</v>
      </c>
      <c r="O2453" s="2">
        <f ca="1"/>
        <v>-0.17147888690540372</v>
      </c>
      <c r="X2453" s="2">
        <f ca="1"/>
        <v>43.81912196111729</v>
      </c>
      <c r="AG2453" s="2">
        <f ca="1"/>
        <v>0.81989254274888101</v>
      </c>
      <c r="AH2453" s="2" t="str">
        <f ca="1"/>
        <v>Bad</v>
      </c>
    </row>
    <row r="2454" spans="2:34" x14ac:dyDescent="0.2">
      <c r="B2454" s="2">
        <f ca="1"/>
        <v>0.35026779158414278</v>
      </c>
      <c r="O2454" s="2">
        <f ca="1"/>
        <v>1.1360672647912853</v>
      </c>
      <c r="X2454" s="2">
        <f ca="1"/>
        <v>75.497319723167323</v>
      </c>
      <c r="AG2454" s="2">
        <f ca="1"/>
        <v>0.72023616155183467</v>
      </c>
      <c r="AH2454" s="2" t="str">
        <f ca="1"/>
        <v>Bad</v>
      </c>
    </row>
    <row r="2455" spans="2:34" x14ac:dyDescent="0.2">
      <c r="B2455" s="2">
        <f ca="1"/>
        <v>0.47257874840519243</v>
      </c>
      <c r="O2455" s="2">
        <f ca="1"/>
        <v>-1.2402434980735064</v>
      </c>
      <c r="X2455" s="2">
        <f ca="1"/>
        <v>88.111324674122073</v>
      </c>
      <c r="AG2455" s="2">
        <f ca="1"/>
        <v>0.47262965583026006</v>
      </c>
      <c r="AH2455" s="2" t="str">
        <f ca="1"/>
        <v>Bad</v>
      </c>
    </row>
    <row r="2456" spans="2:34" x14ac:dyDescent="0.2">
      <c r="B2456" s="2">
        <f ca="1"/>
        <v>0.39327060925030199</v>
      </c>
      <c r="O2456" s="2">
        <f ca="1"/>
        <v>0.55645351541431642</v>
      </c>
      <c r="X2456" s="2">
        <f ca="1"/>
        <v>59.19987735262616</v>
      </c>
      <c r="AG2456" s="2">
        <f ca="1"/>
        <v>0.75420194140230934</v>
      </c>
      <c r="AH2456" s="2" t="str">
        <f ca="1"/>
        <v>Bad</v>
      </c>
    </row>
    <row r="2457" spans="2:34" x14ac:dyDescent="0.2">
      <c r="B2457" s="2">
        <f ca="1"/>
        <v>0.91378708674731324</v>
      </c>
      <c r="O2457" s="2">
        <f ca="1"/>
        <v>0.35399425292740577</v>
      </c>
      <c r="X2457" s="2">
        <f ca="1"/>
        <v>60.051972834509556</v>
      </c>
      <c r="AG2457" s="2">
        <f ca="1"/>
        <v>0.85748438155551909</v>
      </c>
      <c r="AH2457" s="2" t="str">
        <f ca="1"/>
        <v>Bad</v>
      </c>
    </row>
    <row r="2458" spans="2:34" x14ac:dyDescent="0.2">
      <c r="B2458" s="2">
        <f ca="1"/>
        <v>0.70910500102133023</v>
      </c>
      <c r="O2458" s="2">
        <f ca="1"/>
        <v>-0.10289006669620929</v>
      </c>
      <c r="X2458" s="2">
        <f ca="1"/>
        <v>34.377835130516623</v>
      </c>
      <c r="AG2458" s="2">
        <f ca="1"/>
        <v>0.8412164783011209</v>
      </c>
      <c r="AH2458" s="2" t="str">
        <f ca="1"/>
        <v>Bad</v>
      </c>
    </row>
    <row r="2459" spans="2:34" x14ac:dyDescent="0.2">
      <c r="B2459" s="2">
        <f ca="1"/>
        <v>0.56330313590136227</v>
      </c>
      <c r="O2459" s="2">
        <f ca="1"/>
        <v>-0.40503075697527952</v>
      </c>
      <c r="X2459" s="2">
        <f ca="1"/>
        <v>35.832233251731708</v>
      </c>
      <c r="AG2459" s="2">
        <f ca="1"/>
        <v>0.12482305070734334</v>
      </c>
      <c r="AH2459" s="2" t="str">
        <f ca="1"/>
        <v>OK</v>
      </c>
    </row>
    <row r="2460" spans="2:34" x14ac:dyDescent="0.2">
      <c r="B2460" s="2">
        <f ca="1"/>
        <v>0.41969716569596849</v>
      </c>
      <c r="O2460" s="2">
        <f ca="1"/>
        <v>-0.56797652614070659</v>
      </c>
      <c r="X2460" s="2">
        <f ca="1"/>
        <v>47.416882240468425</v>
      </c>
      <c r="AG2460" s="2">
        <f ca="1"/>
        <v>0.50641692627529022</v>
      </c>
      <c r="AH2460" s="2" t="str">
        <f ca="1"/>
        <v>Bad</v>
      </c>
    </row>
    <row r="2461" spans="2:34" x14ac:dyDescent="0.2">
      <c r="B2461" s="2">
        <f ca="1"/>
        <v>0.4654968322024915</v>
      </c>
      <c r="O2461" s="2">
        <f ca="1"/>
        <v>1.4388072112683905</v>
      </c>
      <c r="X2461" s="2">
        <f ca="1"/>
        <v>47.446853483526795</v>
      </c>
      <c r="AG2461" s="2">
        <f ca="1"/>
        <v>0.45367991800933094</v>
      </c>
      <c r="AH2461" s="2" t="str">
        <f ca="1"/>
        <v>Bad</v>
      </c>
    </row>
    <row r="2462" spans="2:34" x14ac:dyDescent="0.2">
      <c r="B2462" s="2">
        <f ca="1"/>
        <v>0.75398094864661425</v>
      </c>
      <c r="O2462" s="2">
        <f ca="1"/>
        <v>-1.1768809480513289</v>
      </c>
      <c r="X2462" s="2">
        <f ca="1"/>
        <v>73.185815122712881</v>
      </c>
      <c r="AG2462" s="2">
        <f ca="1"/>
        <v>0.74723030813520586</v>
      </c>
      <c r="AH2462" s="2" t="str">
        <f ca="1"/>
        <v>Bad</v>
      </c>
    </row>
    <row r="2463" spans="2:34" x14ac:dyDescent="0.2">
      <c r="B2463" s="2">
        <f ca="1"/>
        <v>0.48091542873080706</v>
      </c>
      <c r="O2463" s="2">
        <f ca="1"/>
        <v>1.2135734584721813</v>
      </c>
      <c r="X2463" s="2">
        <f ca="1"/>
        <v>58.321687162683354</v>
      </c>
      <c r="AG2463" s="2">
        <f ca="1"/>
        <v>0.9225243749866856</v>
      </c>
      <c r="AH2463" s="2" t="str">
        <f ca="1"/>
        <v>Bad</v>
      </c>
    </row>
    <row r="2464" spans="2:34" x14ac:dyDescent="0.2">
      <c r="B2464" s="2">
        <f ca="1"/>
        <v>0.78399691972152752</v>
      </c>
      <c r="O2464" s="2">
        <f ca="1"/>
        <v>-0.28126850852058966</v>
      </c>
      <c r="X2464" s="2">
        <f ca="1"/>
        <v>57.499299470602296</v>
      </c>
      <c r="AG2464" s="2">
        <f ca="1"/>
        <v>0.61972754125578433</v>
      </c>
      <c r="AH2464" s="2" t="str">
        <f ca="1"/>
        <v>Bad</v>
      </c>
    </row>
    <row r="2465" spans="2:34" x14ac:dyDescent="0.2">
      <c r="B2465" s="2">
        <f ca="1"/>
        <v>0.77279662650794401</v>
      </c>
      <c r="O2465" s="2">
        <f ca="1"/>
        <v>1.7870318732133523</v>
      </c>
      <c r="X2465" s="2">
        <f ca="1"/>
        <v>46.363709714548918</v>
      </c>
      <c r="AG2465" s="2">
        <f ca="1"/>
        <v>0.57892446672102316</v>
      </c>
      <c r="AH2465" s="2" t="str">
        <f ca="1"/>
        <v>Bad</v>
      </c>
    </row>
    <row r="2466" spans="2:34" x14ac:dyDescent="0.2">
      <c r="B2466" s="2">
        <f ca="1"/>
        <v>0.11077154368022701</v>
      </c>
      <c r="O2466" s="2">
        <f ca="1"/>
        <v>-0.73698723054448811</v>
      </c>
      <c r="X2466" s="2">
        <f ca="1"/>
        <v>41.679881428894745</v>
      </c>
      <c r="AG2466" s="2">
        <f ca="1"/>
        <v>0.72682037863897775</v>
      </c>
      <c r="AH2466" s="2" t="str">
        <f ca="1"/>
        <v>Bad</v>
      </c>
    </row>
    <row r="2467" spans="2:34" x14ac:dyDescent="0.2">
      <c r="B2467" s="2">
        <f ca="1"/>
        <v>0.52013717516467062</v>
      </c>
      <c r="O2467" s="2">
        <f ca="1"/>
        <v>-1.1502678728666986</v>
      </c>
      <c r="X2467" s="2">
        <f ca="1"/>
        <v>47.87117369098592</v>
      </c>
      <c r="AG2467" s="2">
        <f ca="1"/>
        <v>0.19452034429897935</v>
      </c>
      <c r="AH2467" s="2" t="str">
        <f ca="1"/>
        <v>OK</v>
      </c>
    </row>
    <row r="2468" spans="2:34" x14ac:dyDescent="0.2">
      <c r="B2468" s="2">
        <f ca="1"/>
        <v>0.71313428663501677</v>
      </c>
      <c r="O2468" s="2">
        <f ca="1"/>
        <v>0.34829673189289495</v>
      </c>
      <c r="X2468" s="2">
        <f ca="1"/>
        <v>34.700801262828996</v>
      </c>
      <c r="AG2468" s="2">
        <f ca="1"/>
        <v>0.85338423157999843</v>
      </c>
      <c r="AH2468" s="2" t="str">
        <f ca="1"/>
        <v>Bad</v>
      </c>
    </row>
    <row r="2469" spans="2:34" x14ac:dyDescent="0.2">
      <c r="B2469" s="2">
        <f ca="1"/>
        <v>0.28040748174780417</v>
      </c>
      <c r="O2469" s="2">
        <f ca="1"/>
        <v>-0.41554871541599253</v>
      </c>
      <c r="X2469" s="2">
        <f ca="1"/>
        <v>48.337687476544716</v>
      </c>
      <c r="AG2469" s="2">
        <f ca="1"/>
        <v>0.91701210815458012</v>
      </c>
      <c r="AH2469" s="2" t="str">
        <f ca="1"/>
        <v>Bad</v>
      </c>
    </row>
    <row r="2470" spans="2:34" x14ac:dyDescent="0.2">
      <c r="B2470" s="2">
        <f ca="1"/>
        <v>0.77485055250823365</v>
      </c>
      <c r="O2470" s="2">
        <f ca="1"/>
        <v>1.3478603377552762</v>
      </c>
      <c r="X2470" s="2">
        <f ca="1"/>
        <v>53.888626115409167</v>
      </c>
      <c r="AG2470" s="2">
        <f ca="1"/>
        <v>1.9287786020484532E-2</v>
      </c>
      <c r="AH2470" s="2" t="str">
        <f ca="1"/>
        <v>Good</v>
      </c>
    </row>
    <row r="2471" spans="2:34" x14ac:dyDescent="0.2">
      <c r="B2471" s="2">
        <f ca="1"/>
        <v>0.59447811036663611</v>
      </c>
      <c r="O2471" s="2">
        <f ca="1"/>
        <v>-3.5204394353321483E-2</v>
      </c>
      <c r="X2471" s="2">
        <f ca="1"/>
        <v>51.584106153141363</v>
      </c>
      <c r="AG2471" s="2">
        <f ca="1"/>
        <v>0.72384255690344346</v>
      </c>
      <c r="AH2471" s="2" t="str">
        <f ca="1"/>
        <v>Bad</v>
      </c>
    </row>
    <row r="2472" spans="2:34" x14ac:dyDescent="0.2">
      <c r="B2472" s="2">
        <f ca="1"/>
        <v>0.81745633960284314</v>
      </c>
      <c r="O2472" s="2">
        <f ca="1"/>
        <v>-1.439556596094937</v>
      </c>
      <c r="X2472" s="2">
        <f ca="1"/>
        <v>81.433010935295925</v>
      </c>
      <c r="AG2472" s="2">
        <f ca="1"/>
        <v>0.50136997123104288</v>
      </c>
      <c r="AH2472" s="2" t="str">
        <f ca="1"/>
        <v>Bad</v>
      </c>
    </row>
    <row r="2473" spans="2:34" x14ac:dyDescent="0.2">
      <c r="B2473" s="2">
        <f ca="1"/>
        <v>0.75716122470638969</v>
      </c>
      <c r="O2473" s="2">
        <f ca="1"/>
        <v>5.5906870769032606E-2</v>
      </c>
      <c r="X2473" s="2">
        <f ca="1"/>
        <v>29.939501349519038</v>
      </c>
      <c r="AG2473" s="2">
        <f ca="1"/>
        <v>0.38812684168322109</v>
      </c>
      <c r="AH2473" s="2" t="str">
        <f ca="1"/>
        <v>OK</v>
      </c>
    </row>
    <row r="2474" spans="2:34" x14ac:dyDescent="0.2">
      <c r="B2474" s="2">
        <f ca="1"/>
        <v>0.49029898288609575</v>
      </c>
      <c r="O2474" s="2">
        <f ca="1"/>
        <v>1.5037875086251686</v>
      </c>
      <c r="X2474" s="2">
        <f ca="1"/>
        <v>45.319712069599476</v>
      </c>
      <c r="AG2474" s="2">
        <f ca="1"/>
        <v>0.43715798607937906</v>
      </c>
      <c r="AH2474" s="2" t="str">
        <f ca="1"/>
        <v>Bad</v>
      </c>
    </row>
    <row r="2475" spans="2:34" x14ac:dyDescent="0.2">
      <c r="B2475" s="2">
        <f ca="1"/>
        <v>0.41105500896109581</v>
      </c>
      <c r="O2475" s="2">
        <f ca="1"/>
        <v>2.3123490683323826</v>
      </c>
      <c r="X2475" s="2">
        <f ca="1"/>
        <v>68.675123934052365</v>
      </c>
      <c r="AG2475" s="2">
        <f ca="1"/>
        <v>9.0333144587837477E-3</v>
      </c>
      <c r="AH2475" s="2" t="str">
        <f ca="1"/>
        <v>Good</v>
      </c>
    </row>
    <row r="2476" spans="2:34" x14ac:dyDescent="0.2">
      <c r="B2476" s="2">
        <f ca="1"/>
        <v>0.17245096978546925</v>
      </c>
      <c r="O2476" s="2">
        <f ca="1"/>
        <v>-4.1489362715195974E-2</v>
      </c>
      <c r="X2476" s="2">
        <f ca="1"/>
        <v>52.249630397154476</v>
      </c>
      <c r="AG2476" s="2">
        <f ca="1"/>
        <v>0.15955113108028351</v>
      </c>
      <c r="AH2476" s="2" t="str">
        <f ca="1"/>
        <v>OK</v>
      </c>
    </row>
    <row r="2477" spans="2:34" x14ac:dyDescent="0.2">
      <c r="B2477" s="2">
        <f ca="1"/>
        <v>0.37135416592198744</v>
      </c>
      <c r="O2477" s="2">
        <f ca="1"/>
        <v>1.7108796811276485</v>
      </c>
      <c r="X2477" s="2">
        <f ca="1"/>
        <v>33.560232623438132</v>
      </c>
      <c r="AG2477" s="2">
        <f ca="1"/>
        <v>0.92561909132314346</v>
      </c>
      <c r="AH2477" s="2" t="str">
        <f ca="1"/>
        <v>Bad</v>
      </c>
    </row>
    <row r="2478" spans="2:34" x14ac:dyDescent="0.2">
      <c r="B2478" s="2">
        <f ca="1"/>
        <v>0.38393831449898475</v>
      </c>
      <c r="O2478" s="2">
        <f ca="1"/>
        <v>-2.2633984074271534</v>
      </c>
      <c r="X2478" s="2">
        <f ca="1"/>
        <v>39.676032241351514</v>
      </c>
      <c r="AG2478" s="2">
        <f ca="1"/>
        <v>0.33338099757850825</v>
      </c>
      <c r="AH2478" s="2" t="str">
        <f ca="1"/>
        <v>OK</v>
      </c>
    </row>
    <row r="2479" spans="2:34" x14ac:dyDescent="0.2">
      <c r="B2479" s="2">
        <f ca="1"/>
        <v>0.59045701247692062</v>
      </c>
      <c r="O2479" s="2">
        <f ca="1"/>
        <v>8.6768049287722276E-2</v>
      </c>
      <c r="X2479" s="2">
        <f ca="1"/>
        <v>38.455861753512849</v>
      </c>
      <c r="AG2479" s="2">
        <f ca="1"/>
        <v>0.75526113513562398</v>
      </c>
      <c r="AH2479" s="2" t="str">
        <f ca="1"/>
        <v>Bad</v>
      </c>
    </row>
    <row r="2480" spans="2:34" x14ac:dyDescent="0.2">
      <c r="B2480" s="2">
        <f ca="1"/>
        <v>8.7228784912491086E-2</v>
      </c>
      <c r="O2480" s="2">
        <f ca="1"/>
        <v>0.15421075981457766</v>
      </c>
      <c r="X2480" s="2">
        <f ca="1"/>
        <v>70.500899251543402</v>
      </c>
      <c r="AG2480" s="2">
        <f ca="1"/>
        <v>0.44973174432767182</v>
      </c>
      <c r="AH2480" s="2" t="str">
        <f ca="1"/>
        <v>Bad</v>
      </c>
    </row>
    <row r="2481" spans="2:34" x14ac:dyDescent="0.2">
      <c r="B2481" s="2">
        <f ca="1"/>
        <v>0.6914109931758734</v>
      </c>
      <c r="O2481" s="2">
        <f ca="1"/>
        <v>-0.14594753221837078</v>
      </c>
      <c r="X2481" s="2">
        <f ca="1"/>
        <v>44.85069309849515</v>
      </c>
      <c r="AG2481" s="2">
        <f ca="1"/>
        <v>6.2454243970964107E-3</v>
      </c>
      <c r="AH2481" s="2" t="str">
        <f ca="1"/>
        <v>Good</v>
      </c>
    </row>
    <row r="2482" spans="2:34" x14ac:dyDescent="0.2">
      <c r="B2482" s="2">
        <f ca="1"/>
        <v>0.22018291141474777</v>
      </c>
      <c r="O2482" s="2">
        <f ca="1"/>
        <v>0.5531101644243398</v>
      </c>
      <c r="X2482" s="2">
        <f ca="1"/>
        <v>53.021410893316812</v>
      </c>
      <c r="AG2482" s="2">
        <f ca="1"/>
        <v>0.34014895676549273</v>
      </c>
      <c r="AH2482" s="2" t="str">
        <f ca="1"/>
        <v>OK</v>
      </c>
    </row>
    <row r="2483" spans="2:34" x14ac:dyDescent="0.2">
      <c r="B2483" s="2">
        <f ca="1"/>
        <v>0.79298098844054365</v>
      </c>
      <c r="O2483" s="2">
        <f ca="1"/>
        <v>-0.18313148209841096</v>
      </c>
      <c r="X2483" s="2">
        <f ca="1"/>
        <v>43.618935064073554</v>
      </c>
      <c r="AG2483" s="2">
        <f ca="1"/>
        <v>0.18066710544192621</v>
      </c>
      <c r="AH2483" s="2" t="str">
        <f ca="1"/>
        <v>OK</v>
      </c>
    </row>
    <row r="2484" spans="2:34" x14ac:dyDescent="0.2">
      <c r="B2484" s="2">
        <f ca="1"/>
        <v>0.81928939302669113</v>
      </c>
      <c r="O2484" s="2">
        <f ca="1"/>
        <v>0.66526175781417951</v>
      </c>
      <c r="X2484" s="2">
        <f ca="1"/>
        <v>68.197343373628783</v>
      </c>
      <c r="AG2484" s="2">
        <f ca="1"/>
        <v>0.37117741852136921</v>
      </c>
      <c r="AH2484" s="2" t="str">
        <f ca="1"/>
        <v>OK</v>
      </c>
    </row>
    <row r="2485" spans="2:34" x14ac:dyDescent="0.2">
      <c r="B2485" s="2">
        <f ca="1"/>
        <v>0.62052354847258884</v>
      </c>
      <c r="O2485" s="2">
        <f ca="1"/>
        <v>-7.766493843232615E-2</v>
      </c>
      <c r="X2485" s="2">
        <f ca="1"/>
        <v>57.239792808494947</v>
      </c>
      <c r="AG2485" s="2">
        <f ca="1"/>
        <v>0.38986602783699409</v>
      </c>
      <c r="AH2485" s="2" t="str">
        <f ca="1"/>
        <v>OK</v>
      </c>
    </row>
    <row r="2486" spans="2:34" x14ac:dyDescent="0.2">
      <c r="B2486" s="2">
        <f ca="1"/>
        <v>0.59510308842673765</v>
      </c>
      <c r="O2486" s="2">
        <f ca="1"/>
        <v>0.48363008037065874</v>
      </c>
      <c r="X2486" s="2">
        <f ca="1"/>
        <v>44.326006983211634</v>
      </c>
      <c r="AG2486" s="2">
        <f ca="1"/>
        <v>0.18259562742034552</v>
      </c>
      <c r="AH2486" s="2" t="str">
        <f ca="1"/>
        <v>OK</v>
      </c>
    </row>
    <row r="2487" spans="2:34" x14ac:dyDescent="0.2">
      <c r="B2487" s="2">
        <f ca="1"/>
        <v>0.84631982054531663</v>
      </c>
      <c r="O2487" s="2">
        <f ca="1"/>
        <v>-0.90715767219515842</v>
      </c>
      <c r="X2487" s="2">
        <f ca="1"/>
        <v>50.547853646716504</v>
      </c>
      <c r="AG2487" s="2">
        <f ca="1"/>
        <v>0.68963087864272077</v>
      </c>
      <c r="AH2487" s="2" t="str">
        <f ca="1"/>
        <v>Bad</v>
      </c>
    </row>
    <row r="2488" spans="2:34" x14ac:dyDescent="0.2">
      <c r="B2488" s="2">
        <f ca="1"/>
        <v>0.90216559567645938</v>
      </c>
      <c r="O2488" s="2">
        <f ca="1"/>
        <v>1.140111659073392</v>
      </c>
      <c r="X2488" s="2">
        <f ca="1"/>
        <v>38.157825312977863</v>
      </c>
      <c r="AG2488" s="2">
        <f ca="1"/>
        <v>0.25472881803260039</v>
      </c>
      <c r="AH2488" s="2" t="str">
        <f ca="1"/>
        <v>OK</v>
      </c>
    </row>
    <row r="2489" spans="2:34" x14ac:dyDescent="0.2">
      <c r="B2489" s="2">
        <f ca="1"/>
        <v>0.2289746673484101</v>
      </c>
      <c r="O2489" s="2">
        <f ca="1"/>
        <v>-2.1251738910452143</v>
      </c>
      <c r="X2489" s="2">
        <f ca="1"/>
        <v>44.580253319267449</v>
      </c>
      <c r="AG2489" s="2">
        <f ca="1"/>
        <v>0.18100780793129179</v>
      </c>
      <c r="AH2489" s="2" t="str">
        <f ca="1"/>
        <v>OK</v>
      </c>
    </row>
    <row r="2490" spans="2:34" x14ac:dyDescent="0.2">
      <c r="B2490" s="2">
        <f ca="1"/>
        <v>0.50615495301543634</v>
      </c>
      <c r="O2490" s="2">
        <f ca="1"/>
        <v>0.11646703302126081</v>
      </c>
      <c r="X2490" s="2">
        <f ca="1"/>
        <v>89.152721592698782</v>
      </c>
      <c r="AG2490" s="2">
        <f ca="1"/>
        <v>0.22570244990661981</v>
      </c>
      <c r="AH2490" s="2" t="str">
        <f ca="1"/>
        <v>OK</v>
      </c>
    </row>
    <row r="2491" spans="2:34" x14ac:dyDescent="0.2">
      <c r="B2491" s="2">
        <f ca="1"/>
        <v>0.19937728283774847</v>
      </c>
      <c r="O2491" s="2">
        <f ca="1"/>
        <v>-0.17854047530832112</v>
      </c>
      <c r="X2491" s="2">
        <f ca="1"/>
        <v>50.659296741502651</v>
      </c>
      <c r="AG2491" s="2">
        <f ca="1"/>
        <v>0.4396845755400034</v>
      </c>
      <c r="AH2491" s="2" t="str">
        <f ca="1"/>
        <v>Bad</v>
      </c>
    </row>
    <row r="2492" spans="2:34" x14ac:dyDescent="0.2">
      <c r="B2492" s="2">
        <f ca="1"/>
        <v>0.34320296478856105</v>
      </c>
      <c r="O2492" s="2">
        <f ca="1"/>
        <v>1.0490534642550133</v>
      </c>
      <c r="X2492" s="2">
        <f ca="1"/>
        <v>56.522150372625511</v>
      </c>
      <c r="AG2492" s="2">
        <f ca="1"/>
        <v>0.19703377294508995</v>
      </c>
      <c r="AH2492" s="2" t="str">
        <f ca="1"/>
        <v>OK</v>
      </c>
    </row>
    <row r="2493" spans="2:34" x14ac:dyDescent="0.2">
      <c r="B2493" s="2">
        <f ca="1"/>
        <v>0.93234251435933313</v>
      </c>
      <c r="O2493" s="2">
        <f ca="1"/>
        <v>0.11885633960564242</v>
      </c>
      <c r="X2493" s="2">
        <f ca="1"/>
        <v>53.634054215726856</v>
      </c>
      <c r="AG2493" s="2">
        <f ca="1"/>
        <v>0.2190318208807791</v>
      </c>
      <c r="AH2493" s="2" t="str">
        <f ca="1"/>
        <v>OK</v>
      </c>
    </row>
    <row r="2494" spans="2:34" x14ac:dyDescent="0.2">
      <c r="B2494" s="2">
        <f ca="1"/>
        <v>0.5566862054100854</v>
      </c>
      <c r="O2494" s="2">
        <f ca="1"/>
        <v>-1.7325725932981579</v>
      </c>
      <c r="X2494" s="2">
        <f ca="1"/>
        <v>18.771869554773804</v>
      </c>
      <c r="AG2494" s="2">
        <f ca="1"/>
        <v>0.14795647040075566</v>
      </c>
      <c r="AH2494" s="2" t="str">
        <f ca="1"/>
        <v>OK</v>
      </c>
    </row>
    <row r="2495" spans="2:34" x14ac:dyDescent="0.2">
      <c r="B2495" s="2">
        <f ca="1"/>
        <v>0.26086290488591191</v>
      </c>
      <c r="O2495" s="2">
        <f ca="1"/>
        <v>1.3609417280278246</v>
      </c>
      <c r="X2495" s="2">
        <f ca="1"/>
        <v>43.12797622411324</v>
      </c>
      <c r="AG2495" s="2">
        <f ca="1"/>
        <v>0.80971936203264394</v>
      </c>
      <c r="AH2495" s="2" t="str">
        <f ca="1"/>
        <v>Bad</v>
      </c>
    </row>
    <row r="2496" spans="2:34" x14ac:dyDescent="0.2">
      <c r="B2496" s="2">
        <f ca="1"/>
        <v>0.88840244812650226</v>
      </c>
      <c r="O2496" s="2">
        <f ca="1"/>
        <v>0.68912789059366575</v>
      </c>
      <c r="X2496" s="2">
        <f ca="1"/>
        <v>68.696072133113745</v>
      </c>
      <c r="AG2496" s="2">
        <f ca="1"/>
        <v>0.72368025832250393</v>
      </c>
      <c r="AH2496" s="2" t="str">
        <f ca="1"/>
        <v>Bad</v>
      </c>
    </row>
    <row r="2497" spans="2:34" x14ac:dyDescent="0.2">
      <c r="B2497" s="2">
        <f ca="1"/>
        <v>0.37697407694205687</v>
      </c>
      <c r="O2497" s="2">
        <f ca="1"/>
        <v>0.51161860064554265</v>
      </c>
      <c r="X2497" s="2">
        <f ca="1"/>
        <v>52.306017072909256</v>
      </c>
      <c r="AG2497" s="2">
        <f ca="1"/>
        <v>0.79288971132226194</v>
      </c>
      <c r="AH2497" s="2" t="str">
        <f ca="1"/>
        <v>Bad</v>
      </c>
    </row>
    <row r="2498" spans="2:34" x14ac:dyDescent="0.2">
      <c r="B2498" s="2">
        <f ca="1"/>
        <v>0.35351304707750497</v>
      </c>
      <c r="O2498" s="2">
        <f ca="1"/>
        <v>-0.60183010878671994</v>
      </c>
      <c r="X2498" s="2">
        <f ca="1"/>
        <v>71.609905888247681</v>
      </c>
      <c r="AG2498" s="2">
        <f ca="1"/>
        <v>0.68145235941836946</v>
      </c>
      <c r="AH2498" s="2" t="str">
        <f ca="1"/>
        <v>Bad</v>
      </c>
    </row>
    <row r="2499" spans="2:34" x14ac:dyDescent="0.2">
      <c r="B2499" s="2">
        <f ca="1"/>
        <v>0.9911245525482324</v>
      </c>
      <c r="O2499" s="2">
        <f ca="1"/>
        <v>0.56251268366763219</v>
      </c>
      <c r="X2499" s="2">
        <f ca="1"/>
        <v>56.632094656824982</v>
      </c>
      <c r="AG2499" s="2">
        <f ca="1"/>
        <v>0.28550583051481659</v>
      </c>
      <c r="AH2499" s="2" t="str">
        <f ca="1"/>
        <v>OK</v>
      </c>
    </row>
    <row r="2500" spans="2:34" x14ac:dyDescent="0.2">
      <c r="B2500" s="2">
        <f ca="1"/>
        <v>0.73164300275564642</v>
      </c>
      <c r="O2500" s="2">
        <f ca="1"/>
        <v>-1.6928125415376323</v>
      </c>
      <c r="X2500" s="2">
        <f ca="1"/>
        <v>60.288038567210585</v>
      </c>
      <c r="AG2500" s="2">
        <f ca="1"/>
        <v>0.87859872231230329</v>
      </c>
      <c r="AH2500" s="2" t="str">
        <f ca="1"/>
        <v>Bad</v>
      </c>
    </row>
    <row r="2501" spans="2:34" x14ac:dyDescent="0.2">
      <c r="B2501" s="2">
        <f ca="1"/>
        <v>0.89920232136940159</v>
      </c>
      <c r="O2501" s="2">
        <f ca="1"/>
        <v>-0.34281901174792545</v>
      </c>
      <c r="X2501" s="2">
        <f ca="1"/>
        <v>38.18868840387745</v>
      </c>
      <c r="AG2501" s="2">
        <f ca="1"/>
        <v>0.3355651089703604</v>
      </c>
      <c r="AH2501" s="2" t="str">
        <f ca="1"/>
        <v>OK</v>
      </c>
    </row>
    <row r="2502" spans="2:34" x14ac:dyDescent="0.2">
      <c r="B2502" s="2">
        <f ca="1"/>
        <v>0.50337472624049284</v>
      </c>
      <c r="O2502" s="2">
        <f ca="1"/>
        <v>-2.4010060555318127</v>
      </c>
      <c r="X2502" s="2">
        <f ca="1"/>
        <v>48.493857992515672</v>
      </c>
      <c r="AG2502" s="2">
        <f ca="1"/>
        <v>0.26854813145255618</v>
      </c>
      <c r="AH2502" s="2" t="str">
        <f ca="1"/>
        <v>OK</v>
      </c>
    </row>
    <row r="2503" spans="2:34" x14ac:dyDescent="0.2">
      <c r="B2503" s="2">
        <f ca="1"/>
        <v>0.10045638938272772</v>
      </c>
      <c r="O2503" s="2">
        <f ca="1"/>
        <v>-0.74104899811811242</v>
      </c>
      <c r="X2503" s="2">
        <f ca="1"/>
        <v>31.892661141101918</v>
      </c>
      <c r="AG2503" s="2">
        <f ca="1"/>
        <v>0.11884839084276888</v>
      </c>
      <c r="AH2503" s="2" t="str">
        <f ca="1"/>
        <v>OK</v>
      </c>
    </row>
    <row r="2504" spans="2:34" x14ac:dyDescent="0.2">
      <c r="B2504" s="2">
        <f ca="1"/>
        <v>0.90879464276818123</v>
      </c>
      <c r="O2504" s="2">
        <f ca="1"/>
        <v>-0.11195276894672086</v>
      </c>
      <c r="X2504" s="2">
        <f ca="1"/>
        <v>64.602411944643222</v>
      </c>
      <c r="AG2504" s="2">
        <f ca="1"/>
        <v>0.814189295474399</v>
      </c>
      <c r="AH2504" s="2" t="str">
        <f ca="1"/>
        <v>Bad</v>
      </c>
    </row>
    <row r="2505" spans="2:34" x14ac:dyDescent="0.2">
      <c r="B2505" s="2">
        <f ca="1"/>
        <v>0.80052367173111949</v>
      </c>
      <c r="O2505" s="2">
        <f ca="1"/>
        <v>-0.99423145036419514</v>
      </c>
      <c r="X2505" s="2">
        <f ca="1"/>
        <v>42.058194181389169</v>
      </c>
      <c r="AG2505" s="2">
        <f ca="1"/>
        <v>0.87838606954890497</v>
      </c>
      <c r="AH2505" s="2" t="str">
        <f ca="1"/>
        <v>Bad</v>
      </c>
    </row>
    <row r="2506" spans="2:34" x14ac:dyDescent="0.2">
      <c r="B2506" s="2">
        <f ca="1"/>
        <v>0.83612505421482197</v>
      </c>
      <c r="O2506" s="2">
        <f ca="1"/>
        <v>-1.0950000692513919</v>
      </c>
      <c r="X2506" s="2">
        <f ca="1"/>
        <v>49.211296661689602</v>
      </c>
      <c r="AG2506" s="2">
        <f ca="1"/>
        <v>0.57554935694793397</v>
      </c>
      <c r="AH2506" s="2" t="str">
        <f ca="1"/>
        <v>Bad</v>
      </c>
    </row>
    <row r="2507" spans="2:34" x14ac:dyDescent="0.2">
      <c r="B2507" s="2">
        <f ca="1"/>
        <v>0.73137123970401019</v>
      </c>
      <c r="O2507" s="2">
        <f ca="1"/>
        <v>0.8274189146814277</v>
      </c>
      <c r="X2507" s="2">
        <f ca="1"/>
        <v>29.493961791793257</v>
      </c>
      <c r="AG2507" s="2">
        <f ca="1"/>
        <v>0.26092636446894923</v>
      </c>
      <c r="AH2507" s="2" t="str">
        <f ca="1"/>
        <v>OK</v>
      </c>
    </row>
    <row r="2508" spans="2:34" x14ac:dyDescent="0.2">
      <c r="B2508" s="2">
        <f ca="1"/>
        <v>0.96568926420674539</v>
      </c>
      <c r="O2508" s="2">
        <f ca="1"/>
        <v>0.16038041876732748</v>
      </c>
      <c r="X2508" s="2">
        <f ca="1"/>
        <v>48.664792517026541</v>
      </c>
      <c r="AG2508" s="2">
        <f ca="1"/>
        <v>0.84081332292135857</v>
      </c>
      <c r="AH2508" s="2" t="str">
        <f ca="1"/>
        <v>Bad</v>
      </c>
    </row>
    <row r="2509" spans="2:34" x14ac:dyDescent="0.2">
      <c r="B2509" s="2">
        <f ca="1"/>
        <v>0.4175226573015991</v>
      </c>
      <c r="O2509" s="2">
        <f ca="1"/>
        <v>0.72233858837109755</v>
      </c>
      <c r="X2509" s="2">
        <f ca="1"/>
        <v>51.344997187393957</v>
      </c>
      <c r="AG2509" s="2">
        <f ca="1"/>
        <v>0.81382846631916528</v>
      </c>
      <c r="AH2509" s="2" t="str">
        <f ca="1"/>
        <v>Bad</v>
      </c>
    </row>
    <row r="2510" spans="2:34" x14ac:dyDescent="0.2">
      <c r="B2510" s="2">
        <f ca="1"/>
        <v>0.43309006252186855</v>
      </c>
      <c r="O2510" s="2">
        <f ca="1"/>
        <v>0.48006820601847783</v>
      </c>
      <c r="X2510" s="2">
        <f ca="1"/>
        <v>70.963270812695015</v>
      </c>
      <c r="AG2510" s="2">
        <f ca="1"/>
        <v>0.10510786928889226</v>
      </c>
      <c r="AH2510" s="2" t="str">
        <f ca="1"/>
        <v>OK</v>
      </c>
    </row>
    <row r="2511" spans="2:34" x14ac:dyDescent="0.2">
      <c r="B2511" s="2">
        <f ca="1"/>
        <v>0.4391264782941029</v>
      </c>
      <c r="O2511" s="2">
        <f ca="1"/>
        <v>-0.93847675745537062</v>
      </c>
      <c r="X2511" s="2">
        <f ca="1"/>
        <v>32.493148080500809</v>
      </c>
      <c r="AG2511" s="2">
        <f ca="1"/>
        <v>0.45681124258132044</v>
      </c>
      <c r="AH2511" s="2" t="str">
        <f ca="1"/>
        <v>Bad</v>
      </c>
    </row>
    <row r="2512" spans="2:34" x14ac:dyDescent="0.2">
      <c r="B2512" s="2">
        <f ca="1"/>
        <v>0.91081165640322492</v>
      </c>
      <c r="O2512" s="2">
        <f ca="1"/>
        <v>0.11127798330017503</v>
      </c>
      <c r="X2512" s="2">
        <f ca="1"/>
        <v>51.733178292920329</v>
      </c>
      <c r="AG2512" s="2">
        <f ca="1"/>
        <v>0.8609494670420168</v>
      </c>
      <c r="AH2512" s="2" t="str">
        <f ca="1"/>
        <v>Bad</v>
      </c>
    </row>
    <row r="2513" spans="2:34" x14ac:dyDescent="0.2">
      <c r="B2513" s="2">
        <f ca="1"/>
        <v>0.22934790649993708</v>
      </c>
      <c r="O2513" s="2">
        <f ca="1"/>
        <v>-0.28899237748383233</v>
      </c>
      <c r="X2513" s="2">
        <f ca="1"/>
        <v>54.67792816081284</v>
      </c>
      <c r="AG2513" s="2">
        <f ca="1"/>
        <v>1.2747972815384534E-2</v>
      </c>
      <c r="AH2513" s="2" t="str">
        <f ca="1"/>
        <v>Good</v>
      </c>
    </row>
    <row r="2514" spans="2:34" x14ac:dyDescent="0.2">
      <c r="B2514" s="2">
        <f ca="1"/>
        <v>0.36363877150818325</v>
      </c>
      <c r="O2514" s="2">
        <f ca="1"/>
        <v>-1.0852644144680696</v>
      </c>
      <c r="X2514" s="2">
        <f ca="1"/>
        <v>45.206695975187195</v>
      </c>
      <c r="AG2514" s="2">
        <f ca="1"/>
        <v>0.29181639647847257</v>
      </c>
      <c r="AH2514" s="2" t="str">
        <f ca="1"/>
        <v>OK</v>
      </c>
    </row>
    <row r="2515" spans="2:34" x14ac:dyDescent="0.2">
      <c r="B2515" s="2">
        <f ca="1"/>
        <v>7.8405710249548566E-2</v>
      </c>
      <c r="O2515" s="2">
        <f ca="1"/>
        <v>0.28795668652438533</v>
      </c>
      <c r="X2515" s="2">
        <f ca="1"/>
        <v>28.548885757920676</v>
      </c>
      <c r="AG2515" s="2">
        <f ca="1"/>
        <v>3.8490561705354809E-2</v>
      </c>
      <c r="AH2515" s="2" t="str">
        <f ca="1"/>
        <v>Good</v>
      </c>
    </row>
    <row r="2516" spans="2:34" x14ac:dyDescent="0.2">
      <c r="B2516" s="2">
        <f ca="1"/>
        <v>0.5135688895218351</v>
      </c>
      <c r="O2516" s="2">
        <f ca="1"/>
        <v>-0.60354932218556756</v>
      </c>
      <c r="X2516" s="2">
        <f ca="1"/>
        <v>40.366233498837836</v>
      </c>
      <c r="AG2516" s="2">
        <f ca="1"/>
        <v>0.75417816947560246</v>
      </c>
      <c r="AH2516" s="2" t="str">
        <f ca="1"/>
        <v>Bad</v>
      </c>
    </row>
    <row r="2517" spans="2:34" x14ac:dyDescent="0.2">
      <c r="B2517" s="2">
        <f ca="1"/>
        <v>0.91540233273693117</v>
      </c>
      <c r="O2517" s="2">
        <f ca="1"/>
        <v>-0.41122632040234275</v>
      </c>
      <c r="X2517" s="2">
        <f ca="1"/>
        <v>89.465455197111226</v>
      </c>
      <c r="AG2517" s="2">
        <f ca="1"/>
        <v>0.37309924015271645</v>
      </c>
      <c r="AH2517" s="2" t="str">
        <f ca="1"/>
        <v>OK</v>
      </c>
    </row>
    <row r="2518" spans="2:34" x14ac:dyDescent="0.2">
      <c r="B2518" s="2">
        <f ca="1"/>
        <v>0.94380166256723852</v>
      </c>
      <c r="O2518" s="2">
        <f ca="1"/>
        <v>-0.87703682530623583</v>
      </c>
      <c r="X2518" s="2">
        <f ca="1"/>
        <v>91.526497171772803</v>
      </c>
      <c r="AG2518" s="2">
        <f ca="1"/>
        <v>0.85164754739437654</v>
      </c>
      <c r="AH2518" s="2" t="str">
        <f ca="1"/>
        <v>Bad</v>
      </c>
    </row>
    <row r="2519" spans="2:34" x14ac:dyDescent="0.2">
      <c r="B2519" s="2">
        <f ca="1"/>
        <v>0.18145559079568852</v>
      </c>
      <c r="O2519" s="2">
        <f ca="1"/>
        <v>0.48615929653220624</v>
      </c>
      <c r="X2519" s="2">
        <f ca="1"/>
        <v>33.921224431685523</v>
      </c>
      <c r="AG2519" s="2">
        <f ca="1"/>
        <v>0.72200187544833749</v>
      </c>
      <c r="AH2519" s="2" t="str">
        <f ca="1"/>
        <v>Bad</v>
      </c>
    </row>
    <row r="2520" spans="2:34" x14ac:dyDescent="0.2">
      <c r="B2520" s="2">
        <f ca="1"/>
        <v>0.44453025962934944</v>
      </c>
      <c r="O2520" s="2">
        <f ca="1"/>
        <v>2.7220604365741536</v>
      </c>
      <c r="X2520" s="2">
        <f ca="1"/>
        <v>69.490578588506807</v>
      </c>
      <c r="AG2520" s="2">
        <f ca="1"/>
        <v>0.53614252176281707</v>
      </c>
      <c r="AH2520" s="2" t="str">
        <f ca="1"/>
        <v>Bad</v>
      </c>
    </row>
    <row r="2521" spans="2:34" x14ac:dyDescent="0.2">
      <c r="B2521" s="2">
        <f ca="1"/>
        <v>0.37282846078270881</v>
      </c>
      <c r="O2521" s="2">
        <f ca="1"/>
        <v>-0.52623072128696202</v>
      </c>
      <c r="X2521" s="2">
        <f ca="1"/>
        <v>75.81091387820301</v>
      </c>
      <c r="AG2521" s="2">
        <f ca="1"/>
        <v>0.73005221953018751</v>
      </c>
      <c r="AH2521" s="2" t="str">
        <f ca="1"/>
        <v>Bad</v>
      </c>
    </row>
    <row r="2522" spans="2:34" x14ac:dyDescent="0.2">
      <c r="B2522" s="2">
        <f ca="1"/>
        <v>0.28493473902097755</v>
      </c>
      <c r="O2522" s="2">
        <f ca="1"/>
        <v>-0.19884892655159295</v>
      </c>
      <c r="X2522" s="2">
        <f ca="1"/>
        <v>49.141649138281203</v>
      </c>
      <c r="AG2522" s="2">
        <f ca="1"/>
        <v>0.8913431374785985</v>
      </c>
      <c r="AH2522" s="2" t="str">
        <f ca="1"/>
        <v>Bad</v>
      </c>
    </row>
    <row r="2523" spans="2:34" x14ac:dyDescent="0.2">
      <c r="B2523" s="2">
        <f ca="1"/>
        <v>0.76786803213914445</v>
      </c>
      <c r="O2523" s="2">
        <f ca="1"/>
        <v>1.1015059810925516</v>
      </c>
      <c r="X2523" s="2">
        <f ca="1"/>
        <v>71.746620049835229</v>
      </c>
      <c r="AG2523" s="2">
        <f ca="1"/>
        <v>0.68770564004417478</v>
      </c>
      <c r="AH2523" s="2" t="str">
        <f ca="1"/>
        <v>Bad</v>
      </c>
    </row>
    <row r="2524" spans="2:34" x14ac:dyDescent="0.2">
      <c r="B2524" s="2">
        <f ca="1"/>
        <v>0.57195234301495712</v>
      </c>
      <c r="O2524" s="2">
        <f ca="1"/>
        <v>-0.20604825842841687</v>
      </c>
      <c r="X2524" s="2">
        <f ca="1"/>
        <v>64.669252976645325</v>
      </c>
      <c r="AG2524" s="2">
        <f ca="1"/>
        <v>0.36802692660096614</v>
      </c>
      <c r="AH2524" s="2" t="str">
        <f ca="1"/>
        <v>OK</v>
      </c>
    </row>
    <row r="2525" spans="2:34" x14ac:dyDescent="0.2">
      <c r="B2525" s="2">
        <f ca="1"/>
        <v>0.74458893752455313</v>
      </c>
      <c r="O2525" s="2">
        <f ca="1"/>
        <v>-0.25106395436151974</v>
      </c>
      <c r="X2525" s="2">
        <f ca="1"/>
        <v>34.968726633875008</v>
      </c>
      <c r="AG2525" s="2">
        <f ca="1"/>
        <v>0.77673906878167576</v>
      </c>
      <c r="AH2525" s="2" t="str">
        <f ca="1"/>
        <v>Bad</v>
      </c>
    </row>
    <row r="2526" spans="2:34" x14ac:dyDescent="0.2">
      <c r="B2526" s="2">
        <f ca="1"/>
        <v>0.15026099137807414</v>
      </c>
      <c r="O2526" s="2">
        <f ca="1"/>
        <v>-1.0893211680889416</v>
      </c>
      <c r="X2526" s="2">
        <f ca="1"/>
        <v>54.811578089474608</v>
      </c>
      <c r="AG2526" s="2">
        <f ca="1"/>
        <v>0.855602061002255</v>
      </c>
      <c r="AH2526" s="2" t="str">
        <f ca="1"/>
        <v>Bad</v>
      </c>
    </row>
    <row r="2527" spans="2:34" x14ac:dyDescent="0.2">
      <c r="B2527" s="2">
        <f ca="1"/>
        <v>0.94652741462259793</v>
      </c>
      <c r="O2527" s="2">
        <f ca="1"/>
        <v>-0.86517225020697297</v>
      </c>
      <c r="X2527" s="2">
        <f ca="1"/>
        <v>54.055672100085594</v>
      </c>
      <c r="AG2527" s="2">
        <f ca="1"/>
        <v>0.45675462960367263</v>
      </c>
      <c r="AH2527" s="2" t="str">
        <f ca="1"/>
        <v>Bad</v>
      </c>
    </row>
    <row r="2528" spans="2:34" x14ac:dyDescent="0.2">
      <c r="B2528" s="2">
        <f ca="1"/>
        <v>1.1316178684916745E-2</v>
      </c>
      <c r="O2528" s="2">
        <f ca="1"/>
        <v>8.9691019979225406E-2</v>
      </c>
      <c r="X2528" s="2">
        <f ca="1"/>
        <v>82.392162547067741</v>
      </c>
      <c r="AG2528" s="2">
        <f ca="1"/>
        <v>0.23889853979079123</v>
      </c>
      <c r="AH2528" s="2" t="str">
        <f ca="1"/>
        <v>OK</v>
      </c>
    </row>
    <row r="2529" spans="2:34" x14ac:dyDescent="0.2">
      <c r="B2529" s="2">
        <f ca="1"/>
        <v>0.59029816242827482</v>
      </c>
      <c r="O2529" s="2">
        <f ca="1"/>
        <v>0.91190918541674304</v>
      </c>
      <c r="X2529" s="2">
        <f ca="1"/>
        <v>23.354729307458328</v>
      </c>
      <c r="AG2529" s="2">
        <f ca="1"/>
        <v>0.81710256370059842</v>
      </c>
      <c r="AH2529" s="2" t="str">
        <f ca="1"/>
        <v>Bad</v>
      </c>
    </row>
    <row r="2530" spans="2:34" x14ac:dyDescent="0.2">
      <c r="B2530" s="2">
        <f ca="1"/>
        <v>0.8019176787203155</v>
      </c>
      <c r="O2530" s="2">
        <f ca="1"/>
        <v>-0.14956740509839717</v>
      </c>
      <c r="X2530" s="2">
        <f ca="1"/>
        <v>33.939363815640974</v>
      </c>
      <c r="AG2530" s="2">
        <f ca="1"/>
        <v>0.59269847009157495</v>
      </c>
      <c r="AH2530" s="2" t="str">
        <f ca="1"/>
        <v>Bad</v>
      </c>
    </row>
    <row r="2531" spans="2:34" x14ac:dyDescent="0.2">
      <c r="B2531" s="2">
        <f ca="1"/>
        <v>7.4881709772957938E-2</v>
      </c>
      <c r="O2531" s="2">
        <f ca="1"/>
        <v>-0.26860017444891204</v>
      </c>
      <c r="X2531" s="2">
        <f ca="1"/>
        <v>36.054405314837496</v>
      </c>
      <c r="AG2531" s="2">
        <f ca="1"/>
        <v>0.42449996332422546</v>
      </c>
      <c r="AH2531" s="2" t="str">
        <f ca="1"/>
        <v>Bad</v>
      </c>
    </row>
    <row r="2532" spans="2:34" x14ac:dyDescent="0.2">
      <c r="B2532" s="2">
        <f ca="1"/>
        <v>4.0776650062602338E-2</v>
      </c>
      <c r="O2532" s="2">
        <f ca="1"/>
        <v>-1.648782505489762</v>
      </c>
      <c r="X2532" s="2">
        <f ca="1"/>
        <v>37.251943501914027</v>
      </c>
      <c r="AG2532" s="2">
        <f ca="1"/>
        <v>0.38561489176572006</v>
      </c>
      <c r="AH2532" s="2" t="str">
        <f ca="1"/>
        <v>OK</v>
      </c>
    </row>
    <row r="2533" spans="2:34" x14ac:dyDescent="0.2">
      <c r="B2533" s="2">
        <f ca="1"/>
        <v>0.5063828952979883</v>
      </c>
      <c r="O2533" s="2">
        <f ca="1"/>
        <v>0.77831138316454951</v>
      </c>
      <c r="X2533" s="2">
        <f ca="1"/>
        <v>34.314683438757612</v>
      </c>
      <c r="AG2533" s="2">
        <f ca="1"/>
        <v>0.38207022291153603</v>
      </c>
      <c r="AH2533" s="2" t="str">
        <f ca="1"/>
        <v>OK</v>
      </c>
    </row>
    <row r="2534" spans="2:34" x14ac:dyDescent="0.2">
      <c r="B2534" s="2">
        <f ca="1"/>
        <v>0.75300625675330379</v>
      </c>
      <c r="O2534" s="2">
        <f ca="1"/>
        <v>2.0329363844860473</v>
      </c>
      <c r="X2534" s="2">
        <f ca="1"/>
        <v>30.980315823955532</v>
      </c>
      <c r="AG2534" s="2">
        <f ca="1"/>
        <v>0.25425711980670984</v>
      </c>
      <c r="AH2534" s="2" t="str">
        <f ca="1"/>
        <v>OK</v>
      </c>
    </row>
    <row r="2535" spans="2:34" x14ac:dyDescent="0.2">
      <c r="B2535" s="2">
        <f ca="1"/>
        <v>0.69582647013718724</v>
      </c>
      <c r="O2535" s="2">
        <f ca="1"/>
        <v>2.1541571684231955</v>
      </c>
      <c r="X2535" s="2">
        <f ca="1"/>
        <v>56.410790908878838</v>
      </c>
      <c r="AG2535" s="2">
        <f ca="1"/>
        <v>0.97027313092644607</v>
      </c>
      <c r="AH2535" s="2" t="str">
        <f ca="1"/>
        <v>Bad</v>
      </c>
    </row>
    <row r="2536" spans="2:34" x14ac:dyDescent="0.2">
      <c r="B2536" s="2">
        <f ca="1"/>
        <v>0.49377223340810272</v>
      </c>
      <c r="O2536" s="2">
        <f ca="1"/>
        <v>-7.1709252185712974E-2</v>
      </c>
      <c r="X2536" s="2">
        <f ca="1"/>
        <v>64.566889295059482</v>
      </c>
      <c r="AG2536" s="2">
        <f ca="1"/>
        <v>0.99432888997091706</v>
      </c>
      <c r="AH2536" s="2" t="str">
        <f ca="1"/>
        <v>Bad</v>
      </c>
    </row>
    <row r="2537" spans="2:34" x14ac:dyDescent="0.2">
      <c r="B2537" s="2">
        <f ca="1"/>
        <v>0.95740271873349125</v>
      </c>
      <c r="O2537" s="2">
        <f ca="1"/>
        <v>0.46215906582037802</v>
      </c>
      <c r="X2537" s="2">
        <f ca="1"/>
        <v>20.260776160371321</v>
      </c>
      <c r="AG2537" s="2">
        <f ca="1"/>
        <v>0.20599291194641012</v>
      </c>
      <c r="AH2537" s="2" t="str">
        <f ca="1"/>
        <v>OK</v>
      </c>
    </row>
    <row r="2538" spans="2:34" x14ac:dyDescent="0.2">
      <c r="B2538" s="2">
        <f ca="1"/>
        <v>0.18946078090213403</v>
      </c>
      <c r="O2538" s="2">
        <f ca="1"/>
        <v>-0.97295118285341531</v>
      </c>
      <c r="X2538" s="2">
        <f ca="1"/>
        <v>35.015718871745641</v>
      </c>
      <c r="AG2538" s="2">
        <f ca="1"/>
        <v>0.56026018323466142</v>
      </c>
      <c r="AH2538" s="2" t="str">
        <f ca="1"/>
        <v>Bad</v>
      </c>
    </row>
    <row r="2539" spans="2:34" x14ac:dyDescent="0.2">
      <c r="B2539" s="2">
        <f ca="1"/>
        <v>0.15176068976508517</v>
      </c>
      <c r="O2539" s="2">
        <f ca="1"/>
        <v>-0.64021514226415699</v>
      </c>
      <c r="X2539" s="2">
        <f ca="1"/>
        <v>79.311346116977958</v>
      </c>
      <c r="AG2539" s="2">
        <f ca="1"/>
        <v>0.66753196246297386</v>
      </c>
      <c r="AH2539" s="2" t="str">
        <f ca="1"/>
        <v>Bad</v>
      </c>
    </row>
    <row r="2540" spans="2:34" x14ac:dyDescent="0.2">
      <c r="B2540" s="2">
        <f ca="1"/>
        <v>0.26250052197358897</v>
      </c>
      <c r="O2540" s="2">
        <f ca="1"/>
        <v>9.4358379770647094E-2</v>
      </c>
      <c r="X2540" s="2">
        <f ca="1"/>
        <v>52.614986364637922</v>
      </c>
      <c r="AG2540" s="2">
        <f ca="1"/>
        <v>0.71661096776614053</v>
      </c>
      <c r="AH2540" s="2" t="str">
        <f ca="1"/>
        <v>Bad</v>
      </c>
    </row>
    <row r="2541" spans="2:34" x14ac:dyDescent="0.2">
      <c r="B2541" s="2">
        <f ca="1"/>
        <v>0.25050036156229516</v>
      </c>
      <c r="O2541" s="2">
        <f ca="1"/>
        <v>-0.60815472855331654</v>
      </c>
      <c r="X2541" s="2">
        <f ca="1"/>
        <v>45.442652470852131</v>
      </c>
      <c r="AG2541" s="2">
        <f ca="1"/>
        <v>0.68102188143213316</v>
      </c>
      <c r="AH2541" s="2" t="str">
        <f ca="1"/>
        <v>Bad</v>
      </c>
    </row>
    <row r="2542" spans="2:34" x14ac:dyDescent="0.2">
      <c r="B2542" s="2">
        <f ca="1"/>
        <v>0.51888561537363742</v>
      </c>
      <c r="O2542" s="2">
        <f ca="1"/>
        <v>-0.36951938258592393</v>
      </c>
      <c r="X2542" s="2">
        <f ca="1"/>
        <v>36.083471393003272</v>
      </c>
      <c r="AG2542" s="2">
        <f ca="1"/>
        <v>0.34425812938042744</v>
      </c>
      <c r="AH2542" s="2" t="str">
        <f ca="1"/>
        <v>OK</v>
      </c>
    </row>
    <row r="2543" spans="2:34" x14ac:dyDescent="0.2">
      <c r="B2543" s="2">
        <f ca="1"/>
        <v>0.62422979288073521</v>
      </c>
      <c r="O2543" s="2">
        <f ca="1"/>
        <v>-0.63217883453010904</v>
      </c>
      <c r="X2543" s="2">
        <f ca="1"/>
        <v>33.655561141749494</v>
      </c>
      <c r="AG2543" s="2">
        <f ca="1"/>
        <v>6.385525790629587E-2</v>
      </c>
      <c r="AH2543" s="2" t="str">
        <f ca="1"/>
        <v>OK</v>
      </c>
    </row>
    <row r="2544" spans="2:34" x14ac:dyDescent="0.2">
      <c r="B2544" s="2">
        <f ca="1"/>
        <v>0.76508449791126698</v>
      </c>
      <c r="O2544" s="2">
        <f ca="1"/>
        <v>0.44072528063814981</v>
      </c>
      <c r="X2544" s="2">
        <f ca="1"/>
        <v>51.783347089519609</v>
      </c>
      <c r="AG2544" s="2">
        <f ca="1"/>
        <v>0.65743738525891193</v>
      </c>
      <c r="AH2544" s="2" t="str">
        <f ca="1"/>
        <v>Bad</v>
      </c>
    </row>
    <row r="2545" spans="2:34" x14ac:dyDescent="0.2">
      <c r="B2545" s="2">
        <f ca="1"/>
        <v>0.10373004793430907</v>
      </c>
      <c r="O2545" s="2">
        <f ca="1"/>
        <v>-7.7610265212702187E-2</v>
      </c>
      <c r="X2545" s="2">
        <f ca="1"/>
        <v>34.630814131848105</v>
      </c>
      <c r="AG2545" s="2">
        <f ca="1"/>
        <v>0.67793636780572752</v>
      </c>
      <c r="AH2545" s="2" t="str">
        <f ca="1"/>
        <v>Bad</v>
      </c>
    </row>
    <row r="2546" spans="2:34" x14ac:dyDescent="0.2">
      <c r="B2546" s="2">
        <f ca="1"/>
        <v>0.20000483989034223</v>
      </c>
      <c r="O2546" s="2">
        <f ca="1"/>
        <v>-0.2517853318470753</v>
      </c>
      <c r="X2546" s="2">
        <f ca="1"/>
        <v>31.964742061784545</v>
      </c>
      <c r="AG2546" s="2">
        <f ca="1"/>
        <v>0.42906572996786396</v>
      </c>
      <c r="AH2546" s="2" t="str">
        <f ca="1"/>
        <v>Bad</v>
      </c>
    </row>
    <row r="2547" spans="2:34" x14ac:dyDescent="0.2">
      <c r="B2547" s="2">
        <f ca="1"/>
        <v>0.29284325469733963</v>
      </c>
      <c r="O2547" s="2">
        <f ca="1"/>
        <v>2.1139604054176351</v>
      </c>
      <c r="X2547" s="2">
        <f ca="1"/>
        <v>38.753986454062655</v>
      </c>
      <c r="AG2547" s="2">
        <f ca="1"/>
        <v>0.18692867775952782</v>
      </c>
      <c r="AH2547" s="2" t="str">
        <f ca="1"/>
        <v>OK</v>
      </c>
    </row>
    <row r="2548" spans="2:34" x14ac:dyDescent="0.2">
      <c r="B2548" s="2">
        <f ca="1"/>
        <v>0.76345160282285995</v>
      </c>
      <c r="O2548" s="2">
        <f ca="1"/>
        <v>-0.15234148675619766</v>
      </c>
      <c r="X2548" s="2">
        <f ca="1"/>
        <v>47.906273167932405</v>
      </c>
      <c r="AG2548" s="2">
        <f ca="1"/>
        <v>0.90549183811413481</v>
      </c>
      <c r="AH2548" s="2" t="str">
        <f ca="1"/>
        <v>Bad</v>
      </c>
    </row>
    <row r="2549" spans="2:34" x14ac:dyDescent="0.2">
      <c r="B2549" s="2">
        <f ca="1"/>
        <v>0.54680599530184137</v>
      </c>
      <c r="O2549" s="2">
        <f ca="1"/>
        <v>-1.5576969078466145</v>
      </c>
      <c r="X2549" s="2">
        <f ca="1"/>
        <v>25.849696707086064</v>
      </c>
      <c r="AG2549" s="2">
        <f ca="1"/>
        <v>0.32855646420018103</v>
      </c>
      <c r="AH2549" s="2" t="str">
        <f ca="1"/>
        <v>OK</v>
      </c>
    </row>
    <row r="2550" spans="2:34" x14ac:dyDescent="0.2">
      <c r="B2550" s="2">
        <f ca="1"/>
        <v>0.44562134416013444</v>
      </c>
      <c r="O2550" s="2">
        <f ca="1"/>
        <v>0.10179909224394572</v>
      </c>
      <c r="X2550" s="2">
        <f ca="1"/>
        <v>47.630511827524515</v>
      </c>
      <c r="AG2550" s="2">
        <f ca="1"/>
        <v>0.18040372139693428</v>
      </c>
      <c r="AH2550" s="2" t="str">
        <f ca="1"/>
        <v>OK</v>
      </c>
    </row>
    <row r="2551" spans="2:34" x14ac:dyDescent="0.2">
      <c r="B2551" s="2">
        <f ca="1"/>
        <v>0.15522304460992231</v>
      </c>
      <c r="O2551" s="2">
        <f ca="1"/>
        <v>-0.21353027139292213</v>
      </c>
      <c r="X2551" s="2">
        <f ca="1"/>
        <v>35.926372154757168</v>
      </c>
      <c r="AG2551" s="2">
        <f ca="1"/>
        <v>0.80312583496790069</v>
      </c>
      <c r="AH2551" s="2" t="str">
        <f ca="1"/>
        <v>Bad</v>
      </c>
    </row>
    <row r="2552" spans="2:34" x14ac:dyDescent="0.2">
      <c r="B2552" s="2">
        <f ca="1"/>
        <v>0.37234915607710439</v>
      </c>
      <c r="O2552" s="2">
        <f ca="1"/>
        <v>-1.4474952974546476</v>
      </c>
      <c r="X2552" s="2">
        <f ca="1"/>
        <v>62.750222911669326</v>
      </c>
      <c r="AG2552" s="2">
        <f ca="1"/>
        <v>0.93094430811783302</v>
      </c>
      <c r="AH2552" s="2" t="str">
        <f ca="1"/>
        <v>Bad</v>
      </c>
    </row>
    <row r="2553" spans="2:34" x14ac:dyDescent="0.2">
      <c r="B2553" s="2">
        <f ca="1"/>
        <v>0.4332277097499575</v>
      </c>
      <c r="O2553" s="2">
        <f ca="1"/>
        <v>7.0589457413408607E-2</v>
      </c>
      <c r="X2553" s="2">
        <f ca="1"/>
        <v>36.671431924458687</v>
      </c>
      <c r="AG2553" s="2">
        <f ca="1"/>
        <v>0.31426990499611729</v>
      </c>
      <c r="AH2553" s="2" t="str">
        <f ca="1"/>
        <v>OK</v>
      </c>
    </row>
    <row r="2554" spans="2:34" x14ac:dyDescent="0.2">
      <c r="B2554" s="2">
        <f ca="1"/>
        <v>0.93833789331469308</v>
      </c>
      <c r="O2554" s="2">
        <f ca="1"/>
        <v>6.626496422610656E-2</v>
      </c>
      <c r="X2554" s="2">
        <f ca="1"/>
        <v>28.811953012992216</v>
      </c>
      <c r="AG2554" s="2">
        <f ca="1"/>
        <v>0.15927700038643788</v>
      </c>
      <c r="AH2554" s="2" t="str">
        <f ca="1"/>
        <v>OK</v>
      </c>
    </row>
    <row r="2555" spans="2:34" x14ac:dyDescent="0.2">
      <c r="B2555" s="2">
        <f ca="1"/>
        <v>0.68953288464589835</v>
      </c>
      <c r="O2555" s="2">
        <f ca="1"/>
        <v>-0.42852976115932273</v>
      </c>
      <c r="X2555" s="2">
        <f ca="1"/>
        <v>37.51474926667273</v>
      </c>
      <c r="AG2555" s="2">
        <f ca="1"/>
        <v>0.56566257269603248</v>
      </c>
      <c r="AH2555" s="2" t="str">
        <f ca="1"/>
        <v>Bad</v>
      </c>
    </row>
    <row r="2556" spans="2:34" x14ac:dyDescent="0.2">
      <c r="B2556" s="2">
        <f ca="1"/>
        <v>0.57279235835964526</v>
      </c>
      <c r="O2556" s="2">
        <f ca="1"/>
        <v>4.0398191338848671E-2</v>
      </c>
      <c r="X2556" s="2">
        <f ca="1"/>
        <v>69.82044843219056</v>
      </c>
      <c r="AG2556" s="2">
        <f ca="1"/>
        <v>0.94159044082057486</v>
      </c>
      <c r="AH2556" s="2" t="str">
        <f ca="1"/>
        <v>Bad</v>
      </c>
    </row>
    <row r="2557" spans="2:34" x14ac:dyDescent="0.2">
      <c r="B2557" s="2">
        <f ca="1"/>
        <v>0.75165963874047237</v>
      </c>
      <c r="O2557" s="2">
        <f ca="1"/>
        <v>-1.5365088817124937</v>
      </c>
      <c r="X2557" s="2">
        <f ca="1"/>
        <v>53.98437880451219</v>
      </c>
      <c r="AG2557" s="2">
        <f ca="1"/>
        <v>0.1830674092106066</v>
      </c>
      <c r="AH2557" s="2" t="str">
        <f ca="1"/>
        <v>OK</v>
      </c>
    </row>
    <row r="2558" spans="2:34" x14ac:dyDescent="0.2">
      <c r="B2558" s="2">
        <f ca="1"/>
        <v>0.78475602537148137</v>
      </c>
      <c r="O2558" s="2">
        <f ca="1"/>
        <v>1.2708658909165449</v>
      </c>
      <c r="X2558" s="2">
        <f ca="1"/>
        <v>36.913297696595002</v>
      </c>
      <c r="AG2558" s="2">
        <f ca="1"/>
        <v>0.41205524966349572</v>
      </c>
      <c r="AH2558" s="2" t="str">
        <f ca="1"/>
        <v>Bad</v>
      </c>
    </row>
    <row r="2559" spans="2:34" x14ac:dyDescent="0.2">
      <c r="B2559" s="2">
        <f ca="1"/>
        <v>0.3096094826399165</v>
      </c>
      <c r="O2559" s="2">
        <f ca="1"/>
        <v>-0.65434968333839738</v>
      </c>
      <c r="X2559" s="2">
        <f ca="1"/>
        <v>63.879315493714508</v>
      </c>
      <c r="AG2559" s="2">
        <f ca="1"/>
        <v>0.44434480101896501</v>
      </c>
      <c r="AH2559" s="2" t="str">
        <f ca="1"/>
        <v>Bad</v>
      </c>
    </row>
    <row r="2560" spans="2:34" x14ac:dyDescent="0.2">
      <c r="B2560" s="2">
        <f ca="1"/>
        <v>0.56100533499073291</v>
      </c>
      <c r="O2560" s="2">
        <f ca="1"/>
        <v>1.3409525322210589</v>
      </c>
      <c r="X2560" s="2">
        <f ca="1"/>
        <v>50.109700200165022</v>
      </c>
      <c r="AG2560" s="2">
        <f ca="1"/>
        <v>0.68099566917632925</v>
      </c>
      <c r="AH2560" s="2" t="str">
        <f ca="1"/>
        <v>Bad</v>
      </c>
    </row>
    <row r="2561" spans="2:34" x14ac:dyDescent="0.2">
      <c r="B2561" s="2">
        <f ca="1"/>
        <v>0.32560142056602781</v>
      </c>
      <c r="O2561" s="2">
        <f ca="1"/>
        <v>0.37803515140479838</v>
      </c>
      <c r="X2561" s="2">
        <f ca="1"/>
        <v>72.146734748926661</v>
      </c>
      <c r="AG2561" s="2">
        <f ca="1"/>
        <v>0.36395866102096663</v>
      </c>
      <c r="AH2561" s="2" t="str">
        <f ca="1"/>
        <v>OK</v>
      </c>
    </row>
    <row r="2562" spans="2:34" x14ac:dyDescent="0.2">
      <c r="B2562" s="2">
        <f ca="1"/>
        <v>0.31221312389823552</v>
      </c>
      <c r="O2562" s="2">
        <f ca="1"/>
        <v>-0.77945541245233052</v>
      </c>
      <c r="X2562" s="2">
        <f ca="1"/>
        <v>58.451304006575683</v>
      </c>
      <c r="AG2562" s="2">
        <f ca="1"/>
        <v>0.5960367234523718</v>
      </c>
      <c r="AH2562" s="2" t="str">
        <f ca="1"/>
        <v>Bad</v>
      </c>
    </row>
    <row r="2563" spans="2:34" x14ac:dyDescent="0.2">
      <c r="B2563" s="2">
        <f ca="1"/>
        <v>0.26273319729440781</v>
      </c>
      <c r="O2563" s="2">
        <f ca="1"/>
        <v>0.48744576689176344</v>
      </c>
      <c r="X2563" s="2">
        <f ca="1"/>
        <v>98.16040301989554</v>
      </c>
      <c r="AG2563" s="2">
        <f ca="1"/>
        <v>0.35465794147200436</v>
      </c>
      <c r="AH2563" s="2" t="str">
        <f ca="1"/>
        <v>OK</v>
      </c>
    </row>
    <row r="2564" spans="2:34" x14ac:dyDescent="0.2">
      <c r="B2564" s="2">
        <f ca="1"/>
        <v>0.49470453467777276</v>
      </c>
      <c r="O2564" s="2">
        <f ca="1"/>
        <v>1.1614335442017849</v>
      </c>
      <c r="X2564" s="2">
        <f ca="1"/>
        <v>53.441990847170395</v>
      </c>
      <c r="AG2564" s="2">
        <f ca="1"/>
        <v>0.66283964693574049</v>
      </c>
      <c r="AH2564" s="2" t="str">
        <f ca="1"/>
        <v>Bad</v>
      </c>
    </row>
    <row r="2565" spans="2:34" x14ac:dyDescent="0.2">
      <c r="B2565" s="2">
        <f ca="1"/>
        <v>0.89949522800162973</v>
      </c>
      <c r="O2565" s="2">
        <f ca="1"/>
        <v>-1.264860948486394</v>
      </c>
      <c r="X2565" s="2">
        <f ca="1"/>
        <v>31.805049818489902</v>
      </c>
      <c r="AG2565" s="2">
        <f ca="1"/>
        <v>0.14148625948501747</v>
      </c>
      <c r="AH2565" s="2" t="str">
        <f ca="1"/>
        <v>OK</v>
      </c>
    </row>
    <row r="2566" spans="2:34" x14ac:dyDescent="0.2">
      <c r="B2566" s="2">
        <f ca="1"/>
        <v>0.77980218119542122</v>
      </c>
      <c r="O2566" s="2">
        <f ca="1"/>
        <v>-1.5785733469261994E-2</v>
      </c>
      <c r="X2566" s="2">
        <f ca="1"/>
        <v>58.956836157047277</v>
      </c>
      <c r="AG2566" s="2">
        <f ca="1"/>
        <v>0.71849364994142539</v>
      </c>
      <c r="AH2566" s="2" t="str">
        <f ca="1"/>
        <v>Bad</v>
      </c>
    </row>
    <row r="2567" spans="2:34" x14ac:dyDescent="0.2">
      <c r="B2567" s="2">
        <f ca="1"/>
        <v>0.66590228374231519</v>
      </c>
      <c r="O2567" s="2">
        <f ca="1"/>
        <v>0.82421433475652062</v>
      </c>
      <c r="X2567" s="2">
        <f ca="1"/>
        <v>65.423742654700959</v>
      </c>
      <c r="AG2567" s="2">
        <f ca="1"/>
        <v>0.49157196758399202</v>
      </c>
      <c r="AH2567" s="2" t="str">
        <f ca="1"/>
        <v>Bad</v>
      </c>
    </row>
    <row r="2568" spans="2:34" x14ac:dyDescent="0.2">
      <c r="B2568" s="2">
        <f ca="1"/>
        <v>0.52566300397435928</v>
      </c>
      <c r="O2568" s="2">
        <f ca="1"/>
        <v>1.2034966703501984</v>
      </c>
      <c r="X2568" s="2">
        <f ca="1"/>
        <v>33.876368830913286</v>
      </c>
      <c r="AG2568" s="2">
        <f ca="1"/>
        <v>0.31190406300323237</v>
      </c>
      <c r="AH2568" s="2" t="str">
        <f ca="1"/>
        <v>OK</v>
      </c>
    </row>
    <row r="2569" spans="2:34" x14ac:dyDescent="0.2">
      <c r="B2569" s="2">
        <f ca="1"/>
        <v>0.97236640670908914</v>
      </c>
      <c r="O2569" s="2">
        <f ca="1"/>
        <v>1.1298641219187588</v>
      </c>
      <c r="X2569" s="2">
        <f ca="1"/>
        <v>98.227244204563092</v>
      </c>
      <c r="AG2569" s="2">
        <f ca="1"/>
        <v>0.94874186869406207</v>
      </c>
      <c r="AH2569" s="2" t="str">
        <f ca="1"/>
        <v>Bad</v>
      </c>
    </row>
    <row r="2570" spans="2:34" x14ac:dyDescent="0.2">
      <c r="B2570" s="2">
        <f ca="1"/>
        <v>0.29413030370909565</v>
      </c>
      <c r="O2570" s="2">
        <f ca="1"/>
        <v>-0.41385789598485057</v>
      </c>
      <c r="X2570" s="2">
        <f ca="1"/>
        <v>56.555964898208714</v>
      </c>
      <c r="AG2570" s="2">
        <f ca="1"/>
        <v>6.3985963032999305E-2</v>
      </c>
      <c r="AH2570" s="2" t="str">
        <f ca="1"/>
        <v>OK</v>
      </c>
    </row>
    <row r="2571" spans="2:34" x14ac:dyDescent="0.2">
      <c r="B2571" s="2">
        <f ca="1"/>
        <v>0.81782204261593927</v>
      </c>
      <c r="O2571" s="2">
        <f ca="1"/>
        <v>9.8384856795670883E-2</v>
      </c>
      <c r="X2571" s="2">
        <f ca="1"/>
        <v>40.608868461956895</v>
      </c>
      <c r="AG2571" s="2">
        <f ca="1"/>
        <v>0.97389922726171152</v>
      </c>
      <c r="AH2571" s="2" t="str">
        <f ca="1"/>
        <v>Bad</v>
      </c>
    </row>
    <row r="2572" spans="2:34" x14ac:dyDescent="0.2">
      <c r="B2572" s="2">
        <f ca="1"/>
        <v>0.61281717209596054</v>
      </c>
      <c r="O2572" s="2">
        <f ca="1"/>
        <v>-4.4354855270121694E-3</v>
      </c>
      <c r="X2572" s="2">
        <f ca="1"/>
        <v>51.317081012773045</v>
      </c>
      <c r="AG2572" s="2">
        <f ca="1"/>
        <v>0.24982858140153397</v>
      </c>
      <c r="AH2572" s="2" t="str">
        <f ca="1"/>
        <v>OK</v>
      </c>
    </row>
    <row r="2573" spans="2:34" x14ac:dyDescent="0.2">
      <c r="B2573" s="2">
        <f ca="1"/>
        <v>0.72562167665298816</v>
      </c>
      <c r="O2573" s="2">
        <f ca="1"/>
        <v>0.8844265309731687</v>
      </c>
      <c r="X2573" s="2">
        <f ca="1"/>
        <v>52.212815053778058</v>
      </c>
      <c r="AG2573" s="2">
        <f ca="1"/>
        <v>0.37203450092384616</v>
      </c>
      <c r="AH2573" s="2" t="str">
        <f ca="1"/>
        <v>OK</v>
      </c>
    </row>
    <row r="2574" spans="2:34" x14ac:dyDescent="0.2">
      <c r="B2574" s="2">
        <f ca="1"/>
        <v>0.18209190247915075</v>
      </c>
      <c r="O2574" s="2">
        <f ca="1"/>
        <v>-1.1224637956232282</v>
      </c>
      <c r="X2574" s="2">
        <f ca="1"/>
        <v>39.410900758961269</v>
      </c>
      <c r="AG2574" s="2">
        <f ca="1"/>
        <v>0.41698641551152926</v>
      </c>
      <c r="AH2574" s="2" t="str">
        <f ca="1"/>
        <v>Bad</v>
      </c>
    </row>
    <row r="2575" spans="2:34" x14ac:dyDescent="0.2">
      <c r="B2575" s="2">
        <f ca="1"/>
        <v>0.57111379000749363</v>
      </c>
      <c r="O2575" s="2">
        <f ca="1"/>
        <v>-1.5841257995477185</v>
      </c>
      <c r="X2575" s="2">
        <f ca="1"/>
        <v>31.805497775400408</v>
      </c>
      <c r="AG2575" s="2">
        <f ca="1"/>
        <v>0.71980591721156428</v>
      </c>
      <c r="AH2575" s="2" t="str">
        <f ca="1"/>
        <v>Bad</v>
      </c>
    </row>
    <row r="2576" spans="2:34" x14ac:dyDescent="0.2">
      <c r="B2576" s="2">
        <f ca="1"/>
        <v>0.48352724553503768</v>
      </c>
      <c r="O2576" s="2">
        <f ca="1"/>
        <v>-0.34114924672315411</v>
      </c>
      <c r="X2576" s="2">
        <f ca="1"/>
        <v>53.965279720467478</v>
      </c>
      <c r="AG2576" s="2">
        <f ca="1"/>
        <v>0.11342733271466998</v>
      </c>
      <c r="AH2576" s="2" t="str">
        <f ca="1"/>
        <v>OK</v>
      </c>
    </row>
    <row r="2577" spans="2:34" x14ac:dyDescent="0.2">
      <c r="B2577" s="2">
        <f ca="1"/>
        <v>0.21859277319243975</v>
      </c>
      <c r="O2577" s="2">
        <f ca="1"/>
        <v>-0.84792083194683254</v>
      </c>
      <c r="X2577" s="2">
        <f ca="1"/>
        <v>61.060270779678319</v>
      </c>
      <c r="AG2577" s="2">
        <f ca="1"/>
        <v>0.78363507453014325</v>
      </c>
      <c r="AH2577" s="2" t="str">
        <f ca="1"/>
        <v>Bad</v>
      </c>
    </row>
    <row r="2578" spans="2:34" x14ac:dyDescent="0.2">
      <c r="B2578" s="2">
        <f ca="1"/>
        <v>0.48444101636364678</v>
      </c>
      <c r="O2578" s="2">
        <f ca="1"/>
        <v>-0.25083331689947164</v>
      </c>
      <c r="X2578" s="2">
        <f ca="1"/>
        <v>52.885317271984185</v>
      </c>
      <c r="AG2578" s="2">
        <f ca="1"/>
        <v>0.51984440376054408</v>
      </c>
      <c r="AH2578" s="2" t="str">
        <f ca="1"/>
        <v>Bad</v>
      </c>
    </row>
    <row r="2579" spans="2:34" x14ac:dyDescent="0.2">
      <c r="B2579" s="2">
        <f ca="1"/>
        <v>0.3805815792629299</v>
      </c>
      <c r="O2579" s="2">
        <f ca="1"/>
        <v>0.30955592553909217</v>
      </c>
      <c r="X2579" s="2">
        <f ca="1"/>
        <v>43.074710062123202</v>
      </c>
      <c r="AG2579" s="2">
        <f ca="1"/>
        <v>0.40257890225676274</v>
      </c>
      <c r="AH2579" s="2" t="str">
        <f ca="1"/>
        <v>Bad</v>
      </c>
    </row>
    <row r="2580" spans="2:34" x14ac:dyDescent="0.2">
      <c r="B2580" s="2">
        <f ca="1"/>
        <v>0.14077911451520997</v>
      </c>
      <c r="O2580" s="2">
        <f ca="1"/>
        <v>0.51219633622348637</v>
      </c>
      <c r="X2580" s="2">
        <f ca="1"/>
        <v>55.169730666291706</v>
      </c>
      <c r="AG2580" s="2">
        <f ca="1"/>
        <v>0.31284701188284347</v>
      </c>
      <c r="AH2580" s="2" t="str">
        <f ca="1"/>
        <v>OK</v>
      </c>
    </row>
    <row r="2581" spans="2:34" x14ac:dyDescent="0.2">
      <c r="B2581" s="2">
        <f ca="1"/>
        <v>0.12799004209799536</v>
      </c>
      <c r="O2581" s="2">
        <f ca="1"/>
        <v>1.0069406939788952</v>
      </c>
      <c r="X2581" s="2">
        <f ca="1"/>
        <v>37.14657540519773</v>
      </c>
      <c r="AG2581" s="2">
        <f ca="1"/>
        <v>0.86044512478427748</v>
      </c>
      <c r="AH2581" s="2" t="str">
        <f ca="1"/>
        <v>Bad</v>
      </c>
    </row>
    <row r="2582" spans="2:34" x14ac:dyDescent="0.2">
      <c r="B2582" s="2">
        <f ca="1"/>
        <v>6.3229664880781744E-2</v>
      </c>
      <c r="O2582" s="2">
        <f ca="1"/>
        <v>-0.87558222713651523</v>
      </c>
      <c r="X2582" s="2">
        <f ca="1"/>
        <v>71.741352520977472</v>
      </c>
      <c r="AG2582" s="2">
        <f ca="1"/>
        <v>0.38676573080083765</v>
      </c>
      <c r="AH2582" s="2" t="str">
        <f ca="1"/>
        <v>OK</v>
      </c>
    </row>
    <row r="2583" spans="2:34" x14ac:dyDescent="0.2">
      <c r="B2583" s="2">
        <f ca="1"/>
        <v>0.92821816986328609</v>
      </c>
      <c r="O2583" s="2">
        <f ca="1"/>
        <v>1.3368945142251558</v>
      </c>
      <c r="X2583" s="2">
        <f ca="1"/>
        <v>64.46669793592892</v>
      </c>
      <c r="AG2583" s="2">
        <f ca="1"/>
        <v>0.70035889487562897</v>
      </c>
      <c r="AH2583" s="2" t="str">
        <f ca="1"/>
        <v>Bad</v>
      </c>
    </row>
    <row r="2584" spans="2:34" x14ac:dyDescent="0.2">
      <c r="B2584" s="2">
        <f ca="1"/>
        <v>0.93526044062123348</v>
      </c>
      <c r="O2584" s="2">
        <f ca="1"/>
        <v>1.4114315199856604</v>
      </c>
      <c r="X2584" s="2">
        <f ca="1"/>
        <v>53.815722850246033</v>
      </c>
      <c r="AG2584" s="2">
        <f ca="1"/>
        <v>0.42061443202450466</v>
      </c>
      <c r="AH2584" s="2" t="str">
        <f ca="1"/>
        <v>Bad</v>
      </c>
    </row>
    <row r="2585" spans="2:34" x14ac:dyDescent="0.2">
      <c r="B2585" s="2">
        <f ca="1"/>
        <v>0.876109430020519</v>
      </c>
      <c r="O2585" s="2">
        <f ca="1"/>
        <v>-0.7717026381353691</v>
      </c>
      <c r="X2585" s="2">
        <f ca="1"/>
        <v>65.05208292561251</v>
      </c>
      <c r="AG2585" s="2">
        <f ca="1"/>
        <v>9.3432466599319142E-2</v>
      </c>
      <c r="AH2585" s="2" t="str">
        <f ca="1"/>
        <v>OK</v>
      </c>
    </row>
    <row r="2586" spans="2:34" x14ac:dyDescent="0.2">
      <c r="B2586" s="2">
        <f ca="1"/>
        <v>2.5049456654307356E-2</v>
      </c>
      <c r="O2586" s="2">
        <f ca="1"/>
        <v>1.870904445475698</v>
      </c>
      <c r="X2586" s="2">
        <f ca="1"/>
        <v>48.221199574725617</v>
      </c>
      <c r="AG2586" s="2">
        <f ca="1"/>
        <v>0.68074524224489275</v>
      </c>
      <c r="AH2586" s="2" t="str">
        <f ca="1"/>
        <v>Bad</v>
      </c>
    </row>
    <row r="2587" spans="2:34" x14ac:dyDescent="0.2">
      <c r="B2587" s="2">
        <f ca="1"/>
        <v>0.12375931586294131</v>
      </c>
      <c r="O2587" s="2">
        <f ca="1"/>
        <v>-0.2506179800830079</v>
      </c>
      <c r="X2587" s="2">
        <f ca="1"/>
        <v>54.028541079224823</v>
      </c>
      <c r="AG2587" s="2">
        <f ca="1"/>
        <v>0.97770584654553616</v>
      </c>
      <c r="AH2587" s="2" t="str">
        <f ca="1"/>
        <v>Bad</v>
      </c>
    </row>
    <row r="2588" spans="2:34" x14ac:dyDescent="0.2">
      <c r="B2588" s="2">
        <f ca="1"/>
        <v>0.29208839259164643</v>
      </c>
      <c r="O2588" s="2">
        <f ca="1"/>
        <v>0.76594465938717549</v>
      </c>
      <c r="X2588" s="2">
        <f ca="1"/>
        <v>49.01570377614658</v>
      </c>
      <c r="AG2588" s="2">
        <f ca="1"/>
        <v>0.76766367421530379</v>
      </c>
      <c r="AH2588" s="2" t="str">
        <f ca="1"/>
        <v>Bad</v>
      </c>
    </row>
    <row r="2589" spans="2:34" x14ac:dyDescent="0.2">
      <c r="B2589" s="2">
        <f ca="1"/>
        <v>0.18329275050623894</v>
      </c>
      <c r="O2589" s="2">
        <f ca="1"/>
        <v>-0.57202368528893788</v>
      </c>
      <c r="X2589" s="2">
        <f ca="1"/>
        <v>66.166775212827503</v>
      </c>
      <c r="AG2589" s="2">
        <f ca="1"/>
        <v>0.32645190740941277</v>
      </c>
      <c r="AH2589" s="2" t="str">
        <f ca="1"/>
        <v>OK</v>
      </c>
    </row>
    <row r="2590" spans="2:34" x14ac:dyDescent="0.2">
      <c r="B2590" s="2">
        <f ca="1"/>
        <v>0.96691041079574291</v>
      </c>
      <c r="O2590" s="2">
        <f ca="1"/>
        <v>-0.22821709921496142</v>
      </c>
      <c r="X2590" s="2">
        <f ca="1"/>
        <v>56.857453637435356</v>
      </c>
      <c r="AG2590" s="2">
        <f ca="1"/>
        <v>0.49610065703690398</v>
      </c>
      <c r="AH2590" s="2" t="str">
        <f ca="1"/>
        <v>Bad</v>
      </c>
    </row>
    <row r="2591" spans="2:34" x14ac:dyDescent="0.2">
      <c r="B2591" s="2">
        <f ca="1"/>
        <v>0.346929167372928</v>
      </c>
      <c r="O2591" s="2">
        <f ca="1"/>
        <v>0.88385786205512151</v>
      </c>
      <c r="X2591" s="2">
        <f ca="1"/>
        <v>77.64709711601337</v>
      </c>
      <c r="AG2591" s="2">
        <f ca="1"/>
        <v>0.16534111557863951</v>
      </c>
      <c r="AH2591" s="2" t="str">
        <f ca="1"/>
        <v>OK</v>
      </c>
    </row>
    <row r="2592" spans="2:34" x14ac:dyDescent="0.2">
      <c r="B2592" s="2">
        <f ca="1"/>
        <v>0.50168144655174074</v>
      </c>
      <c r="O2592" s="2">
        <f ca="1"/>
        <v>-0.76832047104454726</v>
      </c>
      <c r="X2592" s="2">
        <f ca="1"/>
        <v>53.170706032049388</v>
      </c>
      <c r="AG2592" s="2">
        <f ca="1"/>
        <v>0.3664290438944553</v>
      </c>
      <c r="AH2592" s="2" t="str">
        <f ca="1"/>
        <v>OK</v>
      </c>
    </row>
    <row r="2593" spans="2:34" x14ac:dyDescent="0.2">
      <c r="B2593" s="2">
        <f ca="1"/>
        <v>3.0541260973588447E-2</v>
      </c>
      <c r="O2593" s="2">
        <f ca="1"/>
        <v>0.37258321874831246</v>
      </c>
      <c r="X2593" s="2">
        <f ca="1"/>
        <v>50.543063018312139</v>
      </c>
      <c r="AG2593" s="2">
        <f ca="1"/>
        <v>0.83509452538642348</v>
      </c>
      <c r="AH2593" s="2" t="str">
        <f ca="1"/>
        <v>Bad</v>
      </c>
    </row>
    <row r="2594" spans="2:34" x14ac:dyDescent="0.2">
      <c r="B2594" s="2">
        <f ca="1"/>
        <v>0.72125804006074223</v>
      </c>
      <c r="O2594" s="2">
        <f ca="1"/>
        <v>0.1737468548187098</v>
      </c>
      <c r="X2594" s="2">
        <f ca="1"/>
        <v>51.897513935619564</v>
      </c>
      <c r="AG2594" s="2">
        <f ca="1"/>
        <v>1.1325792201302143E-3</v>
      </c>
      <c r="AH2594" s="2" t="str">
        <f ca="1"/>
        <v>Good</v>
      </c>
    </row>
    <row r="2595" spans="2:34" x14ac:dyDescent="0.2">
      <c r="B2595" s="2">
        <f ca="1"/>
        <v>0.51653043994667702</v>
      </c>
      <c r="O2595" s="2">
        <f ca="1"/>
        <v>-1.2799267521723505</v>
      </c>
      <c r="X2595" s="2">
        <f ca="1"/>
        <v>59.619954424150961</v>
      </c>
      <c r="AG2595" s="2">
        <f ca="1"/>
        <v>0.22643215459955846</v>
      </c>
      <c r="AH2595" s="2" t="str">
        <f ca="1"/>
        <v>OK</v>
      </c>
    </row>
    <row r="2596" spans="2:34" x14ac:dyDescent="0.2">
      <c r="B2596" s="2">
        <f ca="1"/>
        <v>0.16531670668435416</v>
      </c>
      <c r="O2596" s="2">
        <f ca="1"/>
        <v>1.6760408519425684E-2</v>
      </c>
      <c r="X2596" s="2">
        <f ca="1"/>
        <v>83.505854523762281</v>
      </c>
      <c r="AG2596" s="2">
        <f ca="1"/>
        <v>0.86332815264328899</v>
      </c>
      <c r="AH2596" s="2" t="str">
        <f ca="1"/>
        <v>Bad</v>
      </c>
    </row>
    <row r="2597" spans="2:34" x14ac:dyDescent="0.2">
      <c r="B2597" s="2">
        <f ca="1"/>
        <v>0.44339950535007411</v>
      </c>
      <c r="O2597" s="2">
        <f ca="1"/>
        <v>-1.0230644021139246</v>
      </c>
      <c r="X2597" s="2">
        <f ca="1"/>
        <v>36.579332910362041</v>
      </c>
      <c r="AG2597" s="2">
        <f ca="1"/>
        <v>9.5681423691692302E-2</v>
      </c>
      <c r="AH2597" s="2" t="str">
        <f ca="1"/>
        <v>OK</v>
      </c>
    </row>
    <row r="2598" spans="2:34" x14ac:dyDescent="0.2">
      <c r="B2598" s="2">
        <f ca="1"/>
        <v>6.7199952035711386E-2</v>
      </c>
      <c r="O2598" s="2">
        <f ca="1"/>
        <v>0.40663087773702078</v>
      </c>
      <c r="X2598" s="2">
        <f ca="1"/>
        <v>26.189753097508046</v>
      </c>
      <c r="AG2598" s="2">
        <f ca="1"/>
        <v>0.51706185143476135</v>
      </c>
      <c r="AH2598" s="2" t="str">
        <f ca="1"/>
        <v>Bad</v>
      </c>
    </row>
    <row r="2599" spans="2:34" x14ac:dyDescent="0.2">
      <c r="B2599" s="2">
        <f ca="1"/>
        <v>0.46687853525022649</v>
      </c>
      <c r="O2599" s="2">
        <f ca="1"/>
        <v>0.29784071066246176</v>
      </c>
      <c r="X2599" s="2">
        <f ca="1"/>
        <v>67.679958179271793</v>
      </c>
      <c r="AG2599" s="2">
        <f ca="1"/>
        <v>0.23310694916988806</v>
      </c>
      <c r="AH2599" s="2" t="str">
        <f ca="1"/>
        <v>OK</v>
      </c>
    </row>
    <row r="2600" spans="2:34" x14ac:dyDescent="0.2">
      <c r="B2600" s="2">
        <f ca="1"/>
        <v>0.72925273238552446</v>
      </c>
      <c r="O2600" s="2">
        <f ca="1"/>
        <v>-0.57494813270170153</v>
      </c>
      <c r="X2600" s="2">
        <f ca="1"/>
        <v>39.347121157531731</v>
      </c>
      <c r="AG2600" s="2">
        <f ca="1"/>
        <v>0.76297941129089564</v>
      </c>
      <c r="AH2600" s="2" t="str">
        <f ca="1"/>
        <v>Bad</v>
      </c>
    </row>
    <row r="2601" spans="2:34" x14ac:dyDescent="0.2">
      <c r="B2601" s="2">
        <f ca="1"/>
        <v>0.83820595370615325</v>
      </c>
      <c r="O2601" s="2">
        <f ca="1"/>
        <v>-0.48980513131065107</v>
      </c>
      <c r="X2601" s="2">
        <f ca="1"/>
        <v>55.635687772518835</v>
      </c>
      <c r="AG2601" s="2">
        <f ca="1"/>
        <v>0.49057525854345951</v>
      </c>
      <c r="AH2601" s="2" t="str">
        <f ca="1"/>
        <v>Bad</v>
      </c>
    </row>
    <row r="2602" spans="2:34" x14ac:dyDescent="0.2">
      <c r="B2602" s="2">
        <f ca="1"/>
        <v>0.1579443926279025</v>
      </c>
      <c r="O2602" s="2">
        <f ca="1"/>
        <v>1.2587141039489758</v>
      </c>
      <c r="X2602" s="2">
        <f ca="1"/>
        <v>37.080925324076844</v>
      </c>
      <c r="AG2602" s="2">
        <f ca="1"/>
        <v>0.66373797828885284</v>
      </c>
      <c r="AH2602" s="2" t="str">
        <f ca="1"/>
        <v>Bad</v>
      </c>
    </row>
    <row r="2603" spans="2:34" x14ac:dyDescent="0.2">
      <c r="B2603" s="2">
        <f ca="1"/>
        <v>0.52929790564296342</v>
      </c>
      <c r="O2603" s="2">
        <f ca="1"/>
        <v>0.27611167189168778</v>
      </c>
      <c r="X2603" s="2">
        <f ca="1"/>
        <v>33.949028514659283</v>
      </c>
      <c r="AG2603" s="2">
        <f ca="1"/>
        <v>0.78726459345296784</v>
      </c>
      <c r="AH2603" s="2" t="str">
        <f ca="1"/>
        <v>Bad</v>
      </c>
    </row>
    <row r="2604" spans="2:34" x14ac:dyDescent="0.2">
      <c r="B2604" s="2">
        <f ca="1"/>
        <v>0.36245794315972013</v>
      </c>
      <c r="O2604" s="2">
        <f ca="1"/>
        <v>-1.5012806651001818</v>
      </c>
      <c r="X2604" s="2">
        <f ca="1"/>
        <v>64.566218723360237</v>
      </c>
      <c r="AG2604" s="2">
        <f ca="1"/>
        <v>0.20384042748972986</v>
      </c>
      <c r="AH2604" s="2" t="str">
        <f ca="1"/>
        <v>OK</v>
      </c>
    </row>
    <row r="2605" spans="2:34" x14ac:dyDescent="0.2">
      <c r="B2605" s="2">
        <f ca="1"/>
        <v>0.10733923818381585</v>
      </c>
      <c r="O2605" s="2">
        <f ca="1"/>
        <v>1.0591073839475202</v>
      </c>
      <c r="X2605" s="2">
        <f ca="1"/>
        <v>65.01647120088704</v>
      </c>
      <c r="AG2605" s="2">
        <f ca="1"/>
        <v>0.31546370047189587</v>
      </c>
      <c r="AH2605" s="2" t="str">
        <f ca="1"/>
        <v>OK</v>
      </c>
    </row>
    <row r="2606" spans="2:34" x14ac:dyDescent="0.2">
      <c r="B2606" s="2">
        <f ca="1"/>
        <v>0.62025284010267678</v>
      </c>
      <c r="O2606" s="2">
        <f ca="1"/>
        <v>0.54596082752915875</v>
      </c>
      <c r="X2606" s="2">
        <f ca="1"/>
        <v>44.357425525420069</v>
      </c>
      <c r="AG2606" s="2">
        <f ca="1"/>
        <v>4.7514131801807302E-2</v>
      </c>
      <c r="AH2606" s="2" t="str">
        <f ca="1"/>
        <v>Good</v>
      </c>
    </row>
    <row r="2607" spans="2:34" x14ac:dyDescent="0.2">
      <c r="B2607" s="2">
        <f ca="1"/>
        <v>0.73453088905843256</v>
      </c>
      <c r="O2607" s="2">
        <f ca="1"/>
        <v>0.35873927305534659</v>
      </c>
      <c r="X2607" s="2">
        <f ca="1"/>
        <v>47.428984884781826</v>
      </c>
      <c r="AG2607" s="2">
        <f ca="1"/>
        <v>9.5768970585507152E-2</v>
      </c>
      <c r="AH2607" s="2" t="str">
        <f ca="1"/>
        <v>OK</v>
      </c>
    </row>
    <row r="2608" spans="2:34" x14ac:dyDescent="0.2">
      <c r="B2608" s="2">
        <f ca="1"/>
        <v>0.29103997267434134</v>
      </c>
      <c r="O2608" s="2">
        <f ca="1"/>
        <v>0.61839662757218827</v>
      </c>
      <c r="X2608" s="2">
        <f ca="1"/>
        <v>36.405903568925233</v>
      </c>
      <c r="AG2608" s="2">
        <f ca="1"/>
        <v>0.67234001392017317</v>
      </c>
      <c r="AH2608" s="2" t="str">
        <f ca="1"/>
        <v>Bad</v>
      </c>
    </row>
    <row r="2609" spans="2:34" x14ac:dyDescent="0.2">
      <c r="B2609" s="2">
        <f ca="1"/>
        <v>0.73087399865901692</v>
      </c>
      <c r="O2609" s="2">
        <f ca="1"/>
        <v>-1.9109401139926816</v>
      </c>
      <c r="X2609" s="2">
        <f ca="1"/>
        <v>89.482460355170431</v>
      </c>
      <c r="AG2609" s="2">
        <f ca="1"/>
        <v>0.76353999569567454</v>
      </c>
      <c r="AH2609" s="2" t="str">
        <f ca="1"/>
        <v>Bad</v>
      </c>
    </row>
    <row r="2610" spans="2:34" x14ac:dyDescent="0.2">
      <c r="B2610" s="2">
        <f ca="1"/>
        <v>0.66382944649305764</v>
      </c>
      <c r="O2610" s="2">
        <f ca="1"/>
        <v>-0.35364228925002733</v>
      </c>
      <c r="X2610" s="2">
        <f ca="1"/>
        <v>37.011230818707389</v>
      </c>
      <c r="AG2610" s="2">
        <f ca="1"/>
        <v>0.56023170676802736</v>
      </c>
      <c r="AH2610" s="2" t="str">
        <f ca="1"/>
        <v>Bad</v>
      </c>
    </row>
    <row r="2611" spans="2:34" x14ac:dyDescent="0.2">
      <c r="B2611" s="2">
        <f ca="1"/>
        <v>0.26693231421678654</v>
      </c>
      <c r="O2611" s="2">
        <f ca="1"/>
        <v>-0.21702939689194292</v>
      </c>
      <c r="X2611" s="2">
        <f ca="1"/>
        <v>44.587362887529878</v>
      </c>
      <c r="AG2611" s="2">
        <f ca="1"/>
        <v>0.25824842637882384</v>
      </c>
      <c r="AH2611" s="2" t="str">
        <f ca="1"/>
        <v>OK</v>
      </c>
    </row>
    <row r="2612" spans="2:34" x14ac:dyDescent="0.2">
      <c r="B2612" s="2">
        <f ca="1"/>
        <v>0.57332671432887938</v>
      </c>
      <c r="O2612" s="2">
        <f ca="1"/>
        <v>-0.65711470341827238</v>
      </c>
      <c r="X2612" s="2">
        <f ca="1"/>
        <v>53.063259822110027</v>
      </c>
      <c r="AG2612" s="2">
        <f ca="1"/>
        <v>0.20569865629701622</v>
      </c>
      <c r="AH2612" s="2" t="str">
        <f ca="1"/>
        <v>OK</v>
      </c>
    </row>
    <row r="2613" spans="2:34" x14ac:dyDescent="0.2">
      <c r="B2613" s="2">
        <f ca="1"/>
        <v>0.99610872263566552</v>
      </c>
      <c r="O2613" s="2">
        <f ca="1"/>
        <v>0.10586337488788802</v>
      </c>
      <c r="X2613" s="2">
        <f ca="1"/>
        <v>60.162990191763008</v>
      </c>
      <c r="AG2613" s="2">
        <f ca="1"/>
        <v>0.27522935377359392</v>
      </c>
      <c r="AH2613" s="2" t="str">
        <f ca="1"/>
        <v>OK</v>
      </c>
    </row>
    <row r="2614" spans="2:34" x14ac:dyDescent="0.2">
      <c r="B2614" s="2">
        <f ca="1"/>
        <v>0.28352507620529166</v>
      </c>
      <c r="O2614" s="2">
        <f ca="1"/>
        <v>0.14971288370903277</v>
      </c>
      <c r="X2614" s="2">
        <f ca="1"/>
        <v>42.549690998293443</v>
      </c>
      <c r="AG2614" s="2">
        <f ca="1"/>
        <v>0.52812272160556595</v>
      </c>
      <c r="AH2614" s="2" t="str">
        <f ca="1"/>
        <v>Bad</v>
      </c>
    </row>
    <row r="2615" spans="2:34" x14ac:dyDescent="0.2">
      <c r="B2615" s="2">
        <f ca="1"/>
        <v>0.12019469958462592</v>
      </c>
      <c r="O2615" s="2">
        <f ca="1"/>
        <v>-0.15684657406354094</v>
      </c>
      <c r="X2615" s="2">
        <f ca="1"/>
        <v>67.53819365524042</v>
      </c>
      <c r="AG2615" s="2">
        <f ca="1"/>
        <v>0.60397870299171297</v>
      </c>
      <c r="AH2615" s="2" t="str">
        <f ca="1"/>
        <v>Bad</v>
      </c>
    </row>
    <row r="2616" spans="2:34" x14ac:dyDescent="0.2">
      <c r="B2616" s="2">
        <f ca="1"/>
        <v>1.541692457718602E-2</v>
      </c>
      <c r="O2616" s="2">
        <f ca="1"/>
        <v>-0.62742642879576915</v>
      </c>
      <c r="X2616" s="2">
        <f ca="1"/>
        <v>54.795977905146216</v>
      </c>
      <c r="AG2616" s="2">
        <f ca="1"/>
        <v>0.13146627818695467</v>
      </c>
      <c r="AH2616" s="2" t="str">
        <f ca="1"/>
        <v>OK</v>
      </c>
    </row>
    <row r="2617" spans="2:34" x14ac:dyDescent="0.2">
      <c r="B2617" s="2">
        <f ca="1"/>
        <v>2.5389495088536274E-2</v>
      </c>
      <c r="O2617" s="2">
        <f ca="1"/>
        <v>-0.46847107408160549</v>
      </c>
      <c r="X2617" s="2">
        <f ca="1"/>
        <v>108.04389816303384</v>
      </c>
      <c r="AG2617" s="2">
        <f ca="1"/>
        <v>0.42726888778176964</v>
      </c>
      <c r="AH2617" s="2" t="str">
        <f ca="1"/>
        <v>Bad</v>
      </c>
    </row>
    <row r="2618" spans="2:34" x14ac:dyDescent="0.2">
      <c r="B2618" s="2">
        <f ca="1"/>
        <v>0.84491132118025924</v>
      </c>
      <c r="O2618" s="2">
        <f ca="1"/>
        <v>2.6833634435222722</v>
      </c>
      <c r="X2618" s="2">
        <f ca="1"/>
        <v>59.795275652864632</v>
      </c>
      <c r="AG2618" s="2">
        <f ca="1"/>
        <v>0.5127246781505812</v>
      </c>
      <c r="AH2618" s="2" t="str">
        <f ca="1"/>
        <v>Bad</v>
      </c>
    </row>
    <row r="2619" spans="2:34" x14ac:dyDescent="0.2">
      <c r="B2619" s="2">
        <f ca="1"/>
        <v>0.62034814330850008</v>
      </c>
      <c r="O2619" s="2">
        <f ca="1"/>
        <v>-1.4604376736712756</v>
      </c>
      <c r="X2619" s="2">
        <f ca="1"/>
        <v>22.636010000229</v>
      </c>
      <c r="AG2619" s="2">
        <f ca="1"/>
        <v>0.76216100173348744</v>
      </c>
      <c r="AH2619" s="2" t="str">
        <f ca="1"/>
        <v>Bad</v>
      </c>
    </row>
    <row r="2620" spans="2:34" x14ac:dyDescent="0.2">
      <c r="B2620" s="2">
        <f ca="1"/>
        <v>9.4896365742306088E-2</v>
      </c>
      <c r="O2620" s="2">
        <f ca="1"/>
        <v>-0.13967553320725268</v>
      </c>
      <c r="X2620" s="2">
        <f ca="1"/>
        <v>60.034713770935689</v>
      </c>
      <c r="AG2620" s="2">
        <f ca="1"/>
        <v>0.42496094870814272</v>
      </c>
      <c r="AH2620" s="2" t="str">
        <f ca="1"/>
        <v>Bad</v>
      </c>
    </row>
    <row r="2621" spans="2:34" x14ac:dyDescent="0.2">
      <c r="B2621" s="2">
        <f ca="1"/>
        <v>0.97273064386695829</v>
      </c>
      <c r="O2621" s="2">
        <f ca="1"/>
        <v>0.91847097315864179</v>
      </c>
      <c r="X2621" s="2">
        <f ca="1"/>
        <v>34.690488583257007</v>
      </c>
      <c r="AG2621" s="2">
        <f ca="1"/>
        <v>0.75073246177948949</v>
      </c>
      <c r="AH2621" s="2" t="str">
        <f ca="1"/>
        <v>Bad</v>
      </c>
    </row>
    <row r="2622" spans="2:34" x14ac:dyDescent="0.2">
      <c r="B2622" s="2">
        <f ca="1"/>
        <v>5.26851401096462E-2</v>
      </c>
      <c r="O2622" s="2">
        <f ca="1"/>
        <v>1.0330306756922938</v>
      </c>
      <c r="X2622" s="2">
        <f ca="1"/>
        <v>109.90594989256435</v>
      </c>
      <c r="AG2622" s="2">
        <f ca="1"/>
        <v>0.90928889365955379</v>
      </c>
      <c r="AH2622" s="2" t="str">
        <f ca="1"/>
        <v>Bad</v>
      </c>
    </row>
    <row r="2623" spans="2:34" x14ac:dyDescent="0.2">
      <c r="B2623" s="2">
        <f ca="1"/>
        <v>0.64010640257313933</v>
      </c>
      <c r="O2623" s="2">
        <f ca="1"/>
        <v>-1.6725213901699867</v>
      </c>
      <c r="X2623" s="2">
        <f ca="1"/>
        <v>41.062762204966774</v>
      </c>
      <c r="AG2623" s="2">
        <f ca="1"/>
        <v>7.3230657870080318E-2</v>
      </c>
      <c r="AH2623" s="2" t="str">
        <f ca="1"/>
        <v>OK</v>
      </c>
    </row>
    <row r="2624" spans="2:34" x14ac:dyDescent="0.2">
      <c r="B2624" s="2">
        <f ca="1"/>
        <v>0.35288653906241696</v>
      </c>
      <c r="O2624" s="2">
        <f ca="1"/>
        <v>-1.1800615490256781</v>
      </c>
      <c r="X2624" s="2">
        <f ca="1"/>
        <v>59.695950544412028</v>
      </c>
      <c r="AG2624" s="2">
        <f ca="1"/>
        <v>0.752267379420545</v>
      </c>
      <c r="AH2624" s="2" t="str">
        <f ca="1"/>
        <v>Bad</v>
      </c>
    </row>
    <row r="2625" spans="2:34" x14ac:dyDescent="0.2">
      <c r="B2625" s="2">
        <f ca="1"/>
        <v>0.59961212558652877</v>
      </c>
      <c r="O2625" s="2">
        <f ca="1"/>
        <v>0.38523831845156103</v>
      </c>
      <c r="X2625" s="2">
        <f ca="1"/>
        <v>53.564804012598856</v>
      </c>
      <c r="AG2625" s="2">
        <f ca="1"/>
        <v>0.14273724098054674</v>
      </c>
      <c r="AH2625" s="2" t="str">
        <f ca="1"/>
        <v>OK</v>
      </c>
    </row>
    <row r="2626" spans="2:34" x14ac:dyDescent="0.2">
      <c r="B2626" s="2">
        <f ca="1"/>
        <v>0.90766522469474342</v>
      </c>
      <c r="O2626" s="2">
        <f ca="1"/>
        <v>2.6025756422076682</v>
      </c>
      <c r="X2626" s="2">
        <f ca="1"/>
        <v>55.969611520058095</v>
      </c>
      <c r="AG2626" s="2">
        <f ca="1"/>
        <v>0.9800254751082671</v>
      </c>
      <c r="AH2626" s="2" t="str">
        <f ca="1"/>
        <v>Bad</v>
      </c>
    </row>
    <row r="2627" spans="2:34" x14ac:dyDescent="0.2">
      <c r="B2627" s="2">
        <f ca="1"/>
        <v>0.53666362507135412</v>
      </c>
      <c r="O2627" s="2">
        <f ca="1"/>
        <v>0.8402508823143352</v>
      </c>
      <c r="X2627" s="2">
        <f ca="1"/>
        <v>41.773298524259168</v>
      </c>
      <c r="AG2627" s="2">
        <f ca="1"/>
        <v>0.99153177125700576</v>
      </c>
      <c r="AH2627" s="2" t="str">
        <f ca="1"/>
        <v>Bad</v>
      </c>
    </row>
    <row r="2628" spans="2:34" x14ac:dyDescent="0.2">
      <c r="B2628" s="2">
        <f ca="1"/>
        <v>0.5392357775352381</v>
      </c>
      <c r="O2628" s="2">
        <f ca="1"/>
        <v>-0.10485305514653896</v>
      </c>
      <c r="X2628" s="2">
        <f ca="1"/>
        <v>44.448698465993239</v>
      </c>
      <c r="AG2628" s="2">
        <f ca="1"/>
        <v>0.61908346643665979</v>
      </c>
      <c r="AH2628" s="2" t="str">
        <f ca="1"/>
        <v>Bad</v>
      </c>
    </row>
    <row r="2629" spans="2:34" x14ac:dyDescent="0.2">
      <c r="B2629" s="2">
        <f ca="1"/>
        <v>0.63641914948597567</v>
      </c>
      <c r="O2629" s="2">
        <f ca="1"/>
        <v>0.28646462658549421</v>
      </c>
      <c r="X2629" s="2">
        <f ca="1"/>
        <v>103.82049225084117</v>
      </c>
      <c r="AG2629" s="2">
        <f ca="1"/>
        <v>7.8060369023065901E-2</v>
      </c>
      <c r="AH2629" s="2" t="str">
        <f ca="1"/>
        <v>OK</v>
      </c>
    </row>
    <row r="2630" spans="2:34" x14ac:dyDescent="0.2">
      <c r="B2630" s="2">
        <f ca="1"/>
        <v>0.40935078389087343</v>
      </c>
      <c r="O2630" s="2">
        <f ca="1"/>
        <v>0.24786208615931496</v>
      </c>
      <c r="X2630" s="2">
        <f ca="1"/>
        <v>25.919293764828598</v>
      </c>
      <c r="AG2630" s="2">
        <f ca="1"/>
        <v>0.80604867608705577</v>
      </c>
      <c r="AH2630" s="2" t="str">
        <f ca="1"/>
        <v>Bad</v>
      </c>
    </row>
    <row r="2631" spans="2:34" x14ac:dyDescent="0.2">
      <c r="B2631" s="2">
        <f ca="1"/>
        <v>9.5761131855557791E-2</v>
      </c>
      <c r="O2631" s="2">
        <f ca="1"/>
        <v>-0.75686760701700462</v>
      </c>
      <c r="X2631" s="2">
        <f ca="1"/>
        <v>60.281777613468215</v>
      </c>
      <c r="AG2631" s="2">
        <f ca="1"/>
        <v>0.78007985273871827</v>
      </c>
      <c r="AH2631" s="2" t="str">
        <f ca="1"/>
        <v>Bad</v>
      </c>
    </row>
    <row r="2632" spans="2:34" x14ac:dyDescent="0.2">
      <c r="B2632" s="2">
        <f ca="1"/>
        <v>0.49332624402036584</v>
      </c>
      <c r="O2632" s="2">
        <f ca="1"/>
        <v>-1.778639887761182</v>
      </c>
      <c r="X2632" s="2">
        <f ca="1"/>
        <v>34.637046021305764</v>
      </c>
      <c r="AG2632" s="2">
        <f ca="1"/>
        <v>0.67752741804518979</v>
      </c>
      <c r="AH2632" s="2" t="str">
        <f ca="1"/>
        <v>Bad</v>
      </c>
    </row>
    <row r="2633" spans="2:34" x14ac:dyDescent="0.2">
      <c r="B2633" s="2">
        <f ca="1"/>
        <v>0.75497654643558354</v>
      </c>
      <c r="O2633" s="2">
        <f ca="1"/>
        <v>-3.914416282249026E-2</v>
      </c>
      <c r="X2633" s="2">
        <f ca="1"/>
        <v>49.533931794378709</v>
      </c>
      <c r="AG2633" s="2">
        <f ca="1"/>
        <v>0.77352121951858499</v>
      </c>
      <c r="AH2633" s="2" t="str">
        <f ca="1"/>
        <v>Bad</v>
      </c>
    </row>
    <row r="2634" spans="2:34" x14ac:dyDescent="0.2">
      <c r="B2634" s="2">
        <f ca="1"/>
        <v>0.99916761996262649</v>
      </c>
      <c r="O2634" s="2">
        <f ca="1"/>
        <v>1.8436907788739747</v>
      </c>
      <c r="X2634" s="2">
        <f ca="1"/>
        <v>49.359827242817722</v>
      </c>
      <c r="AG2634" s="2">
        <f ca="1"/>
        <v>0.64172363838224999</v>
      </c>
      <c r="AH2634" s="2" t="str">
        <f ca="1"/>
        <v>Bad</v>
      </c>
    </row>
    <row r="2635" spans="2:34" x14ac:dyDescent="0.2">
      <c r="B2635" s="2">
        <f ca="1"/>
        <v>0.66627694672793436</v>
      </c>
      <c r="O2635" s="2">
        <f ca="1"/>
        <v>-0.70666268915804098</v>
      </c>
      <c r="X2635" s="2">
        <f ca="1"/>
        <v>79.691658048921227</v>
      </c>
      <c r="AG2635" s="2">
        <f ca="1"/>
        <v>0.90759675746377066</v>
      </c>
      <c r="AH2635" s="2" t="str">
        <f ca="1"/>
        <v>Bad</v>
      </c>
    </row>
    <row r="2636" spans="2:34" x14ac:dyDescent="0.2">
      <c r="B2636" s="2">
        <f ca="1"/>
        <v>0.73393000498293159</v>
      </c>
      <c r="O2636" s="2">
        <f ca="1"/>
        <v>-0.3826200485734409</v>
      </c>
      <c r="X2636" s="2">
        <f ca="1"/>
        <v>41.419849063714338</v>
      </c>
      <c r="AG2636" s="2">
        <f ca="1"/>
        <v>0.38283391155615565</v>
      </c>
      <c r="AH2636" s="2" t="str">
        <f ca="1"/>
        <v>OK</v>
      </c>
    </row>
    <row r="2637" spans="2:34" x14ac:dyDescent="0.2">
      <c r="B2637" s="2">
        <f ca="1"/>
        <v>0.37146973726147614</v>
      </c>
      <c r="O2637" s="2">
        <f ca="1"/>
        <v>0.40399799646627371</v>
      </c>
      <c r="X2637" s="2">
        <f ca="1"/>
        <v>69.620204790725268</v>
      </c>
      <c r="AG2637" s="2">
        <f ca="1"/>
        <v>0.95290445488383901</v>
      </c>
      <c r="AH2637" s="2" t="str">
        <f ca="1"/>
        <v>Bad</v>
      </c>
    </row>
    <row r="2638" spans="2:34" x14ac:dyDescent="0.2">
      <c r="B2638" s="2">
        <f ca="1"/>
        <v>0.64312215501330994</v>
      </c>
      <c r="O2638" s="2">
        <f ca="1"/>
        <v>-0.56271529472407478</v>
      </c>
      <c r="X2638" s="2">
        <f ca="1"/>
        <v>50.579372919292574</v>
      </c>
      <c r="AG2638" s="2">
        <f ca="1"/>
        <v>9.2828535549083657E-2</v>
      </c>
      <c r="AH2638" s="2" t="str">
        <f ca="1"/>
        <v>OK</v>
      </c>
    </row>
    <row r="2639" spans="2:34" x14ac:dyDescent="0.2">
      <c r="B2639" s="2">
        <f ca="1"/>
        <v>0.12910571811070204</v>
      </c>
      <c r="O2639" s="2">
        <f ca="1"/>
        <v>-0.80430448879304084</v>
      </c>
      <c r="X2639" s="2">
        <f ca="1"/>
        <v>34.323566723468133</v>
      </c>
      <c r="AG2639" s="2">
        <f ca="1"/>
        <v>0.29913168694430103</v>
      </c>
      <c r="AH2639" s="2" t="str">
        <f ca="1"/>
        <v>OK</v>
      </c>
    </row>
    <row r="2640" spans="2:34" x14ac:dyDescent="0.2">
      <c r="B2640" s="2">
        <f ca="1"/>
        <v>0.31996343688067053</v>
      </c>
      <c r="O2640" s="2">
        <f ca="1"/>
        <v>0.58475449519236611</v>
      </c>
      <c r="X2640" s="2">
        <f ca="1"/>
        <v>33.393018640598939</v>
      </c>
      <c r="AG2640" s="2">
        <f ca="1"/>
        <v>0.74375295971160194</v>
      </c>
      <c r="AH2640" s="2" t="str">
        <f ca="1"/>
        <v>Bad</v>
      </c>
    </row>
    <row r="2641" spans="2:34" x14ac:dyDescent="0.2">
      <c r="B2641" s="2">
        <f ca="1"/>
        <v>0.29589070932572348</v>
      </c>
      <c r="O2641" s="2">
        <f ca="1"/>
        <v>-1.4538192236866483</v>
      </c>
      <c r="X2641" s="2">
        <f ca="1"/>
        <v>45.853332620761115</v>
      </c>
      <c r="AG2641" s="2">
        <f ca="1"/>
        <v>0.79546036476364756</v>
      </c>
      <c r="AH2641" s="2" t="str">
        <f ca="1"/>
        <v>Bad</v>
      </c>
    </row>
    <row r="2642" spans="2:34" x14ac:dyDescent="0.2">
      <c r="B2642" s="2">
        <f ca="1"/>
        <v>0.59599169077730085</v>
      </c>
      <c r="O2642" s="2">
        <f ca="1"/>
        <v>1.0044347185895608</v>
      </c>
      <c r="X2642" s="2">
        <f ca="1"/>
        <v>45.769855805016</v>
      </c>
      <c r="AG2642" s="2">
        <f ca="1"/>
        <v>0.14570775265379776</v>
      </c>
      <c r="AH2642" s="2" t="str">
        <f ca="1"/>
        <v>OK</v>
      </c>
    </row>
    <row r="2643" spans="2:34" x14ac:dyDescent="0.2">
      <c r="B2643" s="2">
        <f ca="1"/>
        <v>0.18795023552265855</v>
      </c>
      <c r="O2643" s="2">
        <f ca="1"/>
        <v>-0.35693852963486006</v>
      </c>
      <c r="X2643" s="2">
        <f ca="1"/>
        <v>38.409840320368914</v>
      </c>
      <c r="AG2643" s="2">
        <f ca="1"/>
        <v>0.2585116197325954</v>
      </c>
      <c r="AH2643" s="2" t="str">
        <f ca="1"/>
        <v>OK</v>
      </c>
    </row>
    <row r="2644" spans="2:34" x14ac:dyDescent="0.2">
      <c r="B2644" s="2">
        <f ca="1"/>
        <v>0.30959938740680637</v>
      </c>
      <c r="O2644" s="2">
        <f ca="1"/>
        <v>-0.46718070686582341</v>
      </c>
      <c r="X2644" s="2">
        <f ca="1"/>
        <v>45.398416106134732</v>
      </c>
      <c r="AG2644" s="2">
        <f ca="1"/>
        <v>0.63773711793967802</v>
      </c>
      <c r="AH2644" s="2" t="str">
        <f ca="1"/>
        <v>Bad</v>
      </c>
    </row>
    <row r="2645" spans="2:34" x14ac:dyDescent="0.2">
      <c r="B2645" s="2">
        <f ca="1"/>
        <v>0.85751947271611018</v>
      </c>
      <c r="O2645" s="2">
        <f ca="1"/>
        <v>-0.94476338416031047</v>
      </c>
      <c r="X2645" s="2">
        <f ca="1"/>
        <v>46.389362507913233</v>
      </c>
      <c r="AG2645" s="2">
        <f ca="1"/>
        <v>0.49823755593393093</v>
      </c>
      <c r="AH2645" s="2" t="str">
        <f ca="1"/>
        <v>Bad</v>
      </c>
    </row>
    <row r="2646" spans="2:34" x14ac:dyDescent="0.2">
      <c r="B2646" s="2">
        <f ca="1"/>
        <v>0.68539317552333534</v>
      </c>
      <c r="O2646" s="2">
        <f ca="1"/>
        <v>-0.53653494071327346</v>
      </c>
      <c r="X2646" s="2">
        <f ca="1"/>
        <v>42.05742397646884</v>
      </c>
      <c r="AG2646" s="2">
        <f ca="1"/>
        <v>2.1504441524496265E-2</v>
      </c>
      <c r="AH2646" s="2" t="str">
        <f ca="1"/>
        <v>Good</v>
      </c>
    </row>
    <row r="2647" spans="2:34" x14ac:dyDescent="0.2">
      <c r="B2647" s="2">
        <f ca="1"/>
        <v>0.17414976150140626</v>
      </c>
      <c r="O2647" s="2">
        <f ca="1"/>
        <v>-1.0038224635301369</v>
      </c>
      <c r="X2647" s="2">
        <f ca="1"/>
        <v>23.866611323801237</v>
      </c>
      <c r="AG2647" s="2">
        <f ca="1"/>
        <v>0.74815319862102059</v>
      </c>
      <c r="AH2647" s="2" t="str">
        <f ca="1"/>
        <v>Bad</v>
      </c>
    </row>
    <row r="2648" spans="2:34" x14ac:dyDescent="0.2">
      <c r="B2648" s="2">
        <f ca="1"/>
        <v>0.1307209791756534</v>
      </c>
      <c r="O2648" s="2">
        <f ca="1"/>
        <v>-0.61810036715388761</v>
      </c>
      <c r="X2648" s="2">
        <f ca="1"/>
        <v>32.249337764824709</v>
      </c>
      <c r="AG2648" s="2">
        <f ca="1"/>
        <v>0.6721347961935209</v>
      </c>
      <c r="AH2648" s="2" t="str">
        <f ca="1"/>
        <v>Bad</v>
      </c>
    </row>
    <row r="2649" spans="2:34" x14ac:dyDescent="0.2">
      <c r="B2649" s="2">
        <f ca="1"/>
        <v>0.16341353211557119</v>
      </c>
      <c r="O2649" s="2">
        <f ca="1"/>
        <v>0.51103680991611278</v>
      </c>
      <c r="X2649" s="2">
        <f ca="1"/>
        <v>32.423661196174393</v>
      </c>
      <c r="AG2649" s="2">
        <f ca="1"/>
        <v>0.71071956444905338</v>
      </c>
      <c r="AH2649" s="2" t="str">
        <f ca="1"/>
        <v>Bad</v>
      </c>
    </row>
    <row r="2650" spans="2:34" x14ac:dyDescent="0.2">
      <c r="B2650" s="2">
        <f ca="1"/>
        <v>0.87766592391153497</v>
      </c>
      <c r="O2650" s="2">
        <f ca="1"/>
        <v>0.15156354304850025</v>
      </c>
      <c r="X2650" s="2">
        <f ca="1"/>
        <v>51.029903609139623</v>
      </c>
      <c r="AG2650" s="2">
        <f ca="1"/>
        <v>0.67089593751352705</v>
      </c>
      <c r="AH2650" s="2" t="str">
        <f ca="1"/>
        <v>Bad</v>
      </c>
    </row>
    <row r="2651" spans="2:34" x14ac:dyDescent="0.2">
      <c r="B2651" s="2">
        <f ca="1"/>
        <v>0.95775876218957512</v>
      </c>
      <c r="O2651" s="2">
        <f ca="1"/>
        <v>0.10232036162496487</v>
      </c>
      <c r="X2651" s="2">
        <f ca="1"/>
        <v>87.666442992987982</v>
      </c>
      <c r="AG2651" s="2">
        <f ca="1"/>
        <v>0.42408721391094861</v>
      </c>
      <c r="AH2651" s="2" t="str">
        <f ca="1"/>
        <v>Bad</v>
      </c>
    </row>
    <row r="2652" spans="2:34" x14ac:dyDescent="0.2">
      <c r="B2652" s="2">
        <f ca="1"/>
        <v>8.3518439376409237E-2</v>
      </c>
      <c r="O2652" s="2">
        <f ca="1"/>
        <v>0.19676999398486719</v>
      </c>
      <c r="X2652" s="2">
        <f ca="1"/>
        <v>45.620862794942141</v>
      </c>
      <c r="AG2652" s="2">
        <f ca="1"/>
        <v>0.45465193152711025</v>
      </c>
      <c r="AH2652" s="2" t="str">
        <f ca="1"/>
        <v>Bad</v>
      </c>
    </row>
    <row r="2653" spans="2:34" x14ac:dyDescent="0.2">
      <c r="B2653" s="2">
        <f ca="1"/>
        <v>0.65641104656579174</v>
      </c>
      <c r="O2653" s="2">
        <f ca="1"/>
        <v>3.2385990338235096E-2</v>
      </c>
      <c r="X2653" s="2">
        <f ca="1"/>
        <v>38.929517171582582</v>
      </c>
      <c r="AG2653" s="2">
        <f ca="1"/>
        <v>0.41321564068280603</v>
      </c>
      <c r="AH2653" s="2" t="str">
        <f ca="1"/>
        <v>Bad</v>
      </c>
    </row>
    <row r="2654" spans="2:34" x14ac:dyDescent="0.2">
      <c r="B2654" s="2">
        <f ca="1"/>
        <v>0.80569687648524302</v>
      </c>
      <c r="O2654" s="2">
        <f ca="1"/>
        <v>-0.43735953137823069</v>
      </c>
      <c r="X2654" s="2">
        <f ca="1"/>
        <v>52.608858113073097</v>
      </c>
      <c r="AG2654" s="2">
        <f ca="1"/>
        <v>0.6483991258917754</v>
      </c>
      <c r="AH2654" s="2" t="str">
        <f ca="1"/>
        <v>Bad</v>
      </c>
    </row>
    <row r="2655" spans="2:34" x14ac:dyDescent="0.2">
      <c r="B2655" s="2">
        <f ca="1"/>
        <v>0.20185304553686922</v>
      </c>
      <c r="O2655" s="2">
        <f ca="1"/>
        <v>-2.2702102042923449</v>
      </c>
      <c r="X2655" s="2">
        <f ca="1"/>
        <v>21.787881211524464</v>
      </c>
      <c r="AG2655" s="2">
        <f ca="1"/>
        <v>0.14340599967070555</v>
      </c>
      <c r="AH2655" s="2" t="str">
        <f ca="1"/>
        <v>OK</v>
      </c>
    </row>
    <row r="2656" spans="2:34" x14ac:dyDescent="0.2">
      <c r="B2656" s="2">
        <f ca="1"/>
        <v>0.38061959958498504</v>
      </c>
      <c r="O2656" s="2">
        <f ca="1"/>
        <v>0.12923740836745476</v>
      </c>
      <c r="X2656" s="2">
        <f ca="1"/>
        <v>37.28862417713421</v>
      </c>
      <c r="AG2656" s="2">
        <f ca="1"/>
        <v>0.23749078030474546</v>
      </c>
      <c r="AH2656" s="2" t="str">
        <f ca="1"/>
        <v>OK</v>
      </c>
    </row>
    <row r="2657" spans="2:34" x14ac:dyDescent="0.2">
      <c r="B2657" s="2">
        <f ca="1"/>
        <v>0.8935893221297333</v>
      </c>
      <c r="O2657" s="2">
        <f ca="1"/>
        <v>0.62162461772839461</v>
      </c>
      <c r="X2657" s="2">
        <f ca="1"/>
        <v>45.001382296186357</v>
      </c>
      <c r="AG2657" s="2">
        <f ca="1"/>
        <v>0.59961990610568994</v>
      </c>
      <c r="AH2657" s="2" t="str">
        <f ca="1"/>
        <v>Bad</v>
      </c>
    </row>
    <row r="2658" spans="2:34" x14ac:dyDescent="0.2">
      <c r="B2658" s="2">
        <f ca="1"/>
        <v>0.31174331403287248</v>
      </c>
      <c r="O2658" s="2">
        <f ca="1"/>
        <v>0.23839316789398368</v>
      </c>
      <c r="X2658" s="2">
        <f ca="1"/>
        <v>52.920363454343367</v>
      </c>
      <c r="AG2658" s="2">
        <f ca="1"/>
        <v>0.98784554819599024</v>
      </c>
      <c r="AH2658" s="2" t="str">
        <f ca="1"/>
        <v>Bad</v>
      </c>
    </row>
    <row r="2659" spans="2:34" x14ac:dyDescent="0.2">
      <c r="B2659" s="2">
        <f ca="1"/>
        <v>0.59800299767258425</v>
      </c>
      <c r="O2659" s="2">
        <f ca="1"/>
        <v>6.093783993670969E-2</v>
      </c>
      <c r="X2659" s="2">
        <f ca="1"/>
        <v>77.204949418236907</v>
      </c>
      <c r="AG2659" s="2">
        <f ca="1"/>
        <v>0.87243113352592716</v>
      </c>
      <c r="AH2659" s="2" t="str">
        <f ca="1"/>
        <v>Bad</v>
      </c>
    </row>
    <row r="2660" spans="2:34" x14ac:dyDescent="0.2">
      <c r="B2660" s="2">
        <f ca="1"/>
        <v>5.9964475014220309E-2</v>
      </c>
      <c r="O2660" s="2">
        <f ca="1"/>
        <v>1.7197299793102385</v>
      </c>
      <c r="X2660" s="2">
        <f ca="1"/>
        <v>42.071230454591621</v>
      </c>
      <c r="AG2660" s="2">
        <f ca="1"/>
        <v>2.9611281536698453E-2</v>
      </c>
      <c r="AH2660" s="2" t="str">
        <f ca="1"/>
        <v>Good</v>
      </c>
    </row>
    <row r="2661" spans="2:34" x14ac:dyDescent="0.2">
      <c r="B2661" s="2">
        <f ca="1"/>
        <v>0.71726045304059238</v>
      </c>
      <c r="O2661" s="2">
        <f ca="1"/>
        <v>-1.4381198018322243</v>
      </c>
      <c r="X2661" s="2">
        <f ca="1"/>
        <v>45.029168904030641</v>
      </c>
      <c r="AG2661" s="2">
        <f ca="1"/>
        <v>0.13253423527330943</v>
      </c>
      <c r="AH2661" s="2" t="str">
        <f ca="1"/>
        <v>OK</v>
      </c>
    </row>
    <row r="2662" spans="2:34" x14ac:dyDescent="0.2">
      <c r="B2662" s="2">
        <f ca="1"/>
        <v>0.66317427827097286</v>
      </c>
      <c r="O2662" s="2">
        <f ca="1"/>
        <v>1.3903882186020753</v>
      </c>
      <c r="X2662" s="2">
        <f ca="1"/>
        <v>41.593134475873114</v>
      </c>
      <c r="AG2662" s="2">
        <f ca="1"/>
        <v>0.33684233781210149</v>
      </c>
      <c r="AH2662" s="2" t="str">
        <f ca="1"/>
        <v>OK</v>
      </c>
    </row>
    <row r="2663" spans="2:34" x14ac:dyDescent="0.2">
      <c r="B2663" s="2">
        <f ca="1"/>
        <v>0.93449789552061846</v>
      </c>
      <c r="O2663" s="2">
        <f ca="1"/>
        <v>-0.18223502573285699</v>
      </c>
      <c r="X2663" s="2">
        <f ca="1"/>
        <v>23.078403442620999</v>
      </c>
      <c r="AG2663" s="2">
        <f ca="1"/>
        <v>0.48032963278324448</v>
      </c>
      <c r="AH2663" s="2" t="str">
        <f ca="1"/>
        <v>Bad</v>
      </c>
    </row>
    <row r="2664" spans="2:34" x14ac:dyDescent="0.2">
      <c r="B2664" s="2">
        <f ca="1"/>
        <v>0.490568550909662</v>
      </c>
      <c r="O2664" s="2">
        <f ca="1"/>
        <v>0.62157131611673444</v>
      </c>
      <c r="X2664" s="2">
        <f ca="1"/>
        <v>75.13954521444785</v>
      </c>
      <c r="AG2664" s="2">
        <f ca="1"/>
        <v>0.8062325296719477</v>
      </c>
      <c r="AH2664" s="2" t="str">
        <f ca="1"/>
        <v>Bad</v>
      </c>
    </row>
    <row r="2665" spans="2:34" x14ac:dyDescent="0.2">
      <c r="B2665" s="2">
        <f ca="1"/>
        <v>0.74871615877163955</v>
      </c>
      <c r="O2665" s="2">
        <f ca="1"/>
        <v>-1.9449984059046934</v>
      </c>
      <c r="X2665" s="2">
        <f ca="1"/>
        <v>55.156695584334912</v>
      </c>
      <c r="AG2665" s="2">
        <f ca="1"/>
        <v>0.87109134797292009</v>
      </c>
      <c r="AH2665" s="2" t="str">
        <f ca="1"/>
        <v>Bad</v>
      </c>
    </row>
    <row r="2666" spans="2:34" x14ac:dyDescent="0.2">
      <c r="B2666" s="2">
        <f ca="1"/>
        <v>0.96315243989082822</v>
      </c>
      <c r="O2666" s="2">
        <f ca="1"/>
        <v>0.4691203337853182</v>
      </c>
      <c r="X2666" s="2">
        <f ca="1"/>
        <v>37.584419287379397</v>
      </c>
      <c r="AG2666" s="2">
        <f ca="1"/>
        <v>9.9929942310187148E-2</v>
      </c>
      <c r="AH2666" s="2" t="str">
        <f ca="1"/>
        <v>OK</v>
      </c>
    </row>
    <row r="2667" spans="2:34" x14ac:dyDescent="0.2">
      <c r="B2667" s="2">
        <f ca="1"/>
        <v>0.91602090670395686</v>
      </c>
      <c r="O2667" s="2">
        <f ca="1"/>
        <v>1.9940492984440794</v>
      </c>
      <c r="X2667" s="2">
        <f ca="1"/>
        <v>63.892155492549747</v>
      </c>
      <c r="AG2667" s="2">
        <f ca="1"/>
        <v>0.20717295119397638</v>
      </c>
      <c r="AH2667" s="2" t="str">
        <f ca="1"/>
        <v>OK</v>
      </c>
    </row>
    <row r="2668" spans="2:34" x14ac:dyDescent="0.2">
      <c r="B2668" s="2">
        <f ca="1"/>
        <v>0.64499193839286884</v>
      </c>
      <c r="O2668" s="2">
        <f ca="1"/>
        <v>1.0251700469703213E-2</v>
      </c>
      <c r="X2668" s="2">
        <f ca="1"/>
        <v>59.466409604426602</v>
      </c>
      <c r="AG2668" s="2">
        <f ca="1"/>
        <v>0.90201755314870713</v>
      </c>
      <c r="AH2668" s="2" t="str">
        <f ca="1"/>
        <v>Bad</v>
      </c>
    </row>
    <row r="2669" spans="2:34" x14ac:dyDescent="0.2">
      <c r="B2669" s="2">
        <f ca="1"/>
        <v>0.26572691544557236</v>
      </c>
      <c r="O2669" s="2">
        <f ca="1"/>
        <v>-1.8143304960288584</v>
      </c>
      <c r="X2669" s="2">
        <f ca="1"/>
        <v>59.610992396541832</v>
      </c>
      <c r="AG2669" s="2">
        <f ca="1"/>
        <v>0.24455646426479349</v>
      </c>
      <c r="AH2669" s="2" t="str">
        <f ca="1"/>
        <v>OK</v>
      </c>
    </row>
    <row r="2670" spans="2:34" x14ac:dyDescent="0.2">
      <c r="B2670" s="2">
        <f ca="1"/>
        <v>0.6220331954153433</v>
      </c>
      <c r="O2670" s="2">
        <f ca="1"/>
        <v>1.9938929404680172</v>
      </c>
      <c r="X2670" s="2">
        <f ca="1"/>
        <v>80.046177061040311</v>
      </c>
      <c r="AG2670" s="2">
        <f ca="1"/>
        <v>0.85086906844675858</v>
      </c>
      <c r="AH2670" s="2" t="str">
        <f ca="1"/>
        <v>Bad</v>
      </c>
    </row>
    <row r="2671" spans="2:34" x14ac:dyDescent="0.2">
      <c r="B2671" s="2">
        <f ca="1"/>
        <v>0.51480237286767094</v>
      </c>
      <c r="O2671" s="2">
        <f ca="1"/>
        <v>-0.17651571416177794</v>
      </c>
      <c r="X2671" s="2">
        <f ca="1"/>
        <v>53.229122409695798</v>
      </c>
      <c r="AG2671" s="2">
        <f ca="1"/>
        <v>0.72043253025697673</v>
      </c>
      <c r="AH2671" s="2" t="str">
        <f ca="1"/>
        <v>Bad</v>
      </c>
    </row>
    <row r="2672" spans="2:34" x14ac:dyDescent="0.2">
      <c r="B2672" s="2">
        <f ca="1"/>
        <v>0.95697468500432148</v>
      </c>
      <c r="O2672" s="2">
        <f ca="1"/>
        <v>-0.96580941290150324</v>
      </c>
      <c r="X2672" s="2">
        <f ca="1"/>
        <v>29.435099805689994</v>
      </c>
      <c r="AG2672" s="2">
        <f ca="1"/>
        <v>0.82101282504013695</v>
      </c>
      <c r="AH2672" s="2" t="str">
        <f ca="1"/>
        <v>Bad</v>
      </c>
    </row>
    <row r="2673" spans="2:34" x14ac:dyDescent="0.2">
      <c r="B2673" s="2">
        <f ca="1"/>
        <v>0.26502434371599737</v>
      </c>
      <c r="O2673" s="2">
        <f ca="1"/>
        <v>-0.28573104689740503</v>
      </c>
      <c r="X2673" s="2">
        <f ca="1"/>
        <v>58.099295384756424</v>
      </c>
      <c r="AG2673" s="2">
        <f ca="1"/>
        <v>0.19076831166205199</v>
      </c>
      <c r="AH2673" s="2" t="str">
        <f ca="1"/>
        <v>OK</v>
      </c>
    </row>
    <row r="2674" spans="2:34" x14ac:dyDescent="0.2">
      <c r="B2674" s="2">
        <f ca="1"/>
        <v>0.55352177038331996</v>
      </c>
      <c r="O2674" s="2">
        <f ca="1"/>
        <v>-7.4063688636984953E-2</v>
      </c>
      <c r="X2674" s="2">
        <f ca="1"/>
        <v>54.560781168515007</v>
      </c>
      <c r="AG2674" s="2">
        <f ca="1"/>
        <v>0.88748898033908241</v>
      </c>
      <c r="AH2674" s="2" t="str">
        <f ca="1"/>
        <v>Bad</v>
      </c>
    </row>
    <row r="2675" spans="2:34" x14ac:dyDescent="0.2">
      <c r="B2675" s="2">
        <f ca="1"/>
        <v>0.25235532484382439</v>
      </c>
      <c r="O2675" s="2">
        <f ca="1"/>
        <v>0.60504636804694623</v>
      </c>
      <c r="X2675" s="2">
        <f ca="1"/>
        <v>31.518700797444531</v>
      </c>
      <c r="AG2675" s="2">
        <f ca="1"/>
        <v>0.57904155839275084</v>
      </c>
      <c r="AH2675" s="2" t="str">
        <f ca="1"/>
        <v>Bad</v>
      </c>
    </row>
    <row r="2676" spans="2:34" x14ac:dyDescent="0.2">
      <c r="B2676" s="2">
        <f ca="1"/>
        <v>0.96833070408192801</v>
      </c>
      <c r="O2676" s="2">
        <f ca="1"/>
        <v>1.0248189579137357</v>
      </c>
      <c r="X2676" s="2">
        <f ca="1"/>
        <v>34.898449795178905</v>
      </c>
      <c r="AG2676" s="2">
        <f ca="1"/>
        <v>9.4933963267654242E-2</v>
      </c>
      <c r="AH2676" s="2" t="str">
        <f ca="1"/>
        <v>OK</v>
      </c>
    </row>
    <row r="2677" spans="2:34" x14ac:dyDescent="0.2">
      <c r="B2677" s="2">
        <f ca="1"/>
        <v>0.19843465055888099</v>
      </c>
      <c r="O2677" s="2">
        <f ca="1"/>
        <v>-0.17898878344533845</v>
      </c>
      <c r="X2677" s="2">
        <f ca="1"/>
        <v>54.429131581863828</v>
      </c>
      <c r="AG2677" s="2">
        <f ca="1"/>
        <v>0.29067571832088568</v>
      </c>
      <c r="AH2677" s="2" t="str">
        <f ca="1"/>
        <v>OK</v>
      </c>
    </row>
    <row r="2678" spans="2:34" x14ac:dyDescent="0.2">
      <c r="B2678" s="2">
        <f ca="1"/>
        <v>0.22979569406363098</v>
      </c>
      <c r="O2678" s="2">
        <f ca="1"/>
        <v>9.4537486468329171E-2</v>
      </c>
      <c r="X2678" s="2">
        <f ca="1"/>
        <v>41.620934763284374</v>
      </c>
      <c r="AG2678" s="2">
        <f ca="1"/>
        <v>0.79278210027463647</v>
      </c>
      <c r="AH2678" s="2" t="str">
        <f ca="1"/>
        <v>Bad</v>
      </c>
    </row>
    <row r="2679" spans="2:34" x14ac:dyDescent="0.2">
      <c r="B2679" s="2">
        <f ca="1"/>
        <v>0.71023099685079827</v>
      </c>
      <c r="O2679" s="2">
        <f ca="1"/>
        <v>0.18502859543886652</v>
      </c>
      <c r="X2679" s="2">
        <f ca="1"/>
        <v>32.199315287086009</v>
      </c>
      <c r="AG2679" s="2">
        <f ca="1"/>
        <v>4.466935344182188E-3</v>
      </c>
      <c r="AH2679" s="2" t="str">
        <f ca="1"/>
        <v>Good</v>
      </c>
    </row>
    <row r="2680" spans="2:34" x14ac:dyDescent="0.2">
      <c r="B2680" s="2">
        <f ca="1"/>
        <v>0.34277370180981892</v>
      </c>
      <c r="O2680" s="2">
        <f ca="1"/>
        <v>0.24270988933565943</v>
      </c>
      <c r="X2680" s="2">
        <f ca="1"/>
        <v>52.291342054763078</v>
      </c>
      <c r="AG2680" s="2">
        <f ca="1"/>
        <v>0.99471620254088133</v>
      </c>
      <c r="AH2680" s="2" t="str">
        <f ca="1"/>
        <v>Bad</v>
      </c>
    </row>
    <row r="2681" spans="2:34" x14ac:dyDescent="0.2">
      <c r="B2681" s="2">
        <f ca="1"/>
        <v>0.94348195431043713</v>
      </c>
      <c r="O2681" s="2">
        <f ca="1"/>
        <v>1.4088581252358505</v>
      </c>
      <c r="X2681" s="2">
        <f ca="1"/>
        <v>46.231749211538016</v>
      </c>
      <c r="AG2681" s="2">
        <f ca="1"/>
        <v>0.72450200842516388</v>
      </c>
      <c r="AH2681" s="2" t="str">
        <f ca="1"/>
        <v>Bad</v>
      </c>
    </row>
    <row r="2682" spans="2:34" x14ac:dyDescent="0.2">
      <c r="B2682" s="2">
        <f ca="1"/>
        <v>0.53413434755099032</v>
      </c>
      <c r="O2682" s="2">
        <f ca="1"/>
        <v>-1.3299503076490591</v>
      </c>
      <c r="X2682" s="2">
        <f ca="1"/>
        <v>52.083188378718717</v>
      </c>
      <c r="AG2682" s="2">
        <f ca="1"/>
        <v>0.59482856985756971</v>
      </c>
      <c r="AH2682" s="2" t="str">
        <f ca="1"/>
        <v>Bad</v>
      </c>
    </row>
    <row r="2683" spans="2:34" x14ac:dyDescent="0.2">
      <c r="B2683" s="2">
        <f ca="1"/>
        <v>0.23418459483017262</v>
      </c>
      <c r="O2683" s="2">
        <f ca="1"/>
        <v>-0.19285134560189837</v>
      </c>
      <c r="X2683" s="2">
        <f ca="1"/>
        <v>60.976268503058805</v>
      </c>
      <c r="AG2683" s="2">
        <f ca="1"/>
        <v>0.98551015841406864</v>
      </c>
      <c r="AH2683" s="2" t="str">
        <f ca="1"/>
        <v>Bad</v>
      </c>
    </row>
    <row r="2684" spans="2:34" x14ac:dyDescent="0.2">
      <c r="B2684" s="2">
        <f ca="1"/>
        <v>0.5558299946490548</v>
      </c>
      <c r="O2684" s="2">
        <f ca="1"/>
        <v>-0.75799016564773392</v>
      </c>
      <c r="X2684" s="2">
        <f ca="1"/>
        <v>31.586443688776381</v>
      </c>
      <c r="AG2684" s="2">
        <f ca="1"/>
        <v>0.50988368564187514</v>
      </c>
      <c r="AH2684" s="2" t="str">
        <f ca="1"/>
        <v>Bad</v>
      </c>
    </row>
    <row r="2685" spans="2:34" x14ac:dyDescent="0.2">
      <c r="B2685" s="2">
        <f ca="1"/>
        <v>0.51610122679632653</v>
      </c>
      <c r="O2685" s="2">
        <f ca="1"/>
        <v>-0.48762174259376939</v>
      </c>
      <c r="X2685" s="2">
        <f ca="1"/>
        <v>53.828646119637938</v>
      </c>
      <c r="AG2685" s="2">
        <f ca="1"/>
        <v>0.62304089907506466</v>
      </c>
      <c r="AH2685" s="2" t="str">
        <f ca="1"/>
        <v>Bad</v>
      </c>
    </row>
    <row r="2686" spans="2:34" x14ac:dyDescent="0.2">
      <c r="B2686" s="2">
        <f ca="1"/>
        <v>0.6980986287778308</v>
      </c>
      <c r="O2686" s="2">
        <f ca="1"/>
        <v>1.249156493461465</v>
      </c>
      <c r="X2686" s="2">
        <f ca="1"/>
        <v>46.314253408637526</v>
      </c>
      <c r="AG2686" s="2">
        <f ca="1"/>
        <v>0.20747244100842388</v>
      </c>
      <c r="AH2686" s="2" t="str">
        <f ca="1"/>
        <v>OK</v>
      </c>
    </row>
    <row r="2687" spans="2:34" x14ac:dyDescent="0.2">
      <c r="B2687" s="2">
        <f ca="1"/>
        <v>0.11361368610589317</v>
      </c>
      <c r="O2687" s="2">
        <f ca="1"/>
        <v>1.8648084922032135</v>
      </c>
      <c r="X2687" s="2">
        <f ca="1"/>
        <v>46.012082797370226</v>
      </c>
      <c r="AG2687" s="2">
        <f ca="1"/>
        <v>0.95417267279795315</v>
      </c>
      <c r="AH2687" s="2" t="str">
        <f ca="1"/>
        <v>Bad</v>
      </c>
    </row>
    <row r="2688" spans="2:34" x14ac:dyDescent="0.2">
      <c r="B2688" s="2">
        <f ca="1"/>
        <v>0.39395667768467546</v>
      </c>
      <c r="O2688" s="2">
        <f ca="1"/>
        <v>-0.24705473902258057</v>
      </c>
      <c r="X2688" s="2">
        <f ca="1"/>
        <v>45.219918498243665</v>
      </c>
      <c r="AG2688" s="2">
        <f ca="1"/>
        <v>0.72988501894560653</v>
      </c>
      <c r="AH2688" s="2" t="str">
        <f ca="1"/>
        <v>Bad</v>
      </c>
    </row>
    <row r="2689" spans="2:34" x14ac:dyDescent="0.2">
      <c r="B2689" s="2">
        <f ca="1"/>
        <v>0.55341166420004306</v>
      </c>
      <c r="O2689" s="2">
        <f ca="1"/>
        <v>-0.41894329474960285</v>
      </c>
      <c r="X2689" s="2">
        <f ca="1"/>
        <v>52.470066959766342</v>
      </c>
      <c r="AG2689" s="2">
        <f ca="1"/>
        <v>0.77975488207984256</v>
      </c>
      <c r="AH2689" s="2" t="str">
        <f ca="1"/>
        <v>Bad</v>
      </c>
    </row>
    <row r="2690" spans="2:34" x14ac:dyDescent="0.2">
      <c r="B2690" s="2">
        <f ca="1"/>
        <v>0.43443428158445796</v>
      </c>
      <c r="O2690" s="2">
        <f ca="1"/>
        <v>-0.65620939932074751</v>
      </c>
      <c r="X2690" s="2">
        <f ca="1"/>
        <v>24.845551672429906</v>
      </c>
      <c r="AG2690" s="2">
        <f ca="1"/>
        <v>0.46743217700146733</v>
      </c>
      <c r="AH2690" s="2" t="str">
        <f ca="1"/>
        <v>Bad</v>
      </c>
    </row>
    <row r="2691" spans="2:34" x14ac:dyDescent="0.2">
      <c r="B2691" s="2">
        <f ca="1"/>
        <v>0.43208727425395477</v>
      </c>
      <c r="O2691" s="2">
        <f ca="1"/>
        <v>-0.17613965699465453</v>
      </c>
      <c r="X2691" s="2">
        <f ca="1"/>
        <v>39.303073361258868</v>
      </c>
      <c r="AG2691" s="2">
        <f ca="1"/>
        <v>0.90418172754559922</v>
      </c>
      <c r="AH2691" s="2" t="str">
        <f ca="1"/>
        <v>Bad</v>
      </c>
    </row>
    <row r="2692" spans="2:34" x14ac:dyDescent="0.2">
      <c r="B2692" s="2">
        <f ca="1"/>
        <v>0.38212607516753838</v>
      </c>
      <c r="O2692" s="2">
        <f ca="1"/>
        <v>-1.0274481046672506</v>
      </c>
      <c r="X2692" s="2">
        <f ca="1"/>
        <v>52.607193321279311</v>
      </c>
      <c r="AG2692" s="2">
        <f ca="1"/>
        <v>0.80219852308685602</v>
      </c>
      <c r="AH2692" s="2" t="str">
        <f ca="1"/>
        <v>Bad</v>
      </c>
    </row>
    <row r="2693" spans="2:34" x14ac:dyDescent="0.2">
      <c r="B2693" s="2">
        <f ca="1"/>
        <v>0.63182820170675957</v>
      </c>
      <c r="O2693" s="2">
        <f ca="1"/>
        <v>-9.2790997190958818E-2</v>
      </c>
      <c r="X2693" s="2">
        <f ca="1"/>
        <v>40.996355113586212</v>
      </c>
      <c r="AG2693" s="2">
        <f ca="1"/>
        <v>0.57786463043129666</v>
      </c>
      <c r="AH2693" s="2" t="str">
        <f ca="1"/>
        <v>Bad</v>
      </c>
    </row>
    <row r="2694" spans="2:34" x14ac:dyDescent="0.2">
      <c r="B2694" s="2">
        <f ca="1"/>
        <v>0.34248002266125677</v>
      </c>
      <c r="O2694" s="2">
        <f ca="1"/>
        <v>0.56673483345710518</v>
      </c>
      <c r="X2694" s="2">
        <f ca="1"/>
        <v>29.258581659306863</v>
      </c>
      <c r="AG2694" s="2">
        <f ca="1"/>
        <v>0.61965966534893391</v>
      </c>
      <c r="AH2694" s="2" t="str">
        <f ca="1"/>
        <v>Bad</v>
      </c>
    </row>
    <row r="2695" spans="2:34" x14ac:dyDescent="0.2">
      <c r="B2695" s="2">
        <f ca="1"/>
        <v>0.19222763964405742</v>
      </c>
      <c r="O2695" s="2">
        <f ca="1"/>
        <v>-2.5068963374544566</v>
      </c>
      <c r="X2695" s="2">
        <f ca="1"/>
        <v>41.400384698156415</v>
      </c>
      <c r="AG2695" s="2">
        <f ca="1"/>
        <v>0.81026874733360921</v>
      </c>
      <c r="AH2695" s="2" t="str">
        <f ca="1"/>
        <v>Bad</v>
      </c>
    </row>
    <row r="2696" spans="2:34" x14ac:dyDescent="0.2">
      <c r="B2696" s="2">
        <f ca="1"/>
        <v>4.5467602340384827E-2</v>
      </c>
      <c r="O2696" s="2">
        <f ca="1"/>
        <v>2.4722757354840854</v>
      </c>
      <c r="X2696" s="2">
        <f ca="1"/>
        <v>45.008207484599502</v>
      </c>
      <c r="AG2696" s="2">
        <f ca="1"/>
        <v>0.99976041339103694</v>
      </c>
      <c r="AH2696" s="2" t="str">
        <f ca="1"/>
        <v>Bad</v>
      </c>
    </row>
    <row r="2697" spans="2:34" x14ac:dyDescent="0.2">
      <c r="B2697" s="2">
        <f ca="1"/>
        <v>0.94604604526586034</v>
      </c>
      <c r="O2697" s="2">
        <f ca="1"/>
        <v>0.41310244609383562</v>
      </c>
      <c r="X2697" s="2">
        <f ca="1"/>
        <v>50.746246912432831</v>
      </c>
      <c r="AG2697" s="2">
        <f ca="1"/>
        <v>0.95821954744698967</v>
      </c>
      <c r="AH2697" s="2" t="str">
        <f ca="1"/>
        <v>Bad</v>
      </c>
    </row>
    <row r="2698" spans="2:34" x14ac:dyDescent="0.2">
      <c r="B2698" s="2">
        <f ca="1"/>
        <v>0.20405155827321275</v>
      </c>
      <c r="O2698" s="2">
        <f ca="1"/>
        <v>9.5500976729715151E-2</v>
      </c>
      <c r="X2698" s="2">
        <f ca="1"/>
        <v>60.888294050812746</v>
      </c>
      <c r="AG2698" s="2">
        <f ca="1"/>
        <v>0.53140688236791989</v>
      </c>
      <c r="AH2698" s="2" t="str">
        <f ca="1"/>
        <v>Bad</v>
      </c>
    </row>
    <row r="2699" spans="2:34" x14ac:dyDescent="0.2">
      <c r="B2699" s="2">
        <f ca="1"/>
        <v>6.2132035060539437E-2</v>
      </c>
      <c r="O2699" s="2">
        <f ca="1"/>
        <v>0.17820955257809759</v>
      </c>
      <c r="X2699" s="2">
        <f ca="1"/>
        <v>54.133157269783439</v>
      </c>
      <c r="AG2699" s="2">
        <f ca="1"/>
        <v>0.33871188206344982</v>
      </c>
      <c r="AH2699" s="2" t="str">
        <f ca="1"/>
        <v>OK</v>
      </c>
    </row>
    <row r="2700" spans="2:34" x14ac:dyDescent="0.2">
      <c r="B2700" s="2">
        <f ca="1"/>
        <v>0.63304219014518259</v>
      </c>
      <c r="O2700" s="2">
        <f ca="1"/>
        <v>0.54298865262575191</v>
      </c>
      <c r="X2700" s="2">
        <f ca="1"/>
        <v>71.114722910103495</v>
      </c>
      <c r="AG2700" s="2">
        <f ca="1"/>
        <v>0.22944076590087481</v>
      </c>
      <c r="AH2700" s="2" t="str">
        <f ca="1"/>
        <v>OK</v>
      </c>
    </row>
    <row r="2701" spans="2:34" x14ac:dyDescent="0.2">
      <c r="B2701" s="2">
        <f ca="1"/>
        <v>0.83579681242284543</v>
      </c>
      <c r="O2701" s="2">
        <f ca="1"/>
        <v>0.80228598117051553</v>
      </c>
      <c r="X2701" s="2">
        <f ca="1"/>
        <v>66.691864373360104</v>
      </c>
      <c r="AG2701" s="2">
        <f ca="1"/>
        <v>0.18045748910867698</v>
      </c>
      <c r="AH2701" s="2" t="str">
        <f ca="1"/>
        <v>OK</v>
      </c>
    </row>
    <row r="2702" spans="2:34" x14ac:dyDescent="0.2">
      <c r="B2702" s="2">
        <f ca="1"/>
        <v>0.77670035085475431</v>
      </c>
      <c r="O2702" s="2">
        <f ca="1"/>
        <v>-1.5298974299303254</v>
      </c>
      <c r="X2702" s="2">
        <f ca="1"/>
        <v>45.900275054128763</v>
      </c>
      <c r="AG2702" s="2">
        <f ca="1"/>
        <v>0.64003780735350624</v>
      </c>
      <c r="AH2702" s="2" t="str">
        <f ca="1"/>
        <v>Bad</v>
      </c>
    </row>
    <row r="2703" spans="2:34" x14ac:dyDescent="0.2">
      <c r="B2703" s="2">
        <f ca="1"/>
        <v>0.47972329401421376</v>
      </c>
      <c r="O2703" s="2">
        <f ca="1"/>
        <v>-0.16592494221314444</v>
      </c>
      <c r="X2703" s="2">
        <f ca="1"/>
        <v>34.744058706457047</v>
      </c>
      <c r="AG2703" s="2">
        <f ca="1"/>
        <v>0.79161392660774332</v>
      </c>
      <c r="AH2703" s="2" t="str">
        <f ca="1"/>
        <v>Bad</v>
      </c>
    </row>
    <row r="2704" spans="2:34" x14ac:dyDescent="0.2">
      <c r="B2704" s="2">
        <f ca="1"/>
        <v>0.78077870150021877</v>
      </c>
      <c r="O2704" s="2">
        <f ca="1"/>
        <v>0.24167870907639472</v>
      </c>
      <c r="X2704" s="2">
        <f ca="1"/>
        <v>55.35730266386112</v>
      </c>
      <c r="AG2704" s="2">
        <f ca="1"/>
        <v>0.31763210103875283</v>
      </c>
      <c r="AH2704" s="2" t="str">
        <f ca="1"/>
        <v>OK</v>
      </c>
    </row>
    <row r="2705" spans="2:34" x14ac:dyDescent="0.2">
      <c r="B2705" s="2">
        <f ca="1"/>
        <v>0.10067954340040597</v>
      </c>
      <c r="O2705" s="2">
        <f ca="1"/>
        <v>0.67742735003602761</v>
      </c>
      <c r="X2705" s="2">
        <f ca="1"/>
        <v>62.919226346876343</v>
      </c>
      <c r="AG2705" s="2">
        <f ca="1"/>
        <v>0.73408240777162015</v>
      </c>
      <c r="AH2705" s="2" t="str">
        <f ca="1"/>
        <v>Bad</v>
      </c>
    </row>
    <row r="2706" spans="2:34" x14ac:dyDescent="0.2">
      <c r="B2706" s="2">
        <f ca="1"/>
        <v>0.21018078976246612</v>
      </c>
      <c r="O2706" s="2">
        <f ca="1"/>
        <v>1.4189779318626603</v>
      </c>
      <c r="X2706" s="2">
        <f ca="1"/>
        <v>55.160513508247597</v>
      </c>
      <c r="AG2706" s="2">
        <f ca="1"/>
        <v>0.62583316208468487</v>
      </c>
      <c r="AH2706" s="2" t="str">
        <f ca="1"/>
        <v>Bad</v>
      </c>
    </row>
    <row r="2707" spans="2:34" x14ac:dyDescent="0.2">
      <c r="B2707" s="2">
        <f ca="1"/>
        <v>0.84839110387843153</v>
      </c>
      <c r="O2707" s="2">
        <f ca="1"/>
        <v>0.32228253696745546</v>
      </c>
      <c r="X2707" s="2">
        <f ca="1"/>
        <v>73.363001970134462</v>
      </c>
      <c r="AG2707" s="2">
        <f ca="1"/>
        <v>0.98396686137743172</v>
      </c>
      <c r="AH2707" s="2" t="str">
        <f ca="1"/>
        <v>Bad</v>
      </c>
    </row>
    <row r="2708" spans="2:34" x14ac:dyDescent="0.2">
      <c r="B2708" s="2">
        <f ca="1"/>
        <v>0.56984261992464935</v>
      </c>
      <c r="O2708" s="2">
        <f ca="1"/>
        <v>-0.13428367175195366</v>
      </c>
      <c r="X2708" s="2">
        <f ca="1"/>
        <v>62.710001384264601</v>
      </c>
      <c r="AG2708" s="2">
        <f ca="1"/>
        <v>0.18231024734878343</v>
      </c>
      <c r="AH2708" s="2" t="str">
        <f ca="1"/>
        <v>OK</v>
      </c>
    </row>
    <row r="2709" spans="2:34" x14ac:dyDescent="0.2">
      <c r="B2709" s="2">
        <f ca="1"/>
        <v>0.70503929220818362</v>
      </c>
      <c r="O2709" s="2">
        <f ca="1"/>
        <v>-0.16037153625834955</v>
      </c>
      <c r="X2709" s="2">
        <f ca="1"/>
        <v>37.180654403500576</v>
      </c>
      <c r="AG2709" s="2">
        <f ca="1"/>
        <v>6.2348550366732258E-2</v>
      </c>
      <c r="AH2709" s="2" t="str">
        <f ca="1"/>
        <v>OK</v>
      </c>
    </row>
    <row r="2710" spans="2:34" x14ac:dyDescent="0.2">
      <c r="B2710" s="2">
        <f ca="1"/>
        <v>0.772187310063285</v>
      </c>
      <c r="O2710" s="2">
        <f ca="1"/>
        <v>0.39739325089782995</v>
      </c>
      <c r="X2710" s="2">
        <f ca="1"/>
        <v>33.319276717237308</v>
      </c>
      <c r="AG2710" s="2">
        <f ca="1"/>
        <v>0.93717888500607738</v>
      </c>
      <c r="AH2710" s="2" t="str">
        <f ca="1"/>
        <v>Bad</v>
      </c>
    </row>
    <row r="2711" spans="2:34" x14ac:dyDescent="0.2">
      <c r="B2711" s="2">
        <f ca="1"/>
        <v>1.4763012349132465E-2</v>
      </c>
      <c r="O2711" s="2">
        <f ca="1"/>
        <v>-8.324786743717047E-2</v>
      </c>
      <c r="X2711" s="2">
        <f ca="1"/>
        <v>38.007161608931348</v>
      </c>
      <c r="AG2711" s="2">
        <f ca="1"/>
        <v>0.48512034667687809</v>
      </c>
      <c r="AH2711" s="2" t="str">
        <f ca="1"/>
        <v>Bad</v>
      </c>
    </row>
    <row r="2712" spans="2:34" x14ac:dyDescent="0.2">
      <c r="B2712" s="2">
        <f ca="1"/>
        <v>0.78679161684954813</v>
      </c>
      <c r="O2712" s="2">
        <f ca="1"/>
        <v>-2.1198690389623502</v>
      </c>
      <c r="X2712" s="2">
        <f ca="1"/>
        <v>45.223260141441756</v>
      </c>
      <c r="AG2712" s="2">
        <f ca="1"/>
        <v>0.48871529655561807</v>
      </c>
      <c r="AH2712" s="2" t="str">
        <f ca="1"/>
        <v>Bad</v>
      </c>
    </row>
    <row r="2713" spans="2:34" x14ac:dyDescent="0.2">
      <c r="B2713" s="2">
        <f ca="1"/>
        <v>0.19121777598958101</v>
      </c>
      <c r="O2713" s="2">
        <f ca="1"/>
        <v>0.38800362286370843</v>
      </c>
      <c r="X2713" s="2">
        <f ca="1"/>
        <v>24.159009860626739</v>
      </c>
      <c r="AG2713" s="2">
        <f ca="1"/>
        <v>0.32155283323503037</v>
      </c>
      <c r="AH2713" s="2" t="str">
        <f ca="1"/>
        <v>OK</v>
      </c>
    </row>
    <row r="2714" spans="2:34" x14ac:dyDescent="0.2">
      <c r="B2714" s="2">
        <f ca="1"/>
        <v>0.70258321392359435</v>
      </c>
      <c r="O2714" s="2">
        <f ca="1"/>
        <v>-1.2210710565574838</v>
      </c>
      <c r="X2714" s="2">
        <f ca="1"/>
        <v>35.972091808938266</v>
      </c>
      <c r="AG2714" s="2">
        <f ca="1"/>
        <v>0.28591831806748447</v>
      </c>
      <c r="AH2714" s="2" t="str">
        <f ca="1"/>
        <v>OK</v>
      </c>
    </row>
    <row r="2715" spans="2:34" x14ac:dyDescent="0.2">
      <c r="B2715" s="2">
        <f ca="1"/>
        <v>0.99658665983986539</v>
      </c>
      <c r="O2715" s="2">
        <f ca="1"/>
        <v>-1.1515652378559293</v>
      </c>
      <c r="X2715" s="2">
        <f ca="1"/>
        <v>38.100065192629792</v>
      </c>
      <c r="AG2715" s="2">
        <f ca="1"/>
        <v>0.32879161833313453</v>
      </c>
      <c r="AH2715" s="2" t="str">
        <f ca="1"/>
        <v>OK</v>
      </c>
    </row>
    <row r="2716" spans="2:34" x14ac:dyDescent="0.2">
      <c r="B2716" s="2">
        <f ca="1"/>
        <v>0.96885059083450487</v>
      </c>
      <c r="O2716" s="2">
        <f ca="1"/>
        <v>-0.17404005832839151</v>
      </c>
      <c r="X2716" s="2">
        <f ca="1"/>
        <v>67.150567824410658</v>
      </c>
      <c r="AG2716" s="2">
        <f ca="1"/>
        <v>0.24141825566849029</v>
      </c>
      <c r="AH2716" s="2" t="str">
        <f ca="1"/>
        <v>OK</v>
      </c>
    </row>
    <row r="2717" spans="2:34" x14ac:dyDescent="0.2">
      <c r="B2717" s="2">
        <f ca="1"/>
        <v>0.20037473007796525</v>
      </c>
      <c r="O2717" s="2">
        <f ca="1"/>
        <v>1.4501345418729368</v>
      </c>
      <c r="X2717" s="2">
        <f ca="1"/>
        <v>68.322130641044424</v>
      </c>
      <c r="AG2717" s="2">
        <f ca="1"/>
        <v>0.13811770275145707</v>
      </c>
      <c r="AH2717" s="2" t="str">
        <f ca="1"/>
        <v>OK</v>
      </c>
    </row>
    <row r="2718" spans="2:34" x14ac:dyDescent="0.2">
      <c r="B2718" s="2">
        <f ca="1"/>
        <v>0.76371404714269842</v>
      </c>
      <c r="O2718" s="2">
        <f ca="1"/>
        <v>-0.32841759895478784</v>
      </c>
      <c r="X2718" s="2">
        <f ca="1"/>
        <v>42.144634552621412</v>
      </c>
      <c r="AG2718" s="2">
        <f ca="1"/>
        <v>0.11142436283445312</v>
      </c>
      <c r="AH2718" s="2" t="str">
        <f ca="1"/>
        <v>OK</v>
      </c>
    </row>
    <row r="2719" spans="2:34" x14ac:dyDescent="0.2">
      <c r="B2719" s="2">
        <f ca="1"/>
        <v>0.98297209379275396</v>
      </c>
      <c r="O2719" s="2">
        <f ca="1"/>
        <v>-4.1591288476195226E-2</v>
      </c>
      <c r="X2719" s="2">
        <f ca="1"/>
        <v>43.131098827541472</v>
      </c>
      <c r="AG2719" s="2">
        <f ca="1"/>
        <v>0.47065580073498015</v>
      </c>
      <c r="AH2719" s="2" t="str">
        <f ca="1"/>
        <v>Bad</v>
      </c>
    </row>
    <row r="2720" spans="2:34" x14ac:dyDescent="0.2">
      <c r="B2720" s="2">
        <f ca="1"/>
        <v>0.28946768749300511</v>
      </c>
      <c r="O2720" s="2">
        <f ca="1"/>
        <v>0.50783859279153098</v>
      </c>
      <c r="X2720" s="2">
        <f ca="1"/>
        <v>47.227749623792093</v>
      </c>
      <c r="AG2720" s="2">
        <f ca="1"/>
        <v>0.24093956418508133</v>
      </c>
      <c r="AH2720" s="2" t="str">
        <f ca="1"/>
        <v>OK</v>
      </c>
    </row>
    <row r="2721" spans="2:34" x14ac:dyDescent="0.2">
      <c r="B2721" s="2">
        <f ca="1"/>
        <v>0.39915239735252128</v>
      </c>
      <c r="O2721" s="2">
        <f ca="1"/>
        <v>-7.4233785822318335E-3</v>
      </c>
      <c r="X2721" s="2">
        <f ca="1"/>
        <v>44.103524644092587</v>
      </c>
      <c r="AG2721" s="2">
        <f ca="1"/>
        <v>0.73661280191402367</v>
      </c>
      <c r="AH2721" s="2" t="str">
        <f ca="1"/>
        <v>Bad</v>
      </c>
    </row>
    <row r="2722" spans="2:34" x14ac:dyDescent="0.2">
      <c r="B2722" s="2">
        <f ca="1"/>
        <v>0.44823851086092104</v>
      </c>
      <c r="O2722" s="2">
        <f ca="1"/>
        <v>0.61110005240770338</v>
      </c>
      <c r="X2722" s="2">
        <f ca="1"/>
        <v>49.410222442523626</v>
      </c>
      <c r="AG2722" s="2">
        <f ca="1"/>
        <v>0.89344408531289399</v>
      </c>
      <c r="AH2722" s="2" t="str">
        <f ca="1"/>
        <v>Bad</v>
      </c>
    </row>
    <row r="2723" spans="2:34" x14ac:dyDescent="0.2">
      <c r="B2723" s="2">
        <f ca="1"/>
        <v>0.16858140513992548</v>
      </c>
      <c r="O2723" s="2">
        <f ca="1"/>
        <v>0.2627214786974823</v>
      </c>
      <c r="X2723" s="2">
        <f ca="1"/>
        <v>46.401615701873368</v>
      </c>
      <c r="AG2723" s="2">
        <f ca="1"/>
        <v>0.68897087929993805</v>
      </c>
      <c r="AH2723" s="2" t="str">
        <f ca="1"/>
        <v>Bad</v>
      </c>
    </row>
    <row r="2724" spans="2:34" x14ac:dyDescent="0.2">
      <c r="B2724" s="2">
        <f ca="1"/>
        <v>0.18644317741749439</v>
      </c>
      <c r="O2724" s="2">
        <f ca="1"/>
        <v>-0.66151151092781113</v>
      </c>
      <c r="X2724" s="2">
        <f ca="1"/>
        <v>46.701440870818814</v>
      </c>
      <c r="AG2724" s="2">
        <f ca="1"/>
        <v>0.99529374168437479</v>
      </c>
      <c r="AH2724" s="2" t="str">
        <f ca="1"/>
        <v>Bad</v>
      </c>
    </row>
    <row r="2725" spans="2:34" x14ac:dyDescent="0.2">
      <c r="B2725" s="2">
        <f ca="1"/>
        <v>0.97451575260838275</v>
      </c>
      <c r="O2725" s="2">
        <f ca="1"/>
        <v>0.73267646796840358</v>
      </c>
      <c r="X2725" s="2">
        <f ca="1"/>
        <v>41.241517858525356</v>
      </c>
      <c r="AG2725" s="2">
        <f ca="1"/>
        <v>0.31953031268808108</v>
      </c>
      <c r="AH2725" s="2" t="str">
        <f ca="1"/>
        <v>OK</v>
      </c>
    </row>
    <row r="2726" spans="2:34" x14ac:dyDescent="0.2">
      <c r="B2726" s="2">
        <f ca="1"/>
        <v>6.179641251846979E-2</v>
      </c>
      <c r="O2726" s="2">
        <f ca="1"/>
        <v>-1.0282772898884278</v>
      </c>
      <c r="X2726" s="2">
        <f ca="1"/>
        <v>86.588881540303007</v>
      </c>
      <c r="AG2726" s="2">
        <f ca="1"/>
        <v>0.83441784299775534</v>
      </c>
      <c r="AH2726" s="2" t="str">
        <f ca="1"/>
        <v>Bad</v>
      </c>
    </row>
    <row r="2727" spans="2:34" x14ac:dyDescent="0.2">
      <c r="B2727" s="2">
        <f ca="1"/>
        <v>0.62299413842125917</v>
      </c>
      <c r="O2727" s="2">
        <f ca="1"/>
        <v>-0.3224166608099463</v>
      </c>
      <c r="X2727" s="2">
        <f ca="1"/>
        <v>48.891623281697207</v>
      </c>
      <c r="AG2727" s="2">
        <f ca="1"/>
        <v>0.93772159997468374</v>
      </c>
      <c r="AH2727" s="2" t="str">
        <f ca="1"/>
        <v>Bad</v>
      </c>
    </row>
    <row r="2728" spans="2:34" x14ac:dyDescent="0.2">
      <c r="B2728" s="2">
        <f ca="1"/>
        <v>0.93115012251886964</v>
      </c>
      <c r="O2728" s="2">
        <f ca="1"/>
        <v>-1.2703408356715844</v>
      </c>
      <c r="X2728" s="2">
        <f ca="1"/>
        <v>105.54450501886561</v>
      </c>
      <c r="AG2728" s="2">
        <f ca="1"/>
        <v>0.72225367830507503</v>
      </c>
      <c r="AH2728" s="2" t="str">
        <f ca="1"/>
        <v>Bad</v>
      </c>
    </row>
    <row r="2729" spans="2:34" x14ac:dyDescent="0.2">
      <c r="B2729" s="2">
        <f ca="1"/>
        <v>0.6250931532823345</v>
      </c>
      <c r="O2729" s="2">
        <f ca="1"/>
        <v>-1.5193751204464541</v>
      </c>
      <c r="X2729" s="2">
        <f ca="1"/>
        <v>72.082474813061154</v>
      </c>
      <c r="AG2729" s="2">
        <f ca="1"/>
        <v>0.44936403960025939</v>
      </c>
      <c r="AH2729" s="2" t="str">
        <f ca="1"/>
        <v>Bad</v>
      </c>
    </row>
    <row r="2730" spans="2:34" x14ac:dyDescent="0.2">
      <c r="B2730" s="2">
        <f ca="1"/>
        <v>0.22449497538905661</v>
      </c>
      <c r="O2730" s="2">
        <f ca="1"/>
        <v>0.47443369370976413</v>
      </c>
      <c r="X2730" s="2">
        <f ca="1"/>
        <v>44.099543914424324</v>
      </c>
      <c r="AG2730" s="2">
        <f ca="1"/>
        <v>0.64377533576816859</v>
      </c>
      <c r="AH2730" s="2" t="str">
        <f ca="1"/>
        <v>Bad</v>
      </c>
    </row>
    <row r="2731" spans="2:34" x14ac:dyDescent="0.2">
      <c r="B2731" s="2">
        <f ca="1"/>
        <v>0.64045859053868104</v>
      </c>
      <c r="O2731" s="2">
        <f ca="1"/>
        <v>-0.25522983164015106</v>
      </c>
      <c r="X2731" s="2">
        <f ca="1"/>
        <v>41.048870638873325</v>
      </c>
      <c r="AG2731" s="2">
        <f ca="1"/>
        <v>0.32104204338492415</v>
      </c>
      <c r="AH2731" s="2" t="str">
        <f ca="1"/>
        <v>OK</v>
      </c>
    </row>
    <row r="2732" spans="2:34" x14ac:dyDescent="0.2">
      <c r="B2732" s="2">
        <f ca="1"/>
        <v>0.72106272568639507</v>
      </c>
      <c r="O2732" s="2">
        <f ca="1"/>
        <v>-9.2603507248068553E-2</v>
      </c>
      <c r="X2732" s="2">
        <f ca="1"/>
        <v>54.658979354534445</v>
      </c>
      <c r="AG2732" s="2">
        <f ca="1"/>
        <v>0.88418064116325312</v>
      </c>
      <c r="AH2732" s="2" t="str">
        <f ca="1"/>
        <v>Bad</v>
      </c>
    </row>
    <row r="2733" spans="2:34" x14ac:dyDescent="0.2">
      <c r="B2733" s="2">
        <f ca="1"/>
        <v>0.70208452657612597</v>
      </c>
      <c r="O2733" s="2">
        <f ca="1"/>
        <v>0.63543088033356387</v>
      </c>
      <c r="X2733" s="2">
        <f ca="1"/>
        <v>27.463833784449818</v>
      </c>
      <c r="AG2733" s="2">
        <f ca="1"/>
        <v>0.9807644520629617</v>
      </c>
      <c r="AH2733" s="2" t="str">
        <f ca="1"/>
        <v>Bad</v>
      </c>
    </row>
    <row r="2734" spans="2:34" x14ac:dyDescent="0.2">
      <c r="B2734" s="2">
        <f ca="1"/>
        <v>0.28276973859333077</v>
      </c>
      <c r="O2734" s="2">
        <f ca="1"/>
        <v>-1.0572669015175025</v>
      </c>
      <c r="X2734" s="2">
        <f ca="1"/>
        <v>36.314351066023072</v>
      </c>
      <c r="AG2734" s="2">
        <f ca="1"/>
        <v>8.1548770336357768E-2</v>
      </c>
      <c r="AH2734" s="2" t="str">
        <f ca="1"/>
        <v>OK</v>
      </c>
    </row>
    <row r="2735" spans="2:34" x14ac:dyDescent="0.2">
      <c r="B2735" s="2">
        <f ca="1"/>
        <v>0.14077740539348049</v>
      </c>
      <c r="O2735" s="2">
        <f ca="1"/>
        <v>0.19647189496990652</v>
      </c>
      <c r="X2735" s="2">
        <f ca="1"/>
        <v>38.370211905868238</v>
      </c>
      <c r="AG2735" s="2">
        <f ca="1"/>
        <v>0.56928034613025269</v>
      </c>
      <c r="AH2735" s="2" t="str">
        <f ca="1"/>
        <v>Bad</v>
      </c>
    </row>
    <row r="2736" spans="2:34" x14ac:dyDescent="0.2">
      <c r="B2736" s="2">
        <f ca="1"/>
        <v>0.1368864470568909</v>
      </c>
      <c r="O2736" s="2">
        <f ca="1"/>
        <v>-0.39054030388728306</v>
      </c>
      <c r="X2736" s="2">
        <f ca="1"/>
        <v>65.439113441656673</v>
      </c>
      <c r="AG2736" s="2">
        <f ca="1"/>
        <v>0.95809493292399583</v>
      </c>
      <c r="AH2736" s="2" t="str">
        <f ca="1"/>
        <v>Bad</v>
      </c>
    </row>
    <row r="2737" spans="2:34" x14ac:dyDescent="0.2">
      <c r="B2737" s="2">
        <f ca="1"/>
        <v>0.22152366195996565</v>
      </c>
      <c r="O2737" s="2">
        <f ca="1"/>
        <v>-1.5260725029133122</v>
      </c>
      <c r="X2737" s="2">
        <f ca="1"/>
        <v>65.777316105528342</v>
      </c>
      <c r="AG2737" s="2">
        <f ca="1"/>
        <v>0.47627647667622508</v>
      </c>
      <c r="AH2737" s="2" t="str">
        <f ca="1"/>
        <v>Bad</v>
      </c>
    </row>
    <row r="2738" spans="2:34" x14ac:dyDescent="0.2">
      <c r="B2738" s="2">
        <f ca="1"/>
        <v>0.6339129493426543</v>
      </c>
      <c r="O2738" s="2">
        <f ca="1"/>
        <v>-0.60186110275986993</v>
      </c>
      <c r="X2738" s="2">
        <f ca="1"/>
        <v>27.014629458356396</v>
      </c>
      <c r="AG2738" s="2">
        <f ca="1"/>
        <v>0.89413999375994946</v>
      </c>
      <c r="AH2738" s="2" t="str">
        <f ca="1"/>
        <v>Bad</v>
      </c>
    </row>
    <row r="2739" spans="2:34" x14ac:dyDescent="0.2">
      <c r="B2739" s="2">
        <f ca="1"/>
        <v>0.56812463001095903</v>
      </c>
      <c r="O2739" s="2">
        <f ca="1"/>
        <v>-7.890032175544591E-3</v>
      </c>
      <c r="X2739" s="2">
        <f ca="1"/>
        <v>30.04503976088376</v>
      </c>
      <c r="AG2739" s="2">
        <f ca="1"/>
        <v>0.87439037600330138</v>
      </c>
      <c r="AH2739" s="2" t="str">
        <f ca="1"/>
        <v>Bad</v>
      </c>
    </row>
    <row r="2740" spans="2:34" x14ac:dyDescent="0.2">
      <c r="B2740" s="2">
        <f ca="1"/>
        <v>0.29570674536688757</v>
      </c>
      <c r="O2740" s="2">
        <f ca="1"/>
        <v>0.30665640632718899</v>
      </c>
      <c r="X2740" s="2">
        <f ca="1"/>
        <v>43.566548952047775</v>
      </c>
      <c r="AG2740" s="2">
        <f ca="1"/>
        <v>0.3820847838705701</v>
      </c>
      <c r="AH2740" s="2" t="str">
        <f ca="1"/>
        <v>OK</v>
      </c>
    </row>
    <row r="2741" spans="2:34" x14ac:dyDescent="0.2">
      <c r="B2741" s="2">
        <f ca="1"/>
        <v>0.24766593201325504</v>
      </c>
      <c r="O2741" s="2">
        <f ca="1"/>
        <v>-0.51939832872210356</v>
      </c>
      <c r="X2741" s="2">
        <f ca="1"/>
        <v>47.253044330680609</v>
      </c>
      <c r="AG2741" s="2">
        <f ca="1"/>
        <v>0.73166795748106805</v>
      </c>
      <c r="AH2741" s="2" t="str">
        <f ca="1"/>
        <v>Bad</v>
      </c>
    </row>
    <row r="2742" spans="2:34" x14ac:dyDescent="0.2">
      <c r="B2742" s="2">
        <f ca="1"/>
        <v>0.39326772983456437</v>
      </c>
      <c r="O2742" s="2">
        <f ca="1"/>
        <v>-0.72434639324175532</v>
      </c>
      <c r="X2742" s="2">
        <f ca="1"/>
        <v>38.913837621287051</v>
      </c>
      <c r="AG2742" s="2">
        <f ca="1"/>
        <v>0.78749548741320941</v>
      </c>
      <c r="AH2742" s="2" t="str">
        <f ca="1"/>
        <v>Bad</v>
      </c>
    </row>
    <row r="2743" spans="2:34" x14ac:dyDescent="0.2">
      <c r="B2743" s="2">
        <f ca="1"/>
        <v>1.572798480830806E-2</v>
      </c>
      <c r="O2743" s="2">
        <f ca="1"/>
        <v>1.469975157812071</v>
      </c>
      <c r="X2743" s="2">
        <f ca="1"/>
        <v>65.06922411574493</v>
      </c>
      <c r="AG2743" s="2">
        <f ca="1"/>
        <v>0.40919580783387532</v>
      </c>
      <c r="AH2743" s="2" t="str">
        <f ca="1"/>
        <v>Bad</v>
      </c>
    </row>
    <row r="2744" spans="2:34" x14ac:dyDescent="0.2">
      <c r="B2744" s="2">
        <f ca="1"/>
        <v>0.4635691769812782</v>
      </c>
      <c r="O2744" s="2">
        <f ca="1"/>
        <v>-3.5832467579050599E-3</v>
      </c>
      <c r="X2744" s="2">
        <f ca="1"/>
        <v>66.571015287420522</v>
      </c>
      <c r="AG2744" s="2">
        <f ca="1"/>
        <v>1.7133550643144924E-2</v>
      </c>
      <c r="AH2744" s="2" t="str">
        <f ca="1"/>
        <v>Good</v>
      </c>
    </row>
    <row r="2745" spans="2:34" x14ac:dyDescent="0.2">
      <c r="B2745" s="2">
        <f ca="1"/>
        <v>0.75420049211120044</v>
      </c>
      <c r="O2745" s="2">
        <f ca="1"/>
        <v>1.5835030107236625</v>
      </c>
      <c r="X2745" s="2">
        <f ca="1"/>
        <v>45.13536872224384</v>
      </c>
      <c r="AG2745" s="2">
        <f ca="1"/>
        <v>0.53805084714552631</v>
      </c>
      <c r="AH2745" s="2" t="str">
        <f ca="1"/>
        <v>Bad</v>
      </c>
    </row>
    <row r="2746" spans="2:34" x14ac:dyDescent="0.2">
      <c r="B2746" s="2">
        <f ca="1"/>
        <v>0.35994231393680343</v>
      </c>
      <c r="O2746" s="2">
        <f ca="1"/>
        <v>0.80408181344193819</v>
      </c>
      <c r="X2746" s="2">
        <f ca="1"/>
        <v>63.46349997883781</v>
      </c>
      <c r="AG2746" s="2">
        <f ca="1"/>
        <v>0.35459573650845644</v>
      </c>
      <c r="AH2746" s="2" t="str">
        <f ca="1"/>
        <v>OK</v>
      </c>
    </row>
    <row r="2747" spans="2:34" x14ac:dyDescent="0.2">
      <c r="B2747" s="2">
        <f ca="1"/>
        <v>0.37133499684755633</v>
      </c>
      <c r="O2747" s="2">
        <f ca="1"/>
        <v>0.22271351483344645</v>
      </c>
      <c r="X2747" s="2">
        <f ca="1"/>
        <v>41.711409637716145</v>
      </c>
      <c r="AG2747" s="2">
        <f ca="1"/>
        <v>0.98928510437869144</v>
      </c>
      <c r="AH2747" s="2" t="str">
        <f ca="1"/>
        <v>Bad</v>
      </c>
    </row>
    <row r="2748" spans="2:34" x14ac:dyDescent="0.2">
      <c r="B2748" s="2">
        <f ca="1"/>
        <v>0.1807122338783107</v>
      </c>
      <c r="O2748" s="2">
        <f ca="1"/>
        <v>0.39927448808460964</v>
      </c>
      <c r="X2748" s="2">
        <f ca="1"/>
        <v>51.763518121623555</v>
      </c>
      <c r="AG2748" s="2">
        <f ca="1"/>
        <v>0.11270902668757832</v>
      </c>
      <c r="AH2748" s="2" t="str">
        <f ca="1"/>
        <v>OK</v>
      </c>
    </row>
    <row r="2749" spans="2:34" x14ac:dyDescent="0.2">
      <c r="B2749" s="2">
        <f ca="1"/>
        <v>0.17695956449052885</v>
      </c>
      <c r="O2749" s="2">
        <f ca="1"/>
        <v>1.6878369214558948</v>
      </c>
      <c r="X2749" s="2">
        <f ca="1"/>
        <v>62.47093334369788</v>
      </c>
      <c r="AG2749" s="2">
        <f ca="1"/>
        <v>0.80089027168328153</v>
      </c>
      <c r="AH2749" s="2" t="str">
        <f ca="1"/>
        <v>Bad</v>
      </c>
    </row>
    <row r="2750" spans="2:34" x14ac:dyDescent="0.2">
      <c r="B2750" s="2">
        <f ca="1"/>
        <v>0.3871171205016446</v>
      </c>
      <c r="O2750" s="2">
        <f ca="1"/>
        <v>-0.94050985515254903</v>
      </c>
      <c r="X2750" s="2">
        <f ca="1"/>
        <v>83.834743813369471</v>
      </c>
      <c r="AG2750" s="2">
        <f ca="1"/>
        <v>0.80724567549099069</v>
      </c>
      <c r="AH2750" s="2" t="str">
        <f ca="1"/>
        <v>Bad</v>
      </c>
    </row>
    <row r="2751" spans="2:34" x14ac:dyDescent="0.2">
      <c r="B2751" s="2">
        <f ca="1"/>
        <v>0.63365641808356932</v>
      </c>
      <c r="O2751" s="2">
        <f ca="1"/>
        <v>0.61892224824819897</v>
      </c>
      <c r="X2751" s="2">
        <f ca="1"/>
        <v>45.889617688403817</v>
      </c>
      <c r="AG2751" s="2">
        <f ca="1"/>
        <v>0.35779567986947503</v>
      </c>
      <c r="AH2751" s="2" t="str">
        <f ca="1"/>
        <v>OK</v>
      </c>
    </row>
    <row r="2752" spans="2:34" x14ac:dyDescent="0.2">
      <c r="B2752" s="2">
        <f ca="1"/>
        <v>0.92386194558028878</v>
      </c>
      <c r="O2752" s="2">
        <f ca="1"/>
        <v>-0.83310881243526524</v>
      </c>
      <c r="X2752" s="2">
        <f ca="1"/>
        <v>38.258177239286113</v>
      </c>
      <c r="AG2752" s="2">
        <f ca="1"/>
        <v>0.43731101873197775</v>
      </c>
      <c r="AH2752" s="2" t="str">
        <f ca="1"/>
        <v>Bad</v>
      </c>
    </row>
    <row r="2753" spans="2:34" x14ac:dyDescent="0.2">
      <c r="B2753" s="2">
        <f ca="1"/>
        <v>0.58480731603215941</v>
      </c>
      <c r="O2753" s="2">
        <f ca="1"/>
        <v>0.13168357861267782</v>
      </c>
      <c r="X2753" s="2">
        <f ca="1"/>
        <v>48.798014671028469</v>
      </c>
      <c r="AG2753" s="2">
        <f ca="1"/>
        <v>0.5693880631851822</v>
      </c>
      <c r="AH2753" s="2" t="str">
        <f ca="1"/>
        <v>Bad</v>
      </c>
    </row>
    <row r="2754" spans="2:34" x14ac:dyDescent="0.2">
      <c r="B2754" s="2">
        <f ca="1"/>
        <v>0.70084715616904258</v>
      </c>
      <c r="O2754" s="2">
        <f ca="1"/>
        <v>0.84688184376265008</v>
      </c>
      <c r="X2754" s="2">
        <f ca="1"/>
        <v>43.017471183079827</v>
      </c>
      <c r="AG2754" s="2">
        <f ca="1"/>
        <v>0.50103422956229005</v>
      </c>
      <c r="AH2754" s="2" t="str">
        <f ca="1"/>
        <v>Bad</v>
      </c>
    </row>
    <row r="2755" spans="2:34" x14ac:dyDescent="0.2">
      <c r="B2755" s="2">
        <f ca="1"/>
        <v>0.38521626571202794</v>
      </c>
      <c r="O2755" s="2">
        <f ca="1"/>
        <v>-0.83048736796407951</v>
      </c>
      <c r="X2755" s="2">
        <f ca="1"/>
        <v>46.093353120285762</v>
      </c>
      <c r="AG2755" s="2">
        <f ca="1"/>
        <v>0.83826232391354161</v>
      </c>
      <c r="AH2755" s="2" t="str">
        <f ca="1"/>
        <v>Bad</v>
      </c>
    </row>
    <row r="2756" spans="2:34" x14ac:dyDescent="0.2">
      <c r="B2756" s="2">
        <f ca="1"/>
        <v>0.85923874839598402</v>
      </c>
      <c r="O2756" s="2">
        <f ca="1"/>
        <v>2.3369788413664474</v>
      </c>
      <c r="X2756" s="2">
        <f ca="1"/>
        <v>53.545615032972492</v>
      </c>
      <c r="AG2756" s="2">
        <f ca="1"/>
        <v>0.36647126686240528</v>
      </c>
      <c r="AH2756" s="2" t="str">
        <f ca="1"/>
        <v>OK</v>
      </c>
    </row>
    <row r="2757" spans="2:34" x14ac:dyDescent="0.2">
      <c r="B2757" s="2">
        <f ca="1"/>
        <v>0.66302628579379341</v>
      </c>
      <c r="O2757" s="2">
        <f ca="1"/>
        <v>0.75639279966005668</v>
      </c>
      <c r="X2757" s="2">
        <f ca="1"/>
        <v>109.11951318334395</v>
      </c>
      <c r="AG2757" s="2">
        <f ca="1"/>
        <v>0.2971950549982314</v>
      </c>
      <c r="AH2757" s="2" t="str">
        <f ca="1"/>
        <v>OK</v>
      </c>
    </row>
    <row r="2758" spans="2:34" x14ac:dyDescent="0.2">
      <c r="B2758" s="2">
        <f ca="1"/>
        <v>0.87164936218369804</v>
      </c>
      <c r="O2758" s="2">
        <f ca="1"/>
        <v>0.18647577273120605</v>
      </c>
      <c r="X2758" s="2">
        <f ca="1"/>
        <v>40.277781218880492</v>
      </c>
      <c r="AG2758" s="2">
        <f ca="1"/>
        <v>0.62015702039639198</v>
      </c>
      <c r="AH2758" s="2" t="str">
        <f ca="1"/>
        <v>Bad</v>
      </c>
    </row>
    <row r="2759" spans="2:34" x14ac:dyDescent="0.2">
      <c r="B2759" s="2">
        <f ca="1"/>
        <v>0.44866951638218922</v>
      </c>
      <c r="O2759" s="2">
        <f ca="1"/>
        <v>0.76134264425342102</v>
      </c>
      <c r="X2759" s="2">
        <f ca="1"/>
        <v>43.194332345957207</v>
      </c>
      <c r="AG2759" s="2">
        <f ca="1"/>
        <v>0.99884225065979915</v>
      </c>
      <c r="AH2759" s="2" t="str">
        <f ca="1"/>
        <v>Bad</v>
      </c>
    </row>
    <row r="2760" spans="2:34" x14ac:dyDescent="0.2">
      <c r="B2760" s="2">
        <f ca="1"/>
        <v>0.23623660330238683</v>
      </c>
      <c r="O2760" s="2">
        <f ca="1"/>
        <v>1.5203901271291116</v>
      </c>
      <c r="X2760" s="2">
        <f ca="1"/>
        <v>36.817948520154012</v>
      </c>
      <c r="AG2760" s="2">
        <f ca="1"/>
        <v>0.38725859946170837</v>
      </c>
      <c r="AH2760" s="2" t="str">
        <f ca="1"/>
        <v>OK</v>
      </c>
    </row>
    <row r="2761" spans="2:34" x14ac:dyDescent="0.2">
      <c r="B2761" s="2">
        <f ca="1"/>
        <v>0.46561856229109044</v>
      </c>
      <c r="O2761" s="2">
        <f ca="1"/>
        <v>-0.67867174657648466</v>
      </c>
      <c r="X2761" s="2">
        <f ca="1"/>
        <v>39.368029627170785</v>
      </c>
      <c r="AG2761" s="2">
        <f ca="1"/>
        <v>0.43226762545908026</v>
      </c>
      <c r="AH2761" s="2" t="str">
        <f ca="1"/>
        <v>Bad</v>
      </c>
    </row>
    <row r="2762" spans="2:34" x14ac:dyDescent="0.2">
      <c r="B2762" s="2">
        <f ca="1"/>
        <v>0.50850339942127776</v>
      </c>
      <c r="O2762" s="2">
        <f ca="1"/>
        <v>-0.34196596703000781</v>
      </c>
      <c r="X2762" s="2">
        <f ca="1"/>
        <v>57.590678084355233</v>
      </c>
      <c r="AG2762" s="2">
        <f ca="1"/>
        <v>0.93277024603845438</v>
      </c>
      <c r="AH2762" s="2" t="str">
        <f ca="1"/>
        <v>Bad</v>
      </c>
    </row>
    <row r="2763" spans="2:34" x14ac:dyDescent="0.2">
      <c r="B2763" s="2">
        <f ca="1"/>
        <v>0.38615611109286618</v>
      </c>
      <c r="O2763" s="2">
        <f ca="1"/>
        <v>-0.10207001362992441</v>
      </c>
      <c r="X2763" s="2">
        <f ca="1"/>
        <v>61.287843368928385</v>
      </c>
      <c r="AG2763" s="2">
        <f ca="1"/>
        <v>0.6741557029908456</v>
      </c>
      <c r="AH2763" s="2" t="str">
        <f ca="1"/>
        <v>Bad</v>
      </c>
    </row>
    <row r="2764" spans="2:34" x14ac:dyDescent="0.2">
      <c r="B2764" s="2">
        <f ca="1"/>
        <v>0.75191648931388522</v>
      </c>
      <c r="O2764" s="2">
        <f ca="1"/>
        <v>0.31052033167319593</v>
      </c>
      <c r="X2764" s="2">
        <f ca="1"/>
        <v>38.649744570788222</v>
      </c>
      <c r="AG2764" s="2">
        <f ca="1"/>
        <v>0.18516694600792749</v>
      </c>
      <c r="AH2764" s="2" t="str">
        <f ca="1"/>
        <v>OK</v>
      </c>
    </row>
    <row r="2765" spans="2:34" x14ac:dyDescent="0.2">
      <c r="B2765" s="2">
        <f ca="1"/>
        <v>0.32162328055352729</v>
      </c>
      <c r="O2765" s="2">
        <f ca="1"/>
        <v>-1.0459604568233882</v>
      </c>
      <c r="X2765" s="2">
        <f ca="1"/>
        <v>49.526275053976924</v>
      </c>
      <c r="AG2765" s="2">
        <f ca="1"/>
        <v>0.74436006975304569</v>
      </c>
      <c r="AH2765" s="2" t="str">
        <f ca="1"/>
        <v>Bad</v>
      </c>
    </row>
    <row r="2766" spans="2:34" x14ac:dyDescent="0.2">
      <c r="B2766" s="2">
        <f ca="1"/>
        <v>0.65313923757827008</v>
      </c>
      <c r="O2766" s="2">
        <f ca="1"/>
        <v>1.3305369373601714</v>
      </c>
      <c r="X2766" s="2">
        <f ca="1"/>
        <v>53.103877892658559</v>
      </c>
      <c r="AG2766" s="2">
        <f ca="1"/>
        <v>0.3058162573473453</v>
      </c>
      <c r="AH2766" s="2" t="str">
        <f ca="1"/>
        <v>OK</v>
      </c>
    </row>
    <row r="2767" spans="2:34" x14ac:dyDescent="0.2">
      <c r="B2767" s="2">
        <f ca="1"/>
        <v>0.13598145587071997</v>
      </c>
      <c r="O2767" s="2">
        <f ca="1"/>
        <v>1.1002342422617311</v>
      </c>
      <c r="X2767" s="2">
        <f ca="1"/>
        <v>64.262069319825017</v>
      </c>
      <c r="AG2767" s="2">
        <f ca="1"/>
        <v>0.97792169691478947</v>
      </c>
      <c r="AH2767" s="2" t="str">
        <f ca="1"/>
        <v>Bad</v>
      </c>
    </row>
    <row r="2768" spans="2:34" x14ac:dyDescent="0.2">
      <c r="B2768" s="2">
        <f ca="1"/>
        <v>0.33736652256871991</v>
      </c>
      <c r="O2768" s="2">
        <f ca="1"/>
        <v>3.504672841580031E-2</v>
      </c>
      <c r="X2768" s="2">
        <f ca="1"/>
        <v>77.870759412016938</v>
      </c>
      <c r="AG2768" s="2">
        <f ca="1"/>
        <v>0.34821314280126558</v>
      </c>
      <c r="AH2768" s="2" t="str">
        <f ca="1"/>
        <v>OK</v>
      </c>
    </row>
    <row r="2769" spans="2:34" x14ac:dyDescent="0.2">
      <c r="B2769" s="2">
        <f ca="1"/>
        <v>9.3813773712742243E-2</v>
      </c>
      <c r="O2769" s="2">
        <f ca="1"/>
        <v>0.6447170766825302</v>
      </c>
      <c r="X2769" s="2">
        <f ca="1"/>
        <v>26.119785211291674</v>
      </c>
      <c r="AG2769" s="2">
        <f ca="1"/>
        <v>0.24223481708635508</v>
      </c>
      <c r="AH2769" s="2" t="str">
        <f ca="1"/>
        <v>OK</v>
      </c>
    </row>
    <row r="2770" spans="2:34" x14ac:dyDescent="0.2">
      <c r="B2770" s="2">
        <f ca="1"/>
        <v>0.1250168667724163</v>
      </c>
      <c r="O2770" s="2">
        <f ca="1"/>
        <v>0.49299533656964367</v>
      </c>
      <c r="X2770" s="2">
        <f ca="1"/>
        <v>66.464635893663001</v>
      </c>
      <c r="AG2770" s="2">
        <f ca="1"/>
        <v>0.82883243574585386</v>
      </c>
      <c r="AH2770" s="2" t="str">
        <f ca="1"/>
        <v>Bad</v>
      </c>
    </row>
    <row r="2771" spans="2:34" x14ac:dyDescent="0.2">
      <c r="B2771" s="2">
        <f ca="1"/>
        <v>0.57627615503545182</v>
      </c>
      <c r="O2771" s="2">
        <f ca="1"/>
        <v>1.6327500795838978</v>
      </c>
      <c r="X2771" s="2">
        <f ca="1"/>
        <v>70.380608397377344</v>
      </c>
      <c r="AG2771" s="2">
        <f ca="1"/>
        <v>0.79815715517567809</v>
      </c>
      <c r="AH2771" s="2" t="str">
        <f ca="1"/>
        <v>Bad</v>
      </c>
    </row>
    <row r="2772" spans="2:34" x14ac:dyDescent="0.2">
      <c r="B2772" s="2">
        <f ca="1"/>
        <v>0.73079701586280121</v>
      </c>
      <c r="O2772" s="2">
        <f ca="1"/>
        <v>4.1712341020733158E-2</v>
      </c>
      <c r="X2772" s="2">
        <f ca="1"/>
        <v>34.864326942281316</v>
      </c>
      <c r="AG2772" s="2">
        <f ca="1"/>
        <v>0.58716155492282995</v>
      </c>
      <c r="AH2772" s="2" t="str">
        <f ca="1"/>
        <v>Bad</v>
      </c>
    </row>
    <row r="2773" spans="2:34" x14ac:dyDescent="0.2">
      <c r="B2773" s="2">
        <f ca="1"/>
        <v>0.10446540574485752</v>
      </c>
      <c r="O2773" s="2">
        <f ca="1"/>
        <v>-1.1109425990808581</v>
      </c>
      <c r="X2773" s="2">
        <f ca="1"/>
        <v>50.317022972395932</v>
      </c>
      <c r="AG2773" s="2">
        <f ca="1"/>
        <v>0.3777338713534486</v>
      </c>
      <c r="AH2773" s="2" t="str">
        <f ca="1"/>
        <v>OK</v>
      </c>
    </row>
    <row r="2774" spans="2:34" x14ac:dyDescent="0.2">
      <c r="B2774" s="2">
        <f ca="1"/>
        <v>0.11444048138956164</v>
      </c>
      <c r="O2774" s="2">
        <f ca="1"/>
        <v>0.36107144322299617</v>
      </c>
      <c r="X2774" s="2">
        <f ca="1"/>
        <v>52.752762559209344</v>
      </c>
      <c r="AG2774" s="2">
        <f ca="1"/>
        <v>0.12641927332207503</v>
      </c>
      <c r="AH2774" s="2" t="str">
        <f ca="1"/>
        <v>OK</v>
      </c>
    </row>
    <row r="2775" spans="2:34" x14ac:dyDescent="0.2">
      <c r="B2775" s="2">
        <f ca="1"/>
        <v>0.33474363939125862</v>
      </c>
      <c r="O2775" s="2">
        <f ca="1"/>
        <v>-0.44873408754736438</v>
      </c>
      <c r="X2775" s="2">
        <f ca="1"/>
        <v>27.560336477204721</v>
      </c>
      <c r="AG2775" s="2">
        <f ca="1"/>
        <v>0.78025790019346086</v>
      </c>
      <c r="AH2775" s="2" t="str">
        <f ca="1"/>
        <v>Bad</v>
      </c>
    </row>
    <row r="2776" spans="2:34" x14ac:dyDescent="0.2">
      <c r="B2776" s="2">
        <f ca="1"/>
        <v>0.24334048617495085</v>
      </c>
      <c r="O2776" s="2">
        <f ca="1"/>
        <v>-1.0080116399518635</v>
      </c>
      <c r="X2776" s="2">
        <f ca="1"/>
        <v>29.390627243709297</v>
      </c>
      <c r="AG2776" s="2">
        <f ca="1"/>
        <v>0.53397441575875604</v>
      </c>
      <c r="AH2776" s="2" t="str">
        <f ca="1"/>
        <v>Bad</v>
      </c>
    </row>
    <row r="2777" spans="2:34" x14ac:dyDescent="0.2">
      <c r="B2777" s="2">
        <f ca="1"/>
        <v>0.96295371432185206</v>
      </c>
      <c r="O2777" s="2">
        <f ca="1"/>
        <v>-0.61888700406706942</v>
      </c>
      <c r="X2777" s="2">
        <f ca="1"/>
        <v>41.227356764628233</v>
      </c>
      <c r="AG2777" s="2">
        <f ca="1"/>
        <v>0.18847335838778312</v>
      </c>
      <c r="AH2777" s="2" t="str">
        <f ca="1"/>
        <v>OK</v>
      </c>
    </row>
    <row r="2778" spans="2:34" x14ac:dyDescent="0.2">
      <c r="B2778" s="2">
        <f ca="1"/>
        <v>0.18859333589583849</v>
      </c>
      <c r="O2778" s="2">
        <f ca="1"/>
        <v>0.75971745918276434</v>
      </c>
      <c r="X2778" s="2">
        <f ca="1"/>
        <v>29.600729828815805</v>
      </c>
      <c r="AG2778" s="2">
        <f ca="1"/>
        <v>0.26719778651926607</v>
      </c>
      <c r="AH2778" s="2" t="str">
        <f ca="1"/>
        <v>OK</v>
      </c>
    </row>
    <row r="2779" spans="2:34" x14ac:dyDescent="0.2">
      <c r="B2779" s="2">
        <f ca="1"/>
        <v>0.97334073829761092</v>
      </c>
      <c r="O2779" s="2">
        <f ca="1"/>
        <v>0.30548955624550728</v>
      </c>
      <c r="X2779" s="2">
        <f ca="1"/>
        <v>53.191321915892871</v>
      </c>
      <c r="AG2779" s="2">
        <f ca="1"/>
        <v>0.21456271648367475</v>
      </c>
      <c r="AH2779" s="2" t="str">
        <f ca="1"/>
        <v>OK</v>
      </c>
    </row>
    <row r="2780" spans="2:34" x14ac:dyDescent="0.2">
      <c r="B2780" s="2">
        <f ca="1"/>
        <v>0.91510890183254912</v>
      </c>
      <c r="O2780" s="2">
        <f ca="1"/>
        <v>0.22213678617729873</v>
      </c>
      <c r="X2780" s="2">
        <f ca="1"/>
        <v>55.762354604529989</v>
      </c>
      <c r="AG2780" s="2">
        <f ca="1"/>
        <v>0.86413103153412263</v>
      </c>
      <c r="AH2780" s="2" t="str">
        <f ca="1"/>
        <v>Bad</v>
      </c>
    </row>
    <row r="2781" spans="2:34" x14ac:dyDescent="0.2">
      <c r="B2781" s="2">
        <f ca="1"/>
        <v>0.67164579457738305</v>
      </c>
      <c r="O2781" s="2">
        <f ca="1"/>
        <v>-0.39445185218755041</v>
      </c>
      <c r="X2781" s="2">
        <f ca="1"/>
        <v>52.555441365954195</v>
      </c>
      <c r="AG2781" s="2">
        <f ca="1"/>
        <v>0.64556736379364632</v>
      </c>
      <c r="AH2781" s="2" t="str">
        <f ca="1"/>
        <v>Bad</v>
      </c>
    </row>
    <row r="2782" spans="2:34" x14ac:dyDescent="0.2">
      <c r="B2782" s="2">
        <f ca="1"/>
        <v>0.47427508160881282</v>
      </c>
      <c r="O2782" s="2">
        <f ca="1"/>
        <v>-0.35545002152450744</v>
      </c>
      <c r="X2782" s="2">
        <f ca="1"/>
        <v>30.260952455489871</v>
      </c>
      <c r="AG2782" s="2">
        <f ca="1"/>
        <v>0.2271067242576057</v>
      </c>
      <c r="AH2782" s="2" t="str">
        <f ca="1"/>
        <v>OK</v>
      </c>
    </row>
    <row r="2783" spans="2:34" x14ac:dyDescent="0.2">
      <c r="B2783" s="2">
        <f ca="1"/>
        <v>9.8794177325016275E-2</v>
      </c>
      <c r="O2783" s="2">
        <f ca="1"/>
        <v>1.1163392235978817</v>
      </c>
      <c r="X2783" s="2">
        <f ca="1"/>
        <v>59.772707209482348</v>
      </c>
      <c r="AG2783" s="2">
        <f ca="1"/>
        <v>0.17217268156811882</v>
      </c>
      <c r="AH2783" s="2" t="str">
        <f ca="1"/>
        <v>OK</v>
      </c>
    </row>
    <row r="2784" spans="2:34" x14ac:dyDescent="0.2">
      <c r="B2784" s="2">
        <f ca="1"/>
        <v>0.94302406869033462</v>
      </c>
      <c r="O2784" s="2">
        <f ca="1"/>
        <v>-0.75186645076386871</v>
      </c>
      <c r="X2784" s="2">
        <f ca="1"/>
        <v>36.283340687010622</v>
      </c>
      <c r="AG2784" s="2">
        <f ca="1"/>
        <v>0.60326443258229734</v>
      </c>
      <c r="AH2784" s="2" t="str">
        <f ca="1"/>
        <v>Bad</v>
      </c>
    </row>
    <row r="2785" spans="2:34" x14ac:dyDescent="0.2">
      <c r="B2785" s="2">
        <f ca="1"/>
        <v>4.4396923330394467E-2</v>
      </c>
      <c r="O2785" s="2">
        <f ca="1"/>
        <v>-0.89137924405757318</v>
      </c>
      <c r="X2785" s="2">
        <f ca="1"/>
        <v>38.158439418493309</v>
      </c>
      <c r="AG2785" s="2">
        <f ca="1"/>
        <v>0.75795212419062397</v>
      </c>
      <c r="AH2785" s="2" t="str">
        <f ca="1"/>
        <v>Bad</v>
      </c>
    </row>
    <row r="2786" spans="2:34" x14ac:dyDescent="0.2">
      <c r="B2786" s="2">
        <f ca="1"/>
        <v>0.2201159819539793</v>
      </c>
      <c r="O2786" s="2">
        <f ca="1"/>
        <v>1.155941397407428</v>
      </c>
      <c r="X2786" s="2">
        <f ca="1"/>
        <v>58.364483325156073</v>
      </c>
      <c r="AG2786" s="2">
        <f ca="1"/>
        <v>0.76313845882750253</v>
      </c>
      <c r="AH2786" s="2" t="str">
        <f ca="1"/>
        <v>Bad</v>
      </c>
    </row>
    <row r="2787" spans="2:34" x14ac:dyDescent="0.2">
      <c r="B2787" s="2">
        <f ca="1"/>
        <v>0.17241945908824929</v>
      </c>
      <c r="O2787" s="2">
        <f ca="1"/>
        <v>-0.34990017654742001</v>
      </c>
      <c r="X2787" s="2">
        <f ca="1"/>
        <v>46.889353940832208</v>
      </c>
      <c r="AG2787" s="2">
        <f ca="1"/>
        <v>0.36573188892585362</v>
      </c>
      <c r="AH2787" s="2" t="str">
        <f ca="1"/>
        <v>OK</v>
      </c>
    </row>
    <row r="2788" spans="2:34" x14ac:dyDescent="0.2">
      <c r="B2788" s="2">
        <f ca="1"/>
        <v>0.93662050622216531</v>
      </c>
      <c r="O2788" s="2">
        <f ca="1"/>
        <v>1.5073243084029411</v>
      </c>
      <c r="X2788" s="2">
        <f ca="1"/>
        <v>34.234422159472764</v>
      </c>
      <c r="AG2788" s="2">
        <f ca="1"/>
        <v>0.81862911926166726</v>
      </c>
      <c r="AH2788" s="2" t="str">
        <f ca="1"/>
        <v>Bad</v>
      </c>
    </row>
    <row r="2789" spans="2:34" x14ac:dyDescent="0.2">
      <c r="B2789" s="2">
        <f ca="1"/>
        <v>0.5745580337192242</v>
      </c>
      <c r="O2789" s="2">
        <f ca="1"/>
        <v>1.2997515104945794</v>
      </c>
      <c r="X2789" s="2">
        <f ca="1"/>
        <v>59.838891598713843</v>
      </c>
      <c r="AG2789" s="2">
        <f ca="1"/>
        <v>9.8447998295752237E-2</v>
      </c>
      <c r="AH2789" s="2" t="str">
        <f ca="1"/>
        <v>OK</v>
      </c>
    </row>
    <row r="2790" spans="2:34" x14ac:dyDescent="0.2">
      <c r="B2790" s="2">
        <f ca="1"/>
        <v>0.97534978681005247</v>
      </c>
      <c r="O2790" s="2">
        <f ca="1"/>
        <v>-0.23793070584060824</v>
      </c>
      <c r="X2790" s="2">
        <f ca="1"/>
        <v>52.400046479220322</v>
      </c>
      <c r="AG2790" s="2">
        <f ca="1"/>
        <v>0.49954458336368668</v>
      </c>
      <c r="AH2790" s="2" t="str">
        <f ca="1"/>
        <v>Bad</v>
      </c>
    </row>
    <row r="2791" spans="2:34" x14ac:dyDescent="0.2">
      <c r="B2791" s="2">
        <f ca="1"/>
        <v>0.56370162704225146</v>
      </c>
      <c r="O2791" s="2">
        <f ca="1"/>
        <v>-0.21339879403578313</v>
      </c>
      <c r="X2791" s="2">
        <f ca="1"/>
        <v>77.614023046302933</v>
      </c>
      <c r="AG2791" s="2">
        <f ca="1"/>
        <v>0.9158809280176583</v>
      </c>
      <c r="AH2791" s="2" t="str">
        <f ca="1"/>
        <v>Bad</v>
      </c>
    </row>
    <row r="2792" spans="2:34" x14ac:dyDescent="0.2">
      <c r="B2792" s="2">
        <f ca="1"/>
        <v>0.75920018511857612</v>
      </c>
      <c r="O2792" s="2">
        <f ca="1"/>
        <v>0.17646474184174116</v>
      </c>
      <c r="X2792" s="2">
        <f ca="1"/>
        <v>30.070444911227941</v>
      </c>
      <c r="AG2792" s="2">
        <f ca="1"/>
        <v>0.78823263078519967</v>
      </c>
      <c r="AH2792" s="2" t="str">
        <f ca="1"/>
        <v>Bad</v>
      </c>
    </row>
    <row r="2793" spans="2:34" x14ac:dyDescent="0.2">
      <c r="B2793" s="2">
        <f ca="1"/>
        <v>0.54569074931563399</v>
      </c>
      <c r="O2793" s="2">
        <f ca="1"/>
        <v>-0.66046015747035658</v>
      </c>
      <c r="X2793" s="2">
        <f ca="1"/>
        <v>63.343084791646788</v>
      </c>
      <c r="AG2793" s="2">
        <f ca="1"/>
        <v>0.44000695736659434</v>
      </c>
      <c r="AH2793" s="2" t="str">
        <f ca="1"/>
        <v>Bad</v>
      </c>
    </row>
    <row r="2794" spans="2:34" x14ac:dyDescent="0.2">
      <c r="B2794" s="2">
        <f ca="1"/>
        <v>5.4244495120483238E-2</v>
      </c>
      <c r="O2794" s="2">
        <f ca="1"/>
        <v>-0.64400251834885514</v>
      </c>
      <c r="X2794" s="2">
        <f ca="1"/>
        <v>42.153917138712991</v>
      </c>
      <c r="AG2794" s="2">
        <f ca="1"/>
        <v>0.10374491063364122</v>
      </c>
      <c r="AH2794" s="2" t="str">
        <f ca="1"/>
        <v>OK</v>
      </c>
    </row>
    <row r="2795" spans="2:34" x14ac:dyDescent="0.2">
      <c r="B2795" s="2">
        <f ca="1"/>
        <v>0.27589293083263766</v>
      </c>
      <c r="O2795" s="2">
        <f ca="1"/>
        <v>0.57198025701063837</v>
      </c>
      <c r="X2795" s="2">
        <f ca="1"/>
        <v>55.558563135974822</v>
      </c>
      <c r="AG2795" s="2">
        <f ca="1"/>
        <v>0.92271420915208879</v>
      </c>
      <c r="AH2795" s="2" t="str">
        <f ca="1"/>
        <v>Bad</v>
      </c>
    </row>
    <row r="2796" spans="2:34" x14ac:dyDescent="0.2">
      <c r="B2796" s="2">
        <f ca="1"/>
        <v>0.86551454337994249</v>
      </c>
      <c r="O2796" s="2">
        <f ca="1"/>
        <v>-2.3636366650643379</v>
      </c>
      <c r="X2796" s="2">
        <f ca="1"/>
        <v>47.960583293276883</v>
      </c>
      <c r="AG2796" s="2">
        <f ca="1"/>
        <v>4.6530955386277606E-2</v>
      </c>
      <c r="AH2796" s="2" t="str">
        <f ca="1"/>
        <v>Good</v>
      </c>
    </row>
    <row r="2797" spans="2:34" x14ac:dyDescent="0.2">
      <c r="B2797" s="2">
        <f ca="1"/>
        <v>0.83800234383203365</v>
      </c>
      <c r="O2797" s="2">
        <f ca="1"/>
        <v>-0.64259481477395541</v>
      </c>
      <c r="X2797" s="2">
        <f ca="1"/>
        <v>45.847084093892022</v>
      </c>
      <c r="AG2797" s="2">
        <f ca="1"/>
        <v>0.6308506316351099</v>
      </c>
      <c r="AH2797" s="2" t="str">
        <f ca="1"/>
        <v>Bad</v>
      </c>
    </row>
    <row r="2798" spans="2:34" x14ac:dyDescent="0.2">
      <c r="B2798" s="2">
        <f ca="1"/>
        <v>0.55878643040829257</v>
      </c>
      <c r="O2798" s="2">
        <f ca="1"/>
        <v>2.6211146424028748</v>
      </c>
      <c r="X2798" s="2">
        <f ca="1"/>
        <v>32.398433052303794</v>
      </c>
      <c r="AG2798" s="2">
        <f ca="1"/>
        <v>0.7973672605502693</v>
      </c>
      <c r="AH2798" s="2" t="str">
        <f ca="1"/>
        <v>Bad</v>
      </c>
    </row>
    <row r="2799" spans="2:34" x14ac:dyDescent="0.2">
      <c r="B2799" s="2">
        <f ca="1"/>
        <v>0.57305510129098902</v>
      </c>
      <c r="O2799" s="2">
        <f ca="1"/>
        <v>0.15510429091257372</v>
      </c>
      <c r="X2799" s="2">
        <f ca="1"/>
        <v>65.826371259130909</v>
      </c>
      <c r="AG2799" s="2">
        <f ca="1"/>
        <v>8.7343908207048404E-2</v>
      </c>
      <c r="AH2799" s="2" t="str">
        <f ca="1"/>
        <v>OK</v>
      </c>
    </row>
    <row r="2800" spans="2:34" x14ac:dyDescent="0.2">
      <c r="B2800" s="2">
        <f ca="1"/>
        <v>0.74951148626119513</v>
      </c>
      <c r="O2800" s="2">
        <f ca="1"/>
        <v>0.48202279467621029</v>
      </c>
      <c r="X2800" s="2">
        <f ca="1"/>
        <v>46.112572020595969</v>
      </c>
      <c r="AG2800" s="2">
        <f ca="1"/>
        <v>0.81804879980183465</v>
      </c>
      <c r="AH2800" s="2" t="str">
        <f ca="1"/>
        <v>Bad</v>
      </c>
    </row>
    <row r="2801" spans="2:34" x14ac:dyDescent="0.2">
      <c r="B2801" s="2">
        <f ca="1"/>
        <v>7.7010859012819344E-2</v>
      </c>
      <c r="O2801" s="2">
        <f ca="1"/>
        <v>-0.73607605481263783</v>
      </c>
      <c r="X2801" s="2">
        <f ca="1"/>
        <v>86.171333080347253</v>
      </c>
      <c r="AG2801" s="2">
        <f ca="1"/>
        <v>0.89421102871210367</v>
      </c>
      <c r="AH2801" s="2" t="str">
        <f ca="1"/>
        <v>Bad</v>
      </c>
    </row>
    <row r="2802" spans="2:34" x14ac:dyDescent="0.2">
      <c r="B2802" s="2">
        <f ca="1"/>
        <v>7.1122434793502887E-2</v>
      </c>
      <c r="O2802" s="2">
        <f ca="1"/>
        <v>0.93305782315182861</v>
      </c>
      <c r="X2802" s="2">
        <f ca="1"/>
        <v>37.412039019611846</v>
      </c>
      <c r="AG2802" s="2">
        <f ca="1"/>
        <v>8.3157411696167305E-2</v>
      </c>
      <c r="AH2802" s="2" t="str">
        <f ca="1"/>
        <v>OK</v>
      </c>
    </row>
    <row r="2803" spans="2:34" x14ac:dyDescent="0.2">
      <c r="B2803" s="2">
        <f ca="1"/>
        <v>0.11231783557129082</v>
      </c>
      <c r="O2803" s="2">
        <f ca="1"/>
        <v>0.44913208290502699</v>
      </c>
      <c r="X2803" s="2">
        <f ca="1"/>
        <v>42.737149139920447</v>
      </c>
      <c r="AG2803" s="2">
        <f ca="1"/>
        <v>0.41439066840606009</v>
      </c>
      <c r="AH2803" s="2" t="str">
        <f ca="1"/>
        <v>Bad</v>
      </c>
    </row>
    <row r="2804" spans="2:34" x14ac:dyDescent="0.2">
      <c r="B2804" s="2">
        <f ca="1"/>
        <v>0.11810535267429478</v>
      </c>
      <c r="O2804" s="2">
        <f ca="1"/>
        <v>0.81391677483385827</v>
      </c>
      <c r="X2804" s="2">
        <f ca="1"/>
        <v>62.062658871638028</v>
      </c>
      <c r="AG2804" s="2">
        <f ca="1"/>
        <v>0.44862837936412303</v>
      </c>
      <c r="AH2804" s="2" t="str">
        <f ca="1"/>
        <v>Bad</v>
      </c>
    </row>
    <row r="2805" spans="2:34" x14ac:dyDescent="0.2">
      <c r="B2805" s="2">
        <f ca="1"/>
        <v>0.3383262312552151</v>
      </c>
      <c r="O2805" s="2">
        <f ca="1"/>
        <v>0.3096954252008306</v>
      </c>
      <c r="X2805" s="2">
        <f ca="1"/>
        <v>36.528602243464945</v>
      </c>
      <c r="AG2805" s="2">
        <f ca="1"/>
        <v>9.0021474648900979E-2</v>
      </c>
      <c r="AH2805" s="2" t="str">
        <f ca="1"/>
        <v>OK</v>
      </c>
    </row>
    <row r="2806" spans="2:34" x14ac:dyDescent="0.2">
      <c r="B2806" s="2">
        <f ca="1"/>
        <v>0.78925498355103496</v>
      </c>
      <c r="O2806" s="2">
        <f ca="1"/>
        <v>2.1675876259148756</v>
      </c>
      <c r="X2806" s="2">
        <f ca="1"/>
        <v>58.426729947715501</v>
      </c>
      <c r="AG2806" s="2">
        <f ca="1"/>
        <v>0.89580089303533272</v>
      </c>
      <c r="AH2806" s="2" t="str">
        <f ca="1"/>
        <v>Bad</v>
      </c>
    </row>
    <row r="2807" spans="2:34" x14ac:dyDescent="0.2">
      <c r="B2807" s="2">
        <f ca="1"/>
        <v>0.91053718767721792</v>
      </c>
      <c r="O2807" s="2">
        <f ca="1"/>
        <v>-0.81344825126306752</v>
      </c>
      <c r="X2807" s="2">
        <f ca="1"/>
        <v>57.926148588944386</v>
      </c>
      <c r="AG2807" s="2">
        <f ca="1"/>
        <v>0.76270772266427889</v>
      </c>
      <c r="AH2807" s="2" t="str">
        <f ca="1"/>
        <v>Bad</v>
      </c>
    </row>
    <row r="2808" spans="2:34" x14ac:dyDescent="0.2">
      <c r="B2808" s="2">
        <f ca="1"/>
        <v>0.79293561781105715</v>
      </c>
      <c r="O2808" s="2">
        <f ca="1"/>
        <v>0.26874480913926529</v>
      </c>
      <c r="X2808" s="2">
        <f ca="1"/>
        <v>37.259664161542986</v>
      </c>
      <c r="AG2808" s="2">
        <f ca="1"/>
        <v>0.64760680801257053</v>
      </c>
      <c r="AH2808" s="2" t="str">
        <f ca="1"/>
        <v>Bad</v>
      </c>
    </row>
    <row r="2809" spans="2:34" x14ac:dyDescent="0.2">
      <c r="B2809" s="2">
        <f ca="1"/>
        <v>0.4024077783995339</v>
      </c>
      <c r="O2809" s="2">
        <f ca="1"/>
        <v>-0.58933492988627778</v>
      </c>
      <c r="X2809" s="2">
        <f ca="1"/>
        <v>46.437461208575414</v>
      </c>
      <c r="AG2809" s="2">
        <f ca="1"/>
        <v>0.82793303075429869</v>
      </c>
      <c r="AH2809" s="2" t="str">
        <f ca="1"/>
        <v>Bad</v>
      </c>
    </row>
    <row r="2810" spans="2:34" x14ac:dyDescent="0.2">
      <c r="B2810" s="2">
        <f ca="1"/>
        <v>0.63755029747527336</v>
      </c>
      <c r="O2810" s="2">
        <f ca="1"/>
        <v>-0.31835717201301578</v>
      </c>
      <c r="X2810" s="2">
        <f ca="1"/>
        <v>82.057173581470963</v>
      </c>
      <c r="AG2810" s="2">
        <f ca="1"/>
        <v>0.2324559054118871</v>
      </c>
      <c r="AH2810" s="2" t="str">
        <f ca="1"/>
        <v>OK</v>
      </c>
    </row>
    <row r="2811" spans="2:34" x14ac:dyDescent="0.2">
      <c r="B2811" s="2">
        <f ca="1"/>
        <v>0.13918343040247616</v>
      </c>
      <c r="O2811" s="2">
        <f ca="1"/>
        <v>-0.88092833474140941</v>
      </c>
      <c r="X2811" s="2">
        <f ca="1"/>
        <v>69.408956634209915</v>
      </c>
      <c r="AG2811" s="2">
        <f ca="1"/>
        <v>7.4756574223966199E-2</v>
      </c>
      <c r="AH2811" s="2" t="str">
        <f ca="1"/>
        <v>OK</v>
      </c>
    </row>
    <row r="2812" spans="2:34" x14ac:dyDescent="0.2">
      <c r="B2812" s="2">
        <f ca="1"/>
        <v>0.52056620059118619</v>
      </c>
      <c r="O2812" s="2">
        <f ca="1"/>
        <v>-1.3829996736683845</v>
      </c>
      <c r="X2812" s="2">
        <f ca="1"/>
        <v>72.252259662263597</v>
      </c>
      <c r="AG2812" s="2">
        <f ca="1"/>
        <v>0.8192804747501885</v>
      </c>
      <c r="AH2812" s="2" t="str">
        <f ca="1"/>
        <v>Bad</v>
      </c>
    </row>
    <row r="2813" spans="2:34" x14ac:dyDescent="0.2">
      <c r="B2813" s="2">
        <f ca="1"/>
        <v>0.47374425102546325</v>
      </c>
      <c r="O2813" s="2">
        <f ca="1"/>
        <v>-0.5249363015974241</v>
      </c>
      <c r="X2813" s="2">
        <f ca="1"/>
        <v>70.647162851140223</v>
      </c>
      <c r="AG2813" s="2">
        <f ca="1"/>
        <v>0.42447140655297577</v>
      </c>
      <c r="AH2813" s="2" t="str">
        <f ca="1"/>
        <v>Bad</v>
      </c>
    </row>
    <row r="2814" spans="2:34" x14ac:dyDescent="0.2">
      <c r="B2814" s="2">
        <f ca="1"/>
        <v>0.72509862106995904</v>
      </c>
      <c r="O2814" s="2">
        <f ca="1"/>
        <v>2.046991813116918</v>
      </c>
      <c r="X2814" s="2">
        <f ca="1"/>
        <v>38.589723166732242</v>
      </c>
      <c r="AG2814" s="2">
        <f ca="1"/>
        <v>0.61774802204283619</v>
      </c>
      <c r="AH2814" s="2" t="str">
        <f ca="1"/>
        <v>Bad</v>
      </c>
    </row>
    <row r="2815" spans="2:34" x14ac:dyDescent="0.2">
      <c r="B2815" s="2">
        <f ca="1"/>
        <v>0.79000490506255128</v>
      </c>
      <c r="O2815" s="2">
        <f ca="1"/>
        <v>-1.6061424739235024</v>
      </c>
      <c r="X2815" s="2">
        <f ca="1"/>
        <v>66.778867930403194</v>
      </c>
      <c r="AG2815" s="2">
        <f ca="1"/>
        <v>0.91366524014151373</v>
      </c>
      <c r="AH2815" s="2" t="str">
        <f ca="1"/>
        <v>Bad</v>
      </c>
    </row>
    <row r="2816" spans="2:34" x14ac:dyDescent="0.2">
      <c r="B2816" s="2">
        <f ca="1"/>
        <v>0.77574125263994453</v>
      </c>
      <c r="O2816" s="2">
        <f ca="1"/>
        <v>1.0157298567703841</v>
      </c>
      <c r="X2816" s="2">
        <f ca="1"/>
        <v>30.637445069198218</v>
      </c>
      <c r="AG2816" s="2">
        <f ca="1"/>
        <v>0.27112311418212487</v>
      </c>
      <c r="AH2816" s="2" t="str">
        <f ca="1"/>
        <v>OK</v>
      </c>
    </row>
    <row r="2817" spans="2:34" x14ac:dyDescent="0.2">
      <c r="B2817" s="2">
        <f ca="1"/>
        <v>0.79526583990505517</v>
      </c>
      <c r="O2817" s="2">
        <f ca="1"/>
        <v>-1.3277162246413994</v>
      </c>
      <c r="X2817" s="2">
        <f ca="1"/>
        <v>54.396641954382346</v>
      </c>
      <c r="AG2817" s="2">
        <f ca="1"/>
        <v>0.9333734861192422</v>
      </c>
      <c r="AH2817" s="2" t="str">
        <f ca="1"/>
        <v>Bad</v>
      </c>
    </row>
    <row r="2818" spans="2:34" x14ac:dyDescent="0.2">
      <c r="B2818" s="2">
        <f ca="1"/>
        <v>0.26086864901091</v>
      </c>
      <c r="O2818" s="2">
        <f ca="1"/>
        <v>0.66582576790035342</v>
      </c>
      <c r="X2818" s="2">
        <f ca="1"/>
        <v>75.152423621693984</v>
      </c>
      <c r="AG2818" s="2">
        <f ca="1"/>
        <v>0.42320209237117501</v>
      </c>
      <c r="AH2818" s="2" t="str">
        <f ca="1"/>
        <v>Bad</v>
      </c>
    </row>
    <row r="2819" spans="2:34" x14ac:dyDescent="0.2">
      <c r="B2819" s="2">
        <f ca="1"/>
        <v>0.36913465016927116</v>
      </c>
      <c r="O2819" s="2">
        <f ca="1"/>
        <v>-4.3127667306372694E-3</v>
      </c>
      <c r="X2819" s="2">
        <f ca="1"/>
        <v>34.173323830525241</v>
      </c>
      <c r="AG2819" s="2">
        <f ca="1"/>
        <v>0.16183080887747825</v>
      </c>
      <c r="AH2819" s="2" t="str">
        <f ca="1"/>
        <v>OK</v>
      </c>
    </row>
    <row r="2820" spans="2:34" x14ac:dyDescent="0.2">
      <c r="B2820" s="2">
        <f ca="1"/>
        <v>0.32721263314865445</v>
      </c>
      <c r="O2820" s="2">
        <f ca="1"/>
        <v>-1.967236303424065</v>
      </c>
      <c r="X2820" s="2">
        <f ca="1"/>
        <v>59.633122914188121</v>
      </c>
      <c r="AG2820" s="2">
        <f ca="1"/>
        <v>0.12090082298279858</v>
      </c>
      <c r="AH2820" s="2" t="str">
        <f ca="1"/>
        <v>OK</v>
      </c>
    </row>
    <row r="2821" spans="2:34" x14ac:dyDescent="0.2">
      <c r="B2821" s="2">
        <f ca="1"/>
        <v>6.3345087180791015E-2</v>
      </c>
      <c r="O2821" s="2">
        <f ca="1"/>
        <v>-0.12336648534140379</v>
      </c>
      <c r="X2821" s="2">
        <f ca="1"/>
        <v>25.640121393251121</v>
      </c>
      <c r="AG2821" s="2">
        <f ca="1"/>
        <v>0.81133051524143474</v>
      </c>
      <c r="AH2821" s="2" t="str">
        <f ca="1"/>
        <v>Bad</v>
      </c>
    </row>
    <row r="2822" spans="2:34" x14ac:dyDescent="0.2">
      <c r="B2822" s="2">
        <f ca="1"/>
        <v>0.5320117396397761</v>
      </c>
      <c r="O2822" s="2">
        <f ca="1"/>
        <v>-0.99097941262527167</v>
      </c>
      <c r="X2822" s="2">
        <f ca="1"/>
        <v>50.840577555941053</v>
      </c>
      <c r="AG2822" s="2">
        <f ca="1"/>
        <v>0.37913059865518006</v>
      </c>
      <c r="AH2822" s="2" t="str">
        <f ca="1"/>
        <v>OK</v>
      </c>
    </row>
    <row r="2823" spans="2:34" x14ac:dyDescent="0.2">
      <c r="B2823" s="2">
        <f ca="1"/>
        <v>0.7840678386013904</v>
      </c>
      <c r="O2823" s="2">
        <f ca="1"/>
        <v>1.0215475421923337</v>
      </c>
      <c r="X2823" s="2">
        <f ca="1"/>
        <v>55.023623211428252</v>
      </c>
      <c r="AG2823" s="2">
        <f ca="1"/>
        <v>0.91165562000492328</v>
      </c>
      <c r="AH2823" s="2" t="str">
        <f ca="1"/>
        <v>Bad</v>
      </c>
    </row>
    <row r="2824" spans="2:34" x14ac:dyDescent="0.2">
      <c r="B2824" s="2">
        <f ca="1"/>
        <v>0.77459280598883562</v>
      </c>
      <c r="O2824" s="2">
        <f ca="1"/>
        <v>0.58517031555266452</v>
      </c>
      <c r="X2824" s="2">
        <f ca="1"/>
        <v>58.088497281581404</v>
      </c>
      <c r="AG2824" s="2">
        <f ca="1"/>
        <v>0.23773058659765312</v>
      </c>
      <c r="AH2824" s="2" t="str">
        <f ca="1"/>
        <v>OK</v>
      </c>
    </row>
    <row r="2825" spans="2:34" x14ac:dyDescent="0.2">
      <c r="B2825" s="2">
        <f ca="1"/>
        <v>0.91732856582532318</v>
      </c>
      <c r="O2825" s="2">
        <f ca="1"/>
        <v>0.21554105508955831</v>
      </c>
      <c r="X2825" s="2">
        <f ca="1"/>
        <v>42.097482772902652</v>
      </c>
      <c r="AG2825" s="2">
        <f ca="1"/>
        <v>3.5043755740811422E-2</v>
      </c>
      <c r="AH2825" s="2" t="str">
        <f ca="1"/>
        <v>Good</v>
      </c>
    </row>
    <row r="2826" spans="2:34" x14ac:dyDescent="0.2">
      <c r="B2826" s="2">
        <f ca="1"/>
        <v>0.44748238172598742</v>
      </c>
      <c r="O2826" s="2">
        <f ca="1"/>
        <v>-0.94803101547771984</v>
      </c>
      <c r="X2826" s="2">
        <f ca="1"/>
        <v>65.063068320008469</v>
      </c>
      <c r="AG2826" s="2">
        <f ca="1"/>
        <v>0.41717249763467334</v>
      </c>
      <c r="AH2826" s="2" t="str">
        <f ca="1"/>
        <v>Bad</v>
      </c>
    </row>
    <row r="2827" spans="2:34" x14ac:dyDescent="0.2">
      <c r="B2827" s="2">
        <f ca="1"/>
        <v>0.64548272868017142</v>
      </c>
      <c r="O2827" s="2">
        <f ca="1"/>
        <v>0.51498779626589997</v>
      </c>
      <c r="X2827" s="2">
        <f ca="1"/>
        <v>65.279613561684229</v>
      </c>
      <c r="AG2827" s="2">
        <f ca="1"/>
        <v>0.15712978998544913</v>
      </c>
      <c r="AH2827" s="2" t="str">
        <f ca="1"/>
        <v>OK</v>
      </c>
    </row>
    <row r="2828" spans="2:34" x14ac:dyDescent="0.2">
      <c r="B2828" s="2">
        <f ca="1"/>
        <v>0.51036567892526463</v>
      </c>
      <c r="O2828" s="2">
        <f ca="1"/>
        <v>2.7076251961296989</v>
      </c>
      <c r="X2828" s="2">
        <f ca="1"/>
        <v>28.409955093273055</v>
      </c>
      <c r="AG2828" s="2">
        <f ca="1"/>
        <v>0.69123534780577534</v>
      </c>
      <c r="AH2828" s="2" t="str">
        <f ca="1"/>
        <v>Bad</v>
      </c>
    </row>
    <row r="2829" spans="2:34" x14ac:dyDescent="0.2">
      <c r="B2829" s="2">
        <f ca="1"/>
        <v>0.97019378615730512</v>
      </c>
      <c r="O2829" s="2">
        <f ca="1"/>
        <v>0.61928780461185895</v>
      </c>
      <c r="X2829" s="2">
        <f ca="1"/>
        <v>43.442716226606429</v>
      </c>
      <c r="AG2829" s="2">
        <f ca="1"/>
        <v>0.22056063101436352</v>
      </c>
      <c r="AH2829" s="2" t="str">
        <f ca="1"/>
        <v>OK</v>
      </c>
    </row>
    <row r="2830" spans="2:34" x14ac:dyDescent="0.2">
      <c r="B2830" s="2">
        <f ca="1"/>
        <v>0.40021639444877932</v>
      </c>
      <c r="O2830" s="2">
        <f ca="1"/>
        <v>-1.3473203420631239</v>
      </c>
      <c r="X2830" s="2">
        <f ca="1"/>
        <v>47.49918527896439</v>
      </c>
      <c r="AG2830" s="2">
        <f ca="1"/>
        <v>0.24553032695676369</v>
      </c>
      <c r="AH2830" s="2" t="str">
        <f ca="1"/>
        <v>OK</v>
      </c>
    </row>
    <row r="2831" spans="2:34" x14ac:dyDescent="0.2">
      <c r="B2831" s="2">
        <f ca="1"/>
        <v>0.67650313084497227</v>
      </c>
      <c r="O2831" s="2">
        <f ca="1"/>
        <v>-0.4350192908158933</v>
      </c>
      <c r="X2831" s="2">
        <f ca="1"/>
        <v>35.089419499512488</v>
      </c>
      <c r="AG2831" s="2">
        <f ca="1"/>
        <v>6.504072251280113E-2</v>
      </c>
      <c r="AH2831" s="2" t="str">
        <f ca="1"/>
        <v>OK</v>
      </c>
    </row>
    <row r="2832" spans="2:34" x14ac:dyDescent="0.2">
      <c r="B2832" s="2">
        <f ca="1"/>
        <v>0.82557292011573025</v>
      </c>
      <c r="O2832" s="2">
        <f ca="1"/>
        <v>-0.40406465567044547</v>
      </c>
      <c r="X2832" s="2">
        <f ca="1"/>
        <v>35.906012868387954</v>
      </c>
      <c r="AG2832" s="2">
        <f ca="1"/>
        <v>0.59060882099511636</v>
      </c>
      <c r="AH2832" s="2" t="str">
        <f ca="1"/>
        <v>Bad</v>
      </c>
    </row>
    <row r="2833" spans="2:34" x14ac:dyDescent="0.2">
      <c r="B2833" s="2">
        <f ca="1"/>
        <v>0.12559801256439451</v>
      </c>
      <c r="O2833" s="2">
        <f ca="1"/>
        <v>-0.33363754597121731</v>
      </c>
      <c r="X2833" s="2">
        <f ca="1"/>
        <v>39.596564551082274</v>
      </c>
      <c r="AG2833" s="2">
        <f ca="1"/>
        <v>0.22127463125873947</v>
      </c>
      <c r="AH2833" s="2" t="str">
        <f ca="1"/>
        <v>OK</v>
      </c>
    </row>
    <row r="2834" spans="2:34" x14ac:dyDescent="0.2">
      <c r="B2834" s="2">
        <f ca="1"/>
        <v>0.46289552986681182</v>
      </c>
      <c r="O2834" s="2">
        <f ca="1"/>
        <v>-0.61686624157739589</v>
      </c>
      <c r="X2834" s="2">
        <f ca="1"/>
        <v>57.542505110658446</v>
      </c>
      <c r="AG2834" s="2">
        <f ca="1"/>
        <v>0.81569090540852351</v>
      </c>
      <c r="AH2834" s="2" t="str">
        <f ca="1"/>
        <v>Bad</v>
      </c>
    </row>
    <row r="2835" spans="2:34" x14ac:dyDescent="0.2">
      <c r="B2835" s="2">
        <f ca="1"/>
        <v>0.14192726708249337</v>
      </c>
      <c r="O2835" s="2">
        <f ca="1"/>
        <v>-0.93610398191138611</v>
      </c>
      <c r="X2835" s="2">
        <f ca="1"/>
        <v>33.70644384598026</v>
      </c>
      <c r="AG2835" s="2">
        <f ca="1"/>
        <v>0.50484990465196455</v>
      </c>
      <c r="AH2835" s="2" t="str">
        <f ca="1"/>
        <v>Bad</v>
      </c>
    </row>
    <row r="2836" spans="2:34" x14ac:dyDescent="0.2">
      <c r="B2836" s="2">
        <f ca="1"/>
        <v>0.83656736079848626</v>
      </c>
      <c r="O2836" s="2">
        <f ca="1"/>
        <v>0.33286053689484374</v>
      </c>
      <c r="X2836" s="2">
        <f ca="1"/>
        <v>48.178317918984696</v>
      </c>
      <c r="AG2836" s="2">
        <f ca="1"/>
        <v>0.36881640313993724</v>
      </c>
      <c r="AH2836" s="2" t="str">
        <f ca="1"/>
        <v>OK</v>
      </c>
    </row>
    <row r="2837" spans="2:34" x14ac:dyDescent="0.2">
      <c r="B2837" s="2">
        <f ca="1"/>
        <v>0.32272236457566295</v>
      </c>
      <c r="O2837" s="2">
        <f ca="1"/>
        <v>2.8321399545765298E-2</v>
      </c>
      <c r="X2837" s="2">
        <f ca="1"/>
        <v>50.336043904035648</v>
      </c>
      <c r="AG2837" s="2">
        <f ca="1"/>
        <v>0.76981706882425915</v>
      </c>
      <c r="AH2837" s="2" t="str">
        <f ca="1"/>
        <v>Bad</v>
      </c>
    </row>
    <row r="2838" spans="2:34" x14ac:dyDescent="0.2">
      <c r="B2838" s="2">
        <f ca="1"/>
        <v>0.30104225054767375</v>
      </c>
      <c r="O2838" s="2">
        <f ca="1"/>
        <v>-0.14330960280056101</v>
      </c>
      <c r="X2838" s="2">
        <f ca="1"/>
        <v>18.192346004546678</v>
      </c>
      <c r="AG2838" s="2">
        <f ca="1"/>
        <v>9.270636772359131E-2</v>
      </c>
      <c r="AH2838" s="2" t="str">
        <f ca="1"/>
        <v>OK</v>
      </c>
    </row>
    <row r="2839" spans="2:34" x14ac:dyDescent="0.2">
      <c r="B2839" s="2">
        <f ca="1"/>
        <v>0.99673110897760564</v>
      </c>
      <c r="O2839" s="2">
        <f ca="1"/>
        <v>-0.25707662719867741</v>
      </c>
      <c r="X2839" s="2">
        <f ca="1"/>
        <v>41.189655635467368</v>
      </c>
      <c r="AG2839" s="2">
        <f ca="1"/>
        <v>0.57362572208559093</v>
      </c>
      <c r="AH2839" s="2" t="str">
        <f ca="1"/>
        <v>Bad</v>
      </c>
    </row>
    <row r="2840" spans="2:34" x14ac:dyDescent="0.2">
      <c r="B2840" s="2">
        <f ca="1"/>
        <v>0.86419455820279611</v>
      </c>
      <c r="O2840" s="2">
        <f ca="1"/>
        <v>-1.4689447519429839</v>
      </c>
      <c r="X2840" s="2">
        <f ca="1"/>
        <v>52.324770033825089</v>
      </c>
      <c r="AG2840" s="2">
        <f ca="1"/>
        <v>0.63628509637110775</v>
      </c>
      <c r="AH2840" s="2" t="str">
        <f ca="1"/>
        <v>Bad</v>
      </c>
    </row>
    <row r="2841" spans="2:34" x14ac:dyDescent="0.2">
      <c r="B2841" s="2">
        <f ca="1"/>
        <v>9.3818600059744961E-2</v>
      </c>
      <c r="O2841" s="2">
        <f ca="1"/>
        <v>0.42531557333062681</v>
      </c>
      <c r="X2841" s="2">
        <f ca="1"/>
        <v>28.558523993779175</v>
      </c>
      <c r="AG2841" s="2">
        <f ca="1"/>
        <v>0.35853915401230174</v>
      </c>
      <c r="AH2841" s="2" t="str">
        <f ca="1"/>
        <v>OK</v>
      </c>
    </row>
    <row r="2842" spans="2:34" x14ac:dyDescent="0.2">
      <c r="B2842" s="2">
        <f ca="1"/>
        <v>0.24470615971734588</v>
      </c>
      <c r="O2842" s="2">
        <f ca="1"/>
        <v>-0.77162117939983466</v>
      </c>
      <c r="X2842" s="2">
        <f ca="1"/>
        <v>60.611227896470922</v>
      </c>
      <c r="AG2842" s="2">
        <f ca="1"/>
        <v>5.8981789028134557E-2</v>
      </c>
      <c r="AH2842" s="2" t="str">
        <f ca="1"/>
        <v>OK</v>
      </c>
    </row>
    <row r="2843" spans="2:34" x14ac:dyDescent="0.2">
      <c r="B2843" s="2">
        <f ca="1"/>
        <v>0.92011574332044432</v>
      </c>
      <c r="O2843" s="2">
        <f ca="1"/>
        <v>-0.50066113958556391</v>
      </c>
      <c r="X2843" s="2">
        <f ca="1"/>
        <v>53.825928073014573</v>
      </c>
      <c r="AG2843" s="2">
        <f ca="1"/>
        <v>0.97295654319865266</v>
      </c>
      <c r="AH2843" s="2" t="str">
        <f ca="1"/>
        <v>Bad</v>
      </c>
    </row>
    <row r="2844" spans="2:34" x14ac:dyDescent="0.2">
      <c r="B2844" s="2">
        <f ca="1"/>
        <v>0.2312984020645541</v>
      </c>
      <c r="O2844" s="2">
        <f ca="1"/>
        <v>1.4540791163399756</v>
      </c>
      <c r="X2844" s="2">
        <f ca="1"/>
        <v>38.394814959850763</v>
      </c>
      <c r="AG2844" s="2">
        <f ca="1"/>
        <v>0.59941161291698841</v>
      </c>
      <c r="AH2844" s="2" t="str">
        <f ca="1"/>
        <v>Bad</v>
      </c>
    </row>
    <row r="2845" spans="2:34" x14ac:dyDescent="0.2">
      <c r="B2845" s="2">
        <f ca="1"/>
        <v>0.62895182899213586</v>
      </c>
      <c r="O2845" s="2">
        <f ca="1"/>
        <v>-0.29586260603878251</v>
      </c>
      <c r="X2845" s="2">
        <f ca="1"/>
        <v>33.621834120383767</v>
      </c>
      <c r="AG2845" s="2">
        <f ca="1"/>
        <v>0.23035731732153564</v>
      </c>
      <c r="AH2845" s="2" t="str">
        <f ca="1"/>
        <v>OK</v>
      </c>
    </row>
    <row r="2846" spans="2:34" x14ac:dyDescent="0.2">
      <c r="B2846" s="2">
        <f ca="1"/>
        <v>0.31382894664166527</v>
      </c>
      <c r="O2846" s="2">
        <f ca="1"/>
        <v>-0.94661073998031375</v>
      </c>
      <c r="X2846" s="2">
        <f ca="1"/>
        <v>43.218586557525462</v>
      </c>
      <c r="AG2846" s="2">
        <f ca="1"/>
        <v>0.3458740827347071</v>
      </c>
      <c r="AH2846" s="2" t="str">
        <f ca="1"/>
        <v>OK</v>
      </c>
    </row>
    <row r="2847" spans="2:34" x14ac:dyDescent="0.2">
      <c r="B2847" s="2">
        <f ca="1"/>
        <v>0.81393409823283425</v>
      </c>
      <c r="O2847" s="2">
        <f ca="1"/>
        <v>-1.0072404898944494</v>
      </c>
      <c r="X2847" s="2">
        <f ca="1"/>
        <v>57.137845211095964</v>
      </c>
      <c r="AG2847" s="2">
        <f ca="1"/>
        <v>0.31465587040435827</v>
      </c>
      <c r="AH2847" s="2" t="str">
        <f ca="1"/>
        <v>OK</v>
      </c>
    </row>
    <row r="2848" spans="2:34" x14ac:dyDescent="0.2">
      <c r="B2848" s="2">
        <f ca="1"/>
        <v>0.29742052801411578</v>
      </c>
      <c r="O2848" s="2">
        <f ca="1"/>
        <v>0.16644189642023055</v>
      </c>
      <c r="X2848" s="2">
        <f ca="1"/>
        <v>46.290689108454885</v>
      </c>
      <c r="AG2848" s="2">
        <f ca="1"/>
        <v>0.36419124788048141</v>
      </c>
      <c r="AH2848" s="2" t="str">
        <f ca="1"/>
        <v>OK</v>
      </c>
    </row>
    <row r="2849" spans="2:34" x14ac:dyDescent="0.2">
      <c r="B2849" s="2">
        <f ca="1"/>
        <v>0.7923836537926634</v>
      </c>
      <c r="O2849" s="2">
        <f ca="1"/>
        <v>1.0824510506094842</v>
      </c>
      <c r="X2849" s="2">
        <f ca="1"/>
        <v>68.87372041869925</v>
      </c>
      <c r="AG2849" s="2">
        <f ca="1"/>
        <v>0.12753367541375349</v>
      </c>
      <c r="AH2849" s="2" t="str">
        <f ca="1"/>
        <v>OK</v>
      </c>
    </row>
    <row r="2850" spans="2:34" x14ac:dyDescent="0.2">
      <c r="B2850" s="2">
        <f ca="1"/>
        <v>0.49349362130391405</v>
      </c>
      <c r="O2850" s="2">
        <f ca="1"/>
        <v>1.7540831691350329</v>
      </c>
      <c r="X2850" s="2">
        <f ca="1"/>
        <v>49.119268405658502</v>
      </c>
      <c r="AG2850" s="2">
        <f ca="1"/>
        <v>5.0966970031408154E-2</v>
      </c>
      <c r="AH2850" s="2" t="str">
        <f ca="1"/>
        <v>OK</v>
      </c>
    </row>
    <row r="2851" spans="2:34" x14ac:dyDescent="0.2">
      <c r="B2851" s="2">
        <f ca="1"/>
        <v>0.26659662158958986</v>
      </c>
      <c r="O2851" s="2">
        <f ca="1"/>
        <v>-0.41749111933922206</v>
      </c>
      <c r="X2851" s="2">
        <f ca="1"/>
        <v>50.415356768919096</v>
      </c>
      <c r="AG2851" s="2">
        <f ca="1"/>
        <v>0.14678804574266713</v>
      </c>
      <c r="AH2851" s="2" t="str">
        <f ca="1"/>
        <v>OK</v>
      </c>
    </row>
    <row r="2852" spans="2:34" x14ac:dyDescent="0.2">
      <c r="B2852" s="2">
        <f ca="1"/>
        <v>0.37305977233258969</v>
      </c>
      <c r="O2852" s="2">
        <f ca="1"/>
        <v>-0.10928294299183761</v>
      </c>
      <c r="X2852" s="2">
        <f ca="1"/>
        <v>41.720752520655523</v>
      </c>
      <c r="AG2852" s="2">
        <f ca="1"/>
        <v>0.74211067983049728</v>
      </c>
      <c r="AH2852" s="2" t="str">
        <f ca="1"/>
        <v>Bad</v>
      </c>
    </row>
    <row r="2853" spans="2:34" x14ac:dyDescent="0.2">
      <c r="B2853" s="2">
        <f ca="1"/>
        <v>0.24048143690686996</v>
      </c>
      <c r="O2853" s="2">
        <f ca="1"/>
        <v>-1.1648903749560788</v>
      </c>
      <c r="X2853" s="2">
        <f ca="1"/>
        <v>29.83421607254957</v>
      </c>
      <c r="AG2853" s="2">
        <f ca="1"/>
        <v>0.94132102979865451</v>
      </c>
      <c r="AH2853" s="2" t="str">
        <f ca="1"/>
        <v>Bad</v>
      </c>
    </row>
    <row r="2854" spans="2:34" x14ac:dyDescent="0.2">
      <c r="B2854" s="2">
        <f ca="1"/>
        <v>0.94158750545812819</v>
      </c>
      <c r="O2854" s="2">
        <f ca="1"/>
        <v>0.64208306347255151</v>
      </c>
      <c r="X2854" s="2">
        <f ca="1"/>
        <v>46.624909896889704</v>
      </c>
      <c r="AG2854" s="2">
        <f ca="1"/>
        <v>0.97679353600372121</v>
      </c>
      <c r="AH2854" s="2" t="str">
        <f ca="1"/>
        <v>Bad</v>
      </c>
    </row>
    <row r="2855" spans="2:34" x14ac:dyDescent="0.2">
      <c r="B2855" s="2">
        <f ca="1"/>
        <v>7.7461270016296213E-2</v>
      </c>
      <c r="O2855" s="2">
        <f ca="1"/>
        <v>0.57801462217988742</v>
      </c>
      <c r="X2855" s="2">
        <f ca="1"/>
        <v>37.857226334641453</v>
      </c>
      <c r="AG2855" s="2">
        <f ca="1"/>
        <v>0.70994571907640247</v>
      </c>
      <c r="AH2855" s="2" t="str">
        <f ca="1"/>
        <v>Bad</v>
      </c>
    </row>
    <row r="2856" spans="2:34" x14ac:dyDescent="0.2">
      <c r="B2856" s="2">
        <f ca="1"/>
        <v>0.97112923990594324</v>
      </c>
      <c r="O2856" s="2">
        <f ca="1"/>
        <v>1.2141888470547657</v>
      </c>
      <c r="X2856" s="2">
        <f ca="1"/>
        <v>45.035794497424121</v>
      </c>
      <c r="AG2856" s="2">
        <f ca="1"/>
        <v>0.50180693100357998</v>
      </c>
      <c r="AH2856" s="2" t="str">
        <f ca="1"/>
        <v>Bad</v>
      </c>
    </row>
    <row r="2857" spans="2:34" x14ac:dyDescent="0.2">
      <c r="B2857" s="2">
        <f ca="1"/>
        <v>0.85528358390414572</v>
      </c>
      <c r="O2857" s="2">
        <f ca="1"/>
        <v>-0.35981065951651547</v>
      </c>
      <c r="X2857" s="2">
        <f ca="1"/>
        <v>43.202853374204238</v>
      </c>
      <c r="AG2857" s="2">
        <f ca="1"/>
        <v>3.5357101907269595E-2</v>
      </c>
      <c r="AH2857" s="2" t="str">
        <f ca="1"/>
        <v>Good</v>
      </c>
    </row>
    <row r="2858" spans="2:34" x14ac:dyDescent="0.2">
      <c r="B2858" s="2">
        <f ca="1"/>
        <v>0.52014622924016729</v>
      </c>
      <c r="O2858" s="2">
        <f ca="1"/>
        <v>0.46484555133974914</v>
      </c>
      <c r="X2858" s="2">
        <f ca="1"/>
        <v>39.563560546614752</v>
      </c>
      <c r="AG2858" s="2">
        <f ca="1"/>
        <v>0.37183510429236932</v>
      </c>
      <c r="AH2858" s="2" t="str">
        <f ca="1"/>
        <v>OK</v>
      </c>
    </row>
    <row r="2859" spans="2:34" x14ac:dyDescent="0.2">
      <c r="B2859" s="2">
        <f ca="1"/>
        <v>0.2138876056362542</v>
      </c>
      <c r="O2859" s="2">
        <f ca="1"/>
        <v>-0.4251123542301804</v>
      </c>
      <c r="X2859" s="2">
        <f ca="1"/>
        <v>71.520288565982241</v>
      </c>
      <c r="AG2859" s="2">
        <f ca="1"/>
        <v>0.40806472169355223</v>
      </c>
      <c r="AH2859" s="2" t="str">
        <f ca="1"/>
        <v>Bad</v>
      </c>
    </row>
    <row r="2860" spans="2:34" x14ac:dyDescent="0.2">
      <c r="B2860" s="2">
        <f ca="1"/>
        <v>0.51474843463823117</v>
      </c>
      <c r="O2860" s="2">
        <f ca="1"/>
        <v>1.4747377699633422</v>
      </c>
      <c r="X2860" s="2">
        <f ca="1"/>
        <v>73.932021059684004</v>
      </c>
      <c r="AG2860" s="2">
        <f ca="1"/>
        <v>0.64274821370390467</v>
      </c>
      <c r="AH2860" s="2" t="str">
        <f ca="1"/>
        <v>Bad</v>
      </c>
    </row>
    <row r="2861" spans="2:34" x14ac:dyDescent="0.2">
      <c r="B2861" s="2">
        <f ca="1"/>
        <v>0.88713398664494836</v>
      </c>
      <c r="O2861" s="2">
        <f ca="1"/>
        <v>-0.44518493042928881</v>
      </c>
      <c r="X2861" s="2">
        <f ca="1"/>
        <v>39.098237710388759</v>
      </c>
      <c r="AG2861" s="2">
        <f ca="1"/>
        <v>0.31040853663001045</v>
      </c>
      <c r="AH2861" s="2" t="str">
        <f ca="1"/>
        <v>OK</v>
      </c>
    </row>
    <row r="2862" spans="2:34" x14ac:dyDescent="0.2">
      <c r="B2862" s="2">
        <f ca="1"/>
        <v>2.0236562000918168E-2</v>
      </c>
      <c r="O2862" s="2">
        <f ca="1"/>
        <v>0.15898808195461539</v>
      </c>
      <c r="X2862" s="2">
        <f ca="1"/>
        <v>44.305430298408581</v>
      </c>
      <c r="AG2862" s="2">
        <f ca="1"/>
        <v>0.61027595123847167</v>
      </c>
      <c r="AH2862" s="2" t="str">
        <f ca="1"/>
        <v>Bad</v>
      </c>
    </row>
    <row r="2863" spans="2:34" x14ac:dyDescent="0.2">
      <c r="B2863" s="2">
        <f ca="1"/>
        <v>0.79074715553783737</v>
      </c>
      <c r="O2863" s="2">
        <f ca="1"/>
        <v>-0.31622130753028294</v>
      </c>
      <c r="X2863" s="2">
        <f ca="1"/>
        <v>49.728364880467851</v>
      </c>
      <c r="AG2863" s="2">
        <f ca="1"/>
        <v>0.21444661322961056</v>
      </c>
      <c r="AH2863" s="2" t="str">
        <f ca="1"/>
        <v>OK</v>
      </c>
    </row>
    <row r="2864" spans="2:34" x14ac:dyDescent="0.2">
      <c r="B2864" s="2">
        <f ca="1"/>
        <v>0.30961889237192119</v>
      </c>
      <c r="O2864" s="2">
        <f ca="1"/>
        <v>-1.3047613276588623</v>
      </c>
      <c r="X2864" s="2">
        <f ca="1"/>
        <v>41.010735384358767</v>
      </c>
      <c r="AG2864" s="2">
        <f ca="1"/>
        <v>0.85884592587354391</v>
      </c>
      <c r="AH2864" s="2" t="str">
        <f ca="1"/>
        <v>Bad</v>
      </c>
    </row>
    <row r="2865" spans="2:34" x14ac:dyDescent="0.2">
      <c r="B2865" s="2">
        <f ca="1"/>
        <v>0.42982155460006433</v>
      </c>
      <c r="O2865" s="2">
        <f ca="1"/>
        <v>-0.54394758094232509</v>
      </c>
      <c r="X2865" s="2">
        <f ca="1"/>
        <v>55.717334843470034</v>
      </c>
      <c r="AG2865" s="2">
        <f ca="1"/>
        <v>0.21714438928689472</v>
      </c>
      <c r="AH2865" s="2" t="str">
        <f ca="1"/>
        <v>OK</v>
      </c>
    </row>
    <row r="2866" spans="2:34" x14ac:dyDescent="0.2">
      <c r="B2866" s="2">
        <f ca="1"/>
        <v>0.92936946140579479</v>
      </c>
      <c r="O2866" s="2">
        <f ca="1"/>
        <v>0.21743216415912003</v>
      </c>
      <c r="X2866" s="2">
        <f ca="1"/>
        <v>46.261099608242631</v>
      </c>
      <c r="AG2866" s="2">
        <f ca="1"/>
        <v>4.7020145720741979E-3</v>
      </c>
      <c r="AH2866" s="2" t="str">
        <f ca="1"/>
        <v>Good</v>
      </c>
    </row>
    <row r="2867" spans="2:34" x14ac:dyDescent="0.2">
      <c r="B2867" s="2">
        <f ca="1"/>
        <v>0.46809996656238817</v>
      </c>
      <c r="O2867" s="2">
        <f ca="1"/>
        <v>-0.80283785491413728</v>
      </c>
      <c r="X2867" s="2">
        <f ca="1"/>
        <v>63.471468975134385</v>
      </c>
      <c r="AG2867" s="2">
        <f ca="1"/>
        <v>0.96720516513599719</v>
      </c>
      <c r="AH2867" s="2" t="str">
        <f ca="1"/>
        <v>Bad</v>
      </c>
    </row>
    <row r="2868" spans="2:34" x14ac:dyDescent="0.2">
      <c r="B2868" s="2">
        <f ca="1"/>
        <v>0.18736546841454782</v>
      </c>
      <c r="O2868" s="2">
        <f ca="1"/>
        <v>-1.8382954201450696</v>
      </c>
      <c r="X2868" s="2">
        <f ca="1"/>
        <v>40.203508218876784</v>
      </c>
      <c r="AG2868" s="2">
        <f ca="1"/>
        <v>0.64982972889874047</v>
      </c>
      <c r="AH2868" s="2" t="str">
        <f ca="1"/>
        <v>Bad</v>
      </c>
    </row>
    <row r="2869" spans="2:34" x14ac:dyDescent="0.2">
      <c r="B2869" s="2">
        <f ca="1"/>
        <v>3.7954540469969933E-2</v>
      </c>
      <c r="O2869" s="2">
        <f ca="1"/>
        <v>0.38632155658717987</v>
      </c>
      <c r="X2869" s="2">
        <f ca="1"/>
        <v>58.069276579699405</v>
      </c>
      <c r="AG2869" s="2">
        <f ca="1"/>
        <v>0.66016730150459502</v>
      </c>
      <c r="AH2869" s="2" t="str">
        <f ca="1"/>
        <v>Bad</v>
      </c>
    </row>
    <row r="2870" spans="2:34" x14ac:dyDescent="0.2">
      <c r="B2870" s="2">
        <f ca="1"/>
        <v>0.54801441221392366</v>
      </c>
      <c r="O2870" s="2">
        <f ca="1"/>
        <v>0.2179924538658303</v>
      </c>
      <c r="X2870" s="2">
        <f ca="1"/>
        <v>33.270412328398614</v>
      </c>
      <c r="AG2870" s="2">
        <f ca="1"/>
        <v>0.17345878387977587</v>
      </c>
      <c r="AH2870" s="2" t="str">
        <f ca="1"/>
        <v>OK</v>
      </c>
    </row>
    <row r="2871" spans="2:34" x14ac:dyDescent="0.2">
      <c r="B2871" s="2">
        <f ca="1"/>
        <v>0.68747341399545414</v>
      </c>
      <c r="O2871" s="2">
        <f ca="1"/>
        <v>0.3284702013675897</v>
      </c>
      <c r="X2871" s="2">
        <f ca="1"/>
        <v>77.763811769234763</v>
      </c>
      <c r="AG2871" s="2">
        <f ca="1"/>
        <v>3.4162902157073294E-2</v>
      </c>
      <c r="AH2871" s="2" t="str">
        <f ca="1"/>
        <v>Good</v>
      </c>
    </row>
    <row r="2872" spans="2:34" x14ac:dyDescent="0.2">
      <c r="B2872" s="2">
        <f ca="1"/>
        <v>0.13832783195480514</v>
      </c>
      <c r="O2872" s="2">
        <f ca="1"/>
        <v>-0.22516705758955427</v>
      </c>
      <c r="X2872" s="2">
        <f ca="1"/>
        <v>56.551592640599452</v>
      </c>
      <c r="AG2872" s="2">
        <f ca="1"/>
        <v>0.38334550642762699</v>
      </c>
      <c r="AH2872" s="2" t="str">
        <f ca="1"/>
        <v>OK</v>
      </c>
    </row>
    <row r="2873" spans="2:34" x14ac:dyDescent="0.2">
      <c r="B2873" s="2">
        <f ca="1"/>
        <v>0.68484798267327363</v>
      </c>
      <c r="O2873" s="2">
        <f ca="1"/>
        <v>-2.5000263099360724</v>
      </c>
      <c r="X2873" s="2">
        <f ca="1"/>
        <v>28.031744650705036</v>
      </c>
      <c r="AG2873" s="2">
        <f ca="1"/>
        <v>0.45674991369336948</v>
      </c>
      <c r="AH2873" s="2" t="str">
        <f ca="1"/>
        <v>Bad</v>
      </c>
    </row>
    <row r="2874" spans="2:34" x14ac:dyDescent="0.2">
      <c r="B2874" s="2">
        <f ca="1"/>
        <v>0.13669889816419634</v>
      </c>
      <c r="O2874" s="2">
        <f ca="1"/>
        <v>0.53914421304482285</v>
      </c>
      <c r="X2874" s="2">
        <f ca="1"/>
        <v>54.011909661327202</v>
      </c>
      <c r="AG2874" s="2">
        <f ca="1"/>
        <v>0.5432387828455072</v>
      </c>
      <c r="AH2874" s="2" t="str">
        <f ca="1"/>
        <v>Bad</v>
      </c>
    </row>
    <row r="2875" spans="2:34" x14ac:dyDescent="0.2">
      <c r="B2875" s="2">
        <f ca="1"/>
        <v>0.66685881107660827</v>
      </c>
      <c r="O2875" s="2">
        <f ca="1"/>
        <v>-1.6913453561815934</v>
      </c>
      <c r="X2875" s="2">
        <f ca="1"/>
        <v>36.934666230689061</v>
      </c>
      <c r="AG2875" s="2">
        <f ca="1"/>
        <v>9.4312374280849376E-2</v>
      </c>
      <c r="AH2875" s="2" t="str">
        <f ca="1"/>
        <v>OK</v>
      </c>
    </row>
    <row r="2876" spans="2:34" x14ac:dyDescent="0.2">
      <c r="B2876" s="2">
        <f ca="1"/>
        <v>0.52996762990603297</v>
      </c>
      <c r="O2876" s="2">
        <f ca="1"/>
        <v>0.96799337043031919</v>
      </c>
      <c r="X2876" s="2">
        <f ca="1"/>
        <v>26.321118568031668</v>
      </c>
      <c r="AG2876" s="2">
        <f ca="1"/>
        <v>0.73349133112678833</v>
      </c>
      <c r="AH2876" s="2" t="str">
        <f ca="1"/>
        <v>Bad</v>
      </c>
    </row>
    <row r="2877" spans="2:34" x14ac:dyDescent="0.2">
      <c r="B2877" s="2">
        <f ca="1"/>
        <v>0.88234044624223906</v>
      </c>
      <c r="O2877" s="2">
        <f ca="1"/>
        <v>-0.47623622937729232</v>
      </c>
      <c r="X2877" s="2">
        <f ca="1"/>
        <v>28.972684397754659</v>
      </c>
      <c r="AG2877" s="2">
        <f ca="1"/>
        <v>0.49000217244187061</v>
      </c>
      <c r="AH2877" s="2" t="str">
        <f ca="1"/>
        <v>Bad</v>
      </c>
    </row>
    <row r="2878" spans="2:34" x14ac:dyDescent="0.2">
      <c r="B2878" s="2">
        <f ca="1"/>
        <v>0.77644218825639189</v>
      </c>
      <c r="O2878" s="2">
        <f ca="1"/>
        <v>-0.6702468448287221</v>
      </c>
      <c r="X2878" s="2">
        <f ca="1"/>
        <v>42.128801747753698</v>
      </c>
      <c r="AG2878" s="2">
        <f ca="1"/>
        <v>0.74290827035459239</v>
      </c>
      <c r="AH2878" s="2" t="str">
        <f ca="1"/>
        <v>Bad</v>
      </c>
    </row>
    <row r="2879" spans="2:34" x14ac:dyDescent="0.2">
      <c r="B2879" s="2">
        <f ca="1"/>
        <v>0.83517796648639364</v>
      </c>
      <c r="O2879" s="2">
        <f ca="1"/>
        <v>0.685442588369641</v>
      </c>
      <c r="X2879" s="2">
        <f ca="1"/>
        <v>49.663669948347682</v>
      </c>
      <c r="AG2879" s="2">
        <f ca="1"/>
        <v>0.14926165885810461</v>
      </c>
      <c r="AH2879" s="2" t="str">
        <f ca="1"/>
        <v>OK</v>
      </c>
    </row>
    <row r="2880" spans="2:34" x14ac:dyDescent="0.2">
      <c r="B2880" s="2">
        <f ca="1"/>
        <v>0.41807518454870474</v>
      </c>
      <c r="O2880" s="2">
        <f ca="1"/>
        <v>-0.37165626092900744</v>
      </c>
      <c r="X2880" s="2">
        <f ca="1"/>
        <v>30.488505560655152</v>
      </c>
      <c r="AG2880" s="2">
        <f ca="1"/>
        <v>0.95978320316259613</v>
      </c>
      <c r="AH2880" s="2" t="str">
        <f ca="1"/>
        <v>Bad</v>
      </c>
    </row>
    <row r="2881" spans="2:34" x14ac:dyDescent="0.2">
      <c r="B2881" s="2">
        <f ca="1"/>
        <v>0.70897419898568215</v>
      </c>
      <c r="O2881" s="2">
        <f ca="1"/>
        <v>-0.60676229955724992</v>
      </c>
      <c r="X2881" s="2">
        <f ca="1"/>
        <v>58.503291417095511</v>
      </c>
      <c r="AG2881" s="2">
        <f ca="1"/>
        <v>0.7345779013776963</v>
      </c>
      <c r="AH2881" s="2" t="str">
        <f ca="1"/>
        <v>Bad</v>
      </c>
    </row>
    <row r="2882" spans="2:34" x14ac:dyDescent="0.2">
      <c r="B2882" s="2">
        <f ca="1"/>
        <v>0.10360173402649453</v>
      </c>
      <c r="O2882" s="2">
        <f ca="1"/>
        <v>0.15355074127229698</v>
      </c>
      <c r="X2882" s="2">
        <f ca="1"/>
        <v>70.543692962687061</v>
      </c>
      <c r="AG2882" s="2">
        <f ca="1"/>
        <v>0.96807740311471613</v>
      </c>
      <c r="AH2882" s="2" t="str">
        <f ca="1"/>
        <v>Bad</v>
      </c>
    </row>
    <row r="2883" spans="2:34" x14ac:dyDescent="0.2">
      <c r="B2883" s="2">
        <f ca="1"/>
        <v>0.82691168639251034</v>
      </c>
      <c r="O2883" s="2">
        <f ca="1"/>
        <v>0.43289418687942338</v>
      </c>
      <c r="X2883" s="2">
        <f ca="1"/>
        <v>46.605555545899058</v>
      </c>
      <c r="AG2883" s="2">
        <f ca="1"/>
        <v>0.15038076234657094</v>
      </c>
      <c r="AH2883" s="2" t="str">
        <f ca="1"/>
        <v>OK</v>
      </c>
    </row>
    <row r="2884" spans="2:34" x14ac:dyDescent="0.2">
      <c r="B2884" s="2">
        <f ca="1"/>
        <v>3.3556543072323031E-2</v>
      </c>
      <c r="O2884" s="2">
        <f ca="1"/>
        <v>0.74623793677102102</v>
      </c>
      <c r="X2884" s="2">
        <f ca="1"/>
        <v>32.796144094973357</v>
      </c>
      <c r="AG2884" s="2">
        <f ca="1"/>
        <v>0.44366603406017524</v>
      </c>
      <c r="AH2884" s="2" t="str">
        <f ca="1"/>
        <v>Bad</v>
      </c>
    </row>
    <row r="2885" spans="2:34" x14ac:dyDescent="0.2">
      <c r="B2885" s="2">
        <f ca="1"/>
        <v>0.6029526036595132</v>
      </c>
      <c r="O2885" s="2">
        <f ca="1"/>
        <v>-0.27490100001257917</v>
      </c>
      <c r="X2885" s="2">
        <f ca="1"/>
        <v>79.374647251027028</v>
      </c>
      <c r="AG2885" s="2">
        <f ca="1"/>
        <v>0.30832917864142106</v>
      </c>
      <c r="AH2885" s="2" t="str">
        <f ca="1"/>
        <v>OK</v>
      </c>
    </row>
    <row r="2886" spans="2:34" x14ac:dyDescent="0.2">
      <c r="B2886" s="2">
        <f ca="1"/>
        <v>3.871250958694894E-3</v>
      </c>
      <c r="O2886" s="2">
        <f ca="1"/>
        <v>-1.8651840107373139</v>
      </c>
      <c r="X2886" s="2">
        <f ca="1"/>
        <v>71.607951644986571</v>
      </c>
      <c r="AG2886" s="2">
        <f ca="1"/>
        <v>0.37835595511590481</v>
      </c>
      <c r="AH2886" s="2" t="str">
        <f ca="1"/>
        <v>OK</v>
      </c>
    </row>
    <row r="2887" spans="2:34" x14ac:dyDescent="0.2">
      <c r="B2887" s="2">
        <f ca="1"/>
        <v>0.13274318355495485</v>
      </c>
      <c r="O2887" s="2">
        <f ca="1"/>
        <v>0.189605678060356</v>
      </c>
      <c r="X2887" s="2">
        <f ca="1"/>
        <v>39.496510963245221</v>
      </c>
      <c r="AG2887" s="2">
        <f ca="1"/>
        <v>0.59486974068221188</v>
      </c>
      <c r="AH2887" s="2" t="str">
        <f ca="1"/>
        <v>Bad</v>
      </c>
    </row>
    <row r="2888" spans="2:34" x14ac:dyDescent="0.2">
      <c r="B2888" s="2">
        <f ca="1"/>
        <v>0.26746306569543266</v>
      </c>
      <c r="O2888" s="2">
        <f ca="1"/>
        <v>0.71141779393306226</v>
      </c>
      <c r="X2888" s="2">
        <f ca="1"/>
        <v>48.873098945270669</v>
      </c>
      <c r="AG2888" s="2">
        <f ca="1"/>
        <v>0.1811405234907022</v>
      </c>
      <c r="AH2888" s="2" t="str">
        <f ca="1"/>
        <v>OK</v>
      </c>
    </row>
    <row r="2889" spans="2:34" x14ac:dyDescent="0.2">
      <c r="B2889" s="2">
        <f ca="1"/>
        <v>0.24600477302595958</v>
      </c>
      <c r="O2889" s="2">
        <f ca="1"/>
        <v>0.91625692816946758</v>
      </c>
      <c r="X2889" s="2">
        <f ca="1"/>
        <v>71.298634438020827</v>
      </c>
      <c r="AG2889" s="2">
        <f ca="1"/>
        <v>0.59028092758831407</v>
      </c>
      <c r="AH2889" s="2" t="str">
        <f ca="1"/>
        <v>Bad</v>
      </c>
    </row>
    <row r="2890" spans="2:34" x14ac:dyDescent="0.2">
      <c r="B2890" s="2">
        <f ca="1"/>
        <v>0.19935325980482199</v>
      </c>
      <c r="O2890" s="2">
        <f ca="1"/>
        <v>-0.33892607809930458</v>
      </c>
      <c r="X2890" s="2">
        <f ca="1"/>
        <v>25.988541983765149</v>
      </c>
      <c r="AG2890" s="2">
        <f ca="1"/>
        <v>0.21591140075009263</v>
      </c>
      <c r="AH2890" s="2" t="str">
        <f ca="1"/>
        <v>OK</v>
      </c>
    </row>
    <row r="2891" spans="2:34" x14ac:dyDescent="0.2">
      <c r="B2891" s="2">
        <f ca="1"/>
        <v>0.96588648043764835</v>
      </c>
      <c r="O2891" s="2">
        <f ca="1"/>
        <v>1.0622315892286858</v>
      </c>
      <c r="X2891" s="2">
        <f ca="1"/>
        <v>49.658574044231628</v>
      </c>
      <c r="AG2891" s="2">
        <f ca="1"/>
        <v>0.95739516663081514</v>
      </c>
      <c r="AH2891" s="2" t="str">
        <f ca="1"/>
        <v>Bad</v>
      </c>
    </row>
    <row r="2892" spans="2:34" x14ac:dyDescent="0.2">
      <c r="B2892" s="2">
        <f ca="1"/>
        <v>0.28970117389487848</v>
      </c>
      <c r="O2892" s="2">
        <f ca="1"/>
        <v>1.8727195286482747</v>
      </c>
      <c r="X2892" s="2">
        <f ca="1"/>
        <v>65.579266601377398</v>
      </c>
      <c r="AG2892" s="2">
        <f ca="1"/>
        <v>0.50817935222941757</v>
      </c>
      <c r="AH2892" s="2" t="str">
        <f ca="1"/>
        <v>Bad</v>
      </c>
    </row>
    <row r="2893" spans="2:34" x14ac:dyDescent="0.2">
      <c r="B2893" s="2">
        <f ca="1"/>
        <v>0.37187007153731044</v>
      </c>
      <c r="O2893" s="2">
        <f ca="1"/>
        <v>1.432532416190424</v>
      </c>
      <c r="X2893" s="2">
        <f ca="1"/>
        <v>64.371528631700329</v>
      </c>
      <c r="AG2893" s="2">
        <f ca="1"/>
        <v>0.34328475099949052</v>
      </c>
      <c r="AH2893" s="2" t="str">
        <f ca="1"/>
        <v>OK</v>
      </c>
    </row>
    <row r="2894" spans="2:34" x14ac:dyDescent="0.2">
      <c r="B2894" s="2">
        <f ca="1"/>
        <v>0.95445833009377123</v>
      </c>
      <c r="O2894" s="2">
        <f ca="1"/>
        <v>-0.30644419972197934</v>
      </c>
      <c r="X2894" s="2">
        <f ca="1"/>
        <v>60.752566204383953</v>
      </c>
      <c r="AG2894" s="2">
        <f ca="1"/>
        <v>5.3675922609464743E-2</v>
      </c>
      <c r="AH2894" s="2" t="str">
        <f ca="1"/>
        <v>OK</v>
      </c>
    </row>
    <row r="2895" spans="2:34" x14ac:dyDescent="0.2">
      <c r="B2895" s="2">
        <f ca="1"/>
        <v>0.39626811706883935</v>
      </c>
      <c r="O2895" s="2">
        <f ca="1"/>
        <v>-0.9841207247086553</v>
      </c>
      <c r="X2895" s="2">
        <f ca="1"/>
        <v>48.663092096346134</v>
      </c>
      <c r="AG2895" s="2">
        <f ca="1"/>
        <v>0.64887379371198772</v>
      </c>
      <c r="AH2895" s="2" t="str">
        <f ca="1"/>
        <v>Bad</v>
      </c>
    </row>
    <row r="2896" spans="2:34" x14ac:dyDescent="0.2">
      <c r="B2896" s="2">
        <f ca="1"/>
        <v>0.2714309074616863</v>
      </c>
      <c r="O2896" s="2">
        <f ca="1"/>
        <v>-0.61076080052549875</v>
      </c>
      <c r="X2896" s="2">
        <f ca="1"/>
        <v>57.709014738619615</v>
      </c>
      <c r="AG2896" s="2">
        <f ca="1"/>
        <v>0.71518531562652798</v>
      </c>
      <c r="AH2896" s="2" t="str">
        <f ca="1"/>
        <v>Bad</v>
      </c>
    </row>
    <row r="2897" spans="2:34" x14ac:dyDescent="0.2">
      <c r="B2897" s="2">
        <f ca="1"/>
        <v>5.929629027146488E-2</v>
      </c>
      <c r="O2897" s="2">
        <f ca="1"/>
        <v>-9.2579366143110797E-2</v>
      </c>
      <c r="X2897" s="2">
        <f ca="1"/>
        <v>31.075634070819703</v>
      </c>
      <c r="AG2897" s="2">
        <f ca="1"/>
        <v>0.33127502929631114</v>
      </c>
      <c r="AH2897" s="2" t="str">
        <f ca="1"/>
        <v>OK</v>
      </c>
    </row>
    <row r="2898" spans="2:34" x14ac:dyDescent="0.2">
      <c r="B2898" s="2">
        <f ca="1"/>
        <v>0.7359440379146327</v>
      </c>
      <c r="O2898" s="2">
        <f ca="1"/>
        <v>-1.7080023310426633</v>
      </c>
      <c r="X2898" s="2">
        <f ca="1"/>
        <v>30.313771294478215</v>
      </c>
      <c r="AG2898" s="2">
        <f ca="1"/>
        <v>0.54633792042132501</v>
      </c>
      <c r="AH2898" s="2" t="str">
        <f ca="1"/>
        <v>Bad</v>
      </c>
    </row>
    <row r="2899" spans="2:34" x14ac:dyDescent="0.2">
      <c r="B2899" s="2">
        <f ca="1"/>
        <v>0.36573112769658955</v>
      </c>
      <c r="O2899" s="2">
        <f ca="1"/>
        <v>-0.96951924907344189</v>
      </c>
      <c r="X2899" s="2">
        <f ca="1"/>
        <v>25.886044174848802</v>
      </c>
      <c r="AG2899" s="2">
        <f ca="1"/>
        <v>0.94917657048677828</v>
      </c>
      <c r="AH2899" s="2" t="str">
        <f ca="1"/>
        <v>Bad</v>
      </c>
    </row>
    <row r="2900" spans="2:34" x14ac:dyDescent="0.2">
      <c r="B2900" s="2">
        <f ca="1"/>
        <v>0.34028495473959652</v>
      </c>
      <c r="O2900" s="2">
        <f ca="1"/>
        <v>1.328197454612551</v>
      </c>
      <c r="X2900" s="2">
        <f ca="1"/>
        <v>29.177716838382743</v>
      </c>
      <c r="AG2900" s="2">
        <f ca="1"/>
        <v>0.92864697289630516</v>
      </c>
      <c r="AH2900" s="2" t="str">
        <f ca="1"/>
        <v>Bad</v>
      </c>
    </row>
    <row r="2901" spans="2:34" x14ac:dyDescent="0.2">
      <c r="B2901" s="2">
        <f ca="1"/>
        <v>0.11536731693590729</v>
      </c>
      <c r="O2901" s="2">
        <f ca="1"/>
        <v>-0.69102043324694851</v>
      </c>
      <c r="X2901" s="2">
        <f ca="1"/>
        <v>36.349853073526553</v>
      </c>
      <c r="AG2901" s="2">
        <f ca="1"/>
        <v>0.51532399562544939</v>
      </c>
      <c r="AH2901" s="2" t="str">
        <f ca="1"/>
        <v>Bad</v>
      </c>
    </row>
    <row r="2902" spans="2:34" x14ac:dyDescent="0.2">
      <c r="B2902" s="2">
        <f ca="1"/>
        <v>0.40608989820424046</v>
      </c>
      <c r="O2902" s="2">
        <f ca="1"/>
        <v>0.49073378252653582</v>
      </c>
      <c r="X2902" s="2">
        <f ca="1"/>
        <v>62.17608688695438</v>
      </c>
      <c r="AG2902" s="2">
        <f ca="1"/>
        <v>0.20872696615455166</v>
      </c>
      <c r="AH2902" s="2" t="str">
        <f ca="1"/>
        <v>OK</v>
      </c>
    </row>
    <row r="2903" spans="2:34" x14ac:dyDescent="0.2">
      <c r="B2903" s="2">
        <f ca="1"/>
        <v>0.52431489926717734</v>
      </c>
      <c r="O2903" s="2">
        <f ca="1"/>
        <v>-1.065870182677106</v>
      </c>
      <c r="X2903" s="2">
        <f ca="1"/>
        <v>38.007573112471313</v>
      </c>
      <c r="AG2903" s="2">
        <f ca="1"/>
        <v>0.10194199594417519</v>
      </c>
      <c r="AH2903" s="2" t="str">
        <f ca="1"/>
        <v>OK</v>
      </c>
    </row>
    <row r="2904" spans="2:34" x14ac:dyDescent="0.2">
      <c r="B2904" s="2">
        <f ca="1"/>
        <v>0.89607087594412516</v>
      </c>
      <c r="O2904" s="2">
        <f ca="1"/>
        <v>1.5765847020211012</v>
      </c>
      <c r="X2904" s="2">
        <f ca="1"/>
        <v>41.31488170073203</v>
      </c>
      <c r="AG2904" s="2">
        <f ca="1"/>
        <v>0.16685513311039424</v>
      </c>
      <c r="AH2904" s="2" t="str">
        <f ca="1"/>
        <v>OK</v>
      </c>
    </row>
    <row r="2905" spans="2:34" x14ac:dyDescent="0.2">
      <c r="B2905" s="2">
        <f ca="1"/>
        <v>0.76983082609326492</v>
      </c>
      <c r="O2905" s="2">
        <f ca="1"/>
        <v>0.28949404192059441</v>
      </c>
      <c r="X2905" s="2">
        <f ca="1"/>
        <v>61.708346289412091</v>
      </c>
      <c r="AG2905" s="2">
        <f ca="1"/>
        <v>0.35137566705064138</v>
      </c>
      <c r="AH2905" s="2" t="str">
        <f ca="1"/>
        <v>OK</v>
      </c>
    </row>
    <row r="2906" spans="2:34" x14ac:dyDescent="0.2">
      <c r="B2906" s="2">
        <f ca="1"/>
        <v>0.36255223463988928</v>
      </c>
      <c r="O2906" s="2">
        <f ca="1"/>
        <v>0.18407608618741961</v>
      </c>
      <c r="X2906" s="2">
        <f ca="1"/>
        <v>23.3705718815864</v>
      </c>
      <c r="AG2906" s="2">
        <f ca="1"/>
        <v>0.30343433709518708</v>
      </c>
      <c r="AH2906" s="2" t="str">
        <f ca="1"/>
        <v>OK</v>
      </c>
    </row>
    <row r="2907" spans="2:34" x14ac:dyDescent="0.2">
      <c r="B2907" s="2">
        <f ca="1"/>
        <v>0.41154884563671912</v>
      </c>
      <c r="O2907" s="2">
        <f ca="1"/>
        <v>-0.54223830073550716</v>
      </c>
      <c r="X2907" s="2">
        <f ca="1"/>
        <v>55.04680033670725</v>
      </c>
      <c r="AG2907" s="2">
        <f ca="1"/>
        <v>0.11503764436737973</v>
      </c>
      <c r="AH2907" s="2" t="str">
        <f ca="1"/>
        <v>OK</v>
      </c>
    </row>
    <row r="2908" spans="2:34" x14ac:dyDescent="0.2">
      <c r="B2908" s="2">
        <f ca="1"/>
        <v>0.75257375225526602</v>
      </c>
      <c r="O2908" s="2">
        <f ca="1"/>
        <v>-0.79598925357180494</v>
      </c>
      <c r="X2908" s="2">
        <f ca="1"/>
        <v>65.119130172845402</v>
      </c>
      <c r="AG2908" s="2">
        <f ca="1"/>
        <v>0.12101437375636448</v>
      </c>
      <c r="AH2908" s="2" t="str">
        <f ca="1"/>
        <v>OK</v>
      </c>
    </row>
    <row r="2909" spans="2:34" x14ac:dyDescent="0.2">
      <c r="B2909" s="2">
        <f ca="1"/>
        <v>0.3731941830216845</v>
      </c>
      <c r="O2909" s="2">
        <f ca="1"/>
        <v>-0.58681855537982919</v>
      </c>
      <c r="X2909" s="2">
        <f ca="1"/>
        <v>55.484211695499468</v>
      </c>
      <c r="AG2909" s="2">
        <f ca="1"/>
        <v>0.49422963727039093</v>
      </c>
      <c r="AH2909" s="2" t="str">
        <f ca="1"/>
        <v>Bad</v>
      </c>
    </row>
    <row r="2910" spans="2:34" x14ac:dyDescent="0.2">
      <c r="B2910" s="2">
        <f ca="1"/>
        <v>0.79309934717616204</v>
      </c>
      <c r="O2910" s="2">
        <f ca="1"/>
        <v>0.29605708262388164</v>
      </c>
      <c r="X2910" s="2">
        <f ca="1"/>
        <v>32.358580510159335</v>
      </c>
      <c r="AG2910" s="2">
        <f ca="1"/>
        <v>0.22940248908750527</v>
      </c>
      <c r="AH2910" s="2" t="str">
        <f ca="1"/>
        <v>OK</v>
      </c>
    </row>
    <row r="2911" spans="2:34" x14ac:dyDescent="0.2">
      <c r="B2911" s="2">
        <f ca="1"/>
        <v>0.31123242744344859</v>
      </c>
      <c r="O2911" s="2">
        <f ca="1"/>
        <v>-1.4699318837710615</v>
      </c>
      <c r="X2911" s="2">
        <f ca="1"/>
        <v>75.551064651424795</v>
      </c>
      <c r="AG2911" s="2">
        <f ca="1"/>
        <v>0.31598380334712473</v>
      </c>
      <c r="AH2911" s="2" t="str">
        <f ca="1"/>
        <v>OK</v>
      </c>
    </row>
    <row r="2912" spans="2:34" x14ac:dyDescent="0.2">
      <c r="B2912" s="2">
        <f ca="1"/>
        <v>0.15190010380275898</v>
      </c>
      <c r="O2912" s="2">
        <f ca="1"/>
        <v>-0.53333366720306874</v>
      </c>
      <c r="X2912" s="2">
        <f ca="1"/>
        <v>58.700640085820709</v>
      </c>
      <c r="AG2912" s="2">
        <f ca="1"/>
        <v>0.41897033754582269</v>
      </c>
      <c r="AH2912" s="2" t="str">
        <f ca="1"/>
        <v>Bad</v>
      </c>
    </row>
    <row r="2913" spans="2:34" x14ac:dyDescent="0.2">
      <c r="B2913" s="2">
        <f ca="1"/>
        <v>0.88487123045823468</v>
      </c>
      <c r="O2913" s="2">
        <f ca="1"/>
        <v>3.6141368512005188</v>
      </c>
      <c r="X2913" s="2">
        <f ca="1"/>
        <v>25.545613294675849</v>
      </c>
      <c r="AG2913" s="2">
        <f ca="1"/>
        <v>0.64832433519631372</v>
      </c>
      <c r="AH2913" s="2" t="str">
        <f ca="1"/>
        <v>Bad</v>
      </c>
    </row>
    <row r="2914" spans="2:34" x14ac:dyDescent="0.2">
      <c r="B2914" s="2">
        <f ca="1"/>
        <v>0.5434896534463014</v>
      </c>
      <c r="O2914" s="2">
        <f ca="1"/>
        <v>3.2297874216095797E-3</v>
      </c>
      <c r="X2914" s="2">
        <f ca="1"/>
        <v>49.255109409477235</v>
      </c>
      <c r="AG2914" s="2">
        <f ca="1"/>
        <v>0.25597714256376491</v>
      </c>
      <c r="AH2914" s="2" t="str">
        <f ca="1"/>
        <v>OK</v>
      </c>
    </row>
    <row r="2915" spans="2:34" x14ac:dyDescent="0.2">
      <c r="B2915" s="2">
        <f ca="1"/>
        <v>0.21581256059787912</v>
      </c>
      <c r="O2915" s="2">
        <f ca="1"/>
        <v>0.3795100117302177</v>
      </c>
      <c r="X2915" s="2">
        <f ca="1"/>
        <v>50.962745312560862</v>
      </c>
      <c r="AG2915" s="2">
        <f ca="1"/>
        <v>0.70598493443714716</v>
      </c>
      <c r="AH2915" s="2" t="str">
        <f ca="1"/>
        <v>Bad</v>
      </c>
    </row>
    <row r="2916" spans="2:34" x14ac:dyDescent="0.2">
      <c r="B2916" s="2">
        <f ca="1"/>
        <v>3.4103343133490283E-2</v>
      </c>
      <c r="O2916" s="2">
        <f ca="1"/>
        <v>0.17824139913858253</v>
      </c>
      <c r="X2916" s="2">
        <f ca="1"/>
        <v>68.083409780293209</v>
      </c>
      <c r="AG2916" s="2">
        <f ca="1"/>
        <v>0.67097855569594533</v>
      </c>
      <c r="AH2916" s="2" t="str">
        <f ca="1"/>
        <v>Bad</v>
      </c>
    </row>
    <row r="2917" spans="2:34" x14ac:dyDescent="0.2">
      <c r="B2917" s="2">
        <f ca="1"/>
        <v>0.60727535094173968</v>
      </c>
      <c r="O2917" s="2">
        <f ca="1"/>
        <v>-0.8973425405271932</v>
      </c>
      <c r="X2917" s="2">
        <f ca="1"/>
        <v>42.732244585297479</v>
      </c>
      <c r="AG2917" s="2">
        <f ca="1"/>
        <v>0.92442896163840338</v>
      </c>
      <c r="AH2917" s="2" t="str">
        <f ca="1"/>
        <v>Bad</v>
      </c>
    </row>
    <row r="2918" spans="2:34" x14ac:dyDescent="0.2">
      <c r="B2918" s="2">
        <f ca="1"/>
        <v>0.63739789026172611</v>
      </c>
      <c r="O2918" s="2">
        <f ca="1"/>
        <v>1.5692303937936272</v>
      </c>
      <c r="X2918" s="2">
        <f ca="1"/>
        <v>41.375983920693209</v>
      </c>
      <c r="AG2918" s="2">
        <f ca="1"/>
        <v>0.50185845941796892</v>
      </c>
      <c r="AH2918" s="2" t="str">
        <f ca="1"/>
        <v>Bad</v>
      </c>
    </row>
    <row r="2919" spans="2:34" x14ac:dyDescent="0.2">
      <c r="B2919" s="2">
        <f ca="1"/>
        <v>5.8279769239795387E-2</v>
      </c>
      <c r="O2919" s="2">
        <f ca="1"/>
        <v>0.96379600053216063</v>
      </c>
      <c r="X2919" s="2">
        <f ca="1"/>
        <v>40.924258308355107</v>
      </c>
      <c r="AG2919" s="2">
        <f ca="1"/>
        <v>9.5920127141360556E-2</v>
      </c>
      <c r="AH2919" s="2" t="str">
        <f ca="1"/>
        <v>OK</v>
      </c>
    </row>
    <row r="2920" spans="2:34" x14ac:dyDescent="0.2">
      <c r="B2920" s="2">
        <f ca="1"/>
        <v>0.49900862183481443</v>
      </c>
      <c r="O2920" s="2">
        <f ca="1"/>
        <v>-0.91500762287621751</v>
      </c>
      <c r="X2920" s="2">
        <f ca="1"/>
        <v>43.695319686955933</v>
      </c>
      <c r="AG2920" s="2">
        <f ca="1"/>
        <v>0.57007425529291678</v>
      </c>
      <c r="AH2920" s="2" t="str">
        <f ca="1"/>
        <v>Bad</v>
      </c>
    </row>
    <row r="2921" spans="2:34" x14ac:dyDescent="0.2">
      <c r="B2921" s="2">
        <f ca="1"/>
        <v>0.82924325984741976</v>
      </c>
      <c r="O2921" s="2">
        <f ca="1"/>
        <v>-0.77331641776540694</v>
      </c>
      <c r="X2921" s="2">
        <f ca="1"/>
        <v>33.767457291695486</v>
      </c>
      <c r="AG2921" s="2">
        <f ca="1"/>
        <v>0.78414007462409185</v>
      </c>
      <c r="AH2921" s="2" t="str">
        <f ca="1"/>
        <v>Bad</v>
      </c>
    </row>
    <row r="2922" spans="2:34" x14ac:dyDescent="0.2">
      <c r="B2922" s="2">
        <f ca="1"/>
        <v>0.79127559527561209</v>
      </c>
      <c r="O2922" s="2">
        <f ca="1"/>
        <v>1.626120918279802</v>
      </c>
      <c r="X2922" s="2">
        <f ca="1"/>
        <v>37.251023030107696</v>
      </c>
      <c r="AG2922" s="2">
        <f ca="1"/>
        <v>0.30571216506049725</v>
      </c>
      <c r="AH2922" s="2" t="str">
        <f ca="1"/>
        <v>OK</v>
      </c>
    </row>
    <row r="2923" spans="2:34" x14ac:dyDescent="0.2">
      <c r="B2923" s="2">
        <f ca="1"/>
        <v>0.34366910243064974</v>
      </c>
      <c r="O2923" s="2">
        <f ca="1"/>
        <v>1.5179588488710354</v>
      </c>
      <c r="X2923" s="2">
        <f ca="1"/>
        <v>41.820355109740596</v>
      </c>
      <c r="AG2923" s="2">
        <f ca="1"/>
        <v>0.80966784833120831</v>
      </c>
      <c r="AH2923" s="2" t="str">
        <f ca="1"/>
        <v>Bad</v>
      </c>
    </row>
    <row r="2924" spans="2:34" x14ac:dyDescent="0.2">
      <c r="B2924" s="2">
        <f ca="1"/>
        <v>0.29617887281457667</v>
      </c>
      <c r="O2924" s="2">
        <f ca="1"/>
        <v>0.16939368766697158</v>
      </c>
      <c r="X2924" s="2">
        <f ca="1"/>
        <v>44.510472696256315</v>
      </c>
      <c r="AG2924" s="2">
        <f ca="1"/>
        <v>0.24456802073401152</v>
      </c>
      <c r="AH2924" s="2" t="str">
        <f ca="1"/>
        <v>OK</v>
      </c>
    </row>
    <row r="2925" spans="2:34" x14ac:dyDescent="0.2">
      <c r="B2925" s="2">
        <f ca="1"/>
        <v>9.9242862433918111E-2</v>
      </c>
      <c r="O2925" s="2">
        <f ca="1"/>
        <v>1.5599858880481703</v>
      </c>
      <c r="X2925" s="2">
        <f ca="1"/>
        <v>44.552931636867029</v>
      </c>
      <c r="AG2925" s="2">
        <f ca="1"/>
        <v>0.509513671937045</v>
      </c>
      <c r="AH2925" s="2" t="str">
        <f ca="1"/>
        <v>Bad</v>
      </c>
    </row>
    <row r="2926" spans="2:34" x14ac:dyDescent="0.2">
      <c r="B2926" s="2">
        <f ca="1"/>
        <v>1.212490625810525E-2</v>
      </c>
      <c r="O2926" s="2">
        <f ca="1"/>
        <v>7.7054719918705356E-2</v>
      </c>
      <c r="X2926" s="2">
        <f ca="1"/>
        <v>34.053323877770261</v>
      </c>
      <c r="AG2926" s="2">
        <f ca="1"/>
        <v>0.8408351330614483</v>
      </c>
      <c r="AH2926" s="2" t="str">
        <f ca="1"/>
        <v>Bad</v>
      </c>
    </row>
    <row r="2927" spans="2:34" x14ac:dyDescent="0.2">
      <c r="B2927" s="2">
        <f ca="1"/>
        <v>0.37504997120587436</v>
      </c>
      <c r="O2927" s="2">
        <f ca="1"/>
        <v>-0.56040642810246855</v>
      </c>
      <c r="X2927" s="2">
        <f ca="1"/>
        <v>41.560766153788521</v>
      </c>
      <c r="AG2927" s="2">
        <f ca="1"/>
        <v>0.58582098282540662</v>
      </c>
      <c r="AH2927" s="2" t="str">
        <f ca="1"/>
        <v>Bad</v>
      </c>
    </row>
    <row r="2928" spans="2:34" x14ac:dyDescent="0.2">
      <c r="B2928" s="2">
        <f ca="1"/>
        <v>0.80147675253836925</v>
      </c>
      <c r="O2928" s="2">
        <f ca="1"/>
        <v>-0.81724414660779154</v>
      </c>
      <c r="X2928" s="2">
        <f ca="1"/>
        <v>42.363731176831607</v>
      </c>
      <c r="AG2928" s="2">
        <f ca="1"/>
        <v>0.97945732981246669</v>
      </c>
      <c r="AH2928" s="2" t="str">
        <f ca="1"/>
        <v>Bad</v>
      </c>
    </row>
    <row r="2929" spans="2:34" x14ac:dyDescent="0.2">
      <c r="B2929" s="2">
        <f ca="1"/>
        <v>0.8604268885459212</v>
      </c>
      <c r="O2929" s="2">
        <f ca="1"/>
        <v>1.5302136108540918</v>
      </c>
      <c r="X2929" s="2">
        <f ca="1"/>
        <v>28.533258463975951</v>
      </c>
      <c r="AG2929" s="2">
        <f ca="1"/>
        <v>0.7117746546499728</v>
      </c>
      <c r="AH2929" s="2" t="str">
        <f ca="1"/>
        <v>Bad</v>
      </c>
    </row>
    <row r="2930" spans="2:34" x14ac:dyDescent="0.2">
      <c r="B2930" s="2">
        <f ca="1"/>
        <v>0.84224865272377403</v>
      </c>
      <c r="O2930" s="2">
        <f ca="1"/>
        <v>3.1166781308151745</v>
      </c>
      <c r="X2930" s="2">
        <f ca="1"/>
        <v>49.839940768658373</v>
      </c>
      <c r="AG2930" s="2">
        <f ca="1"/>
        <v>0.40967009346269467</v>
      </c>
      <c r="AH2930" s="2" t="str">
        <f ca="1"/>
        <v>Bad</v>
      </c>
    </row>
    <row r="2931" spans="2:34" x14ac:dyDescent="0.2">
      <c r="B2931" s="2">
        <f ca="1"/>
        <v>0.95060169814223272</v>
      </c>
      <c r="O2931" s="2">
        <f ca="1"/>
        <v>0.51532402335397587</v>
      </c>
      <c r="X2931" s="2">
        <f ca="1"/>
        <v>51.854500570162983</v>
      </c>
      <c r="AG2931" s="2">
        <f ca="1"/>
        <v>0.135158646484143</v>
      </c>
      <c r="AH2931" s="2" t="str">
        <f ca="1"/>
        <v>OK</v>
      </c>
    </row>
    <row r="2932" spans="2:34" x14ac:dyDescent="0.2">
      <c r="B2932" s="2">
        <f ca="1"/>
        <v>0.38753752588591284</v>
      </c>
      <c r="O2932" s="2">
        <f ca="1"/>
        <v>-1.0875298179990658</v>
      </c>
      <c r="X2932" s="2">
        <f ca="1"/>
        <v>53.795773919461148</v>
      </c>
      <c r="AG2932" s="2">
        <f ca="1"/>
        <v>0.91872865489260458</v>
      </c>
      <c r="AH2932" s="2" t="str">
        <f ca="1"/>
        <v>Bad</v>
      </c>
    </row>
    <row r="2933" spans="2:34" x14ac:dyDescent="0.2">
      <c r="B2933" s="2">
        <f ca="1"/>
        <v>0.4531897295893863</v>
      </c>
      <c r="O2933" s="2">
        <f ca="1"/>
        <v>1.9655596669379907</v>
      </c>
      <c r="X2933" s="2">
        <f ca="1"/>
        <v>66.717679957914527</v>
      </c>
      <c r="AG2933" s="2">
        <f ca="1"/>
        <v>0.71083348374829169</v>
      </c>
      <c r="AH2933" s="2" t="str">
        <f ca="1"/>
        <v>Bad</v>
      </c>
    </row>
    <row r="2934" spans="2:34" x14ac:dyDescent="0.2">
      <c r="B2934" s="2">
        <f ca="1"/>
        <v>0.47227417947247208</v>
      </c>
      <c r="O2934" s="2">
        <f ca="1"/>
        <v>-0.60252988802890473</v>
      </c>
      <c r="X2934" s="2">
        <f ca="1"/>
        <v>29.90718013928408</v>
      </c>
      <c r="AG2934" s="2">
        <f ca="1"/>
        <v>0.933547087341843</v>
      </c>
      <c r="AH2934" s="2" t="str">
        <f ca="1"/>
        <v>Bad</v>
      </c>
    </row>
    <row r="2935" spans="2:34" x14ac:dyDescent="0.2">
      <c r="B2935" s="2">
        <f ca="1"/>
        <v>0.60185520620835464</v>
      </c>
      <c r="O2935" s="2">
        <f ca="1"/>
        <v>1.6143680677948631</v>
      </c>
      <c r="X2935" s="2">
        <f ca="1"/>
        <v>38.192177358755785</v>
      </c>
      <c r="AG2935" s="2">
        <f ca="1"/>
        <v>0.60040439422843916</v>
      </c>
      <c r="AH2935" s="2" t="str">
        <f ca="1"/>
        <v>Bad</v>
      </c>
    </row>
    <row r="2936" spans="2:34" x14ac:dyDescent="0.2">
      <c r="B2936" s="2">
        <f ca="1"/>
        <v>0.12206016557162003</v>
      </c>
      <c r="O2936" s="2">
        <f ca="1"/>
        <v>-2.0196871553326781</v>
      </c>
      <c r="X2936" s="2">
        <f ca="1"/>
        <v>22.20447368567191</v>
      </c>
      <c r="AG2936" s="2">
        <f ca="1"/>
        <v>0.14193475143502332</v>
      </c>
      <c r="AH2936" s="2" t="str">
        <f ca="1"/>
        <v>OK</v>
      </c>
    </row>
    <row r="2937" spans="2:34" x14ac:dyDescent="0.2">
      <c r="B2937" s="2">
        <f ca="1"/>
        <v>0.42679946328744078</v>
      </c>
      <c r="O2937" s="2">
        <f ca="1"/>
        <v>0.29773368882326612</v>
      </c>
      <c r="X2937" s="2">
        <f ca="1"/>
        <v>49.470293027024212</v>
      </c>
      <c r="AG2937" s="2">
        <f ca="1"/>
        <v>1.3441954926409982E-2</v>
      </c>
      <c r="AH2937" s="2" t="str">
        <f ca="1"/>
        <v>Good</v>
      </c>
    </row>
    <row r="2938" spans="2:34" x14ac:dyDescent="0.2">
      <c r="B2938" s="2">
        <f ca="1"/>
        <v>0.24053077107700305</v>
      </c>
      <c r="O2938" s="2">
        <f ca="1"/>
        <v>-0.33189064801204693</v>
      </c>
      <c r="X2938" s="2">
        <f ca="1"/>
        <v>38.863345547143972</v>
      </c>
      <c r="AG2938" s="2">
        <f ca="1"/>
        <v>0.96269767494737901</v>
      </c>
      <c r="AH2938" s="2" t="str">
        <f ca="1"/>
        <v>Bad</v>
      </c>
    </row>
    <row r="2939" spans="2:34" x14ac:dyDescent="0.2">
      <c r="B2939" s="2">
        <f ca="1"/>
        <v>0.70402779756823031</v>
      </c>
      <c r="O2939" s="2">
        <f ca="1"/>
        <v>1.7428111119964456</v>
      </c>
      <c r="X2939" s="2">
        <f ca="1"/>
        <v>44.80762077139989</v>
      </c>
      <c r="AG2939" s="2">
        <f ca="1"/>
        <v>0.7639691857238704</v>
      </c>
      <c r="AH2939" s="2" t="str">
        <f ca="1"/>
        <v>Bad</v>
      </c>
    </row>
    <row r="2940" spans="2:34" x14ac:dyDescent="0.2">
      <c r="B2940" s="2">
        <f ca="1"/>
        <v>0.53910559190877327</v>
      </c>
      <c r="O2940" s="2">
        <f ca="1"/>
        <v>0.33619740965059003</v>
      </c>
      <c r="X2940" s="2">
        <f ca="1"/>
        <v>48.818736108310603</v>
      </c>
      <c r="AG2940" s="2">
        <f ca="1"/>
        <v>0.14098146914533105</v>
      </c>
      <c r="AH2940" s="2" t="str">
        <f ca="1"/>
        <v>OK</v>
      </c>
    </row>
    <row r="2941" spans="2:34" x14ac:dyDescent="0.2">
      <c r="B2941" s="2">
        <f ca="1"/>
        <v>0.15659963132782839</v>
      </c>
      <c r="O2941" s="2">
        <f ca="1"/>
        <v>-2.3908509711686149E-2</v>
      </c>
      <c r="X2941" s="2">
        <f ca="1"/>
        <v>42.087896996954441</v>
      </c>
      <c r="AG2941" s="2">
        <f ca="1"/>
        <v>0.28767997910199639</v>
      </c>
      <c r="AH2941" s="2" t="str">
        <f ca="1"/>
        <v>OK</v>
      </c>
    </row>
    <row r="2942" spans="2:34" x14ac:dyDescent="0.2">
      <c r="B2942" s="2">
        <f ca="1"/>
        <v>0.73215356233872853</v>
      </c>
      <c r="O2942" s="2">
        <f ca="1"/>
        <v>-1.1022301369061329</v>
      </c>
      <c r="X2942" s="2">
        <f ca="1"/>
        <v>52.105100818551634</v>
      </c>
      <c r="AG2942" s="2">
        <f ca="1"/>
        <v>0.29178774716803235</v>
      </c>
      <c r="AH2942" s="2" t="str">
        <f ca="1"/>
        <v>OK</v>
      </c>
    </row>
    <row r="2943" spans="2:34" x14ac:dyDescent="0.2">
      <c r="B2943" s="2">
        <f ca="1"/>
        <v>0.2443590947843397</v>
      </c>
      <c r="O2943" s="2">
        <f ca="1"/>
        <v>-0.18390051600974602</v>
      </c>
      <c r="X2943" s="2">
        <f ca="1"/>
        <v>54.100774946976358</v>
      </c>
      <c r="AG2943" s="2">
        <f ca="1"/>
        <v>0.10102207195181911</v>
      </c>
      <c r="AH2943" s="2" t="str">
        <f ca="1"/>
        <v>OK</v>
      </c>
    </row>
    <row r="2944" spans="2:34" x14ac:dyDescent="0.2">
      <c r="B2944" s="2">
        <f ca="1"/>
        <v>0.32487421617141155</v>
      </c>
      <c r="O2944" s="2">
        <f ca="1"/>
        <v>0.55620157045543428</v>
      </c>
      <c r="X2944" s="2">
        <f ca="1"/>
        <v>32.21950171096546</v>
      </c>
      <c r="AG2944" s="2">
        <f ca="1"/>
        <v>0.26632380513133591</v>
      </c>
      <c r="AH2944" s="2" t="str">
        <f ca="1"/>
        <v>OK</v>
      </c>
    </row>
    <row r="2945" spans="2:34" x14ac:dyDescent="0.2">
      <c r="B2945" s="2">
        <f ca="1"/>
        <v>0.82036932055941536</v>
      </c>
      <c r="O2945" s="2">
        <f ca="1"/>
        <v>-0.63334057828513457</v>
      </c>
      <c r="X2945" s="2">
        <f ca="1"/>
        <v>80.535187340665701</v>
      </c>
      <c r="AG2945" s="2">
        <f ca="1"/>
        <v>0.56645814157693142</v>
      </c>
      <c r="AH2945" s="2" t="str">
        <f ca="1"/>
        <v>Bad</v>
      </c>
    </row>
    <row r="2946" spans="2:34" x14ac:dyDescent="0.2">
      <c r="B2946" s="2">
        <f ca="1"/>
        <v>0.35702176519651707</v>
      </c>
      <c r="O2946" s="2">
        <f ca="1"/>
        <v>-0.28612275533237963</v>
      </c>
      <c r="X2946" s="2">
        <f ca="1"/>
        <v>23.712285014417009</v>
      </c>
      <c r="AG2946" s="2">
        <f ca="1"/>
        <v>0.79902553661555831</v>
      </c>
      <c r="AH2946" s="2" t="str">
        <f ca="1"/>
        <v>Bad</v>
      </c>
    </row>
    <row r="2947" spans="2:34" x14ac:dyDescent="0.2">
      <c r="B2947" s="2">
        <f ca="1"/>
        <v>4.2313124426143656E-2</v>
      </c>
      <c r="O2947" s="2">
        <f ca="1"/>
        <v>-1.2038944890998169</v>
      </c>
      <c r="X2947" s="2">
        <f ca="1"/>
        <v>45.482973030876607</v>
      </c>
      <c r="AG2947" s="2">
        <f ca="1"/>
        <v>0.17624411548568197</v>
      </c>
      <c r="AH2947" s="2" t="str">
        <f ca="1"/>
        <v>OK</v>
      </c>
    </row>
    <row r="2948" spans="2:34" x14ac:dyDescent="0.2">
      <c r="B2948" s="2">
        <f ca="1"/>
        <v>0.14256749385751588</v>
      </c>
      <c r="O2948" s="2">
        <f ca="1"/>
        <v>-0.4702380263173036</v>
      </c>
      <c r="X2948" s="2">
        <f ca="1"/>
        <v>40.339345769088624</v>
      </c>
      <c r="AG2948" s="2">
        <f ca="1"/>
        <v>0.26935970066743709</v>
      </c>
      <c r="AH2948" s="2" t="str">
        <f ca="1"/>
        <v>OK</v>
      </c>
    </row>
    <row r="2949" spans="2:34" x14ac:dyDescent="0.2">
      <c r="B2949" s="2">
        <f ca="1"/>
        <v>0.90752752429288908</v>
      </c>
      <c r="O2949" s="2">
        <f ca="1"/>
        <v>0.14888853760348414</v>
      </c>
      <c r="X2949" s="2">
        <f ca="1"/>
        <v>64.476483966152443</v>
      </c>
      <c r="AG2949" s="2">
        <f ca="1"/>
        <v>0.47377217420032158</v>
      </c>
      <c r="AH2949" s="2" t="str">
        <f ca="1"/>
        <v>Bad</v>
      </c>
    </row>
    <row r="2950" spans="2:34" x14ac:dyDescent="0.2">
      <c r="B2950" s="2">
        <f ca="1"/>
        <v>0.43262828530901043</v>
      </c>
      <c r="O2950" s="2">
        <f ca="1"/>
        <v>-1.4612274588192464</v>
      </c>
      <c r="X2950" s="2">
        <f ca="1"/>
        <v>81.153769305304436</v>
      </c>
      <c r="AG2950" s="2">
        <f ca="1"/>
        <v>0.27902354181926348</v>
      </c>
      <c r="AH2950" s="2" t="str">
        <f ca="1"/>
        <v>OK</v>
      </c>
    </row>
    <row r="2951" spans="2:34" x14ac:dyDescent="0.2">
      <c r="B2951" s="2">
        <f ca="1"/>
        <v>0.20163196298280583</v>
      </c>
      <c r="O2951" s="2">
        <f ca="1"/>
        <v>0.35072194444440385</v>
      </c>
      <c r="X2951" s="2">
        <f ca="1"/>
        <v>34.737889497971793</v>
      </c>
      <c r="AG2951" s="2">
        <f ca="1"/>
        <v>0.76755781424630576</v>
      </c>
      <c r="AH2951" s="2" t="str">
        <f ca="1"/>
        <v>Bad</v>
      </c>
    </row>
    <row r="2952" spans="2:34" x14ac:dyDescent="0.2">
      <c r="B2952" s="2">
        <f ca="1"/>
        <v>0.76400788005324749</v>
      </c>
      <c r="O2952" s="2">
        <f ca="1"/>
        <v>-0.15127810735944119</v>
      </c>
      <c r="X2952" s="2">
        <f ca="1"/>
        <v>35.932583866928539</v>
      </c>
      <c r="AG2952" s="2">
        <f ca="1"/>
        <v>0.3593520429125876</v>
      </c>
      <c r="AH2952" s="2" t="str">
        <f ca="1"/>
        <v>OK</v>
      </c>
    </row>
    <row r="2953" spans="2:34" x14ac:dyDescent="0.2">
      <c r="B2953" s="2">
        <f ca="1"/>
        <v>0.1278105605740727</v>
      </c>
      <c r="O2953" s="2">
        <f ca="1"/>
        <v>-1.8818508217622465</v>
      </c>
      <c r="X2953" s="2">
        <f ca="1"/>
        <v>58.541372045103628</v>
      </c>
      <c r="AG2953" s="2">
        <f ca="1"/>
        <v>0.23595847166639827</v>
      </c>
      <c r="AH2953" s="2" t="str">
        <f ca="1"/>
        <v>OK</v>
      </c>
    </row>
    <row r="2954" spans="2:34" x14ac:dyDescent="0.2">
      <c r="B2954" s="2">
        <f ca="1"/>
        <v>0.42468652547211883</v>
      </c>
      <c r="O2954" s="2">
        <f ca="1"/>
        <v>0.81403400054175157</v>
      </c>
      <c r="X2954" s="2">
        <f ca="1"/>
        <v>29.532531149861761</v>
      </c>
      <c r="AG2954" s="2">
        <f ca="1"/>
        <v>0.55620299000180018</v>
      </c>
      <c r="AH2954" s="2" t="str">
        <f ca="1"/>
        <v>Bad</v>
      </c>
    </row>
    <row r="2955" spans="2:34" x14ac:dyDescent="0.2">
      <c r="B2955" s="2">
        <f ca="1"/>
        <v>0.30128029378946231</v>
      </c>
      <c r="O2955" s="2">
        <f ca="1"/>
        <v>-1.077757253324064</v>
      </c>
      <c r="X2955" s="2">
        <f ca="1"/>
        <v>65.763212569778858</v>
      </c>
      <c r="AG2955" s="2">
        <f ca="1"/>
        <v>0.26763324326547155</v>
      </c>
      <c r="AH2955" s="2" t="str">
        <f ca="1"/>
        <v>OK</v>
      </c>
    </row>
    <row r="2956" spans="2:34" x14ac:dyDescent="0.2">
      <c r="B2956" s="2">
        <f ca="1"/>
        <v>0.97741921351225769</v>
      </c>
      <c r="O2956" s="2">
        <f ca="1"/>
        <v>0.12370158976017792</v>
      </c>
      <c r="X2956" s="2">
        <f ca="1"/>
        <v>48.721503383409015</v>
      </c>
      <c r="AG2956" s="2">
        <f ca="1"/>
        <v>0.29575822919268635</v>
      </c>
      <c r="AH2956" s="2" t="str">
        <f ca="1"/>
        <v>OK</v>
      </c>
    </row>
    <row r="2957" spans="2:34" x14ac:dyDescent="0.2">
      <c r="B2957" s="2">
        <f ca="1"/>
        <v>0.85571614801096008</v>
      </c>
      <c r="O2957" s="2">
        <f ca="1"/>
        <v>-1.0839539326805974</v>
      </c>
      <c r="X2957" s="2">
        <f ca="1"/>
        <v>51.328492500027387</v>
      </c>
      <c r="AG2957" s="2">
        <f ca="1"/>
        <v>0.89498346639813908</v>
      </c>
      <c r="AH2957" s="2" t="str">
        <f ca="1"/>
        <v>Bad</v>
      </c>
    </row>
    <row r="2958" spans="2:34" x14ac:dyDescent="0.2">
      <c r="B2958" s="2">
        <f ca="1"/>
        <v>0.381457164063145</v>
      </c>
      <c r="O2958" s="2">
        <f ca="1"/>
        <v>-1.5688868653738315</v>
      </c>
      <c r="X2958" s="2">
        <f ca="1"/>
        <v>40.903492378847936</v>
      </c>
      <c r="AG2958" s="2">
        <f ca="1"/>
        <v>4.6565751834248825E-2</v>
      </c>
      <c r="AH2958" s="2" t="str">
        <f ca="1"/>
        <v>Good</v>
      </c>
    </row>
    <row r="2959" spans="2:34" x14ac:dyDescent="0.2">
      <c r="B2959" s="2">
        <f ca="1"/>
        <v>0.65035407699116443</v>
      </c>
      <c r="O2959" s="2">
        <f ca="1"/>
        <v>0.51629796261746741</v>
      </c>
      <c r="X2959" s="2">
        <f ca="1"/>
        <v>44.42886748123891</v>
      </c>
      <c r="AG2959" s="2">
        <f ca="1"/>
        <v>0.87990711657578413</v>
      </c>
      <c r="AH2959" s="2" t="str">
        <f ca="1"/>
        <v>Bad</v>
      </c>
    </row>
    <row r="2960" spans="2:34" x14ac:dyDescent="0.2">
      <c r="B2960" s="2">
        <f ca="1"/>
        <v>1.7989103986740806E-2</v>
      </c>
      <c r="O2960" s="2">
        <f ca="1"/>
        <v>0.99976662287516394</v>
      </c>
      <c r="X2960" s="2">
        <f ca="1"/>
        <v>42.359179848733731</v>
      </c>
      <c r="AG2960" s="2">
        <f ca="1"/>
        <v>0.67103899064751871</v>
      </c>
      <c r="AH2960" s="2" t="str">
        <f ca="1"/>
        <v>Bad</v>
      </c>
    </row>
    <row r="2961" spans="2:34" x14ac:dyDescent="0.2">
      <c r="B2961" s="2">
        <f ca="1"/>
        <v>0.9054076486932221</v>
      </c>
      <c r="O2961" s="2">
        <f ca="1"/>
        <v>-0.35647521547155681</v>
      </c>
      <c r="X2961" s="2">
        <f ca="1"/>
        <v>60.983371381655445</v>
      </c>
      <c r="AG2961" s="2">
        <f ca="1"/>
        <v>0.38931931647416351</v>
      </c>
      <c r="AH2961" s="2" t="str">
        <f ca="1"/>
        <v>OK</v>
      </c>
    </row>
    <row r="2962" spans="2:34" x14ac:dyDescent="0.2">
      <c r="B2962" s="2">
        <f ca="1"/>
        <v>0.96859672942954322</v>
      </c>
      <c r="O2962" s="2">
        <f ca="1"/>
        <v>-1.3336758138442981</v>
      </c>
      <c r="X2962" s="2">
        <f ca="1"/>
        <v>33.052079217931563</v>
      </c>
      <c r="AG2962" s="2">
        <f ca="1"/>
        <v>0.2902698475098251</v>
      </c>
      <c r="AH2962" s="2" t="str">
        <f ca="1"/>
        <v>OK</v>
      </c>
    </row>
    <row r="2963" spans="2:34" x14ac:dyDescent="0.2">
      <c r="B2963" s="2">
        <f ca="1"/>
        <v>0.84766891900071295</v>
      </c>
      <c r="O2963" s="2">
        <f ca="1"/>
        <v>1.1465662143537987</v>
      </c>
      <c r="X2963" s="2">
        <f ca="1"/>
        <v>88.150750937070242</v>
      </c>
      <c r="AG2963" s="2">
        <f ca="1"/>
        <v>0.33208474769008012</v>
      </c>
      <c r="AH2963" s="2" t="str">
        <f ca="1"/>
        <v>OK</v>
      </c>
    </row>
    <row r="2964" spans="2:34" x14ac:dyDescent="0.2">
      <c r="B2964" s="2">
        <f ca="1"/>
        <v>0.12850163033651807</v>
      </c>
      <c r="O2964" s="2">
        <f ca="1"/>
        <v>0.64269707983441038</v>
      </c>
      <c r="X2964" s="2">
        <f ca="1"/>
        <v>50.300263967158457</v>
      </c>
      <c r="AG2964" s="2">
        <f ca="1"/>
        <v>0.75696398769907569</v>
      </c>
      <c r="AH2964" s="2" t="str">
        <f ca="1"/>
        <v>Bad</v>
      </c>
    </row>
    <row r="2965" spans="2:34" x14ac:dyDescent="0.2">
      <c r="B2965" s="2">
        <f ca="1"/>
        <v>2.26389166232841E-2</v>
      </c>
      <c r="O2965" s="2">
        <f ca="1"/>
        <v>1.0906484635051783</v>
      </c>
      <c r="X2965" s="2">
        <f ca="1"/>
        <v>47.072845326850434</v>
      </c>
      <c r="AG2965" s="2">
        <f ca="1"/>
        <v>0.76991772358935728</v>
      </c>
      <c r="AH2965" s="2" t="str">
        <f ca="1"/>
        <v>Bad</v>
      </c>
    </row>
    <row r="2966" spans="2:34" x14ac:dyDescent="0.2">
      <c r="B2966" s="2">
        <f ca="1"/>
        <v>0.98266788515303904</v>
      </c>
      <c r="O2966" s="2">
        <f ca="1"/>
        <v>-7.2991230886215133E-2</v>
      </c>
      <c r="X2966" s="2">
        <f ca="1"/>
        <v>44.607571463804121</v>
      </c>
      <c r="AG2966" s="2">
        <f ca="1"/>
        <v>0.80187466067722268</v>
      </c>
      <c r="AH2966" s="2" t="str">
        <f ca="1"/>
        <v>Bad</v>
      </c>
    </row>
    <row r="2967" spans="2:34" x14ac:dyDescent="0.2">
      <c r="B2967" s="2">
        <f ca="1"/>
        <v>0.35863864671032308</v>
      </c>
      <c r="O2967" s="2">
        <f ca="1"/>
        <v>-0.13544785783687341</v>
      </c>
      <c r="X2967" s="2">
        <f ca="1"/>
        <v>60.680110536653615</v>
      </c>
      <c r="AG2967" s="2">
        <f ca="1"/>
        <v>0.26678296632197296</v>
      </c>
      <c r="AH2967" s="2" t="str">
        <f ca="1"/>
        <v>OK</v>
      </c>
    </row>
    <row r="2968" spans="2:34" x14ac:dyDescent="0.2">
      <c r="B2968" s="2">
        <f ca="1"/>
        <v>0.90474143800806517</v>
      </c>
      <c r="O2968" s="2">
        <f ca="1"/>
        <v>0.87786638435430508</v>
      </c>
      <c r="X2968" s="2">
        <f ca="1"/>
        <v>37.144800938005005</v>
      </c>
      <c r="AG2968" s="2">
        <f ca="1"/>
        <v>7.0249894007036406E-2</v>
      </c>
      <c r="AH2968" s="2" t="str">
        <f ca="1"/>
        <v>OK</v>
      </c>
    </row>
    <row r="2969" spans="2:34" x14ac:dyDescent="0.2">
      <c r="B2969" s="2">
        <f ca="1"/>
        <v>0.21250947921010055</v>
      </c>
      <c r="O2969" s="2">
        <f ca="1"/>
        <v>-0.21604896123726816</v>
      </c>
      <c r="X2969" s="2">
        <f ca="1"/>
        <v>45.18676470101417</v>
      </c>
      <c r="AG2969" s="2">
        <f ca="1"/>
        <v>0.40029753305596816</v>
      </c>
      <c r="AH2969" s="2" t="str">
        <f ca="1"/>
        <v>Bad</v>
      </c>
    </row>
    <row r="2970" spans="2:34" x14ac:dyDescent="0.2">
      <c r="B2970" s="2">
        <f ca="1"/>
        <v>0.57430108459297191</v>
      </c>
      <c r="O2970" s="2">
        <f ca="1"/>
        <v>0.82973303393391418</v>
      </c>
      <c r="X2970" s="2">
        <f ca="1"/>
        <v>27.442154847870768</v>
      </c>
      <c r="AG2970" s="2">
        <f ca="1"/>
        <v>0.511486011842468</v>
      </c>
      <c r="AH2970" s="2" t="str">
        <f ca="1"/>
        <v>Bad</v>
      </c>
    </row>
    <row r="2971" spans="2:34" x14ac:dyDescent="0.2">
      <c r="B2971" s="2">
        <f ca="1"/>
        <v>0.41271718487979059</v>
      </c>
      <c r="O2971" s="2">
        <f ca="1"/>
        <v>0.74671312253383715</v>
      </c>
      <c r="X2971" s="2">
        <f ca="1"/>
        <v>48.608511730578954</v>
      </c>
      <c r="AG2971" s="2">
        <f ca="1"/>
        <v>0.33030001093622263</v>
      </c>
      <c r="AH2971" s="2" t="str">
        <f ca="1"/>
        <v>OK</v>
      </c>
    </row>
    <row r="2972" spans="2:34" x14ac:dyDescent="0.2">
      <c r="B2972" s="2">
        <f ca="1"/>
        <v>0.41452110108311313</v>
      </c>
      <c r="O2972" s="2">
        <f ca="1"/>
        <v>0.42624557997030582</v>
      </c>
      <c r="X2972" s="2">
        <f ca="1"/>
        <v>45.846021970307405</v>
      </c>
      <c r="AG2972" s="2">
        <f ca="1"/>
        <v>8.8635406858792454E-2</v>
      </c>
      <c r="AH2972" s="2" t="str">
        <f ca="1"/>
        <v>OK</v>
      </c>
    </row>
    <row r="2973" spans="2:34" x14ac:dyDescent="0.2">
      <c r="B2973" s="2">
        <f ca="1"/>
        <v>0.43319726882160392</v>
      </c>
      <c r="O2973" s="2">
        <f ca="1"/>
        <v>7.4944011523026044E-2</v>
      </c>
      <c r="X2973" s="2">
        <f ca="1"/>
        <v>29.290842412663196</v>
      </c>
      <c r="AG2973" s="2">
        <f ca="1"/>
        <v>0.81653407873478367</v>
      </c>
      <c r="AH2973" s="2" t="str">
        <f ca="1"/>
        <v>Bad</v>
      </c>
    </row>
    <row r="2974" spans="2:34" x14ac:dyDescent="0.2">
      <c r="B2974" s="2">
        <f ca="1"/>
        <v>0.62998067387864132</v>
      </c>
      <c r="O2974" s="2">
        <f ca="1"/>
        <v>-1.6742969231631704</v>
      </c>
      <c r="X2974" s="2">
        <f ca="1"/>
        <v>71.584072354819895</v>
      </c>
      <c r="AG2974" s="2">
        <f ca="1"/>
        <v>0.96055425794623761</v>
      </c>
      <c r="AH2974" s="2" t="str">
        <f ca="1"/>
        <v>Bad</v>
      </c>
    </row>
    <row r="2975" spans="2:34" x14ac:dyDescent="0.2">
      <c r="B2975" s="2">
        <f ca="1"/>
        <v>0.22419735801828411</v>
      </c>
      <c r="O2975" s="2">
        <f ca="1"/>
        <v>0.46906605927935319</v>
      </c>
      <c r="X2975" s="2">
        <f ca="1"/>
        <v>57.536914287308285</v>
      </c>
      <c r="AG2975" s="2">
        <f ca="1"/>
        <v>0.80319041474016628</v>
      </c>
      <c r="AH2975" s="2" t="str">
        <f ca="1"/>
        <v>Bad</v>
      </c>
    </row>
    <row r="2976" spans="2:34" x14ac:dyDescent="0.2">
      <c r="B2976" s="2">
        <f ca="1"/>
        <v>0.56696383115488436</v>
      </c>
      <c r="O2976" s="2">
        <f ca="1"/>
        <v>-0.31483121837374778</v>
      </c>
      <c r="X2976" s="2">
        <f ca="1"/>
        <v>34.862399327806493</v>
      </c>
      <c r="AG2976" s="2">
        <f ca="1"/>
        <v>0.82049345886626668</v>
      </c>
      <c r="AH2976" s="2" t="str">
        <f ca="1"/>
        <v>Bad</v>
      </c>
    </row>
    <row r="2977" spans="2:34" x14ac:dyDescent="0.2">
      <c r="B2977" s="2">
        <f ca="1"/>
        <v>0.21782511439342089</v>
      </c>
      <c r="O2977" s="2">
        <f ca="1"/>
        <v>-2.0523920770904893</v>
      </c>
      <c r="X2977" s="2">
        <f ca="1"/>
        <v>37.539789282823875</v>
      </c>
      <c r="AG2977" s="2">
        <f ca="1"/>
        <v>0.98672649868493734</v>
      </c>
      <c r="AH2977" s="2" t="str">
        <f ca="1"/>
        <v>Bad</v>
      </c>
    </row>
    <row r="2978" spans="2:34" x14ac:dyDescent="0.2">
      <c r="B2978" s="2">
        <f ca="1"/>
        <v>0.30621234051360191</v>
      </c>
      <c r="O2978" s="2">
        <f ca="1"/>
        <v>0.3270454601912085</v>
      </c>
      <c r="X2978" s="2">
        <f ca="1"/>
        <v>48.367278985132238</v>
      </c>
      <c r="AG2978" s="2">
        <f ca="1"/>
        <v>0.99510403343137277</v>
      </c>
      <c r="AH2978" s="2" t="str">
        <f ca="1"/>
        <v>Bad</v>
      </c>
    </row>
    <row r="2979" spans="2:34" x14ac:dyDescent="0.2">
      <c r="B2979" s="2">
        <f ca="1"/>
        <v>0.11757323259788199</v>
      </c>
      <c r="O2979" s="2">
        <f ca="1"/>
        <v>-0.96924794403224812</v>
      </c>
      <c r="X2979" s="2">
        <f ca="1"/>
        <v>40.819600432594108</v>
      </c>
      <c r="AG2979" s="2">
        <f ca="1"/>
        <v>0.18876230744356381</v>
      </c>
      <c r="AH2979" s="2" t="str">
        <f ca="1"/>
        <v>OK</v>
      </c>
    </row>
    <row r="2980" spans="2:34" x14ac:dyDescent="0.2">
      <c r="B2980" s="2">
        <f ca="1"/>
        <v>0.59875165170164024</v>
      </c>
      <c r="O2980" s="2">
        <f ca="1"/>
        <v>0.3285209794617911</v>
      </c>
      <c r="X2980" s="2">
        <f ca="1"/>
        <v>50.44011241601288</v>
      </c>
      <c r="AG2980" s="2">
        <f ca="1"/>
        <v>0.32258427002037848</v>
      </c>
      <c r="AH2980" s="2" t="str">
        <f ca="1"/>
        <v>OK</v>
      </c>
    </row>
    <row r="2981" spans="2:34" x14ac:dyDescent="0.2">
      <c r="B2981" s="2">
        <f ca="1"/>
        <v>0.89814835649919567</v>
      </c>
      <c r="O2981" s="2">
        <f ca="1"/>
        <v>-0.15869574261352237</v>
      </c>
      <c r="X2981" s="2">
        <f ca="1"/>
        <v>28.07886995271425</v>
      </c>
      <c r="AG2981" s="2">
        <f ca="1"/>
        <v>0.94496962360837711</v>
      </c>
      <c r="AH2981" s="2" t="str">
        <f ca="1"/>
        <v>Bad</v>
      </c>
    </row>
    <row r="2982" spans="2:34" x14ac:dyDescent="0.2">
      <c r="B2982" s="2">
        <f ca="1"/>
        <v>0.69461299473945348</v>
      </c>
      <c r="O2982" s="2">
        <f ca="1"/>
        <v>0.11874168149007824</v>
      </c>
      <c r="X2982" s="2">
        <f ca="1"/>
        <v>90.502496675262734</v>
      </c>
      <c r="AG2982" s="2">
        <f ca="1"/>
        <v>0.81158486820487252</v>
      </c>
      <c r="AH2982" s="2" t="str">
        <f ca="1"/>
        <v>Bad</v>
      </c>
    </row>
    <row r="2983" spans="2:34" x14ac:dyDescent="0.2">
      <c r="B2983" s="2">
        <f ca="1"/>
        <v>0.42644618011661017</v>
      </c>
      <c r="O2983" s="2">
        <f ca="1"/>
        <v>0.34411866127240698</v>
      </c>
      <c r="X2983" s="2">
        <f ca="1"/>
        <v>79.159448529818576</v>
      </c>
      <c r="AG2983" s="2">
        <f ca="1"/>
        <v>0.23990778166713089</v>
      </c>
      <c r="AH2983" s="2" t="str">
        <f ca="1"/>
        <v>OK</v>
      </c>
    </row>
    <row r="2984" spans="2:34" x14ac:dyDescent="0.2">
      <c r="B2984" s="2">
        <f ca="1"/>
        <v>0.51056081216404992</v>
      </c>
      <c r="O2984" s="2">
        <f ca="1"/>
        <v>-1.9821362994044581E-2</v>
      </c>
      <c r="X2984" s="2">
        <f ca="1"/>
        <v>34.169339314114623</v>
      </c>
      <c r="AG2984" s="2">
        <f ca="1"/>
        <v>0.75739988431288752</v>
      </c>
      <c r="AH2984" s="2" t="str">
        <f ca="1"/>
        <v>Bad</v>
      </c>
    </row>
    <row r="2985" spans="2:34" x14ac:dyDescent="0.2">
      <c r="B2985" s="2">
        <f ca="1"/>
        <v>0.22246070244620375</v>
      </c>
      <c r="O2985" s="2">
        <f ca="1"/>
        <v>-0.69698789794333393</v>
      </c>
      <c r="X2985" s="2">
        <f ca="1"/>
        <v>40.944435590478534</v>
      </c>
      <c r="AG2985" s="2">
        <f ca="1"/>
        <v>9.5903761431956669E-2</v>
      </c>
      <c r="AH2985" s="2" t="str">
        <f ca="1"/>
        <v>OK</v>
      </c>
    </row>
    <row r="2986" spans="2:34" x14ac:dyDescent="0.2">
      <c r="B2986" s="2">
        <f ca="1"/>
        <v>0.9182646810145525</v>
      </c>
      <c r="O2986" s="2">
        <f ca="1"/>
        <v>-0.71355496362875304</v>
      </c>
      <c r="X2986" s="2">
        <f ca="1"/>
        <v>36.245792029452865</v>
      </c>
      <c r="AG2986" s="2">
        <f ca="1"/>
        <v>0.58019753754597025</v>
      </c>
      <c r="AH2986" s="2" t="str">
        <f ca="1"/>
        <v>Bad</v>
      </c>
    </row>
    <row r="2987" spans="2:34" x14ac:dyDescent="0.2">
      <c r="B2987" s="2">
        <f ca="1"/>
        <v>0.24159006288178086</v>
      </c>
      <c r="O2987" s="2">
        <f ca="1"/>
        <v>0.99586920348687613</v>
      </c>
      <c r="X2987" s="2">
        <f ca="1"/>
        <v>23.736988994636533</v>
      </c>
      <c r="AG2987" s="2">
        <f ca="1"/>
        <v>0.74493379035553264</v>
      </c>
      <c r="AH2987" s="2" t="str">
        <f ca="1"/>
        <v>Bad</v>
      </c>
    </row>
    <row r="2988" spans="2:34" x14ac:dyDescent="0.2">
      <c r="B2988" s="2">
        <f ca="1"/>
        <v>0.61793304229282242</v>
      </c>
      <c r="O2988" s="2">
        <f ca="1"/>
        <v>-0.10051338009424289</v>
      </c>
      <c r="X2988" s="2">
        <f ca="1"/>
        <v>55.773251588917518</v>
      </c>
      <c r="AG2988" s="2">
        <f ca="1"/>
        <v>0.87304418848489607</v>
      </c>
      <c r="AH2988" s="2" t="str">
        <f ca="1"/>
        <v>Bad</v>
      </c>
    </row>
    <row r="2989" spans="2:34" x14ac:dyDescent="0.2">
      <c r="B2989" s="2">
        <f ca="1"/>
        <v>1.5612669583417338E-2</v>
      </c>
      <c r="O2989" s="2">
        <f ca="1"/>
        <v>0.77524913528919204</v>
      </c>
      <c r="X2989" s="2">
        <f ca="1"/>
        <v>46.714056023662501</v>
      </c>
      <c r="AG2989" s="2">
        <f ca="1"/>
        <v>0.55282125018768968</v>
      </c>
      <c r="AH2989" s="2" t="str">
        <f ca="1"/>
        <v>Bad</v>
      </c>
    </row>
    <row r="2990" spans="2:34" x14ac:dyDescent="0.2">
      <c r="B2990" s="2">
        <f ca="1"/>
        <v>0.19157461439645584</v>
      </c>
      <c r="O2990" s="2">
        <f ca="1"/>
        <v>-0.37484080959349159</v>
      </c>
      <c r="X2990" s="2">
        <f ca="1"/>
        <v>40.943579206337631</v>
      </c>
      <c r="AG2990" s="2">
        <f ca="1"/>
        <v>0.70703639511755112</v>
      </c>
      <c r="AH2990" s="2" t="str">
        <f ca="1"/>
        <v>Bad</v>
      </c>
    </row>
    <row r="2991" spans="2:34" x14ac:dyDescent="0.2">
      <c r="B2991" s="2">
        <f ca="1"/>
        <v>0.63198188890654117</v>
      </c>
      <c r="O2991" s="2">
        <f ca="1"/>
        <v>1.0973900281638154</v>
      </c>
      <c r="X2991" s="2">
        <f ca="1"/>
        <v>65.683842702779657</v>
      </c>
      <c r="AG2991" s="2">
        <f ca="1"/>
        <v>0.69266887147961498</v>
      </c>
      <c r="AH2991" s="2" t="str">
        <f ca="1"/>
        <v>Bad</v>
      </c>
    </row>
    <row r="2992" spans="2:34" x14ac:dyDescent="0.2">
      <c r="B2992" s="2">
        <f ca="1"/>
        <v>0.9551366032623354</v>
      </c>
      <c r="O2992" s="2">
        <f ca="1"/>
        <v>0.32553990150858103</v>
      </c>
      <c r="X2992" s="2">
        <f ca="1"/>
        <v>47.134465063735043</v>
      </c>
      <c r="AG2992" s="2">
        <f ca="1"/>
        <v>0.86655446521910973</v>
      </c>
      <c r="AH2992" s="2" t="str">
        <f ca="1"/>
        <v>Bad</v>
      </c>
    </row>
    <row r="2993" spans="2:34" x14ac:dyDescent="0.2">
      <c r="B2993" s="2">
        <f ca="1"/>
        <v>0.71885105029675445</v>
      </c>
      <c r="O2993" s="2">
        <f ca="1"/>
        <v>0.68248791696671718</v>
      </c>
      <c r="X2993" s="2">
        <f ca="1"/>
        <v>41.493821748301031</v>
      </c>
      <c r="AG2993" s="2">
        <f ca="1"/>
        <v>0.37498172842214439</v>
      </c>
      <c r="AH2993" s="2" t="str">
        <f ca="1"/>
        <v>OK</v>
      </c>
    </row>
    <row r="2994" spans="2:34" x14ac:dyDescent="0.2">
      <c r="B2994" s="2">
        <f ca="1"/>
        <v>0.17112467027918332</v>
      </c>
      <c r="O2994" s="2">
        <f ca="1"/>
        <v>-0.19276846959688129</v>
      </c>
      <c r="X2994" s="2">
        <f ca="1"/>
        <v>35.204427333593003</v>
      </c>
      <c r="AG2994" s="2">
        <f ca="1"/>
        <v>0.88988165609698777</v>
      </c>
      <c r="AH2994" s="2" t="str">
        <f ca="1"/>
        <v>Bad</v>
      </c>
    </row>
    <row r="2995" spans="2:34" x14ac:dyDescent="0.2">
      <c r="B2995" s="2">
        <f ca="1"/>
        <v>0.73267810506489517</v>
      </c>
      <c r="O2995" s="2">
        <f ca="1"/>
        <v>0.76192613558625433</v>
      </c>
      <c r="X2995" s="2">
        <f ca="1"/>
        <v>65.081614068114646</v>
      </c>
      <c r="AG2995" s="2">
        <f ca="1"/>
        <v>0.62856028069429515</v>
      </c>
      <c r="AH2995" s="2" t="str">
        <f ca="1"/>
        <v>Bad</v>
      </c>
    </row>
    <row r="2996" spans="2:34" x14ac:dyDescent="0.2">
      <c r="B2996" s="2">
        <f ca="1"/>
        <v>0.72184704859447368</v>
      </c>
      <c r="O2996" s="2">
        <f ca="1"/>
        <v>-0.23712874730043748</v>
      </c>
      <c r="X2996" s="2">
        <f ca="1"/>
        <v>44.981789152609821</v>
      </c>
      <c r="AG2996" s="2">
        <f ca="1"/>
        <v>0.5308277406899029</v>
      </c>
      <c r="AH2996" s="2" t="str">
        <f ca="1"/>
        <v>Bad</v>
      </c>
    </row>
    <row r="2997" spans="2:34" x14ac:dyDescent="0.2">
      <c r="B2997" s="2">
        <f ca="1"/>
        <v>5.2605280456294645E-2</v>
      </c>
      <c r="O2997" s="2">
        <f ca="1"/>
        <v>-3.3193420889282718E-2</v>
      </c>
      <c r="X2997" s="2">
        <f ca="1"/>
        <v>69.273869462605887</v>
      </c>
      <c r="AG2997" s="2">
        <f ca="1"/>
        <v>2.8126830220490673E-2</v>
      </c>
      <c r="AH2997" s="2" t="str">
        <f ca="1"/>
        <v>Good</v>
      </c>
    </row>
    <row r="2998" spans="2:34" x14ac:dyDescent="0.2">
      <c r="B2998" s="2">
        <f ca="1"/>
        <v>0.5058081882445471</v>
      </c>
      <c r="O2998" s="2">
        <f ca="1"/>
        <v>-0.79342729153303537</v>
      </c>
      <c r="X2998" s="2">
        <f ca="1"/>
        <v>101.95433159101643</v>
      </c>
      <c r="AG2998" s="2">
        <f ca="1"/>
        <v>0.44036062116860064</v>
      </c>
      <c r="AH2998" s="2" t="str">
        <f ca="1"/>
        <v>Bad</v>
      </c>
    </row>
    <row r="2999" spans="2:34" x14ac:dyDescent="0.2">
      <c r="B2999" s="2">
        <f ca="1"/>
        <v>0.94624443764395871</v>
      </c>
      <c r="O2999" s="2">
        <f ca="1"/>
        <v>-1.1091050006291987</v>
      </c>
      <c r="X2999" s="2">
        <f ca="1"/>
        <v>32.042671112713933</v>
      </c>
      <c r="AG2999" s="2">
        <f ca="1"/>
        <v>0.66458235712944735</v>
      </c>
      <c r="AH2999" s="2" t="str">
        <f ca="1"/>
        <v>Bad</v>
      </c>
    </row>
    <row r="3000" spans="2:34" x14ac:dyDescent="0.2">
      <c r="B3000" s="2">
        <f ca="1"/>
        <v>0.61008047096463569</v>
      </c>
      <c r="O3000" s="2">
        <f ca="1"/>
        <v>-0.75162010206144703</v>
      </c>
      <c r="X3000" s="2">
        <f ca="1"/>
        <v>72.907270266299676</v>
      </c>
      <c r="AG3000" s="2">
        <f ca="1"/>
        <v>0.14132363501957879</v>
      </c>
      <c r="AH3000" s="2" t="str">
        <f ca="1"/>
        <v>OK</v>
      </c>
    </row>
    <row r="3001" spans="2:34" x14ac:dyDescent="0.2">
      <c r="B3001" s="2">
        <f ca="1"/>
        <v>0.52273374565592556</v>
      </c>
      <c r="O3001" s="2">
        <f ca="1"/>
        <v>0.95854616137618398</v>
      </c>
      <c r="X3001" s="2">
        <f ca="1"/>
        <v>66.343859914564447</v>
      </c>
      <c r="AG3001" s="2">
        <f ca="1"/>
        <v>0.28629172749153486</v>
      </c>
      <c r="AH3001" s="2" t="str">
        <f ca="1"/>
        <v>OK</v>
      </c>
    </row>
    <row r="3002" spans="2:34" x14ac:dyDescent="0.2">
      <c r="B3002" s="2">
        <f ca="1"/>
        <v>0.46401996703650572</v>
      </c>
      <c r="O3002" s="2">
        <f ca="1"/>
        <v>2.8037053415276949</v>
      </c>
      <c r="X3002" s="2">
        <f ca="1"/>
        <v>51.451784455495478</v>
      </c>
      <c r="AG3002" s="2">
        <f ca="1"/>
        <v>0.82514345917289278</v>
      </c>
      <c r="AH3002" s="2" t="str">
        <f ca="1"/>
        <v>Bad</v>
      </c>
    </row>
    <row r="3003" spans="2:34" x14ac:dyDescent="0.2">
      <c r="B3003" s="2">
        <f ca="1"/>
        <v>0.70332056343584526</v>
      </c>
      <c r="O3003" s="2">
        <f ca="1"/>
        <v>-0.59391267693791716</v>
      </c>
      <c r="X3003" s="2">
        <f ca="1"/>
        <v>56.203284141476459</v>
      </c>
      <c r="AG3003" s="2">
        <f ca="1"/>
        <v>8.3536467313201967E-2</v>
      </c>
      <c r="AH3003" s="2" t="str">
        <f ca="1"/>
        <v>OK</v>
      </c>
    </row>
    <row r="3004" spans="2:34" x14ac:dyDescent="0.2">
      <c r="B3004" s="2">
        <f ca="1"/>
        <v>0.50861739058917932</v>
      </c>
      <c r="O3004" s="2">
        <f ca="1"/>
        <v>1.9347025475820421</v>
      </c>
      <c r="X3004" s="2">
        <f ca="1"/>
        <v>53.999302256613547</v>
      </c>
      <c r="AG3004" s="2">
        <f ca="1"/>
        <v>0.78370754790210362</v>
      </c>
      <c r="AH3004" s="2" t="str">
        <f ca="1"/>
        <v>Bad</v>
      </c>
    </row>
    <row r="3005" spans="2:34" x14ac:dyDescent="0.2">
      <c r="B3005" s="2">
        <f ca="1"/>
        <v>0.90932198256262176</v>
      </c>
      <c r="O3005" s="2">
        <f ca="1"/>
        <v>-0.99317016091281995</v>
      </c>
      <c r="X3005" s="2">
        <f ca="1"/>
        <v>62.033821628319181</v>
      </c>
      <c r="AG3005" s="2">
        <f ca="1"/>
        <v>5.7551060352929229E-2</v>
      </c>
      <c r="AH3005" s="2" t="str">
        <f ca="1"/>
        <v>OK</v>
      </c>
    </row>
    <row r="3006" spans="2:34" x14ac:dyDescent="0.2">
      <c r="B3006" s="2">
        <f ca="1"/>
        <v>0.32762261923337177</v>
      </c>
      <c r="O3006" s="2">
        <f ca="1"/>
        <v>-0.55907509390552768</v>
      </c>
      <c r="X3006" s="2">
        <f ca="1"/>
        <v>52.220035027782636</v>
      </c>
      <c r="AG3006" s="2">
        <f ca="1"/>
        <v>2.8859886931911882E-2</v>
      </c>
      <c r="AH3006" s="2" t="str">
        <f ca="1"/>
        <v>Good</v>
      </c>
    </row>
    <row r="3007" spans="2:34" x14ac:dyDescent="0.2">
      <c r="B3007" s="2">
        <f ca="1"/>
        <v>0.63880033651365609</v>
      </c>
      <c r="O3007" s="2">
        <f ca="1"/>
        <v>0.58470116280696849</v>
      </c>
      <c r="X3007" s="2">
        <f ca="1"/>
        <v>40.330742156244597</v>
      </c>
      <c r="AG3007" s="2">
        <f ca="1"/>
        <v>0.76091666868993757</v>
      </c>
      <c r="AH3007" s="2" t="str">
        <f ca="1"/>
        <v>Bad</v>
      </c>
    </row>
    <row r="3008" spans="2:34" x14ac:dyDescent="0.2">
      <c r="B3008" s="2">
        <f ca="1"/>
        <v>0.51673249347236139</v>
      </c>
      <c r="O3008" s="2">
        <f ca="1"/>
        <v>-1.8043616503415487</v>
      </c>
      <c r="X3008" s="2">
        <f ca="1"/>
        <v>47.130233144561885</v>
      </c>
      <c r="AG3008" s="2">
        <f ca="1"/>
        <v>0.51521737550102675</v>
      </c>
      <c r="AH3008" s="2" t="str">
        <f ca="1"/>
        <v>Bad</v>
      </c>
    </row>
    <row r="3009" spans="2:34" x14ac:dyDescent="0.2">
      <c r="B3009" s="2">
        <f ca="1"/>
        <v>0.23440052265115985</v>
      </c>
      <c r="O3009" s="2">
        <f ca="1"/>
        <v>0.6326879141757662</v>
      </c>
      <c r="X3009" s="2">
        <f ca="1"/>
        <v>26.725362483596797</v>
      </c>
      <c r="AG3009" s="2">
        <f ca="1"/>
        <v>2.1606353395883238E-2</v>
      </c>
      <c r="AH3009" s="2" t="str">
        <f ca="1"/>
        <v>Good</v>
      </c>
    </row>
    <row r="3010" spans="2:34" x14ac:dyDescent="0.2">
      <c r="B3010" s="2">
        <f ca="1"/>
        <v>0.17142464260335499</v>
      </c>
      <c r="O3010" s="2">
        <f ca="1"/>
        <v>-1.3636780256526968</v>
      </c>
      <c r="X3010" s="2">
        <f ca="1"/>
        <v>58.939132101197906</v>
      </c>
      <c r="AG3010" s="2">
        <f ca="1"/>
        <v>0.8413027265412254</v>
      </c>
      <c r="AH3010" s="2" t="str">
        <f ca="1"/>
        <v>Bad</v>
      </c>
    </row>
    <row r="3011" spans="2:34" x14ac:dyDescent="0.2">
      <c r="B3011" s="2">
        <f ca="1"/>
        <v>0.18437700820764369</v>
      </c>
      <c r="O3011" s="2">
        <f ca="1"/>
        <v>-6.6326027387481126E-2</v>
      </c>
      <c r="X3011" s="2">
        <f ca="1"/>
        <v>52.915300309340658</v>
      </c>
      <c r="AG3011" s="2">
        <f ca="1"/>
        <v>0.18002326968713644</v>
      </c>
      <c r="AH3011" s="2" t="str">
        <f ca="1"/>
        <v>OK</v>
      </c>
    </row>
    <row r="3012" spans="2:34" x14ac:dyDescent="0.2">
      <c r="B3012" s="2">
        <f ca="1"/>
        <v>0.30762688080583689</v>
      </c>
      <c r="O3012" s="2">
        <f ca="1"/>
        <v>-0.83562079992468918</v>
      </c>
      <c r="X3012" s="2">
        <f ca="1"/>
        <v>46.720662126615593</v>
      </c>
      <c r="AG3012" s="2">
        <f ca="1"/>
        <v>0.82410234135261273</v>
      </c>
      <c r="AH3012" s="2" t="str">
        <f ca="1"/>
        <v>Bad</v>
      </c>
    </row>
    <row r="3013" spans="2:34" x14ac:dyDescent="0.2">
      <c r="B3013" s="2">
        <f ca="1"/>
        <v>0.16966826289881731</v>
      </c>
      <c r="O3013" s="2">
        <f ca="1"/>
        <v>-1.8144839148842813</v>
      </c>
      <c r="X3013" s="2">
        <f ca="1"/>
        <v>54.623964265860266</v>
      </c>
      <c r="AG3013" s="2">
        <f ca="1"/>
        <v>0.72250788130631216</v>
      </c>
      <c r="AH3013" s="2" t="str">
        <f ca="1"/>
        <v>Bad</v>
      </c>
    </row>
    <row r="3014" spans="2:34" x14ac:dyDescent="0.2">
      <c r="B3014" s="2">
        <f ca="1"/>
        <v>8.7946832295732413E-2</v>
      </c>
      <c r="O3014" s="2">
        <f ca="1"/>
        <v>0.34190130774156408</v>
      </c>
      <c r="X3014" s="2">
        <f ca="1"/>
        <v>59.821059565790911</v>
      </c>
      <c r="AG3014" s="2">
        <f ca="1"/>
        <v>0.17304587546203321</v>
      </c>
      <c r="AH3014" s="2" t="str">
        <f ca="1"/>
        <v>OK</v>
      </c>
    </row>
    <row r="3015" spans="2:34" x14ac:dyDescent="0.2">
      <c r="B3015" s="2">
        <f ca="1"/>
        <v>0.47351430985101928</v>
      </c>
      <c r="O3015" s="2">
        <f ca="1"/>
        <v>1.3377699837758905</v>
      </c>
      <c r="X3015" s="2">
        <f ca="1"/>
        <v>47.784410544146638</v>
      </c>
      <c r="AG3015" s="2">
        <f ca="1"/>
        <v>0.73368663144867563</v>
      </c>
      <c r="AH3015" s="2" t="str">
        <f ca="1"/>
        <v>Bad</v>
      </c>
    </row>
    <row r="3016" spans="2:34" x14ac:dyDescent="0.2">
      <c r="B3016" s="2">
        <f ca="1"/>
        <v>0.87826903875254403</v>
      </c>
      <c r="O3016" s="2">
        <f ca="1"/>
        <v>1.4523992586392171</v>
      </c>
      <c r="X3016" s="2">
        <f ca="1"/>
        <v>42.328052504850803</v>
      </c>
      <c r="AG3016" s="2">
        <f ca="1"/>
        <v>0.22803880930711462</v>
      </c>
      <c r="AH3016" s="2" t="str">
        <f ca="1"/>
        <v>OK</v>
      </c>
    </row>
    <row r="3017" spans="2:34" x14ac:dyDescent="0.2">
      <c r="B3017" s="2">
        <f ca="1"/>
        <v>0.77448712510764439</v>
      </c>
      <c r="O3017" s="2">
        <f ca="1"/>
        <v>6.5008948330379833E-3</v>
      </c>
      <c r="X3017" s="2">
        <f ca="1"/>
        <v>84.748509428437018</v>
      </c>
      <c r="AG3017" s="2">
        <f ca="1"/>
        <v>0.42331053785229322</v>
      </c>
      <c r="AH3017" s="2" t="str">
        <f ca="1"/>
        <v>Bad</v>
      </c>
    </row>
    <row r="3018" spans="2:34" x14ac:dyDescent="0.2">
      <c r="B3018" s="2">
        <f ca="1"/>
        <v>0.79785255214683093</v>
      </c>
      <c r="O3018" s="2">
        <f ca="1"/>
        <v>-9.6506410680450433E-2</v>
      </c>
      <c r="X3018" s="2">
        <f ca="1"/>
        <v>48.29233459713555</v>
      </c>
      <c r="AG3018" s="2">
        <f ca="1"/>
        <v>0.45984492369708319</v>
      </c>
      <c r="AH3018" s="2" t="str">
        <f ca="1"/>
        <v>Bad</v>
      </c>
    </row>
    <row r="3019" spans="2:34" x14ac:dyDescent="0.2">
      <c r="B3019" s="2">
        <f ca="1"/>
        <v>0.81207743463187887</v>
      </c>
      <c r="O3019" s="2">
        <f ca="1"/>
        <v>2.5359897085211971</v>
      </c>
      <c r="X3019" s="2">
        <f ca="1"/>
        <v>43.047767532517049</v>
      </c>
      <c r="AG3019" s="2">
        <f ca="1"/>
        <v>9.3686650426131113E-2</v>
      </c>
      <c r="AH3019" s="2" t="str">
        <f ca="1"/>
        <v>OK</v>
      </c>
    </row>
    <row r="3020" spans="2:34" x14ac:dyDescent="0.2">
      <c r="B3020" s="2">
        <f ca="1"/>
        <v>0.29761456787542806</v>
      </c>
      <c r="O3020" s="2">
        <f ca="1"/>
        <v>0.55687926407135901</v>
      </c>
      <c r="X3020" s="2">
        <f ca="1"/>
        <v>43.391031583330431</v>
      </c>
      <c r="AG3020" s="2">
        <f ca="1"/>
        <v>0.85915140352017216</v>
      </c>
      <c r="AH3020" s="2" t="str">
        <f ca="1"/>
        <v>Bad</v>
      </c>
    </row>
    <row r="3021" spans="2:34" x14ac:dyDescent="0.2">
      <c r="B3021" s="2">
        <f ca="1"/>
        <v>0.83624042836796186</v>
      </c>
      <c r="O3021" s="2">
        <f ca="1"/>
        <v>-2.6705410004954038</v>
      </c>
      <c r="X3021" s="2">
        <f ca="1"/>
        <v>34.369850821146521</v>
      </c>
      <c r="AG3021" s="2">
        <f ca="1"/>
        <v>0.22902862971889792</v>
      </c>
      <c r="AH3021" s="2" t="str">
        <f ca="1"/>
        <v>OK</v>
      </c>
    </row>
    <row r="3022" spans="2:34" x14ac:dyDescent="0.2">
      <c r="B3022" s="2">
        <f ca="1"/>
        <v>0.66089882146868084</v>
      </c>
      <c r="O3022" s="2">
        <f ca="1"/>
        <v>1.4946217266215396</v>
      </c>
      <c r="X3022" s="2">
        <f ca="1"/>
        <v>89.529185700743895</v>
      </c>
      <c r="AG3022" s="2">
        <f ca="1"/>
        <v>0.71670881047218948</v>
      </c>
      <c r="AH3022" s="2" t="str">
        <f ca="1"/>
        <v>Bad</v>
      </c>
    </row>
    <row r="3023" spans="2:34" x14ac:dyDescent="0.2">
      <c r="B3023" s="2">
        <f ca="1"/>
        <v>0.18111819094717663</v>
      </c>
      <c r="O3023" s="2">
        <f ca="1"/>
        <v>-0.39462606844326559</v>
      </c>
      <c r="X3023" s="2">
        <f ca="1"/>
        <v>41.33263966996001</v>
      </c>
      <c r="AG3023" s="2">
        <f ca="1"/>
        <v>0.86267297103370821</v>
      </c>
      <c r="AH3023" s="2" t="str">
        <f ca="1"/>
        <v>Bad</v>
      </c>
    </row>
    <row r="3024" spans="2:34" x14ac:dyDescent="0.2">
      <c r="B3024" s="2">
        <f ca="1"/>
        <v>0.86856433434762792</v>
      </c>
      <c r="O3024" s="2">
        <f ca="1"/>
        <v>0.43849344423528147</v>
      </c>
      <c r="X3024" s="2">
        <f ca="1"/>
        <v>61.748861324597371</v>
      </c>
      <c r="AG3024" s="2">
        <f ca="1"/>
        <v>0.64824771098952949</v>
      </c>
      <c r="AH3024" s="2" t="str">
        <f ca="1"/>
        <v>Bad</v>
      </c>
    </row>
    <row r="3025" spans="2:34" x14ac:dyDescent="0.2">
      <c r="B3025" s="2">
        <f ca="1"/>
        <v>0.4582345972217825</v>
      </c>
      <c r="O3025" s="2">
        <f ca="1"/>
        <v>-0.67778920203657633</v>
      </c>
      <c r="X3025" s="2">
        <f ca="1"/>
        <v>20.790441830644188</v>
      </c>
      <c r="AG3025" s="2">
        <f ca="1"/>
        <v>0.34519773258166242</v>
      </c>
      <c r="AH3025" s="2" t="str">
        <f ca="1"/>
        <v>OK</v>
      </c>
    </row>
    <row r="3026" spans="2:34" x14ac:dyDescent="0.2">
      <c r="B3026" s="2">
        <f ca="1"/>
        <v>0.51514161377550605</v>
      </c>
      <c r="O3026" s="2">
        <f ca="1"/>
        <v>-2.6055506938416982E-2</v>
      </c>
      <c r="X3026" s="2">
        <f ca="1"/>
        <v>51.35547327205807</v>
      </c>
      <c r="AG3026" s="2">
        <f ca="1"/>
        <v>0.15520942161063611</v>
      </c>
      <c r="AH3026" s="2" t="str">
        <f ca="1"/>
        <v>OK</v>
      </c>
    </row>
    <row r="3027" spans="2:34" x14ac:dyDescent="0.2">
      <c r="B3027" s="2">
        <f ca="1"/>
        <v>0.96279237005577034</v>
      </c>
      <c r="O3027" s="2">
        <f ca="1"/>
        <v>0.1757814598810134</v>
      </c>
      <c r="X3027" s="2">
        <f ca="1"/>
        <v>54.11858091638571</v>
      </c>
      <c r="AG3027" s="2">
        <f ca="1"/>
        <v>0.45645878784470506</v>
      </c>
      <c r="AH3027" s="2" t="str">
        <f ca="1"/>
        <v>Bad</v>
      </c>
    </row>
    <row r="3028" spans="2:34" x14ac:dyDescent="0.2">
      <c r="B3028" s="2">
        <f ca="1"/>
        <v>0.44527140742381732</v>
      </c>
      <c r="O3028" s="2">
        <f ca="1"/>
        <v>7.0301313617637057E-2</v>
      </c>
      <c r="X3028" s="2">
        <f ca="1"/>
        <v>59.173360398496186</v>
      </c>
      <c r="AG3028" s="2">
        <f ca="1"/>
        <v>0.46684106978474182</v>
      </c>
      <c r="AH3028" s="2" t="str">
        <f ca="1"/>
        <v>Bad</v>
      </c>
    </row>
    <row r="3029" spans="2:34" x14ac:dyDescent="0.2">
      <c r="B3029" s="2">
        <f ca="1"/>
        <v>0.82664913600017997</v>
      </c>
      <c r="O3029" s="2">
        <f ca="1"/>
        <v>-0.70722443248538114</v>
      </c>
      <c r="X3029" s="2">
        <f ca="1"/>
        <v>80.494773584948575</v>
      </c>
      <c r="AG3029" s="2">
        <f ca="1"/>
        <v>0.82961443765805698</v>
      </c>
      <c r="AH3029" s="2" t="str">
        <f ca="1"/>
        <v>Bad</v>
      </c>
    </row>
    <row r="3030" spans="2:34" x14ac:dyDescent="0.2">
      <c r="B3030" s="2">
        <f ca="1"/>
        <v>0.88457280722451515</v>
      </c>
      <c r="O3030" s="2">
        <f ca="1"/>
        <v>-0.31594090626685412</v>
      </c>
      <c r="X3030" s="2">
        <f ca="1"/>
        <v>31.879441922627972</v>
      </c>
      <c r="AG3030" s="2">
        <f ca="1"/>
        <v>0.91350099108994809</v>
      </c>
      <c r="AH3030" s="2" t="str">
        <f ca="1"/>
        <v>Bad</v>
      </c>
    </row>
    <row r="3031" spans="2:34" x14ac:dyDescent="0.2">
      <c r="B3031" s="2">
        <f ca="1"/>
        <v>0.78103935230163057</v>
      </c>
      <c r="O3031" s="2">
        <f ca="1"/>
        <v>-4.5144441714182151E-2</v>
      </c>
      <c r="X3031" s="2">
        <f ca="1"/>
        <v>34.070029946421108</v>
      </c>
      <c r="AG3031" s="2">
        <f ca="1"/>
        <v>0.27634755861832905</v>
      </c>
      <c r="AH3031" s="2" t="str">
        <f ca="1"/>
        <v>OK</v>
      </c>
    </row>
    <row r="3032" spans="2:34" x14ac:dyDescent="0.2">
      <c r="B3032" s="2">
        <f ca="1"/>
        <v>0.55984717057979316</v>
      </c>
      <c r="O3032" s="2">
        <f ca="1"/>
        <v>-1.2072176788691105</v>
      </c>
      <c r="X3032" s="2">
        <f ca="1"/>
        <v>49.659738428610112</v>
      </c>
      <c r="AG3032" s="2">
        <f ca="1"/>
        <v>0.18985782549297769</v>
      </c>
      <c r="AH3032" s="2" t="str">
        <f ca="1"/>
        <v>OK</v>
      </c>
    </row>
    <row r="3033" spans="2:34" x14ac:dyDescent="0.2">
      <c r="B3033" s="2">
        <f ca="1"/>
        <v>0.64624641217699441</v>
      </c>
      <c r="O3033" s="2">
        <f ca="1"/>
        <v>0.16542586790519612</v>
      </c>
      <c r="X3033" s="2">
        <f ca="1"/>
        <v>83.666499517553234</v>
      </c>
      <c r="AG3033" s="2">
        <f ca="1"/>
        <v>0.54238418414533918</v>
      </c>
      <c r="AH3033" s="2" t="str">
        <f ca="1"/>
        <v>Bad</v>
      </c>
    </row>
    <row r="3034" spans="2:34" x14ac:dyDescent="0.2">
      <c r="B3034" s="2">
        <f ca="1"/>
        <v>0.42836552747776047</v>
      </c>
      <c r="O3034" s="2">
        <f ca="1"/>
        <v>0.94276874574240621</v>
      </c>
      <c r="X3034" s="2">
        <f ca="1"/>
        <v>81.654277066531762</v>
      </c>
      <c r="AG3034" s="2">
        <f ca="1"/>
        <v>0.67869877053593508</v>
      </c>
      <c r="AH3034" s="2" t="str">
        <f ca="1"/>
        <v>Bad</v>
      </c>
    </row>
    <row r="3035" spans="2:34" x14ac:dyDescent="0.2">
      <c r="B3035" s="2">
        <f ca="1"/>
        <v>0.1056804247247034</v>
      </c>
      <c r="O3035" s="2">
        <f ca="1"/>
        <v>1.9709244290250936</v>
      </c>
      <c r="X3035" s="2">
        <f ca="1"/>
        <v>45.501334708048297</v>
      </c>
      <c r="AG3035" s="2">
        <f ca="1"/>
        <v>0.15845986459330241</v>
      </c>
      <c r="AH3035" s="2" t="str">
        <f ca="1"/>
        <v>OK</v>
      </c>
    </row>
    <row r="3036" spans="2:34" x14ac:dyDescent="0.2">
      <c r="B3036" s="2">
        <f ca="1"/>
        <v>0.17796161344459871</v>
      </c>
      <c r="O3036" s="2">
        <f ca="1"/>
        <v>1.3447737213330351</v>
      </c>
      <c r="X3036" s="2">
        <f ca="1"/>
        <v>83.871699347354664</v>
      </c>
      <c r="AG3036" s="2">
        <f ca="1"/>
        <v>0.22309595855725162</v>
      </c>
      <c r="AH3036" s="2" t="str">
        <f ca="1"/>
        <v>OK</v>
      </c>
    </row>
    <row r="3037" spans="2:34" x14ac:dyDescent="0.2">
      <c r="B3037" s="2">
        <f ca="1"/>
        <v>0.53806564599622364</v>
      </c>
      <c r="O3037" s="2">
        <f ca="1"/>
        <v>1.1115041041071234</v>
      </c>
      <c r="X3037" s="2">
        <f ca="1"/>
        <v>41.083068451850544</v>
      </c>
      <c r="AG3037" s="2">
        <f ca="1"/>
        <v>0.22805927793707736</v>
      </c>
      <c r="AH3037" s="2" t="str">
        <f ca="1"/>
        <v>OK</v>
      </c>
    </row>
    <row r="3038" spans="2:34" x14ac:dyDescent="0.2">
      <c r="B3038" s="2">
        <f ca="1"/>
        <v>0.90685188349220636</v>
      </c>
      <c r="O3038" s="2">
        <f ca="1"/>
        <v>-0.57096427341373712</v>
      </c>
      <c r="X3038" s="2">
        <f ca="1"/>
        <v>45.19446348189593</v>
      </c>
      <c r="AG3038" s="2">
        <f ca="1"/>
        <v>0.36640797367724121</v>
      </c>
      <c r="AH3038" s="2" t="str">
        <f ca="1"/>
        <v>OK</v>
      </c>
    </row>
    <row r="3039" spans="2:34" x14ac:dyDescent="0.2">
      <c r="B3039" s="2">
        <f ca="1"/>
        <v>0.90731099402513982</v>
      </c>
      <c r="O3039" s="2">
        <f ca="1"/>
        <v>0.34590901049095246</v>
      </c>
      <c r="X3039" s="2">
        <f ca="1"/>
        <v>49.222370765576649</v>
      </c>
      <c r="AG3039" s="2">
        <f ca="1"/>
        <v>0.64645202318327777</v>
      </c>
      <c r="AH3039" s="2" t="str">
        <f ca="1"/>
        <v>Bad</v>
      </c>
    </row>
    <row r="3040" spans="2:34" x14ac:dyDescent="0.2">
      <c r="B3040" s="2">
        <f ca="1"/>
        <v>0.95458977066069739</v>
      </c>
      <c r="O3040" s="2">
        <f ca="1"/>
        <v>-0.52925265039836211</v>
      </c>
      <c r="X3040" s="2">
        <f ca="1"/>
        <v>28.256337765765473</v>
      </c>
      <c r="AG3040" s="2">
        <f ca="1"/>
        <v>0.31238882900089138</v>
      </c>
      <c r="AH3040" s="2" t="str">
        <f ca="1"/>
        <v>OK</v>
      </c>
    </row>
    <row r="3041" spans="2:34" x14ac:dyDescent="0.2">
      <c r="B3041" s="2">
        <f ca="1"/>
        <v>0.67682405576239457</v>
      </c>
      <c r="O3041" s="2">
        <f ca="1"/>
        <v>1.6355859850043435</v>
      </c>
      <c r="X3041" s="2">
        <f ca="1"/>
        <v>77.89360245051796</v>
      </c>
      <c r="AG3041" s="2">
        <f ca="1"/>
        <v>0.65359419548845921</v>
      </c>
      <c r="AH3041" s="2" t="str">
        <f ca="1"/>
        <v>Bad</v>
      </c>
    </row>
    <row r="3042" spans="2:34" x14ac:dyDescent="0.2">
      <c r="B3042" s="2">
        <f ca="1"/>
        <v>0.82182487781497326</v>
      </c>
      <c r="O3042" s="2">
        <f ca="1"/>
        <v>-0.800494240464104</v>
      </c>
      <c r="X3042" s="2">
        <f ca="1"/>
        <v>42.108886563095297</v>
      </c>
      <c r="AG3042" s="2">
        <f ca="1"/>
        <v>0.48959914865159426</v>
      </c>
      <c r="AH3042" s="2" t="str">
        <f ca="1"/>
        <v>Bad</v>
      </c>
    </row>
    <row r="3043" spans="2:34" x14ac:dyDescent="0.2">
      <c r="B3043" s="2">
        <f ca="1"/>
        <v>3.0093142663670802E-2</v>
      </c>
      <c r="O3043" s="2">
        <f ca="1"/>
        <v>-1.5740466154306509</v>
      </c>
      <c r="X3043" s="2">
        <f ca="1"/>
        <v>45.078194418223354</v>
      </c>
      <c r="AG3043" s="2">
        <f ca="1"/>
        <v>0.52574096449956054</v>
      </c>
      <c r="AH3043" s="2" t="str">
        <f ca="1"/>
        <v>Bad</v>
      </c>
    </row>
    <row r="3044" spans="2:34" x14ac:dyDescent="0.2">
      <c r="B3044" s="2">
        <f ca="1"/>
        <v>0.22936369109284005</v>
      </c>
      <c r="O3044" s="2">
        <f ca="1"/>
        <v>0.84076937213851621</v>
      </c>
      <c r="X3044" s="2">
        <f ca="1"/>
        <v>48.806692860516847</v>
      </c>
      <c r="AG3044" s="2">
        <f ca="1"/>
        <v>0.97396716684019924</v>
      </c>
      <c r="AH3044" s="2" t="str">
        <f ca="1"/>
        <v>Bad</v>
      </c>
    </row>
    <row r="3045" spans="2:34" x14ac:dyDescent="0.2">
      <c r="B3045" s="2">
        <f ca="1"/>
        <v>0.34010484525576046</v>
      </c>
      <c r="O3045" s="2">
        <f ca="1"/>
        <v>-0.62192824039114425</v>
      </c>
      <c r="X3045" s="2">
        <f ca="1"/>
        <v>53.12049698484374</v>
      </c>
      <c r="AG3045" s="2">
        <f ca="1"/>
        <v>5.5097973906104158E-4</v>
      </c>
      <c r="AH3045" s="2" t="str">
        <f ca="1"/>
        <v>Good</v>
      </c>
    </row>
    <row r="3046" spans="2:34" x14ac:dyDescent="0.2">
      <c r="B3046" s="2">
        <f ca="1"/>
        <v>0.5825752474323096</v>
      </c>
      <c r="O3046" s="2">
        <f ca="1"/>
        <v>-0.38559867362157713</v>
      </c>
      <c r="X3046" s="2">
        <f ca="1"/>
        <v>59.611679814522667</v>
      </c>
      <c r="AG3046" s="2">
        <f ca="1"/>
        <v>0.93207831445790612</v>
      </c>
      <c r="AH3046" s="2" t="str">
        <f ca="1"/>
        <v>Bad</v>
      </c>
    </row>
    <row r="3047" spans="2:34" x14ac:dyDescent="0.2">
      <c r="B3047" s="2">
        <f ca="1"/>
        <v>0.84756213321359275</v>
      </c>
      <c r="O3047" s="2">
        <f ca="1"/>
        <v>-3.0915129011590521</v>
      </c>
      <c r="X3047" s="2">
        <f ca="1"/>
        <v>54.640456616056909</v>
      </c>
      <c r="AG3047" s="2">
        <f ca="1"/>
        <v>1.2387712623480596E-2</v>
      </c>
      <c r="AH3047" s="2" t="str">
        <f ca="1"/>
        <v>Good</v>
      </c>
    </row>
    <row r="3048" spans="2:34" x14ac:dyDescent="0.2">
      <c r="B3048" s="2">
        <f ca="1"/>
        <v>0.21639159050480128</v>
      </c>
      <c r="O3048" s="2">
        <f ca="1"/>
        <v>0.16419714392020202</v>
      </c>
      <c r="X3048" s="2">
        <f ca="1"/>
        <v>45.479769382184145</v>
      </c>
      <c r="AG3048" s="2">
        <f ca="1"/>
        <v>0.11586801358405729</v>
      </c>
      <c r="AH3048" s="2" t="str">
        <f ca="1"/>
        <v>OK</v>
      </c>
    </row>
    <row r="3049" spans="2:34" x14ac:dyDescent="0.2">
      <c r="B3049" s="2">
        <f ca="1"/>
        <v>0.39083117823069613</v>
      </c>
      <c r="O3049" s="2">
        <f ca="1"/>
        <v>-0.40639762452996642</v>
      </c>
      <c r="X3049" s="2">
        <f ca="1"/>
        <v>53.27427627947587</v>
      </c>
      <c r="AG3049" s="2">
        <f ca="1"/>
        <v>0.53700453983082008</v>
      </c>
      <c r="AH3049" s="2" t="str">
        <f ca="1"/>
        <v>Bad</v>
      </c>
    </row>
    <row r="3050" spans="2:34" x14ac:dyDescent="0.2">
      <c r="B3050" s="2">
        <f ca="1"/>
        <v>0.60885515842127824</v>
      </c>
      <c r="O3050" s="2">
        <f ca="1"/>
        <v>-0.90892971676100021</v>
      </c>
      <c r="X3050" s="2">
        <f ca="1"/>
        <v>68.655253286188838</v>
      </c>
      <c r="AG3050" s="2">
        <f ca="1"/>
        <v>0.63963314138643179</v>
      </c>
      <c r="AH3050" s="2" t="str">
        <f ca="1"/>
        <v>Bad</v>
      </c>
    </row>
    <row r="3051" spans="2:34" x14ac:dyDescent="0.2">
      <c r="B3051" s="2">
        <f ca="1"/>
        <v>0.7010302625670497</v>
      </c>
      <c r="O3051" s="2">
        <f ca="1"/>
        <v>-0.37968185581514335</v>
      </c>
      <c r="X3051" s="2">
        <f ca="1"/>
        <v>45.22282570480467</v>
      </c>
      <c r="AG3051" s="2">
        <f ca="1"/>
        <v>0.84051892652597915</v>
      </c>
      <c r="AH3051" s="2" t="str">
        <f ca="1"/>
        <v>Bad</v>
      </c>
    </row>
    <row r="3052" spans="2:34" x14ac:dyDescent="0.2">
      <c r="B3052" s="2">
        <f ca="1"/>
        <v>0.10704297006159869</v>
      </c>
      <c r="O3052" s="2">
        <f ca="1"/>
        <v>-1.5413865937695443</v>
      </c>
      <c r="X3052" s="2">
        <f ca="1"/>
        <v>43.528649088427464</v>
      </c>
      <c r="AG3052" s="2">
        <f ca="1"/>
        <v>0.53448354080871185</v>
      </c>
      <c r="AH3052" s="2" t="str">
        <f ca="1"/>
        <v>Bad</v>
      </c>
    </row>
    <row r="3053" spans="2:34" x14ac:dyDescent="0.2">
      <c r="B3053" s="2">
        <f ca="1"/>
        <v>0.55313236370468544</v>
      </c>
      <c r="O3053" s="2">
        <f ca="1"/>
        <v>1.7239088552392272</v>
      </c>
      <c r="X3053" s="2">
        <f ca="1"/>
        <v>48.467744464125303</v>
      </c>
      <c r="AG3053" s="2">
        <f ca="1"/>
        <v>0.46501964760011982</v>
      </c>
      <c r="AH3053" s="2" t="str">
        <f ca="1"/>
        <v>Bad</v>
      </c>
    </row>
    <row r="3054" spans="2:34" x14ac:dyDescent="0.2">
      <c r="B3054" s="2">
        <f ca="1"/>
        <v>0.19546177769486617</v>
      </c>
      <c r="O3054" s="2">
        <f ca="1"/>
        <v>-0.66427262872343207</v>
      </c>
      <c r="X3054" s="2">
        <f ca="1"/>
        <v>23.776678553893579</v>
      </c>
      <c r="AG3054" s="2">
        <f ca="1"/>
        <v>9.0405920420816521E-2</v>
      </c>
      <c r="AH3054" s="2" t="str">
        <f ca="1"/>
        <v>OK</v>
      </c>
    </row>
    <row r="3055" spans="2:34" x14ac:dyDescent="0.2">
      <c r="B3055" s="2">
        <f ca="1"/>
        <v>0.72465681045982122</v>
      </c>
      <c r="O3055" s="2">
        <f ca="1"/>
        <v>0.78648983111219195</v>
      </c>
      <c r="X3055" s="2">
        <f ca="1"/>
        <v>70.592827813298513</v>
      </c>
      <c r="AG3055" s="2">
        <f ca="1"/>
        <v>5.566490533553714E-2</v>
      </c>
      <c r="AH3055" s="2" t="str">
        <f ca="1"/>
        <v>OK</v>
      </c>
    </row>
    <row r="3056" spans="2:34" x14ac:dyDescent="0.2">
      <c r="B3056" s="2">
        <f ca="1"/>
        <v>0.47415161151716423</v>
      </c>
      <c r="O3056" s="2">
        <f ca="1"/>
        <v>1.4295012051856746</v>
      </c>
      <c r="X3056" s="2">
        <f ca="1"/>
        <v>63.625306333123518</v>
      </c>
      <c r="AG3056" s="2">
        <f ca="1"/>
        <v>0.31130537167777494</v>
      </c>
      <c r="AH3056" s="2" t="str">
        <f ca="1"/>
        <v>OK</v>
      </c>
    </row>
    <row r="3057" spans="2:34" x14ac:dyDescent="0.2">
      <c r="B3057" s="2">
        <f ca="1"/>
        <v>0.55335038451242924</v>
      </c>
      <c r="O3057" s="2">
        <f ca="1"/>
        <v>-1.011789364579093</v>
      </c>
      <c r="X3057" s="2">
        <f ca="1"/>
        <v>59.529105339102827</v>
      </c>
      <c r="AG3057" s="2">
        <f ca="1"/>
        <v>0.5740827889867306</v>
      </c>
      <c r="AH3057" s="2" t="str">
        <f ca="1"/>
        <v>Bad</v>
      </c>
    </row>
    <row r="3058" spans="2:34" x14ac:dyDescent="0.2">
      <c r="B3058" s="2">
        <f ca="1"/>
        <v>0.7642103104015654</v>
      </c>
      <c r="O3058" s="2">
        <f ca="1"/>
        <v>-1.791999152148021</v>
      </c>
      <c r="X3058" s="2">
        <f ca="1"/>
        <v>40.192030276288577</v>
      </c>
      <c r="AG3058" s="2">
        <f ca="1"/>
        <v>0.94491934065917826</v>
      </c>
      <c r="AH3058" s="2" t="str">
        <f ca="1"/>
        <v>Bad</v>
      </c>
    </row>
    <row r="3059" spans="2:34" x14ac:dyDescent="0.2">
      <c r="B3059" s="2">
        <f ca="1"/>
        <v>0.6281672435218868</v>
      </c>
      <c r="O3059" s="2">
        <f ca="1"/>
        <v>-0.66426355901024481</v>
      </c>
      <c r="X3059" s="2">
        <f ca="1"/>
        <v>66.126122292871045</v>
      </c>
      <c r="AG3059" s="2">
        <f ca="1"/>
        <v>0.73112529720541919</v>
      </c>
      <c r="AH3059" s="2" t="str">
        <f ca="1"/>
        <v>Bad</v>
      </c>
    </row>
    <row r="3060" spans="2:34" x14ac:dyDescent="0.2">
      <c r="B3060" s="2">
        <f ca="1"/>
        <v>0.78936506735363388</v>
      </c>
      <c r="O3060" s="2">
        <f ca="1"/>
        <v>0.9348578391908986</v>
      </c>
      <c r="X3060" s="2">
        <f ca="1"/>
        <v>37.268210513473129</v>
      </c>
      <c r="AG3060" s="2">
        <f ca="1"/>
        <v>0.92640951731677146</v>
      </c>
      <c r="AH3060" s="2" t="str">
        <f ca="1"/>
        <v>Bad</v>
      </c>
    </row>
    <row r="3061" spans="2:34" x14ac:dyDescent="0.2">
      <c r="B3061" s="2">
        <f ca="1"/>
        <v>0.55016572818981779</v>
      </c>
      <c r="O3061" s="2">
        <f ca="1"/>
        <v>-0.24419684103974884</v>
      </c>
      <c r="X3061" s="2">
        <f ca="1"/>
        <v>36.916983706488395</v>
      </c>
      <c r="AG3061" s="2">
        <f ca="1"/>
        <v>0.51940853890456129</v>
      </c>
      <c r="AH3061" s="2" t="str">
        <f ca="1"/>
        <v>Bad</v>
      </c>
    </row>
    <row r="3062" spans="2:34" x14ac:dyDescent="0.2">
      <c r="B3062" s="2">
        <f ca="1"/>
        <v>0.33605181567222164</v>
      </c>
      <c r="O3062" s="2">
        <f ca="1"/>
        <v>1.9320799861177682</v>
      </c>
      <c r="X3062" s="2">
        <f ca="1"/>
        <v>40.427490511410504</v>
      </c>
      <c r="AG3062" s="2">
        <f ca="1"/>
        <v>0.31899644745052891</v>
      </c>
      <c r="AH3062" s="2" t="str">
        <f ca="1"/>
        <v>OK</v>
      </c>
    </row>
    <row r="3063" spans="2:34" x14ac:dyDescent="0.2">
      <c r="B3063" s="2">
        <f ca="1"/>
        <v>0.98024784062719017</v>
      </c>
      <c r="O3063" s="2">
        <f ca="1"/>
        <v>0.4881765011213054</v>
      </c>
      <c r="X3063" s="2">
        <f ca="1"/>
        <v>65.315379763955391</v>
      </c>
      <c r="AG3063" s="2">
        <f ca="1"/>
        <v>0.66764866471639084</v>
      </c>
      <c r="AH3063" s="2" t="str">
        <f ca="1"/>
        <v>Bad</v>
      </c>
    </row>
    <row r="3064" spans="2:34" x14ac:dyDescent="0.2">
      <c r="B3064" s="2">
        <f ca="1"/>
        <v>0.58088022383788607</v>
      </c>
      <c r="O3064" s="2">
        <f ca="1"/>
        <v>-1.138306570923574</v>
      </c>
      <c r="X3064" s="2">
        <f ca="1"/>
        <v>36.668258721460383</v>
      </c>
      <c r="AG3064" s="2">
        <f ca="1"/>
        <v>0.19143861544306784</v>
      </c>
      <c r="AH3064" s="2" t="str">
        <f ca="1"/>
        <v>OK</v>
      </c>
    </row>
    <row r="3065" spans="2:34" x14ac:dyDescent="0.2">
      <c r="B3065" s="2">
        <f ca="1"/>
        <v>0.20306722134936606</v>
      </c>
      <c r="O3065" s="2">
        <f ca="1"/>
        <v>0.53273803495110128</v>
      </c>
      <c r="X3065" s="2">
        <f ca="1"/>
        <v>49.625009265195807</v>
      </c>
      <c r="AG3065" s="2">
        <f ca="1"/>
        <v>0.39790020423835837</v>
      </c>
      <c r="AH3065" s="2" t="str">
        <f ca="1"/>
        <v>OK</v>
      </c>
    </row>
    <row r="3066" spans="2:34" x14ac:dyDescent="0.2">
      <c r="B3066" s="2">
        <f ca="1"/>
        <v>0.81877176554418374</v>
      </c>
      <c r="O3066" s="2">
        <f ca="1"/>
        <v>-0.53197386188155038</v>
      </c>
      <c r="X3066" s="2">
        <f ca="1"/>
        <v>33.315820075912718</v>
      </c>
      <c r="AG3066" s="2">
        <f ca="1"/>
        <v>0.67146038073189596</v>
      </c>
      <c r="AH3066" s="2" t="str">
        <f ca="1"/>
        <v>Bad</v>
      </c>
    </row>
    <row r="3067" spans="2:34" x14ac:dyDescent="0.2">
      <c r="B3067" s="2">
        <f ca="1"/>
        <v>0.28051364017734826</v>
      </c>
      <c r="O3067" s="2">
        <f ca="1"/>
        <v>-1.5167301012506089</v>
      </c>
      <c r="X3067" s="2">
        <f ca="1"/>
        <v>64.998165253932129</v>
      </c>
      <c r="AG3067" s="2">
        <f ca="1"/>
        <v>0.18109967681771133</v>
      </c>
      <c r="AH3067" s="2" t="str">
        <f ca="1"/>
        <v>OK</v>
      </c>
    </row>
    <row r="3068" spans="2:34" x14ac:dyDescent="0.2">
      <c r="B3068" s="2">
        <f ca="1"/>
        <v>0.18767835521274012</v>
      </c>
      <c r="O3068" s="2">
        <f ca="1"/>
        <v>-1.824306593617548E-2</v>
      </c>
      <c r="X3068" s="2">
        <f ca="1"/>
        <v>53.983758152053383</v>
      </c>
      <c r="AG3068" s="2">
        <f ca="1"/>
        <v>0.98804110106858656</v>
      </c>
      <c r="AH3068" s="2" t="str">
        <f ca="1"/>
        <v>Bad</v>
      </c>
    </row>
    <row r="3069" spans="2:34" x14ac:dyDescent="0.2">
      <c r="B3069" s="2">
        <f ca="1"/>
        <v>0.29870366550691219</v>
      </c>
      <c r="O3069" s="2">
        <f ca="1"/>
        <v>0.12935892105990043</v>
      </c>
      <c r="X3069" s="2">
        <f ca="1"/>
        <v>56.557491476598074</v>
      </c>
      <c r="AG3069" s="2">
        <f ca="1"/>
        <v>0.67523093823172076</v>
      </c>
      <c r="AH3069" s="2" t="str">
        <f ca="1"/>
        <v>Bad</v>
      </c>
    </row>
    <row r="3070" spans="2:34" x14ac:dyDescent="0.2">
      <c r="B3070" s="2">
        <f ca="1"/>
        <v>0.854607561716209</v>
      </c>
      <c r="O3070" s="2">
        <f ca="1"/>
        <v>-0.76791871028954206</v>
      </c>
      <c r="X3070" s="2">
        <f ca="1"/>
        <v>71.268187463776044</v>
      </c>
      <c r="AG3070" s="2">
        <f ca="1"/>
        <v>0.88861840695567462</v>
      </c>
      <c r="AH3070" s="2" t="str">
        <f ca="1"/>
        <v>Bad</v>
      </c>
    </row>
    <row r="3071" spans="2:34" x14ac:dyDescent="0.2">
      <c r="B3071" s="2">
        <f ca="1"/>
        <v>0.63817248388986281</v>
      </c>
      <c r="O3071" s="2">
        <f ca="1"/>
        <v>-0.16645349707256399</v>
      </c>
      <c r="X3071" s="2">
        <f ca="1"/>
        <v>51.049301023195781</v>
      </c>
      <c r="AG3071" s="2">
        <f ca="1"/>
        <v>3.6766739247877656E-2</v>
      </c>
      <c r="AH3071" s="2" t="str">
        <f ca="1"/>
        <v>Good</v>
      </c>
    </row>
    <row r="3072" spans="2:34" x14ac:dyDescent="0.2">
      <c r="B3072" s="2">
        <f ca="1"/>
        <v>0.64398254749086514</v>
      </c>
      <c r="O3072" s="2">
        <f ca="1"/>
        <v>0.83283626893852825</v>
      </c>
      <c r="X3072" s="2">
        <f ca="1"/>
        <v>45.34802953670269</v>
      </c>
      <c r="AG3072" s="2">
        <f ca="1"/>
        <v>9.137477154413709E-2</v>
      </c>
      <c r="AH3072" s="2" t="str">
        <f ca="1"/>
        <v>OK</v>
      </c>
    </row>
    <row r="3073" spans="2:34" x14ac:dyDescent="0.2">
      <c r="B3073" s="2">
        <f ca="1"/>
        <v>0.35087885993496903</v>
      </c>
      <c r="O3073" s="2">
        <f ca="1"/>
        <v>3.3603272375102198</v>
      </c>
      <c r="X3073" s="2">
        <f ca="1"/>
        <v>28.219667263224441</v>
      </c>
      <c r="AG3073" s="2">
        <f ca="1"/>
        <v>0.37157343290969136</v>
      </c>
      <c r="AH3073" s="2" t="str">
        <f ca="1"/>
        <v>OK</v>
      </c>
    </row>
    <row r="3074" spans="2:34" x14ac:dyDescent="0.2">
      <c r="B3074" s="2">
        <f ca="1"/>
        <v>0.78163654392618764</v>
      </c>
      <c r="O3074" s="2">
        <f ca="1"/>
        <v>-0.7879863749940601</v>
      </c>
      <c r="X3074" s="2">
        <f ca="1"/>
        <v>30.782758787956674</v>
      </c>
      <c r="AG3074" s="2">
        <f ca="1"/>
        <v>0.58364328844212388</v>
      </c>
      <c r="AH3074" s="2" t="str">
        <f ca="1"/>
        <v>Bad</v>
      </c>
    </row>
    <row r="3075" spans="2:34" x14ac:dyDescent="0.2">
      <c r="B3075" s="2">
        <f ca="1"/>
        <v>0.10677607177688508</v>
      </c>
      <c r="O3075" s="2">
        <f ca="1"/>
        <v>1.4006159754925869</v>
      </c>
      <c r="X3075" s="2">
        <f ca="1"/>
        <v>42.552127510489996</v>
      </c>
      <c r="AG3075" s="2">
        <f ca="1"/>
        <v>0.80973298559765694</v>
      </c>
      <c r="AH3075" s="2" t="str">
        <f ca="1"/>
        <v>Bad</v>
      </c>
    </row>
    <row r="3076" spans="2:34" x14ac:dyDescent="0.2">
      <c r="B3076" s="2">
        <f ca="1"/>
        <v>0.15249677535073669</v>
      </c>
      <c r="O3076" s="2">
        <f ca="1"/>
        <v>-8.9656159330884805E-2</v>
      </c>
      <c r="X3076" s="2">
        <f ca="1"/>
        <v>56.691760387989547</v>
      </c>
      <c r="AG3076" s="2">
        <f ca="1"/>
        <v>0.63795653114243911</v>
      </c>
      <c r="AH3076" s="2" t="str">
        <f ca="1"/>
        <v>Bad</v>
      </c>
    </row>
    <row r="3077" spans="2:34" x14ac:dyDescent="0.2">
      <c r="B3077" s="2">
        <f ca="1"/>
        <v>0.34469612814252115</v>
      </c>
      <c r="O3077" s="2">
        <f ca="1"/>
        <v>0.35075395715233104</v>
      </c>
      <c r="X3077" s="2">
        <f ca="1"/>
        <v>67.000350731705893</v>
      </c>
      <c r="AG3077" s="2">
        <f ca="1"/>
        <v>0.78737968348102161</v>
      </c>
      <c r="AH3077" s="2" t="str">
        <f ca="1"/>
        <v>Bad</v>
      </c>
    </row>
    <row r="3078" spans="2:34" x14ac:dyDescent="0.2">
      <c r="B3078" s="2">
        <f ca="1"/>
        <v>9.5351078299470426E-3</v>
      </c>
      <c r="O3078" s="2">
        <f ca="1"/>
        <v>-1.2700723006888337</v>
      </c>
      <c r="X3078" s="2">
        <f ca="1"/>
        <v>41.387175154746522</v>
      </c>
      <c r="AG3078" s="2">
        <f ca="1"/>
        <v>0.18219712981721026</v>
      </c>
      <c r="AH3078" s="2" t="str">
        <f ca="1"/>
        <v>OK</v>
      </c>
    </row>
    <row r="3079" spans="2:34" x14ac:dyDescent="0.2">
      <c r="B3079" s="2">
        <f ca="1"/>
        <v>0.90644232947280057</v>
      </c>
      <c r="O3079" s="2">
        <f ca="1"/>
        <v>0.7376544716082265</v>
      </c>
      <c r="X3079" s="2">
        <f ca="1"/>
        <v>38.513663688941847</v>
      </c>
      <c r="AG3079" s="2">
        <f ca="1"/>
        <v>0.66463908563831464</v>
      </c>
      <c r="AH3079" s="2" t="str">
        <f ca="1"/>
        <v>Bad</v>
      </c>
    </row>
    <row r="3080" spans="2:34" x14ac:dyDescent="0.2">
      <c r="B3080" s="2">
        <f ca="1"/>
        <v>0.51109050961009639</v>
      </c>
      <c r="O3080" s="2">
        <f ca="1"/>
        <v>-1.7060741075949972</v>
      </c>
      <c r="X3080" s="2">
        <f ca="1"/>
        <v>41.063414586023981</v>
      </c>
      <c r="AG3080" s="2">
        <f ca="1"/>
        <v>0.78427721934417649</v>
      </c>
      <c r="AH3080" s="2" t="str">
        <f ca="1"/>
        <v>Bad</v>
      </c>
    </row>
    <row r="3081" spans="2:34" x14ac:dyDescent="0.2">
      <c r="B3081" s="2">
        <f ca="1"/>
        <v>7.1527624989901062E-2</v>
      </c>
      <c r="O3081" s="2">
        <f ca="1"/>
        <v>-0.76710640199947477</v>
      </c>
      <c r="X3081" s="2">
        <f ca="1"/>
        <v>39.422745202132312</v>
      </c>
      <c r="AG3081" s="2">
        <f ca="1"/>
        <v>0.81996113326872755</v>
      </c>
      <c r="AH3081" s="2" t="str">
        <f ca="1"/>
        <v>Bad</v>
      </c>
    </row>
    <row r="3082" spans="2:34" x14ac:dyDescent="0.2">
      <c r="B3082" s="2">
        <f ca="1"/>
        <v>8.6651817599292968E-2</v>
      </c>
      <c r="O3082" s="2">
        <f ca="1"/>
        <v>1.4550794422576006</v>
      </c>
      <c r="X3082" s="2">
        <f ca="1"/>
        <v>61.145246740220614</v>
      </c>
      <c r="AG3082" s="2">
        <f ca="1"/>
        <v>0.83367024413771218</v>
      </c>
      <c r="AH3082" s="2" t="str">
        <f ca="1"/>
        <v>Bad</v>
      </c>
    </row>
    <row r="3083" spans="2:34" x14ac:dyDescent="0.2">
      <c r="B3083" s="2">
        <f ca="1"/>
        <v>0.83587247555013922</v>
      </c>
      <c r="O3083" s="2">
        <f ca="1"/>
        <v>0.67411257443606609</v>
      </c>
      <c r="X3083" s="2">
        <f ca="1"/>
        <v>28.250384034761588</v>
      </c>
      <c r="AG3083" s="2">
        <f ca="1"/>
        <v>0.61120003207104134</v>
      </c>
      <c r="AH3083" s="2" t="str">
        <f ca="1"/>
        <v>Bad</v>
      </c>
    </row>
    <row r="3084" spans="2:34" x14ac:dyDescent="0.2">
      <c r="B3084" s="2">
        <f ca="1"/>
        <v>0.49824700191768345</v>
      </c>
      <c r="O3084" s="2">
        <f ca="1"/>
        <v>0.25953920262902891</v>
      </c>
      <c r="X3084" s="2">
        <f ca="1"/>
        <v>72.787782543166301</v>
      </c>
      <c r="AG3084" s="2">
        <f ca="1"/>
        <v>0.5043582838766496</v>
      </c>
      <c r="AH3084" s="2" t="str">
        <f ca="1"/>
        <v>Bad</v>
      </c>
    </row>
    <row r="3085" spans="2:34" x14ac:dyDescent="0.2">
      <c r="B3085" s="2">
        <f ca="1"/>
        <v>0.83037676766700419</v>
      </c>
      <c r="O3085" s="2">
        <f ca="1"/>
        <v>0.7555957850998557</v>
      </c>
      <c r="X3085" s="2">
        <f ca="1"/>
        <v>35.047049652323864</v>
      </c>
      <c r="AG3085" s="2">
        <f ca="1"/>
        <v>0.52463469997162337</v>
      </c>
      <c r="AH3085" s="2" t="str">
        <f ca="1"/>
        <v>Bad</v>
      </c>
    </row>
    <row r="3086" spans="2:34" x14ac:dyDescent="0.2">
      <c r="B3086" s="2">
        <f ca="1"/>
        <v>0.82649200238521781</v>
      </c>
      <c r="O3086" s="2">
        <f ca="1"/>
        <v>-0.35988079183603472</v>
      </c>
      <c r="X3086" s="2">
        <f ca="1"/>
        <v>61.724788317410564</v>
      </c>
      <c r="AG3086" s="2">
        <f ca="1"/>
        <v>0.60678158363467327</v>
      </c>
      <c r="AH3086" s="2" t="str">
        <f ca="1"/>
        <v>Bad</v>
      </c>
    </row>
    <row r="3087" spans="2:34" x14ac:dyDescent="0.2">
      <c r="B3087" s="2">
        <f ca="1"/>
        <v>0.42098642087298832</v>
      </c>
      <c r="O3087" s="2">
        <f ca="1"/>
        <v>8.0812725845419167E-2</v>
      </c>
      <c r="X3087" s="2">
        <f ca="1"/>
        <v>31.316025649045418</v>
      </c>
      <c r="AG3087" s="2">
        <f ca="1"/>
        <v>0.75800964434796314</v>
      </c>
      <c r="AH3087" s="2" t="str">
        <f ca="1"/>
        <v>Bad</v>
      </c>
    </row>
    <row r="3088" spans="2:34" x14ac:dyDescent="0.2">
      <c r="B3088" s="2">
        <f ca="1"/>
        <v>0.7620453090765027</v>
      </c>
      <c r="O3088" s="2">
        <f ca="1"/>
        <v>2.0118636267643848</v>
      </c>
      <c r="X3088" s="2">
        <f ca="1"/>
        <v>28.182479829935929</v>
      </c>
      <c r="AG3088" s="2">
        <f ca="1"/>
        <v>0.45376566109915051</v>
      </c>
      <c r="AH3088" s="2" t="str">
        <f ca="1"/>
        <v>Bad</v>
      </c>
    </row>
    <row r="3089" spans="2:34" x14ac:dyDescent="0.2">
      <c r="B3089" s="2">
        <f ca="1"/>
        <v>0.21795478375105426</v>
      </c>
      <c r="O3089" s="2">
        <f ca="1"/>
        <v>-3.4891931969653268E-2</v>
      </c>
      <c r="X3089" s="2">
        <f ca="1"/>
        <v>23.656354840403001</v>
      </c>
      <c r="AG3089" s="2">
        <f ca="1"/>
        <v>6.7951037828211769E-2</v>
      </c>
      <c r="AH3089" s="2" t="str">
        <f ca="1"/>
        <v>OK</v>
      </c>
    </row>
    <row r="3090" spans="2:34" x14ac:dyDescent="0.2">
      <c r="B3090" s="2">
        <f ca="1"/>
        <v>4.0641404399772929E-2</v>
      </c>
      <c r="O3090" s="2">
        <f ca="1"/>
        <v>0.20385027624979646</v>
      </c>
      <c r="X3090" s="2">
        <f ca="1"/>
        <v>37.858354607029206</v>
      </c>
      <c r="AG3090" s="2">
        <f ca="1"/>
        <v>0.7594608416535733</v>
      </c>
      <c r="AH3090" s="2" t="str">
        <f ca="1"/>
        <v>Bad</v>
      </c>
    </row>
    <row r="3091" spans="2:34" x14ac:dyDescent="0.2">
      <c r="B3091" s="2">
        <f ca="1"/>
        <v>0.92046564307802581</v>
      </c>
      <c r="O3091" s="2">
        <f ca="1"/>
        <v>-1.6298872323397902</v>
      </c>
      <c r="X3091" s="2">
        <f ca="1"/>
        <v>59.585258610788358</v>
      </c>
      <c r="AG3091" s="2">
        <f ca="1"/>
        <v>0.34884614800770519</v>
      </c>
      <c r="AH3091" s="2" t="str">
        <f ca="1"/>
        <v>OK</v>
      </c>
    </row>
    <row r="3092" spans="2:34" x14ac:dyDescent="0.2">
      <c r="B3092" s="2">
        <f ca="1"/>
        <v>0.43515014029767518</v>
      </c>
      <c r="O3092" s="2">
        <f ca="1"/>
        <v>-0.63272281099393646</v>
      </c>
      <c r="X3092" s="2">
        <f ca="1"/>
        <v>50.659716479278273</v>
      </c>
      <c r="AG3092" s="2">
        <f ca="1"/>
        <v>0.34738584002117112</v>
      </c>
      <c r="AH3092" s="2" t="str">
        <f ca="1"/>
        <v>OK</v>
      </c>
    </row>
    <row r="3093" spans="2:34" x14ac:dyDescent="0.2">
      <c r="B3093" s="2">
        <f ca="1"/>
        <v>0.69881631153057788</v>
      </c>
      <c r="O3093" s="2">
        <f ca="1"/>
        <v>-0.89383106155597891</v>
      </c>
      <c r="X3093" s="2">
        <f ca="1"/>
        <v>62.985309189135997</v>
      </c>
      <c r="AG3093" s="2">
        <f ca="1"/>
        <v>0.40174447132016811</v>
      </c>
      <c r="AH3093" s="2" t="str">
        <f ca="1"/>
        <v>Bad</v>
      </c>
    </row>
    <row r="3094" spans="2:34" x14ac:dyDescent="0.2">
      <c r="B3094" s="2">
        <f ca="1"/>
        <v>0.72714372957502116</v>
      </c>
      <c r="O3094" s="2">
        <f ca="1"/>
        <v>0.58989473183379193</v>
      </c>
      <c r="X3094" s="2">
        <f ca="1"/>
        <v>78.192896751053325</v>
      </c>
      <c r="AG3094" s="2">
        <f ca="1"/>
        <v>0.77201869687138647</v>
      </c>
      <c r="AH3094" s="2" t="str">
        <f ca="1"/>
        <v>Bad</v>
      </c>
    </row>
    <row r="3095" spans="2:34" x14ac:dyDescent="0.2">
      <c r="B3095" s="2">
        <f ca="1"/>
        <v>0.64047474621104938</v>
      </c>
      <c r="O3095" s="2">
        <f ca="1"/>
        <v>-1.9075715687926305</v>
      </c>
      <c r="X3095" s="2">
        <f ca="1"/>
        <v>29.122065287231131</v>
      </c>
      <c r="AG3095" s="2">
        <f ca="1"/>
        <v>0.3075677958415719</v>
      </c>
      <c r="AH3095" s="2" t="str">
        <f ca="1"/>
        <v>OK</v>
      </c>
    </row>
    <row r="3096" spans="2:34" x14ac:dyDescent="0.2">
      <c r="B3096" s="2">
        <f ca="1"/>
        <v>0.66426630447778612</v>
      </c>
      <c r="O3096" s="2">
        <f ca="1"/>
        <v>0.66690336264014616</v>
      </c>
      <c r="X3096" s="2">
        <f ca="1"/>
        <v>47.920028055984112</v>
      </c>
      <c r="AG3096" s="2">
        <f ca="1"/>
        <v>0.70083265415154261</v>
      </c>
      <c r="AH3096" s="2" t="str">
        <f ca="1"/>
        <v>Bad</v>
      </c>
    </row>
    <row r="3097" spans="2:34" x14ac:dyDescent="0.2">
      <c r="B3097" s="2">
        <f ca="1"/>
        <v>2.2611313197101301E-2</v>
      </c>
      <c r="O3097" s="2">
        <f ca="1"/>
        <v>-0.41681106218163105</v>
      </c>
      <c r="X3097" s="2">
        <f ca="1"/>
        <v>48.973006758105804</v>
      </c>
      <c r="AG3097" s="2">
        <f ca="1"/>
        <v>0.64941024697658878</v>
      </c>
      <c r="AH3097" s="2" t="str">
        <f ca="1"/>
        <v>Bad</v>
      </c>
    </row>
    <row r="3098" spans="2:34" x14ac:dyDescent="0.2">
      <c r="B3098" s="2">
        <f ca="1"/>
        <v>0.97637876340822904</v>
      </c>
      <c r="O3098" s="2">
        <f ca="1"/>
        <v>-2.4298000455677577</v>
      </c>
      <c r="X3098" s="2">
        <f ca="1"/>
        <v>35.623760592606622</v>
      </c>
      <c r="AG3098" s="2">
        <f ca="1"/>
        <v>0.8828997991092784</v>
      </c>
      <c r="AH3098" s="2" t="str">
        <f ca="1"/>
        <v>Bad</v>
      </c>
    </row>
    <row r="3099" spans="2:34" x14ac:dyDescent="0.2">
      <c r="B3099" s="2">
        <f ca="1"/>
        <v>0.20207607448480713</v>
      </c>
      <c r="O3099" s="2">
        <f ca="1"/>
        <v>0.70369819622427976</v>
      </c>
      <c r="X3099" s="2">
        <f ca="1"/>
        <v>59.045008872983644</v>
      </c>
      <c r="AG3099" s="2">
        <f ca="1"/>
        <v>0.65430398799658951</v>
      </c>
      <c r="AH3099" s="2" t="str">
        <f ca="1"/>
        <v>Bad</v>
      </c>
    </row>
    <row r="3100" spans="2:34" x14ac:dyDescent="0.2">
      <c r="B3100" s="2">
        <f ca="1"/>
        <v>0.44847253948741628</v>
      </c>
      <c r="O3100" s="2">
        <f ca="1"/>
        <v>-2.2492873389888608</v>
      </c>
      <c r="X3100" s="2">
        <f ca="1"/>
        <v>27.608046618987501</v>
      </c>
      <c r="AG3100" s="2">
        <f ca="1"/>
        <v>0.53850584945631197</v>
      </c>
      <c r="AH3100" s="2" t="str">
        <f ca="1"/>
        <v>Bad</v>
      </c>
    </row>
    <row r="3101" spans="2:34" x14ac:dyDescent="0.2">
      <c r="B3101" s="2">
        <f ca="1"/>
        <v>0.46532965872083065</v>
      </c>
      <c r="O3101" s="2">
        <f ca="1"/>
        <v>-1.0984112678066766</v>
      </c>
      <c r="X3101" s="2">
        <f ca="1"/>
        <v>32.752537866307506</v>
      </c>
      <c r="AG3101" s="2">
        <f ca="1"/>
        <v>0.75130756778925289</v>
      </c>
      <c r="AH3101" s="2" t="str">
        <f ca="1"/>
        <v>Bad</v>
      </c>
    </row>
    <row r="3102" spans="2:34" x14ac:dyDescent="0.2">
      <c r="B3102" s="2">
        <f ca="1"/>
        <v>0.3105141581860571</v>
      </c>
      <c r="O3102" s="2">
        <f ca="1"/>
        <v>-0.57206658561002677</v>
      </c>
      <c r="X3102" s="2">
        <f ca="1"/>
        <v>54.284957587411625</v>
      </c>
      <c r="AG3102" s="2">
        <f ca="1"/>
        <v>0.19636555455567439</v>
      </c>
      <c r="AH3102" s="2" t="str">
        <f ca="1"/>
        <v>OK</v>
      </c>
    </row>
    <row r="3103" spans="2:34" x14ac:dyDescent="0.2">
      <c r="B3103" s="2">
        <f ca="1"/>
        <v>0.98243304920712005</v>
      </c>
      <c r="O3103" s="2">
        <f ca="1"/>
        <v>-0.75100710976648921</v>
      </c>
      <c r="X3103" s="2">
        <f ca="1"/>
        <v>48.171941303657931</v>
      </c>
      <c r="AG3103" s="2">
        <f ca="1"/>
        <v>0.56535773572820158</v>
      </c>
      <c r="AH3103" s="2" t="str">
        <f ca="1"/>
        <v>Bad</v>
      </c>
    </row>
    <row r="3104" spans="2:34" x14ac:dyDescent="0.2">
      <c r="B3104" s="2">
        <f ca="1"/>
        <v>0.85247986019153155</v>
      </c>
      <c r="O3104" s="2">
        <f ca="1"/>
        <v>-0.57695582146510005</v>
      </c>
      <c r="X3104" s="2">
        <f ca="1"/>
        <v>39.055954893054817</v>
      </c>
      <c r="AG3104" s="2">
        <f ca="1"/>
        <v>1.0355701776124659E-2</v>
      </c>
      <c r="AH3104" s="2" t="str">
        <f ca="1"/>
        <v>Good</v>
      </c>
    </row>
    <row r="3105" spans="2:34" x14ac:dyDescent="0.2">
      <c r="B3105" s="2">
        <f ca="1"/>
        <v>0.59113219614297208</v>
      </c>
      <c r="O3105" s="2">
        <f ca="1"/>
        <v>-0.31978371723103599</v>
      </c>
      <c r="X3105" s="2">
        <f ca="1"/>
        <v>70.322993146472456</v>
      </c>
      <c r="AG3105" s="2">
        <f ca="1"/>
        <v>0.24479763893398454</v>
      </c>
      <c r="AH3105" s="2" t="str">
        <f ca="1"/>
        <v>OK</v>
      </c>
    </row>
    <row r="3106" spans="2:34" x14ac:dyDescent="0.2">
      <c r="B3106" s="2">
        <f ca="1"/>
        <v>0.93899931770062683</v>
      </c>
      <c r="O3106" s="2">
        <f ca="1"/>
        <v>2.5294987351959808</v>
      </c>
      <c r="X3106" s="2">
        <f ca="1"/>
        <v>71.938716994840675</v>
      </c>
      <c r="AG3106" s="2">
        <f ca="1"/>
        <v>0.31872997240661283</v>
      </c>
      <c r="AH3106" s="2" t="str">
        <f ca="1"/>
        <v>OK</v>
      </c>
    </row>
    <row r="3107" spans="2:34" x14ac:dyDescent="0.2">
      <c r="B3107" s="2">
        <f ca="1"/>
        <v>0.70036499468786317</v>
      </c>
      <c r="O3107" s="2">
        <f ca="1"/>
        <v>-0.43326098854357659</v>
      </c>
      <c r="X3107" s="2">
        <f ca="1"/>
        <v>17.612350742076949</v>
      </c>
      <c r="AG3107" s="2">
        <f ca="1"/>
        <v>0.26404710950360633</v>
      </c>
      <c r="AH3107" s="2" t="str">
        <f ca="1"/>
        <v>OK</v>
      </c>
    </row>
    <row r="3108" spans="2:34" x14ac:dyDescent="0.2">
      <c r="B3108" s="2">
        <f ca="1"/>
        <v>0.30870719226324184</v>
      </c>
      <c r="O3108" s="2">
        <f ca="1"/>
        <v>-2.9196698829151702</v>
      </c>
      <c r="X3108" s="2">
        <f ca="1"/>
        <v>41.08642619283296</v>
      </c>
      <c r="AG3108" s="2">
        <f ca="1"/>
        <v>0.65865686633135856</v>
      </c>
      <c r="AH3108" s="2" t="str">
        <f ca="1"/>
        <v>Bad</v>
      </c>
    </row>
    <row r="3109" spans="2:34" x14ac:dyDescent="0.2">
      <c r="B3109" s="2">
        <f ca="1"/>
        <v>0.76387138996612247</v>
      </c>
      <c r="O3109" s="2">
        <f ca="1"/>
        <v>0.27761021825830856</v>
      </c>
      <c r="X3109" s="2">
        <f ca="1"/>
        <v>42.907726552939877</v>
      </c>
      <c r="AG3109" s="2">
        <f ca="1"/>
        <v>0.92521886135324682</v>
      </c>
      <c r="AH3109" s="2" t="str">
        <f ca="1"/>
        <v>Bad</v>
      </c>
    </row>
    <row r="3110" spans="2:34" x14ac:dyDescent="0.2">
      <c r="B3110" s="2">
        <f ca="1"/>
        <v>3.3385957068328365E-2</v>
      </c>
      <c r="O3110" s="2">
        <f ca="1"/>
        <v>0.38106948567909432</v>
      </c>
      <c r="X3110" s="2">
        <f ca="1"/>
        <v>27.692625496713482</v>
      </c>
      <c r="AG3110" s="2">
        <f ca="1"/>
        <v>0.74436679318948151</v>
      </c>
      <c r="AH3110" s="2" t="str">
        <f ca="1"/>
        <v>Bad</v>
      </c>
    </row>
    <row r="3111" spans="2:34" x14ac:dyDescent="0.2">
      <c r="B3111" s="2">
        <f ca="1"/>
        <v>0.25058127437501154</v>
      </c>
      <c r="O3111" s="2">
        <f ca="1"/>
        <v>0.19604305986820439</v>
      </c>
      <c r="X3111" s="2">
        <f ca="1"/>
        <v>67.215475485268342</v>
      </c>
      <c r="AG3111" s="2">
        <f ca="1"/>
        <v>0.64820843058417998</v>
      </c>
      <c r="AH3111" s="2" t="str">
        <f ca="1"/>
        <v>Bad</v>
      </c>
    </row>
    <row r="3112" spans="2:34" x14ac:dyDescent="0.2">
      <c r="B3112" s="2">
        <f ca="1"/>
        <v>0.18638642670378047</v>
      </c>
      <c r="O3112" s="2">
        <f ca="1"/>
        <v>0.25396117818629305</v>
      </c>
      <c r="X3112" s="2">
        <f ca="1"/>
        <v>39.877797024885091</v>
      </c>
      <c r="AG3112" s="2">
        <f ca="1"/>
        <v>1.2329383018503615E-2</v>
      </c>
      <c r="AH3112" s="2" t="str">
        <f ca="1"/>
        <v>Good</v>
      </c>
    </row>
    <row r="3113" spans="2:34" x14ac:dyDescent="0.2">
      <c r="B3113" s="2">
        <f ca="1"/>
        <v>0.50736209477630823</v>
      </c>
      <c r="O3113" s="2">
        <f ca="1"/>
        <v>-0.10807365137486673</v>
      </c>
      <c r="X3113" s="2">
        <f ca="1"/>
        <v>85.762849073429919</v>
      </c>
      <c r="AG3113" s="2">
        <f ca="1"/>
        <v>0.31355612742994232</v>
      </c>
      <c r="AH3113" s="2" t="str">
        <f ca="1"/>
        <v>OK</v>
      </c>
    </row>
    <row r="3114" spans="2:34" x14ac:dyDescent="0.2">
      <c r="B3114" s="2">
        <f ca="1"/>
        <v>0.44433235663500903</v>
      </c>
      <c r="O3114" s="2">
        <f ca="1"/>
        <v>-1.8924457040949734</v>
      </c>
      <c r="X3114" s="2">
        <f ca="1"/>
        <v>31.765466200609289</v>
      </c>
      <c r="AG3114" s="2">
        <f ca="1"/>
        <v>0.58803859995734786</v>
      </c>
      <c r="AH3114" s="2" t="str">
        <f ca="1"/>
        <v>Bad</v>
      </c>
    </row>
    <row r="3115" spans="2:34" x14ac:dyDescent="0.2">
      <c r="B3115" s="2">
        <f ca="1"/>
        <v>0.50238700326036634</v>
      </c>
      <c r="O3115" s="2">
        <f ca="1"/>
        <v>-0.1448051529459598</v>
      </c>
      <c r="X3115" s="2">
        <f ca="1"/>
        <v>42.85318403679274</v>
      </c>
      <c r="AG3115" s="2">
        <f ca="1"/>
        <v>0.54965797608086819</v>
      </c>
      <c r="AH3115" s="2" t="str">
        <f ca="1"/>
        <v>Bad</v>
      </c>
    </row>
    <row r="3116" spans="2:34" x14ac:dyDescent="0.2">
      <c r="B3116" s="2">
        <f ca="1"/>
        <v>0.86801562092072615</v>
      </c>
      <c r="O3116" s="2">
        <f ca="1"/>
        <v>0.36005220722452047</v>
      </c>
      <c r="X3116" s="2">
        <f ca="1"/>
        <v>68.544658934479429</v>
      </c>
      <c r="AG3116" s="2">
        <f ca="1"/>
        <v>0.39157514267350479</v>
      </c>
      <c r="AH3116" s="2" t="str">
        <f ca="1"/>
        <v>OK</v>
      </c>
    </row>
    <row r="3117" spans="2:34" x14ac:dyDescent="0.2">
      <c r="B3117" s="2">
        <f ca="1"/>
        <v>0.45075169617175948</v>
      </c>
      <c r="O3117" s="2">
        <f ca="1"/>
        <v>0.16761515433659221</v>
      </c>
      <c r="X3117" s="2">
        <f ca="1"/>
        <v>84.565178670745297</v>
      </c>
      <c r="AG3117" s="2">
        <f ca="1"/>
        <v>0.12763881943762834</v>
      </c>
      <c r="AH3117" s="2" t="str">
        <f ca="1"/>
        <v>OK</v>
      </c>
    </row>
    <row r="3118" spans="2:34" x14ac:dyDescent="0.2">
      <c r="B3118" s="2">
        <f ca="1"/>
        <v>6.2109499592819528E-2</v>
      </c>
      <c r="O3118" s="2">
        <f ca="1"/>
        <v>-0.47828853083709399</v>
      </c>
      <c r="X3118" s="2">
        <f ca="1"/>
        <v>95.314963394677235</v>
      </c>
      <c r="AG3118" s="2">
        <f ca="1"/>
        <v>0.17265374383476484</v>
      </c>
      <c r="AH3118" s="2" t="str">
        <f ca="1"/>
        <v>OK</v>
      </c>
    </row>
    <row r="3119" spans="2:34" x14ac:dyDescent="0.2">
      <c r="B3119" s="2">
        <f ca="1"/>
        <v>0.30746869501306939</v>
      </c>
      <c r="O3119" s="2">
        <f ca="1"/>
        <v>-0.5934400563885438</v>
      </c>
      <c r="X3119" s="2">
        <f ca="1"/>
        <v>50.033005431969698</v>
      </c>
      <c r="AG3119" s="2">
        <f ca="1"/>
        <v>0.17471750431262101</v>
      </c>
      <c r="AH3119" s="2" t="str">
        <f ca="1"/>
        <v>OK</v>
      </c>
    </row>
    <row r="3120" spans="2:34" x14ac:dyDescent="0.2">
      <c r="B3120" s="2">
        <f ca="1"/>
        <v>0.6128413533542505</v>
      </c>
      <c r="O3120" s="2">
        <f ca="1"/>
        <v>0.46272024883226653</v>
      </c>
      <c r="X3120" s="2">
        <f ca="1"/>
        <v>31.185180414825041</v>
      </c>
      <c r="AG3120" s="2">
        <f ca="1"/>
        <v>0.7943208546174636</v>
      </c>
      <c r="AH3120" s="2" t="str">
        <f ca="1"/>
        <v>Bad</v>
      </c>
    </row>
    <row r="3121" spans="2:34" x14ac:dyDescent="0.2">
      <c r="B3121" s="2">
        <f ca="1"/>
        <v>0.73869758509730521</v>
      </c>
      <c r="O3121" s="2">
        <f ca="1"/>
        <v>0.38109691412512531</v>
      </c>
      <c r="X3121" s="2">
        <f ca="1"/>
        <v>36.033650273965293</v>
      </c>
      <c r="AG3121" s="2">
        <f ca="1"/>
        <v>0.35511100067062018</v>
      </c>
      <c r="AH3121" s="2" t="str">
        <f ca="1"/>
        <v>OK</v>
      </c>
    </row>
    <row r="3122" spans="2:34" x14ac:dyDescent="0.2">
      <c r="B3122" s="2">
        <f ca="1"/>
        <v>0.39231957298137754</v>
      </c>
      <c r="O3122" s="2">
        <f ca="1"/>
        <v>-0.41481896730571016</v>
      </c>
      <c r="X3122" s="2">
        <f ca="1"/>
        <v>38.858895445780469</v>
      </c>
      <c r="AG3122" s="2">
        <f ca="1"/>
        <v>0.22238028110572583</v>
      </c>
      <c r="AH3122" s="2" t="str">
        <f ca="1"/>
        <v>OK</v>
      </c>
    </row>
    <row r="3123" spans="2:34" x14ac:dyDescent="0.2">
      <c r="B3123" s="2">
        <f ca="1"/>
        <v>0.26308790702083829</v>
      </c>
      <c r="O3123" s="2">
        <f ca="1"/>
        <v>1.6347184352901623</v>
      </c>
      <c r="X3123" s="2">
        <f ca="1"/>
        <v>38.182325384799285</v>
      </c>
      <c r="AG3123" s="2">
        <f ca="1"/>
        <v>0.17069659843356466</v>
      </c>
      <c r="AH3123" s="2" t="str">
        <f ca="1"/>
        <v>OK</v>
      </c>
    </row>
    <row r="3124" spans="2:34" x14ac:dyDescent="0.2">
      <c r="B3124" s="2">
        <f ca="1"/>
        <v>0.98110578633812739</v>
      </c>
      <c r="O3124" s="2">
        <f ca="1"/>
        <v>1.2357337828969195</v>
      </c>
      <c r="X3124" s="2">
        <f ca="1"/>
        <v>24.920342733294376</v>
      </c>
      <c r="AG3124" s="2">
        <f ca="1"/>
        <v>0.2870985806622055</v>
      </c>
      <c r="AH3124" s="2" t="str">
        <f ca="1"/>
        <v>OK</v>
      </c>
    </row>
    <row r="3125" spans="2:34" x14ac:dyDescent="0.2">
      <c r="B3125" s="2">
        <f ca="1"/>
        <v>0.70114426706977495</v>
      </c>
      <c r="O3125" s="2">
        <f ca="1"/>
        <v>9.0055545031737974E-2</v>
      </c>
      <c r="X3125" s="2">
        <f ca="1"/>
        <v>49.986219747210981</v>
      </c>
      <c r="AG3125" s="2">
        <f ca="1"/>
        <v>0.31615206407361529</v>
      </c>
      <c r="AH3125" s="2" t="str">
        <f ca="1"/>
        <v>OK</v>
      </c>
    </row>
    <row r="3126" spans="2:34" x14ac:dyDescent="0.2">
      <c r="B3126" s="2">
        <f ca="1"/>
        <v>0.97184225068273222</v>
      </c>
      <c r="O3126" s="2">
        <f ca="1"/>
        <v>1.2535569363663916</v>
      </c>
      <c r="X3126" s="2">
        <f ca="1"/>
        <v>76.245940668497255</v>
      </c>
      <c r="AG3126" s="2">
        <f ca="1"/>
        <v>0.83874880732129653</v>
      </c>
      <c r="AH3126" s="2" t="str">
        <f ca="1"/>
        <v>Bad</v>
      </c>
    </row>
    <row r="3127" spans="2:34" x14ac:dyDescent="0.2">
      <c r="B3127" s="2">
        <f ca="1"/>
        <v>0.26425639179637495</v>
      </c>
      <c r="O3127" s="2">
        <f ca="1"/>
        <v>-0.57247603178791462</v>
      </c>
      <c r="X3127" s="2">
        <f ca="1"/>
        <v>43.620051357639667</v>
      </c>
      <c r="AG3127" s="2">
        <f ca="1"/>
        <v>0.48292927680219866</v>
      </c>
      <c r="AH3127" s="2" t="str">
        <f ca="1"/>
        <v>Bad</v>
      </c>
    </row>
    <row r="3128" spans="2:34" x14ac:dyDescent="0.2">
      <c r="B3128" s="2">
        <f ca="1"/>
        <v>0.98365513736340171</v>
      </c>
      <c r="O3128" s="2">
        <f ca="1"/>
        <v>-1.8249070472955964</v>
      </c>
      <c r="X3128" s="2">
        <f ca="1"/>
        <v>54.125803259251271</v>
      </c>
      <c r="AG3128" s="2">
        <f ca="1"/>
        <v>0.8051838773322717</v>
      </c>
      <c r="AH3128" s="2" t="str">
        <f ca="1"/>
        <v>Bad</v>
      </c>
    </row>
    <row r="3129" spans="2:34" x14ac:dyDescent="0.2">
      <c r="B3129" s="2">
        <f ca="1"/>
        <v>0.41896042720016391</v>
      </c>
      <c r="O3129" s="2">
        <f ca="1"/>
        <v>1.3373033140498687</v>
      </c>
      <c r="X3129" s="2">
        <f ca="1"/>
        <v>87.37401086558846</v>
      </c>
      <c r="AG3129" s="2">
        <f ca="1"/>
        <v>0.71839271575342778</v>
      </c>
      <c r="AH3129" s="2" t="str">
        <f ca="1"/>
        <v>Bad</v>
      </c>
    </row>
    <row r="3130" spans="2:34" x14ac:dyDescent="0.2">
      <c r="B3130" s="2">
        <f ca="1"/>
        <v>0.82245395212182815</v>
      </c>
      <c r="O3130" s="2">
        <f ca="1"/>
        <v>-1.0869384840274148</v>
      </c>
      <c r="X3130" s="2">
        <f ca="1"/>
        <v>83.999540192761216</v>
      </c>
      <c r="AG3130" s="2">
        <f ca="1"/>
        <v>0.95833936193688007</v>
      </c>
      <c r="AH3130" s="2" t="str">
        <f ca="1"/>
        <v>Bad</v>
      </c>
    </row>
    <row r="3131" spans="2:34" x14ac:dyDescent="0.2">
      <c r="B3131" s="2">
        <f ca="1"/>
        <v>4.3814139506437311E-2</v>
      </c>
      <c r="O3131" s="2">
        <f ca="1"/>
        <v>-1.0477768608365612</v>
      </c>
      <c r="X3131" s="2">
        <f ca="1"/>
        <v>35.162520501531105</v>
      </c>
      <c r="AG3131" s="2">
        <f ca="1"/>
        <v>0.18183880069866287</v>
      </c>
      <c r="AH3131" s="2" t="str">
        <f ca="1"/>
        <v>OK</v>
      </c>
    </row>
    <row r="3132" spans="2:34" x14ac:dyDescent="0.2">
      <c r="B3132" s="2">
        <f ca="1"/>
        <v>0.10892027284057004</v>
      </c>
      <c r="O3132" s="2">
        <f ca="1"/>
        <v>0.44618332228688018</v>
      </c>
      <c r="X3132" s="2">
        <f ca="1"/>
        <v>68.07413660537722</v>
      </c>
      <c r="AG3132" s="2">
        <f ca="1"/>
        <v>0.61896453483732916</v>
      </c>
      <c r="AH3132" s="2" t="str">
        <f ca="1"/>
        <v>Bad</v>
      </c>
    </row>
    <row r="3133" spans="2:34" x14ac:dyDescent="0.2">
      <c r="B3133" s="2">
        <f ca="1"/>
        <v>0.59819892212570669</v>
      </c>
      <c r="O3133" s="2">
        <f ca="1"/>
        <v>-5.5614094825100061E-2</v>
      </c>
      <c r="X3133" s="2">
        <f ca="1"/>
        <v>76.148987162536713</v>
      </c>
      <c r="AG3133" s="2">
        <f ca="1"/>
        <v>0.95342834397656628</v>
      </c>
      <c r="AH3133" s="2" t="str">
        <f ca="1"/>
        <v>Bad</v>
      </c>
    </row>
    <row r="3134" spans="2:34" x14ac:dyDescent="0.2">
      <c r="B3134" s="2">
        <f ca="1"/>
        <v>0.7825967449388247</v>
      </c>
      <c r="O3134" s="2">
        <f ca="1"/>
        <v>0.68586461418885458</v>
      </c>
      <c r="X3134" s="2">
        <f ca="1"/>
        <v>59.113587107700347</v>
      </c>
      <c r="AG3134" s="2">
        <f ca="1"/>
        <v>9.341174937777863E-2</v>
      </c>
      <c r="AH3134" s="2" t="str">
        <f ca="1"/>
        <v>OK</v>
      </c>
    </row>
    <row r="3135" spans="2:34" x14ac:dyDescent="0.2">
      <c r="B3135" s="2">
        <f ca="1"/>
        <v>0.89236008642921139</v>
      </c>
      <c r="O3135" s="2">
        <f ca="1"/>
        <v>0.17891231285828932</v>
      </c>
      <c r="X3135" s="2">
        <f ca="1"/>
        <v>26.814577296767741</v>
      </c>
      <c r="AG3135" s="2">
        <f ca="1"/>
        <v>0.40299872815386628</v>
      </c>
      <c r="AH3135" s="2" t="str">
        <f ca="1"/>
        <v>Bad</v>
      </c>
    </row>
    <row r="3136" spans="2:34" x14ac:dyDescent="0.2">
      <c r="B3136" s="2">
        <f ca="1"/>
        <v>0.23233109554446618</v>
      </c>
      <c r="O3136" s="2">
        <f ca="1"/>
        <v>0.46683262932316394</v>
      </c>
      <c r="X3136" s="2">
        <f ca="1"/>
        <v>36.289085206119417</v>
      </c>
      <c r="AG3136" s="2">
        <f ca="1"/>
        <v>0.3944051708466132</v>
      </c>
      <c r="AH3136" s="2" t="str">
        <f ca="1"/>
        <v>OK</v>
      </c>
    </row>
    <row r="3137" spans="2:34" x14ac:dyDescent="0.2">
      <c r="B3137" s="2">
        <f ca="1"/>
        <v>0.43764002282087633</v>
      </c>
      <c r="O3137" s="2">
        <f ca="1"/>
        <v>-0.18820817718514299</v>
      </c>
      <c r="X3137" s="2">
        <f ca="1"/>
        <v>46.16877476866479</v>
      </c>
      <c r="AG3137" s="2">
        <f ca="1"/>
        <v>0.53675729862819233</v>
      </c>
      <c r="AH3137" s="2" t="str">
        <f ca="1"/>
        <v>Bad</v>
      </c>
    </row>
    <row r="3138" spans="2:34" x14ac:dyDescent="0.2">
      <c r="B3138" s="2">
        <f ca="1"/>
        <v>1.4865244921298926E-2</v>
      </c>
      <c r="O3138" s="2">
        <f ca="1"/>
        <v>-0.1047205982459698</v>
      </c>
      <c r="X3138" s="2">
        <f ca="1"/>
        <v>58.265936037031302</v>
      </c>
      <c r="AG3138" s="2">
        <f ca="1"/>
        <v>0.14561086035899584</v>
      </c>
      <c r="AH3138" s="2" t="str">
        <f ca="1"/>
        <v>OK</v>
      </c>
    </row>
    <row r="3139" spans="2:34" x14ac:dyDescent="0.2">
      <c r="B3139" s="2">
        <f ca="1"/>
        <v>0.44095318924213767</v>
      </c>
      <c r="O3139" s="2">
        <f ca="1"/>
        <v>-1.0613590685465213</v>
      </c>
      <c r="X3139" s="2">
        <f ca="1"/>
        <v>47.94521082608334</v>
      </c>
      <c r="AG3139" s="2">
        <f ca="1"/>
        <v>0.84908303100769222</v>
      </c>
      <c r="AH3139" s="2" t="str">
        <f ca="1"/>
        <v>Bad</v>
      </c>
    </row>
    <row r="3140" spans="2:34" x14ac:dyDescent="0.2">
      <c r="B3140" s="2">
        <f ca="1"/>
        <v>0.33424825803977276</v>
      </c>
      <c r="O3140" s="2">
        <f ca="1"/>
        <v>0.25137941357964771</v>
      </c>
      <c r="X3140" s="2">
        <f ca="1"/>
        <v>36.560281282667219</v>
      </c>
      <c r="AG3140" s="2">
        <f ca="1"/>
        <v>0.64502630437071828</v>
      </c>
      <c r="AH3140" s="2" t="str">
        <f ca="1"/>
        <v>Bad</v>
      </c>
    </row>
    <row r="3141" spans="2:34" x14ac:dyDescent="0.2">
      <c r="B3141" s="2">
        <f ca="1"/>
        <v>0.7354669292028706</v>
      </c>
      <c r="O3141" s="2">
        <f ca="1"/>
        <v>0.24490754577470983</v>
      </c>
      <c r="X3141" s="2">
        <f ca="1"/>
        <v>40.660470750576167</v>
      </c>
      <c r="AG3141" s="2">
        <f ca="1"/>
        <v>0.79800624332799885</v>
      </c>
      <c r="AH3141" s="2" t="str">
        <f ca="1"/>
        <v>Bad</v>
      </c>
    </row>
    <row r="3142" spans="2:34" x14ac:dyDescent="0.2">
      <c r="B3142" s="2">
        <f ca="1"/>
        <v>0.99821656432422223</v>
      </c>
      <c r="O3142" s="2">
        <f ca="1"/>
        <v>-0.24154657121620213</v>
      </c>
      <c r="X3142" s="2">
        <f ca="1"/>
        <v>43.914185916597447</v>
      </c>
      <c r="AG3142" s="2">
        <f ca="1"/>
        <v>0.3887617323041368</v>
      </c>
      <c r="AH3142" s="2" t="str">
        <f ca="1"/>
        <v>OK</v>
      </c>
    </row>
    <row r="3143" spans="2:34" x14ac:dyDescent="0.2">
      <c r="B3143" s="2">
        <f ca="1"/>
        <v>0.9251174388992276</v>
      </c>
      <c r="O3143" s="2">
        <f ca="1"/>
        <v>-5.4119623712057391E-2</v>
      </c>
      <c r="X3143" s="2">
        <f ca="1"/>
        <v>69.677964149894493</v>
      </c>
      <c r="AG3143" s="2">
        <f ca="1"/>
        <v>0.85773279193193019</v>
      </c>
      <c r="AH3143" s="2" t="str">
        <f ca="1"/>
        <v>Bad</v>
      </c>
    </row>
    <row r="3144" spans="2:34" x14ac:dyDescent="0.2">
      <c r="B3144" s="2">
        <f ca="1"/>
        <v>0.18806844347268381</v>
      </c>
      <c r="O3144" s="2">
        <f ca="1"/>
        <v>-1.2723534438131139</v>
      </c>
      <c r="X3144" s="2">
        <f ca="1"/>
        <v>64.866128179584322</v>
      </c>
      <c r="AG3144" s="2">
        <f ca="1"/>
        <v>0.88490002363844567</v>
      </c>
      <c r="AH3144" s="2" t="str">
        <f ca="1"/>
        <v>Bad</v>
      </c>
    </row>
    <row r="3145" spans="2:34" x14ac:dyDescent="0.2">
      <c r="B3145" s="2">
        <f ca="1"/>
        <v>0.40349107417204144</v>
      </c>
      <c r="O3145" s="2">
        <f ca="1"/>
        <v>-0.71872901824748237</v>
      </c>
      <c r="X3145" s="2">
        <f ca="1"/>
        <v>85.160871367619819</v>
      </c>
      <c r="AG3145" s="2">
        <f ca="1"/>
        <v>0.18839182410665911</v>
      </c>
      <c r="AH3145" s="2" t="str">
        <f ca="1"/>
        <v>OK</v>
      </c>
    </row>
    <row r="3146" spans="2:34" x14ac:dyDescent="0.2">
      <c r="B3146" s="2">
        <f ca="1"/>
        <v>0.2374249679665128</v>
      </c>
      <c r="O3146" s="2">
        <f ca="1"/>
        <v>-0.57144987995826912</v>
      </c>
      <c r="X3146" s="2">
        <f ca="1"/>
        <v>44.991852121920346</v>
      </c>
      <c r="AG3146" s="2">
        <f ca="1"/>
        <v>0.35366135865223858</v>
      </c>
      <c r="AH3146" s="2" t="str">
        <f ca="1"/>
        <v>OK</v>
      </c>
    </row>
    <row r="3147" spans="2:34" x14ac:dyDescent="0.2">
      <c r="B3147" s="2">
        <f ca="1"/>
        <v>0.73676174561317564</v>
      </c>
      <c r="O3147" s="2">
        <f ca="1"/>
        <v>-8.1262729638808071E-3</v>
      </c>
      <c r="X3147" s="2">
        <f ca="1"/>
        <v>46.528935528403423</v>
      </c>
      <c r="AG3147" s="2">
        <f ca="1"/>
        <v>0.7871790443244</v>
      </c>
      <c r="AH3147" s="2" t="str">
        <f ca="1"/>
        <v>Bad</v>
      </c>
    </row>
    <row r="3148" spans="2:34" x14ac:dyDescent="0.2">
      <c r="B3148" s="2">
        <f ca="1"/>
        <v>0.54618305088117625</v>
      </c>
      <c r="O3148" s="2">
        <f ca="1"/>
        <v>-2.3801266223405415</v>
      </c>
      <c r="X3148" s="2">
        <f ca="1"/>
        <v>63.353619958721758</v>
      </c>
      <c r="AG3148" s="2">
        <f ca="1"/>
        <v>0.50775215707147936</v>
      </c>
      <c r="AH3148" s="2" t="str">
        <f ca="1"/>
        <v>Bad</v>
      </c>
    </row>
    <row r="3149" spans="2:34" x14ac:dyDescent="0.2">
      <c r="B3149" s="2">
        <f ca="1"/>
        <v>0.93316270944616742</v>
      </c>
      <c r="O3149" s="2">
        <f ca="1"/>
        <v>0.62354711759255954</v>
      </c>
      <c r="X3149" s="2">
        <f ca="1"/>
        <v>28.914327391243184</v>
      </c>
      <c r="AG3149" s="2">
        <f ca="1"/>
        <v>0.36407911341184707</v>
      </c>
      <c r="AH3149" s="2" t="str">
        <f ca="1"/>
        <v>OK</v>
      </c>
    </row>
    <row r="3150" spans="2:34" x14ac:dyDescent="0.2">
      <c r="B3150" s="2">
        <f ca="1"/>
        <v>0.22597921731778658</v>
      </c>
      <c r="O3150" s="2">
        <f ca="1"/>
        <v>0.22596661433444895</v>
      </c>
      <c r="X3150" s="2">
        <f ca="1"/>
        <v>68.422787885151507</v>
      </c>
      <c r="AG3150" s="2">
        <f ca="1"/>
        <v>0.64533885855395923</v>
      </c>
      <c r="AH3150" s="2" t="str">
        <f ca="1"/>
        <v>Bad</v>
      </c>
    </row>
    <row r="3151" spans="2:34" x14ac:dyDescent="0.2">
      <c r="B3151" s="2">
        <f ca="1"/>
        <v>0.97769983667354099</v>
      </c>
      <c r="O3151" s="2">
        <f ca="1"/>
        <v>0.1015214058315433</v>
      </c>
      <c r="X3151" s="2">
        <f ca="1"/>
        <v>41.69176813228983</v>
      </c>
      <c r="AG3151" s="2">
        <f ca="1"/>
        <v>0.70251489706363168</v>
      </c>
      <c r="AH3151" s="2" t="str">
        <f ca="1"/>
        <v>Bad</v>
      </c>
    </row>
    <row r="3152" spans="2:34" x14ac:dyDescent="0.2">
      <c r="B3152" s="2">
        <f ca="1"/>
        <v>0.82528104825086235</v>
      </c>
      <c r="O3152" s="2">
        <f ca="1"/>
        <v>-1.1072372083777007</v>
      </c>
      <c r="X3152" s="2">
        <f ca="1"/>
        <v>53.279638773919515</v>
      </c>
      <c r="AG3152" s="2">
        <f ca="1"/>
        <v>0.22696279380414297</v>
      </c>
      <c r="AH3152" s="2" t="str">
        <f ca="1"/>
        <v>OK</v>
      </c>
    </row>
    <row r="3153" spans="2:34" x14ac:dyDescent="0.2">
      <c r="B3153" s="2">
        <f ca="1"/>
        <v>0.84163371188108838</v>
      </c>
      <c r="O3153" s="2">
        <f ca="1"/>
        <v>-0.11143266917943011</v>
      </c>
      <c r="X3153" s="2">
        <f ca="1"/>
        <v>43.355581050071677</v>
      </c>
      <c r="AG3153" s="2">
        <f ca="1"/>
        <v>0.87597492627113405</v>
      </c>
      <c r="AH3153" s="2" t="str">
        <f ca="1"/>
        <v>Bad</v>
      </c>
    </row>
    <row r="3154" spans="2:34" x14ac:dyDescent="0.2">
      <c r="B3154" s="2">
        <f ca="1"/>
        <v>0.95200368956505765</v>
      </c>
      <c r="O3154" s="2">
        <f ca="1"/>
        <v>1.3245249559432661</v>
      </c>
      <c r="X3154" s="2">
        <f ca="1"/>
        <v>56.749860130603579</v>
      </c>
      <c r="AG3154" s="2">
        <f ca="1"/>
        <v>0.18517680175750639</v>
      </c>
      <c r="AH3154" s="2" t="str">
        <f ca="1"/>
        <v>OK</v>
      </c>
    </row>
    <row r="3155" spans="2:34" x14ac:dyDescent="0.2">
      <c r="B3155" s="2">
        <f ca="1"/>
        <v>6.2530381847737404E-2</v>
      </c>
      <c r="O3155" s="2">
        <f ca="1"/>
        <v>0.39474720953722975</v>
      </c>
      <c r="X3155" s="2">
        <f ca="1"/>
        <v>66.08451838511418</v>
      </c>
      <c r="AG3155" s="2">
        <f ca="1"/>
        <v>0.40886556219095427</v>
      </c>
      <c r="AH3155" s="2" t="str">
        <f ca="1"/>
        <v>Bad</v>
      </c>
    </row>
    <row r="3156" spans="2:34" x14ac:dyDescent="0.2">
      <c r="B3156" s="2">
        <f ca="1"/>
        <v>0.26624256616366471</v>
      </c>
      <c r="O3156" s="2">
        <f ca="1"/>
        <v>0.95797825999040376</v>
      </c>
      <c r="X3156" s="2">
        <f ca="1"/>
        <v>26.551587370858023</v>
      </c>
      <c r="AG3156" s="2">
        <f ca="1"/>
        <v>0.64292646547505106</v>
      </c>
      <c r="AH3156" s="2" t="str">
        <f ca="1"/>
        <v>Bad</v>
      </c>
    </row>
    <row r="3157" spans="2:34" x14ac:dyDescent="0.2">
      <c r="B3157" s="2">
        <f ca="1"/>
        <v>0.14377426217737788</v>
      </c>
      <c r="O3157" s="2">
        <f ca="1"/>
        <v>-0.30304142882748669</v>
      </c>
      <c r="X3157" s="2">
        <f ca="1"/>
        <v>49.015807367855643</v>
      </c>
      <c r="AG3157" s="2">
        <f ca="1"/>
        <v>0.34233448016605061</v>
      </c>
      <c r="AH3157" s="2" t="str">
        <f ca="1"/>
        <v>OK</v>
      </c>
    </row>
    <row r="3158" spans="2:34" x14ac:dyDescent="0.2">
      <c r="B3158" s="2">
        <f ca="1"/>
        <v>0.57223474030220034</v>
      </c>
      <c r="O3158" s="2">
        <f ca="1"/>
        <v>-0.56450291002764397</v>
      </c>
      <c r="X3158" s="2">
        <f ca="1"/>
        <v>44.692890138090043</v>
      </c>
      <c r="AG3158" s="2">
        <f ca="1"/>
        <v>4.828265822563016E-2</v>
      </c>
      <c r="AH3158" s="2" t="str">
        <f ca="1"/>
        <v>Good</v>
      </c>
    </row>
    <row r="3159" spans="2:34" x14ac:dyDescent="0.2">
      <c r="B3159" s="2">
        <f ca="1"/>
        <v>0.39672729576390653</v>
      </c>
      <c r="O3159" s="2">
        <f ca="1"/>
        <v>-0.40089633814876607</v>
      </c>
      <c r="X3159" s="2">
        <f ca="1"/>
        <v>60.771444353114646</v>
      </c>
      <c r="AG3159" s="2">
        <f ca="1"/>
        <v>0.75477892123272805</v>
      </c>
      <c r="AH3159" s="2" t="str">
        <f ca="1"/>
        <v>Bad</v>
      </c>
    </row>
    <row r="3160" spans="2:34" x14ac:dyDescent="0.2">
      <c r="B3160" s="2">
        <f ca="1"/>
        <v>0.6403955379544688</v>
      </c>
      <c r="O3160" s="2">
        <f ca="1"/>
        <v>-0.18369927015784621</v>
      </c>
      <c r="X3160" s="2">
        <f ca="1"/>
        <v>50.21990451510738</v>
      </c>
      <c r="AG3160" s="2">
        <f ca="1"/>
        <v>0.7532144280212052</v>
      </c>
      <c r="AH3160" s="2" t="str">
        <f ca="1"/>
        <v>Bad</v>
      </c>
    </row>
    <row r="3161" spans="2:34" x14ac:dyDescent="0.2">
      <c r="B3161" s="2">
        <f ca="1"/>
        <v>0.89707540011676601</v>
      </c>
      <c r="O3161" s="2">
        <f ca="1"/>
        <v>1.2149418529627911</v>
      </c>
      <c r="X3161" s="2">
        <f ca="1"/>
        <v>52.896443761916885</v>
      </c>
      <c r="AG3161" s="2">
        <f ca="1"/>
        <v>0.11601870904534484</v>
      </c>
      <c r="AH3161" s="2" t="str">
        <f ca="1"/>
        <v>OK</v>
      </c>
    </row>
    <row r="3162" spans="2:34" x14ac:dyDescent="0.2">
      <c r="B3162" s="2">
        <f ca="1"/>
        <v>0.2186544358413145</v>
      </c>
      <c r="O3162" s="2">
        <f ca="1"/>
        <v>-0.21227889900671354</v>
      </c>
      <c r="X3162" s="2">
        <f ca="1"/>
        <v>67.216235980680622</v>
      </c>
      <c r="AG3162" s="2">
        <f ca="1"/>
        <v>7.6220616078276349E-2</v>
      </c>
      <c r="AH3162" s="2" t="str">
        <f ca="1"/>
        <v>OK</v>
      </c>
    </row>
    <row r="3163" spans="2:34" x14ac:dyDescent="0.2">
      <c r="B3163" s="2">
        <f ca="1"/>
        <v>0.13742618888087099</v>
      </c>
      <c r="O3163" s="2">
        <f ca="1"/>
        <v>1.1517784172089898</v>
      </c>
      <c r="X3163" s="2">
        <f ca="1"/>
        <v>39.948360105007652</v>
      </c>
      <c r="AG3163" s="2">
        <f ca="1"/>
        <v>0.38689047471819804</v>
      </c>
      <c r="AH3163" s="2" t="str">
        <f ca="1"/>
        <v>OK</v>
      </c>
    </row>
    <row r="3164" spans="2:34" x14ac:dyDescent="0.2">
      <c r="B3164" s="2">
        <f ca="1"/>
        <v>0.80477385856936023</v>
      </c>
      <c r="O3164" s="2">
        <f ca="1"/>
        <v>0.43677060734850698</v>
      </c>
      <c r="X3164" s="2">
        <f ca="1"/>
        <v>44.643498706943063</v>
      </c>
      <c r="AG3164" s="2">
        <f ca="1"/>
        <v>0.12146860929788472</v>
      </c>
      <c r="AH3164" s="2" t="str">
        <f ca="1"/>
        <v>OK</v>
      </c>
    </row>
    <row r="3165" spans="2:34" x14ac:dyDescent="0.2">
      <c r="B3165" s="2">
        <f ca="1"/>
        <v>0.72638479563515257</v>
      </c>
      <c r="O3165" s="2">
        <f ca="1"/>
        <v>-0.27957835508330781</v>
      </c>
      <c r="X3165" s="2">
        <f ca="1"/>
        <v>47.194665866612624</v>
      </c>
      <c r="AG3165" s="2">
        <f ca="1"/>
        <v>0.50494734009447284</v>
      </c>
      <c r="AH3165" s="2" t="str">
        <f ca="1"/>
        <v>Bad</v>
      </c>
    </row>
    <row r="3166" spans="2:34" x14ac:dyDescent="0.2">
      <c r="B3166" s="2">
        <f ca="1"/>
        <v>4.9181607079299638E-2</v>
      </c>
      <c r="O3166" s="2">
        <f ca="1"/>
        <v>-0.48115081528490616</v>
      </c>
      <c r="X3166" s="2">
        <f ca="1"/>
        <v>35.747976379525795</v>
      </c>
      <c r="AG3166" s="2">
        <f ca="1"/>
        <v>0.87861640456258638</v>
      </c>
      <c r="AH3166" s="2" t="str">
        <f ca="1"/>
        <v>Bad</v>
      </c>
    </row>
    <row r="3167" spans="2:34" x14ac:dyDescent="0.2">
      <c r="B3167" s="2">
        <f ca="1"/>
        <v>0.49414071619303934</v>
      </c>
      <c r="O3167" s="2">
        <f ca="1"/>
        <v>-0.41152746055870804</v>
      </c>
      <c r="X3167" s="2">
        <f ca="1"/>
        <v>47.378438018324722</v>
      </c>
      <c r="AG3167" s="2">
        <f ca="1"/>
        <v>0.25133345918420047</v>
      </c>
      <c r="AH3167" s="2" t="str">
        <f ca="1"/>
        <v>OK</v>
      </c>
    </row>
    <row r="3168" spans="2:34" x14ac:dyDescent="0.2">
      <c r="B3168" s="2">
        <f ca="1"/>
        <v>0.69717359023556802</v>
      </c>
      <c r="O3168" s="2">
        <f ca="1"/>
        <v>-0.893797511286617</v>
      </c>
      <c r="X3168" s="2">
        <f ca="1"/>
        <v>34.28008047365423</v>
      </c>
      <c r="AG3168" s="2">
        <f ca="1"/>
        <v>0.98947076086135821</v>
      </c>
      <c r="AH3168" s="2" t="str">
        <f ca="1"/>
        <v>Bad</v>
      </c>
    </row>
    <row r="3169" spans="2:34" x14ac:dyDescent="0.2">
      <c r="B3169" s="2">
        <f ca="1"/>
        <v>0.23972426270860336</v>
      </c>
      <c r="O3169" s="2">
        <f ca="1"/>
        <v>1.1961348468950337</v>
      </c>
      <c r="X3169" s="2">
        <f ca="1"/>
        <v>53.303409810862668</v>
      </c>
      <c r="AG3169" s="2">
        <f ca="1"/>
        <v>5.8454207369343925E-2</v>
      </c>
      <c r="AH3169" s="2" t="str">
        <f ca="1"/>
        <v>OK</v>
      </c>
    </row>
    <row r="3170" spans="2:34" x14ac:dyDescent="0.2">
      <c r="B3170" s="2">
        <f ca="1"/>
        <v>0.13232910043854429</v>
      </c>
      <c r="O3170" s="2">
        <f ca="1"/>
        <v>-0.9350442311868381</v>
      </c>
      <c r="X3170" s="2">
        <f ca="1"/>
        <v>52.804670261859528</v>
      </c>
      <c r="AG3170" s="2">
        <f ca="1"/>
        <v>0.87461868792399566</v>
      </c>
      <c r="AH3170" s="2" t="str">
        <f ca="1"/>
        <v>Bad</v>
      </c>
    </row>
    <row r="3171" spans="2:34" x14ac:dyDescent="0.2">
      <c r="B3171" s="2">
        <f ca="1"/>
        <v>0.61903068606921918</v>
      </c>
      <c r="O3171" s="2">
        <f ca="1"/>
        <v>0.23974217961002559</v>
      </c>
      <c r="X3171" s="2">
        <f ca="1"/>
        <v>60.166222917115547</v>
      </c>
      <c r="AG3171" s="2">
        <f ca="1"/>
        <v>0.17726452585267594</v>
      </c>
      <c r="AH3171" s="2" t="str">
        <f ca="1"/>
        <v>OK</v>
      </c>
    </row>
    <row r="3172" spans="2:34" x14ac:dyDescent="0.2">
      <c r="B3172" s="2">
        <f ca="1"/>
        <v>0.11808193079312845</v>
      </c>
      <c r="O3172" s="2">
        <f ca="1"/>
        <v>1.1072173320192982</v>
      </c>
      <c r="X3172" s="2">
        <f ca="1"/>
        <v>46.322125938703749</v>
      </c>
      <c r="AG3172" s="2">
        <f ca="1"/>
        <v>3.1505964424330068E-2</v>
      </c>
      <c r="AH3172" s="2" t="str">
        <f ca="1"/>
        <v>Good</v>
      </c>
    </row>
    <row r="3173" spans="2:34" x14ac:dyDescent="0.2">
      <c r="B3173" s="2">
        <f ca="1"/>
        <v>4.5396498114701256E-2</v>
      </c>
      <c r="O3173" s="2">
        <f ca="1"/>
        <v>-0.47438948490983213</v>
      </c>
      <c r="X3173" s="2">
        <f ca="1"/>
        <v>29.22046934619474</v>
      </c>
      <c r="AG3173" s="2">
        <f ca="1"/>
        <v>0.30940249472452264</v>
      </c>
      <c r="AH3173" s="2" t="str">
        <f ca="1"/>
        <v>OK</v>
      </c>
    </row>
    <row r="3174" spans="2:34" x14ac:dyDescent="0.2">
      <c r="B3174" s="2">
        <f ca="1"/>
        <v>0.60094262895647077</v>
      </c>
      <c r="O3174" s="2">
        <f ca="1"/>
        <v>7.8064528097458993E-2</v>
      </c>
      <c r="X3174" s="2">
        <f ca="1"/>
        <v>40.917506908264933</v>
      </c>
      <c r="AG3174" s="2">
        <f ca="1"/>
        <v>0.88803248985001026</v>
      </c>
      <c r="AH3174" s="2" t="str">
        <f ca="1"/>
        <v>Bad</v>
      </c>
    </row>
    <row r="3175" spans="2:34" x14ac:dyDescent="0.2">
      <c r="B3175" s="2">
        <f ca="1"/>
        <v>0.96317500745102169</v>
      </c>
      <c r="O3175" s="2">
        <f ca="1"/>
        <v>0.3565641514003739</v>
      </c>
      <c r="X3175" s="2">
        <f ca="1"/>
        <v>38.756268032506533</v>
      </c>
      <c r="AG3175" s="2">
        <f ca="1"/>
        <v>0.17667118957160288</v>
      </c>
      <c r="AH3175" s="2" t="str">
        <f ca="1"/>
        <v>OK</v>
      </c>
    </row>
    <row r="3176" spans="2:34" x14ac:dyDescent="0.2">
      <c r="B3176" s="2">
        <f ca="1"/>
        <v>0.10037448373524227</v>
      </c>
      <c r="O3176" s="2">
        <f ca="1"/>
        <v>0.58348382167271151</v>
      </c>
      <c r="X3176" s="2">
        <f ca="1"/>
        <v>52.548692555921797</v>
      </c>
      <c r="AG3176" s="2">
        <f ca="1"/>
        <v>0.35393688447179339</v>
      </c>
      <c r="AH3176" s="2" t="str">
        <f ca="1"/>
        <v>OK</v>
      </c>
    </row>
    <row r="3177" spans="2:34" x14ac:dyDescent="0.2">
      <c r="B3177" s="2">
        <f ca="1"/>
        <v>0.93801686616954649</v>
      </c>
      <c r="O3177" s="2">
        <f ca="1"/>
        <v>0.60793266186706874</v>
      </c>
      <c r="X3177" s="2">
        <f ca="1"/>
        <v>27.192515978355477</v>
      </c>
      <c r="AG3177" s="2">
        <f ca="1"/>
        <v>4.5921751945009914E-2</v>
      </c>
      <c r="AH3177" s="2" t="str">
        <f ca="1"/>
        <v>Good</v>
      </c>
    </row>
    <row r="3178" spans="2:34" x14ac:dyDescent="0.2">
      <c r="B3178" s="2">
        <f ca="1"/>
        <v>0.16133098019153369</v>
      </c>
      <c r="O3178" s="2">
        <f ca="1"/>
        <v>0.57291675594878433</v>
      </c>
      <c r="X3178" s="2">
        <f ca="1"/>
        <v>56.328011407013598</v>
      </c>
      <c r="AG3178" s="2">
        <f ca="1"/>
        <v>0.60276073103144423</v>
      </c>
      <c r="AH3178" s="2" t="str">
        <f ca="1"/>
        <v>Bad</v>
      </c>
    </row>
    <row r="3179" spans="2:34" x14ac:dyDescent="0.2">
      <c r="B3179" s="2">
        <f ca="1"/>
        <v>3.3050669026577717E-2</v>
      </c>
      <c r="O3179" s="2">
        <f ca="1"/>
        <v>4.3244767519480955E-2</v>
      </c>
      <c r="X3179" s="2">
        <f ca="1"/>
        <v>49.689693547187268</v>
      </c>
      <c r="AG3179" s="2">
        <f ca="1"/>
        <v>0.63254454594410148</v>
      </c>
      <c r="AH3179" s="2" t="str">
        <f ca="1"/>
        <v>Bad</v>
      </c>
    </row>
    <row r="3180" spans="2:34" x14ac:dyDescent="0.2">
      <c r="B3180" s="2">
        <f ca="1"/>
        <v>0.4389342319068974</v>
      </c>
      <c r="O3180" s="2">
        <f ca="1"/>
        <v>0.46771737206865766</v>
      </c>
      <c r="X3180" s="2">
        <f ca="1"/>
        <v>50.995207750274844</v>
      </c>
      <c r="AG3180" s="2">
        <f ca="1"/>
        <v>0.39822453895521082</v>
      </c>
      <c r="AH3180" s="2" t="str">
        <f ca="1"/>
        <v>OK</v>
      </c>
    </row>
    <row r="3181" spans="2:34" x14ac:dyDescent="0.2">
      <c r="B3181" s="2">
        <f ca="1"/>
        <v>0.83696426833259197</v>
      </c>
      <c r="O3181" s="2">
        <f ca="1"/>
        <v>-1.4292717514722919</v>
      </c>
      <c r="X3181" s="2">
        <f ca="1"/>
        <v>52.223983699684098</v>
      </c>
      <c r="AG3181" s="2">
        <f ca="1"/>
        <v>0.35340726727282412</v>
      </c>
      <c r="AH3181" s="2" t="str">
        <f ca="1"/>
        <v>OK</v>
      </c>
    </row>
    <row r="3182" spans="2:34" x14ac:dyDescent="0.2">
      <c r="B3182" s="2">
        <f ca="1"/>
        <v>0.24419220908639971</v>
      </c>
      <c r="O3182" s="2">
        <f ca="1"/>
        <v>-0.31513008551600313</v>
      </c>
      <c r="X3182" s="2">
        <f ca="1"/>
        <v>72.096401834615989</v>
      </c>
      <c r="AG3182" s="2">
        <f ca="1"/>
        <v>3.0023283456499072E-2</v>
      </c>
      <c r="AH3182" s="2" t="str">
        <f ca="1"/>
        <v>Good</v>
      </c>
    </row>
    <row r="3183" spans="2:34" x14ac:dyDescent="0.2">
      <c r="B3183" s="2">
        <f ca="1"/>
        <v>0.61418862438845401</v>
      </c>
      <c r="O3183" s="2">
        <f ca="1"/>
        <v>0.73137717169675964</v>
      </c>
      <c r="X3183" s="2">
        <f ca="1"/>
        <v>31.692096375888973</v>
      </c>
      <c r="AG3183" s="2">
        <f ca="1"/>
        <v>0.3369758983626947</v>
      </c>
      <c r="AH3183" s="2" t="str">
        <f ca="1"/>
        <v>OK</v>
      </c>
    </row>
    <row r="3184" spans="2:34" x14ac:dyDescent="0.2">
      <c r="B3184" s="2">
        <f ca="1"/>
        <v>0.14036394780306805</v>
      </c>
      <c r="O3184" s="2">
        <f ca="1"/>
        <v>-0.25080621705170486</v>
      </c>
      <c r="X3184" s="2">
        <f ca="1"/>
        <v>41.767804376503975</v>
      </c>
      <c r="AG3184" s="2">
        <f ca="1"/>
        <v>0.74007307842481551</v>
      </c>
      <c r="AH3184" s="2" t="str">
        <f ca="1"/>
        <v>Bad</v>
      </c>
    </row>
    <row r="3185" spans="2:34" x14ac:dyDescent="0.2">
      <c r="B3185" s="2">
        <f ca="1"/>
        <v>2.7098571170384611E-2</v>
      </c>
      <c r="O3185" s="2">
        <f ca="1"/>
        <v>0.57974777285392121</v>
      </c>
      <c r="X3185" s="2">
        <f ca="1"/>
        <v>23.174825850005504</v>
      </c>
      <c r="AG3185" s="2">
        <f ca="1"/>
        <v>0.73540611540201306</v>
      </c>
      <c r="AH3185" s="2" t="str">
        <f ca="1"/>
        <v>Bad</v>
      </c>
    </row>
    <row r="3186" spans="2:34" x14ac:dyDescent="0.2">
      <c r="B3186" s="2">
        <f ca="1"/>
        <v>3.4114022714363035E-2</v>
      </c>
      <c r="O3186" s="2">
        <f ca="1"/>
        <v>-0.99797338685024151</v>
      </c>
      <c r="X3186" s="2">
        <f ca="1"/>
        <v>56.846077809651391</v>
      </c>
      <c r="AG3186" s="2">
        <f ca="1"/>
        <v>0.98562322550015025</v>
      </c>
      <c r="AH3186" s="2" t="str">
        <f ca="1"/>
        <v>Bad</v>
      </c>
    </row>
    <row r="3187" spans="2:34" x14ac:dyDescent="0.2">
      <c r="B3187" s="2">
        <f ca="1"/>
        <v>0.16963892446365847</v>
      </c>
      <c r="O3187" s="2">
        <f ca="1"/>
        <v>-0.6984513907473705</v>
      </c>
      <c r="X3187" s="2">
        <f ca="1"/>
        <v>60.670931888944963</v>
      </c>
      <c r="AG3187" s="2">
        <f ca="1"/>
        <v>0.68170083940389459</v>
      </c>
      <c r="AH3187" s="2" t="str">
        <f ca="1"/>
        <v>Bad</v>
      </c>
    </row>
    <row r="3188" spans="2:34" x14ac:dyDescent="0.2">
      <c r="B3188" s="2">
        <f ca="1"/>
        <v>0.52464972781927433</v>
      </c>
      <c r="O3188" s="2">
        <f ca="1"/>
        <v>-0.21562381042790807</v>
      </c>
      <c r="X3188" s="2">
        <f ca="1"/>
        <v>48.400977062879242</v>
      </c>
      <c r="AG3188" s="2">
        <f ca="1"/>
        <v>0.92965552729945067</v>
      </c>
      <c r="AH3188" s="2" t="str">
        <f ca="1"/>
        <v>Bad</v>
      </c>
    </row>
    <row r="3189" spans="2:34" x14ac:dyDescent="0.2">
      <c r="B3189" s="2">
        <f ca="1"/>
        <v>0.835173270228178</v>
      </c>
      <c r="O3189" s="2">
        <f ca="1"/>
        <v>0.65525758941855294</v>
      </c>
      <c r="X3189" s="2">
        <f ca="1"/>
        <v>32.88961229009675</v>
      </c>
      <c r="AG3189" s="2">
        <f ca="1"/>
        <v>0.4947999921160442</v>
      </c>
      <c r="AH3189" s="2" t="str">
        <f ca="1"/>
        <v>Bad</v>
      </c>
    </row>
    <row r="3190" spans="2:34" x14ac:dyDescent="0.2">
      <c r="B3190" s="2">
        <f ca="1"/>
        <v>0.8983393918067164</v>
      </c>
      <c r="O3190" s="2">
        <f ca="1"/>
        <v>1.2539246042407808</v>
      </c>
      <c r="X3190" s="2">
        <f ca="1"/>
        <v>44.729208349972573</v>
      </c>
      <c r="AG3190" s="2">
        <f ca="1"/>
        <v>0.52624797265510947</v>
      </c>
      <c r="AH3190" s="2" t="str">
        <f ca="1"/>
        <v>Bad</v>
      </c>
    </row>
    <row r="3191" spans="2:34" x14ac:dyDescent="0.2">
      <c r="B3191" s="2">
        <f ca="1"/>
        <v>4.308725289054216E-2</v>
      </c>
      <c r="O3191" s="2">
        <f ca="1"/>
        <v>3.5214048627632166E-2</v>
      </c>
      <c r="X3191" s="2">
        <f ca="1"/>
        <v>43.478305022488229</v>
      </c>
      <c r="AG3191" s="2">
        <f ca="1"/>
        <v>0.55413389125362755</v>
      </c>
      <c r="AH3191" s="2" t="str">
        <f ca="1"/>
        <v>Bad</v>
      </c>
    </row>
    <row r="3192" spans="2:34" x14ac:dyDescent="0.2">
      <c r="B3192" s="2">
        <f ca="1"/>
        <v>6.7369427442197871E-2</v>
      </c>
      <c r="O3192" s="2">
        <f ca="1"/>
        <v>-0.82935359254173624</v>
      </c>
      <c r="X3192" s="2">
        <f ca="1"/>
        <v>65.87529462188715</v>
      </c>
      <c r="AG3192" s="2">
        <f ca="1"/>
        <v>8.978736758474426E-2</v>
      </c>
      <c r="AH3192" s="2" t="str">
        <f ca="1"/>
        <v>OK</v>
      </c>
    </row>
    <row r="3193" spans="2:34" x14ac:dyDescent="0.2">
      <c r="B3193" s="2">
        <f ca="1"/>
        <v>0.64160079982383467</v>
      </c>
      <c r="O3193" s="2">
        <f ca="1"/>
        <v>2.1663411036680293</v>
      </c>
      <c r="X3193" s="2">
        <f ca="1"/>
        <v>62.588637902357</v>
      </c>
      <c r="AG3193" s="2">
        <f ca="1"/>
        <v>3.8980390476357485E-3</v>
      </c>
      <c r="AH3193" s="2" t="str">
        <f ca="1"/>
        <v>Good</v>
      </c>
    </row>
    <row r="3194" spans="2:34" x14ac:dyDescent="0.2">
      <c r="B3194" s="2">
        <f ca="1"/>
        <v>0.25070743015794239</v>
      </c>
      <c r="O3194" s="2">
        <f ca="1"/>
        <v>1.2759331385837496</v>
      </c>
      <c r="X3194" s="2">
        <f ca="1"/>
        <v>38.248692584947641</v>
      </c>
      <c r="AG3194" s="2">
        <f ca="1"/>
        <v>0.33833754933347882</v>
      </c>
      <c r="AH3194" s="2" t="str">
        <f ca="1"/>
        <v>OK</v>
      </c>
    </row>
    <row r="3195" spans="2:34" x14ac:dyDescent="0.2">
      <c r="B3195" s="2">
        <f ca="1"/>
        <v>0.62698087891874099</v>
      </c>
      <c r="O3195" s="2">
        <f ca="1"/>
        <v>0.38292561187297303</v>
      </c>
      <c r="X3195" s="2">
        <f ca="1"/>
        <v>40.281091574482481</v>
      </c>
      <c r="AG3195" s="2">
        <f ca="1"/>
        <v>0.50567113642544648</v>
      </c>
      <c r="AH3195" s="2" t="str">
        <f ca="1"/>
        <v>Bad</v>
      </c>
    </row>
    <row r="3196" spans="2:34" x14ac:dyDescent="0.2">
      <c r="B3196" s="2">
        <f ca="1"/>
        <v>0.34730212945222028</v>
      </c>
      <c r="O3196" s="2">
        <f ca="1"/>
        <v>1.2227618267702374</v>
      </c>
      <c r="X3196" s="2">
        <f ca="1"/>
        <v>60.360436169602785</v>
      </c>
      <c r="AG3196" s="2">
        <f ca="1"/>
        <v>0.23475059731154446</v>
      </c>
      <c r="AH3196" s="2" t="str">
        <f ca="1"/>
        <v>OK</v>
      </c>
    </row>
    <row r="3197" spans="2:34" x14ac:dyDescent="0.2">
      <c r="B3197" s="2">
        <f ca="1"/>
        <v>0.38741230882072109</v>
      </c>
      <c r="O3197" s="2">
        <f ca="1"/>
        <v>0.82141908449959133</v>
      </c>
      <c r="X3197" s="2">
        <f ca="1"/>
        <v>55.863329298439901</v>
      </c>
      <c r="AG3197" s="2">
        <f ca="1"/>
        <v>0.82091385373482684</v>
      </c>
      <c r="AH3197" s="2" t="str">
        <f ca="1"/>
        <v>Bad</v>
      </c>
    </row>
    <row r="3198" spans="2:34" x14ac:dyDescent="0.2">
      <c r="B3198" s="2">
        <f ca="1"/>
        <v>0.61541042652380384</v>
      </c>
      <c r="O3198" s="2">
        <f ca="1"/>
        <v>-1.0395567293701458</v>
      </c>
      <c r="X3198" s="2">
        <f ca="1"/>
        <v>44.568723151756217</v>
      </c>
      <c r="AG3198" s="2">
        <f ca="1"/>
        <v>1.6127285892330256E-2</v>
      </c>
      <c r="AH3198" s="2" t="str">
        <f ca="1"/>
        <v>Good</v>
      </c>
    </row>
    <row r="3199" spans="2:34" x14ac:dyDescent="0.2">
      <c r="B3199" s="2">
        <f ca="1"/>
        <v>0.52834199117013458</v>
      </c>
      <c r="O3199" s="2">
        <f ca="1"/>
        <v>1.2579644143669892</v>
      </c>
      <c r="X3199" s="2">
        <f ca="1"/>
        <v>32.994987183723069</v>
      </c>
      <c r="AG3199" s="2">
        <f ca="1"/>
        <v>1.7376036602041456E-3</v>
      </c>
      <c r="AH3199" s="2" t="str">
        <f ca="1"/>
        <v>Good</v>
      </c>
    </row>
    <row r="3200" spans="2:34" x14ac:dyDescent="0.2">
      <c r="B3200" s="2">
        <f ca="1"/>
        <v>0.78741598591827011</v>
      </c>
      <c r="O3200" s="2">
        <f ca="1"/>
        <v>-1.4724314371183311</v>
      </c>
      <c r="X3200" s="2">
        <f ca="1"/>
        <v>26.03369756434121</v>
      </c>
      <c r="AG3200" s="2">
        <f ca="1"/>
        <v>0.68347820600354559</v>
      </c>
      <c r="AH3200" s="2" t="str">
        <f ca="1"/>
        <v>Bad</v>
      </c>
    </row>
    <row r="3201" spans="2:34" x14ac:dyDescent="0.2">
      <c r="B3201" s="2">
        <f ca="1"/>
        <v>0.2462430328095091</v>
      </c>
      <c r="O3201" s="2">
        <f ca="1"/>
        <v>-0.67784488912328056</v>
      </c>
      <c r="X3201" s="2">
        <f ca="1"/>
        <v>38.766323525533423</v>
      </c>
      <c r="AG3201" s="2">
        <f ca="1"/>
        <v>4.7757148500312985E-2</v>
      </c>
      <c r="AH3201" s="2" t="str">
        <f ca="1"/>
        <v>Good</v>
      </c>
    </row>
    <row r="3202" spans="2:34" x14ac:dyDescent="0.2">
      <c r="B3202" s="2">
        <f ca="1"/>
        <v>0.94848653460775822</v>
      </c>
      <c r="O3202" s="2">
        <f ca="1"/>
        <v>0.6153622421078826</v>
      </c>
      <c r="X3202" s="2">
        <f ca="1"/>
        <v>53.977314859927304</v>
      </c>
      <c r="AG3202" s="2">
        <f ca="1"/>
        <v>0.39635671233356362</v>
      </c>
      <c r="AH3202" s="2" t="str">
        <f ca="1"/>
        <v>OK</v>
      </c>
    </row>
    <row r="3203" spans="2:34" x14ac:dyDescent="0.2">
      <c r="B3203" s="2">
        <f ca="1"/>
        <v>0.430945065705715</v>
      </c>
      <c r="O3203" s="2">
        <f ca="1"/>
        <v>2.4114300477899274E-2</v>
      </c>
      <c r="X3203" s="2">
        <f ca="1"/>
        <v>51.35806859450944</v>
      </c>
      <c r="AG3203" s="2">
        <f ca="1"/>
        <v>0.92555602115041102</v>
      </c>
      <c r="AH3203" s="2" t="str">
        <f ca="1"/>
        <v>Bad</v>
      </c>
    </row>
    <row r="3204" spans="2:34" x14ac:dyDescent="0.2">
      <c r="B3204" s="2">
        <f ca="1"/>
        <v>0.3262794014250936</v>
      </c>
      <c r="O3204" s="2">
        <f ca="1"/>
        <v>0.98232250237590835</v>
      </c>
      <c r="X3204" s="2">
        <f ca="1"/>
        <v>25.308547020997413</v>
      </c>
      <c r="AG3204" s="2">
        <f ca="1"/>
        <v>0.31723532124390297</v>
      </c>
      <c r="AH3204" s="2" t="str">
        <f ca="1"/>
        <v>OK</v>
      </c>
    </row>
    <row r="3205" spans="2:34" x14ac:dyDescent="0.2">
      <c r="B3205" s="2">
        <f ca="1"/>
        <v>0.88810286595437904</v>
      </c>
      <c r="O3205" s="2">
        <f ca="1"/>
        <v>-0.21517925015391806</v>
      </c>
      <c r="X3205" s="2">
        <f ca="1"/>
        <v>42.044105465286428</v>
      </c>
      <c r="AG3205" s="2">
        <f ca="1"/>
        <v>0.49715236908383442</v>
      </c>
      <c r="AH3205" s="2" t="str">
        <f ca="1"/>
        <v>Bad</v>
      </c>
    </row>
    <row r="3206" spans="2:34" x14ac:dyDescent="0.2">
      <c r="B3206" s="2">
        <f ca="1"/>
        <v>0.75632548971491231</v>
      </c>
      <c r="O3206" s="2">
        <f ca="1"/>
        <v>0.94665766645524629</v>
      </c>
      <c r="X3206" s="2">
        <f ca="1"/>
        <v>40.532410397399346</v>
      </c>
      <c r="AG3206" s="2">
        <f ca="1"/>
        <v>0.91609385999133908</v>
      </c>
      <c r="AH3206" s="2" t="str">
        <f ca="1"/>
        <v>Bad</v>
      </c>
    </row>
    <row r="3207" spans="2:34" x14ac:dyDescent="0.2">
      <c r="B3207" s="2">
        <f ca="1"/>
        <v>0.97756781535511461</v>
      </c>
      <c r="O3207" s="2">
        <f ca="1"/>
        <v>-0.65065698325703802</v>
      </c>
      <c r="X3207" s="2">
        <f ca="1"/>
        <v>45.868122972350477</v>
      </c>
      <c r="AG3207" s="2">
        <f ca="1"/>
        <v>0.62313324625059274</v>
      </c>
      <c r="AH3207" s="2" t="str">
        <f ca="1"/>
        <v>Bad</v>
      </c>
    </row>
    <row r="3208" spans="2:34" x14ac:dyDescent="0.2">
      <c r="B3208" s="2">
        <f ca="1"/>
        <v>0.52303565745348868</v>
      </c>
      <c r="O3208" s="2">
        <f ca="1"/>
        <v>0.60533668506527893</v>
      </c>
      <c r="X3208" s="2">
        <f ca="1"/>
        <v>37.233984863998664</v>
      </c>
      <c r="AG3208" s="2">
        <f ca="1"/>
        <v>0.65962508850454982</v>
      </c>
      <c r="AH3208" s="2" t="str">
        <f ca="1"/>
        <v>Bad</v>
      </c>
    </row>
    <row r="3209" spans="2:34" x14ac:dyDescent="0.2">
      <c r="B3209" s="2">
        <f ca="1"/>
        <v>0.11168992608246886</v>
      </c>
      <c r="O3209" s="2">
        <f ca="1"/>
        <v>2.9091019089073654E-2</v>
      </c>
      <c r="X3209" s="2">
        <f ca="1"/>
        <v>73.401970615388677</v>
      </c>
      <c r="AG3209" s="2">
        <f ca="1"/>
        <v>0.82801019966336886</v>
      </c>
      <c r="AH3209" s="2" t="str">
        <f ca="1"/>
        <v>Bad</v>
      </c>
    </row>
    <row r="3210" spans="2:34" x14ac:dyDescent="0.2">
      <c r="B3210" s="2">
        <f ca="1"/>
        <v>9.6024004497015314E-2</v>
      </c>
      <c r="O3210" s="2">
        <f ca="1"/>
        <v>2.4779727160204756</v>
      </c>
      <c r="X3210" s="2">
        <f ca="1"/>
        <v>46.085884715998361</v>
      </c>
      <c r="AG3210" s="2">
        <f ca="1"/>
        <v>0.41883980148388011</v>
      </c>
      <c r="AH3210" s="2" t="str">
        <f ca="1"/>
        <v>Bad</v>
      </c>
    </row>
    <row r="3211" spans="2:34" x14ac:dyDescent="0.2">
      <c r="B3211" s="2">
        <f ca="1"/>
        <v>0.37159484593686165</v>
      </c>
      <c r="O3211" s="2">
        <f ca="1"/>
        <v>-0.58798145102333044</v>
      </c>
      <c r="X3211" s="2">
        <f ca="1"/>
        <v>64.54102478671372</v>
      </c>
      <c r="AG3211" s="2">
        <f ca="1"/>
        <v>0.51008366410588857</v>
      </c>
      <c r="AH3211" s="2" t="str">
        <f ca="1"/>
        <v>Bad</v>
      </c>
    </row>
    <row r="3212" spans="2:34" x14ac:dyDescent="0.2">
      <c r="B3212" s="2">
        <f ca="1"/>
        <v>0.78846150069777932</v>
      </c>
      <c r="O3212" s="2">
        <f ca="1"/>
        <v>0.81510658444727246</v>
      </c>
      <c r="X3212" s="2">
        <f ca="1"/>
        <v>58.998906043658465</v>
      </c>
      <c r="AG3212" s="2">
        <f ca="1"/>
        <v>8.9723895659005182E-2</v>
      </c>
      <c r="AH3212" s="2" t="str">
        <f ca="1"/>
        <v>OK</v>
      </c>
    </row>
    <row r="3213" spans="2:34" x14ac:dyDescent="0.2">
      <c r="B3213" s="2">
        <f ca="1"/>
        <v>0.28491909519595415</v>
      </c>
      <c r="O3213" s="2">
        <f ca="1"/>
        <v>-0.64307203789033573</v>
      </c>
      <c r="X3213" s="2">
        <f ca="1"/>
        <v>37.25916061717993</v>
      </c>
      <c r="AG3213" s="2">
        <f ca="1"/>
        <v>0.91623384716017653</v>
      </c>
      <c r="AH3213" s="2" t="str">
        <f ca="1"/>
        <v>Bad</v>
      </c>
    </row>
    <row r="3214" spans="2:34" x14ac:dyDescent="0.2">
      <c r="B3214" s="2">
        <f ca="1"/>
        <v>0.42018329020243761</v>
      </c>
      <c r="O3214" s="2">
        <f ca="1"/>
        <v>0.12050844115205231</v>
      </c>
      <c r="X3214" s="2">
        <f ca="1"/>
        <v>57.342307429953792</v>
      </c>
      <c r="AG3214" s="2">
        <f ca="1"/>
        <v>0.56855188201752083</v>
      </c>
      <c r="AH3214" s="2" t="str">
        <f ca="1"/>
        <v>Bad</v>
      </c>
    </row>
    <row r="3215" spans="2:34" x14ac:dyDescent="0.2">
      <c r="B3215" s="2">
        <f ca="1"/>
        <v>8.8191654909949513E-2</v>
      </c>
      <c r="O3215" s="2">
        <f ca="1"/>
        <v>1.2467952544723806</v>
      </c>
      <c r="X3215" s="2">
        <f ca="1"/>
        <v>50.554996618112213</v>
      </c>
      <c r="AG3215" s="2">
        <f ca="1"/>
        <v>9.941165203684843E-2</v>
      </c>
      <c r="AH3215" s="2" t="str">
        <f ca="1"/>
        <v>OK</v>
      </c>
    </row>
    <row r="3216" spans="2:34" x14ac:dyDescent="0.2">
      <c r="B3216" s="2">
        <f ca="1"/>
        <v>0.86133876831255396</v>
      </c>
      <c r="O3216" s="2">
        <f ca="1"/>
        <v>-0.71187453537183254</v>
      </c>
      <c r="X3216" s="2">
        <f ca="1"/>
        <v>56.516840431999221</v>
      </c>
      <c r="AG3216" s="2">
        <f ca="1"/>
        <v>0.82917760651957906</v>
      </c>
      <c r="AH3216" s="2" t="str">
        <f ca="1"/>
        <v>Bad</v>
      </c>
    </row>
    <row r="3217" spans="2:34" x14ac:dyDescent="0.2">
      <c r="B3217" s="2">
        <f ca="1"/>
        <v>0.6972861532271375</v>
      </c>
      <c r="O3217" s="2">
        <f ca="1"/>
        <v>-1.6018578543336177</v>
      </c>
      <c r="X3217" s="2">
        <f ca="1"/>
        <v>53.663357143462235</v>
      </c>
      <c r="AG3217" s="2">
        <f ca="1"/>
        <v>0.41526737131858726</v>
      </c>
      <c r="AH3217" s="2" t="str">
        <f ca="1"/>
        <v>Bad</v>
      </c>
    </row>
    <row r="3218" spans="2:34" x14ac:dyDescent="0.2">
      <c r="B3218" s="2">
        <f ca="1"/>
        <v>0.11604216606560125</v>
      </c>
      <c r="O3218" s="2">
        <f ca="1"/>
        <v>-2.3916590355681699</v>
      </c>
      <c r="X3218" s="2">
        <f ca="1"/>
        <v>49.661706417734244</v>
      </c>
      <c r="AG3218" s="2">
        <f ca="1"/>
        <v>0.10258988245952771</v>
      </c>
      <c r="AH3218" s="2" t="str">
        <f ca="1"/>
        <v>OK</v>
      </c>
    </row>
    <row r="3219" spans="2:34" x14ac:dyDescent="0.2">
      <c r="B3219" s="2">
        <f ca="1"/>
        <v>0.58516334476796983</v>
      </c>
      <c r="O3219" s="2">
        <f ca="1"/>
        <v>0.53094176619475808</v>
      </c>
      <c r="X3219" s="2">
        <f ca="1"/>
        <v>23.440338641629054</v>
      </c>
      <c r="AG3219" s="2">
        <f ca="1"/>
        <v>0.83681414235716356</v>
      </c>
      <c r="AH3219" s="2" t="str">
        <f ca="1"/>
        <v>Bad</v>
      </c>
    </row>
    <row r="3220" spans="2:34" x14ac:dyDescent="0.2">
      <c r="B3220" s="2">
        <f ca="1"/>
        <v>0.37525706800785574</v>
      </c>
      <c r="O3220" s="2">
        <f ca="1"/>
        <v>0.3943947382883769</v>
      </c>
      <c r="X3220" s="2">
        <f ca="1"/>
        <v>49.859911519504429</v>
      </c>
      <c r="AG3220" s="2">
        <f ca="1"/>
        <v>0.65251349939670811</v>
      </c>
      <c r="AH3220" s="2" t="str">
        <f ca="1"/>
        <v>Bad</v>
      </c>
    </row>
    <row r="3221" spans="2:34" x14ac:dyDescent="0.2">
      <c r="B3221" s="2">
        <f ca="1"/>
        <v>0.23122642907098845</v>
      </c>
      <c r="O3221" s="2">
        <f ca="1"/>
        <v>-0.32899211462661743</v>
      </c>
      <c r="X3221" s="2">
        <f ca="1"/>
        <v>27.4254277750798</v>
      </c>
      <c r="AG3221" s="2">
        <f ca="1"/>
        <v>0.57859640240593646</v>
      </c>
      <c r="AH3221" s="2" t="str">
        <f ca="1"/>
        <v>Bad</v>
      </c>
    </row>
    <row r="3222" spans="2:34" x14ac:dyDescent="0.2">
      <c r="B3222" s="2">
        <f ca="1"/>
        <v>0.22689294359049561</v>
      </c>
      <c r="O3222" s="2">
        <f ca="1"/>
        <v>-0.2984486849620388</v>
      </c>
      <c r="X3222" s="2">
        <f ca="1"/>
        <v>32.931030228869659</v>
      </c>
      <c r="AG3222" s="2">
        <f ca="1"/>
        <v>0.86903746157154504</v>
      </c>
      <c r="AH3222" s="2" t="str">
        <f ca="1"/>
        <v>Bad</v>
      </c>
    </row>
    <row r="3223" spans="2:34" x14ac:dyDescent="0.2">
      <c r="B3223" s="2">
        <f ca="1"/>
        <v>0.7440075589749382</v>
      </c>
      <c r="O3223" s="2">
        <f ca="1"/>
        <v>0.16583295200901491</v>
      </c>
      <c r="X3223" s="2">
        <f ca="1"/>
        <v>67.177467813618534</v>
      </c>
      <c r="AG3223" s="2">
        <f ca="1"/>
        <v>0.53144452371676398</v>
      </c>
      <c r="AH3223" s="2" t="str">
        <f ca="1"/>
        <v>Bad</v>
      </c>
    </row>
    <row r="3224" spans="2:34" x14ac:dyDescent="0.2">
      <c r="B3224" s="2">
        <f ca="1"/>
        <v>0.60401727554372941</v>
      </c>
      <c r="O3224" s="2">
        <f ca="1"/>
        <v>0.7753790488102823</v>
      </c>
      <c r="X3224" s="2">
        <f ca="1"/>
        <v>56.654063654833138</v>
      </c>
      <c r="AG3224" s="2">
        <f ca="1"/>
        <v>0.90238935172957402</v>
      </c>
      <c r="AH3224" s="2" t="str">
        <f ca="1"/>
        <v>Bad</v>
      </c>
    </row>
    <row r="3225" spans="2:34" x14ac:dyDescent="0.2">
      <c r="B3225" s="2">
        <f ca="1"/>
        <v>0.21793209078692377</v>
      </c>
      <c r="O3225" s="2">
        <f ca="1"/>
        <v>-0.60247616485450717</v>
      </c>
      <c r="X3225" s="2">
        <f ca="1"/>
        <v>48.300292500770283</v>
      </c>
      <c r="AG3225" s="2">
        <f ca="1"/>
        <v>0.11308318596276234</v>
      </c>
      <c r="AH3225" s="2" t="str">
        <f ca="1"/>
        <v>OK</v>
      </c>
    </row>
    <row r="3226" spans="2:34" x14ac:dyDescent="0.2">
      <c r="B3226" s="2">
        <f ca="1"/>
        <v>0.94335732115784898</v>
      </c>
      <c r="O3226" s="2">
        <f ca="1"/>
        <v>-6.092459704816585E-2</v>
      </c>
      <c r="X3226" s="2">
        <f ca="1"/>
        <v>23.833828244328426</v>
      </c>
      <c r="AG3226" s="2">
        <f ca="1"/>
        <v>6.2117871817927828E-2</v>
      </c>
      <c r="AH3226" s="2" t="str">
        <f ca="1"/>
        <v>OK</v>
      </c>
    </row>
    <row r="3227" spans="2:34" x14ac:dyDescent="0.2">
      <c r="B3227" s="2">
        <f ca="1"/>
        <v>2.4939656909403363E-2</v>
      </c>
      <c r="O3227" s="2">
        <f ca="1"/>
        <v>1.4601350613759061</v>
      </c>
      <c r="X3227" s="2">
        <f ca="1"/>
        <v>73.275007585159031</v>
      </c>
      <c r="AG3227" s="2">
        <f ca="1"/>
        <v>0.12603377566917406</v>
      </c>
      <c r="AH3227" s="2" t="str">
        <f ca="1"/>
        <v>OK</v>
      </c>
    </row>
    <row r="3228" spans="2:34" x14ac:dyDescent="0.2">
      <c r="B3228" s="2">
        <f ca="1"/>
        <v>0.36727742311959322</v>
      </c>
      <c r="O3228" s="2">
        <f ca="1"/>
        <v>0.23423217768394439</v>
      </c>
      <c r="X3228" s="2">
        <f ca="1"/>
        <v>56.060546416670235</v>
      </c>
      <c r="AG3228" s="2">
        <f ca="1"/>
        <v>0.96346975017197534</v>
      </c>
      <c r="AH3228" s="2" t="str">
        <f ca="1"/>
        <v>Bad</v>
      </c>
    </row>
    <row r="3229" spans="2:34" x14ac:dyDescent="0.2">
      <c r="B3229" s="2">
        <f ca="1"/>
        <v>5.3847075091727925E-2</v>
      </c>
      <c r="O3229" s="2">
        <f ca="1"/>
        <v>-0.39665787565323646</v>
      </c>
      <c r="X3229" s="2">
        <f ca="1"/>
        <v>41.192778690618468</v>
      </c>
      <c r="AG3229" s="2">
        <f ca="1"/>
        <v>0.22148346881139092</v>
      </c>
      <c r="AH3229" s="2" t="str">
        <f ca="1"/>
        <v>OK</v>
      </c>
    </row>
    <row r="3230" spans="2:34" x14ac:dyDescent="0.2">
      <c r="B3230" s="2">
        <f ca="1"/>
        <v>0.21124257690789916</v>
      </c>
      <c r="O3230" s="2">
        <f ca="1"/>
        <v>-0.35997791073147051</v>
      </c>
      <c r="X3230" s="2">
        <f ca="1"/>
        <v>39.757840160885117</v>
      </c>
      <c r="AG3230" s="2">
        <f ca="1"/>
        <v>0.67321177892212147</v>
      </c>
      <c r="AH3230" s="2" t="str">
        <f ca="1"/>
        <v>Bad</v>
      </c>
    </row>
    <row r="3231" spans="2:34" x14ac:dyDescent="0.2">
      <c r="B3231" s="2">
        <f ca="1"/>
        <v>0.87276286056122387</v>
      </c>
      <c r="O3231" s="2">
        <f ca="1"/>
        <v>0.94497241034714341</v>
      </c>
      <c r="X3231" s="2">
        <f ca="1"/>
        <v>24.98993858625596</v>
      </c>
      <c r="AG3231" s="2">
        <f ca="1"/>
        <v>0.90329761346359305</v>
      </c>
      <c r="AH3231" s="2" t="str">
        <f ca="1"/>
        <v>Bad</v>
      </c>
    </row>
    <row r="3232" spans="2:34" x14ac:dyDescent="0.2">
      <c r="B3232" s="2">
        <f ca="1"/>
        <v>0.8710989868602157</v>
      </c>
      <c r="O3232" s="2">
        <f ca="1"/>
        <v>0.39370617905837901</v>
      </c>
      <c r="X3232" s="2">
        <f ca="1"/>
        <v>41.220472717876447</v>
      </c>
      <c r="AG3232" s="2">
        <f ca="1"/>
        <v>0.42274708872219358</v>
      </c>
      <c r="AH3232" s="2" t="str">
        <f ca="1"/>
        <v>Bad</v>
      </c>
    </row>
    <row r="3233" spans="2:34" x14ac:dyDescent="0.2">
      <c r="B3233" s="2">
        <f ca="1"/>
        <v>0.74780611717268286</v>
      </c>
      <c r="O3233" s="2">
        <f ca="1"/>
        <v>0.77407437905956034</v>
      </c>
      <c r="X3233" s="2">
        <f ca="1"/>
        <v>56.451562475319001</v>
      </c>
      <c r="AG3233" s="2">
        <f ca="1"/>
        <v>6.2578504794667866E-2</v>
      </c>
      <c r="AH3233" s="2" t="str">
        <f ca="1"/>
        <v>OK</v>
      </c>
    </row>
    <row r="3234" spans="2:34" x14ac:dyDescent="0.2">
      <c r="B3234" s="2">
        <f ca="1"/>
        <v>0.77534040963888118</v>
      </c>
      <c r="O3234" s="2">
        <f ca="1"/>
        <v>1.0479716535537629</v>
      </c>
      <c r="X3234" s="2">
        <f ca="1"/>
        <v>47.017902553568085</v>
      </c>
      <c r="AG3234" s="2">
        <f ca="1"/>
        <v>0.15756612843437701</v>
      </c>
      <c r="AH3234" s="2" t="str">
        <f ca="1"/>
        <v>OK</v>
      </c>
    </row>
    <row r="3235" spans="2:34" x14ac:dyDescent="0.2">
      <c r="B3235" s="2">
        <f ca="1"/>
        <v>0.14933797082890843</v>
      </c>
      <c r="O3235" s="2">
        <f ca="1"/>
        <v>0.53093088818308121</v>
      </c>
      <c r="X3235" s="2">
        <f ca="1"/>
        <v>38.974449675970362</v>
      </c>
      <c r="AG3235" s="2">
        <f ca="1"/>
        <v>0.87196498414667167</v>
      </c>
      <c r="AH3235" s="2" t="str">
        <f ca="1"/>
        <v>Bad</v>
      </c>
    </row>
    <row r="3236" spans="2:34" x14ac:dyDescent="0.2">
      <c r="B3236" s="2">
        <f ca="1"/>
        <v>0.31106550894772456</v>
      </c>
      <c r="O3236" s="2">
        <f ca="1"/>
        <v>0.26660962258828763</v>
      </c>
      <c r="X3236" s="2">
        <f ca="1"/>
        <v>49.616422353755745</v>
      </c>
      <c r="AG3236" s="2">
        <f ca="1"/>
        <v>0.67518491903550837</v>
      </c>
      <c r="AH3236" s="2" t="str">
        <f ca="1"/>
        <v>Bad</v>
      </c>
    </row>
    <row r="3237" spans="2:34" x14ac:dyDescent="0.2">
      <c r="B3237" s="2">
        <f ca="1"/>
        <v>0.84522397560481455</v>
      </c>
      <c r="O3237" s="2">
        <f ca="1"/>
        <v>-1.7834174081396016E-2</v>
      </c>
      <c r="X3237" s="2">
        <f ca="1"/>
        <v>55.05806471844312</v>
      </c>
      <c r="AG3237" s="2">
        <f ca="1"/>
        <v>0.70567726685219823</v>
      </c>
      <c r="AH3237" s="2" t="str">
        <f ca="1"/>
        <v>Bad</v>
      </c>
    </row>
    <row r="3238" spans="2:34" x14ac:dyDescent="0.2">
      <c r="B3238" s="2">
        <f ca="1"/>
        <v>0.70768166969437596</v>
      </c>
      <c r="O3238" s="2">
        <f ca="1"/>
        <v>1.0449526032132606</v>
      </c>
      <c r="X3238" s="2">
        <f ca="1"/>
        <v>72.932500052181524</v>
      </c>
      <c r="AG3238" s="2">
        <f ca="1"/>
        <v>0.81245494952310526</v>
      </c>
      <c r="AH3238" s="2" t="str">
        <f ca="1"/>
        <v>Bad</v>
      </c>
    </row>
    <row r="3239" spans="2:34" x14ac:dyDescent="0.2">
      <c r="B3239" s="2">
        <f ca="1"/>
        <v>0.3879317184063964</v>
      </c>
      <c r="O3239" s="2">
        <f ca="1"/>
        <v>1.1294906604852093</v>
      </c>
      <c r="X3239" s="2">
        <f ca="1"/>
        <v>41.658390489904605</v>
      </c>
      <c r="AG3239" s="2">
        <f ca="1"/>
        <v>0.96566073765274862</v>
      </c>
      <c r="AH3239" s="2" t="str">
        <f ca="1"/>
        <v>Bad</v>
      </c>
    </row>
    <row r="3240" spans="2:34" x14ac:dyDescent="0.2">
      <c r="B3240" s="2">
        <f ca="1"/>
        <v>0.47796882519290151</v>
      </c>
      <c r="O3240" s="2">
        <f ca="1"/>
        <v>1.6549628282929723</v>
      </c>
      <c r="X3240" s="2">
        <f ca="1"/>
        <v>50.690706144981959</v>
      </c>
      <c r="AG3240" s="2">
        <f ca="1"/>
        <v>0.18480702620401335</v>
      </c>
      <c r="AH3240" s="2" t="str">
        <f ca="1"/>
        <v>OK</v>
      </c>
    </row>
    <row r="3241" spans="2:34" x14ac:dyDescent="0.2">
      <c r="B3241" s="2">
        <f ca="1"/>
        <v>0.14530647541726593</v>
      </c>
      <c r="O3241" s="2">
        <f ca="1"/>
        <v>0.16996517973994496</v>
      </c>
      <c r="X3241" s="2">
        <f ca="1"/>
        <v>56.75132237960247</v>
      </c>
      <c r="AG3241" s="2">
        <f ca="1"/>
        <v>0.23028531461138257</v>
      </c>
      <c r="AH3241" s="2" t="str">
        <f ca="1"/>
        <v>OK</v>
      </c>
    </row>
    <row r="3242" spans="2:34" x14ac:dyDescent="0.2">
      <c r="B3242" s="2">
        <f ca="1"/>
        <v>0.71855809076028154</v>
      </c>
      <c r="O3242" s="2">
        <f ca="1"/>
        <v>2.3257046995505384</v>
      </c>
      <c r="X3242" s="2">
        <f ca="1"/>
        <v>54.872240592242022</v>
      </c>
      <c r="AG3242" s="2">
        <f ca="1"/>
        <v>0.34877565331055216</v>
      </c>
      <c r="AH3242" s="2" t="str">
        <f ca="1"/>
        <v>OK</v>
      </c>
    </row>
    <row r="3243" spans="2:34" x14ac:dyDescent="0.2">
      <c r="B3243" s="2">
        <f ca="1"/>
        <v>0.66398496661999862</v>
      </c>
      <c r="O3243" s="2">
        <f ca="1"/>
        <v>-4.7626464840816549E-2</v>
      </c>
      <c r="X3243" s="2">
        <f ca="1"/>
        <v>69.543118630871149</v>
      </c>
      <c r="AG3243" s="2">
        <f ca="1"/>
        <v>0.58353479626324556</v>
      </c>
      <c r="AH3243" s="2" t="str">
        <f ca="1"/>
        <v>Bad</v>
      </c>
    </row>
    <row r="3244" spans="2:34" x14ac:dyDescent="0.2">
      <c r="B3244" s="2">
        <f ca="1"/>
        <v>0.64778809381806157</v>
      </c>
      <c r="O3244" s="2">
        <f ca="1"/>
        <v>1.7860702165238891</v>
      </c>
      <c r="X3244" s="2">
        <f ca="1"/>
        <v>19.349532078252341</v>
      </c>
      <c r="AG3244" s="2">
        <f ca="1"/>
        <v>0.18413957414058135</v>
      </c>
      <c r="AH3244" s="2" t="str">
        <f ca="1"/>
        <v>OK</v>
      </c>
    </row>
    <row r="3245" spans="2:34" x14ac:dyDescent="0.2">
      <c r="B3245" s="2">
        <f ca="1"/>
        <v>0.44478868977921593</v>
      </c>
      <c r="O3245" s="2">
        <f ca="1"/>
        <v>-3.8405821410982727E-2</v>
      </c>
      <c r="X3245" s="2">
        <f ca="1"/>
        <v>41.681466923958055</v>
      </c>
      <c r="AG3245" s="2">
        <f ca="1"/>
        <v>0.97913595932849584</v>
      </c>
      <c r="AH3245" s="2" t="str">
        <f ca="1"/>
        <v>Bad</v>
      </c>
    </row>
    <row r="3246" spans="2:34" x14ac:dyDescent="0.2">
      <c r="B3246" s="2">
        <f ca="1"/>
        <v>0.56960814087138845</v>
      </c>
      <c r="O3246" s="2">
        <f ca="1"/>
        <v>-1.5782592041963392</v>
      </c>
      <c r="X3246" s="2">
        <f ca="1"/>
        <v>51.472467533860815</v>
      </c>
      <c r="AG3246" s="2">
        <f ca="1"/>
        <v>0.2189295747613047</v>
      </c>
      <c r="AH3246" s="2" t="str">
        <f ca="1"/>
        <v>OK</v>
      </c>
    </row>
    <row r="3247" spans="2:34" x14ac:dyDescent="0.2">
      <c r="B3247" s="2">
        <f ca="1"/>
        <v>0.26037222094268619</v>
      </c>
      <c r="O3247" s="2">
        <f ca="1"/>
        <v>-0.38505885447836097</v>
      </c>
      <c r="X3247" s="2">
        <f ca="1"/>
        <v>36.529461251818567</v>
      </c>
      <c r="AG3247" s="2">
        <f ca="1"/>
        <v>0.82153168299198209</v>
      </c>
      <c r="AH3247" s="2" t="str">
        <f ca="1"/>
        <v>Bad</v>
      </c>
    </row>
    <row r="3248" spans="2:34" x14ac:dyDescent="0.2">
      <c r="B3248" s="2">
        <f ca="1"/>
        <v>0.34190719369302247</v>
      </c>
      <c r="O3248" s="2">
        <f ca="1"/>
        <v>0.1122298414415787</v>
      </c>
      <c r="X3248" s="2">
        <f ca="1"/>
        <v>37.354392248106507</v>
      </c>
      <c r="AG3248" s="2">
        <f ca="1"/>
        <v>4.3758635216732511E-2</v>
      </c>
      <c r="AH3248" s="2" t="str">
        <f ca="1"/>
        <v>Good</v>
      </c>
    </row>
    <row r="3249" spans="2:34" x14ac:dyDescent="0.2">
      <c r="B3249" s="2">
        <f ca="1"/>
        <v>0.14575860618927261</v>
      </c>
      <c r="O3249" s="2">
        <f ca="1"/>
        <v>0.5976414068075101</v>
      </c>
      <c r="X3249" s="2">
        <f ca="1"/>
        <v>60.124132580892805</v>
      </c>
      <c r="AG3249" s="2">
        <f ca="1"/>
        <v>0.43332546731013211</v>
      </c>
      <c r="AH3249" s="2" t="str">
        <f ca="1"/>
        <v>Bad</v>
      </c>
    </row>
    <row r="3250" spans="2:34" x14ac:dyDescent="0.2">
      <c r="B3250" s="2">
        <f ca="1"/>
        <v>0.16862853761606722</v>
      </c>
      <c r="O3250" s="2">
        <f ca="1"/>
        <v>-1.240369486781618</v>
      </c>
      <c r="X3250" s="2">
        <f ca="1"/>
        <v>28.321413358107172</v>
      </c>
      <c r="AG3250" s="2">
        <f ca="1"/>
        <v>0.44431398818038192</v>
      </c>
      <c r="AH3250" s="2" t="str">
        <f ca="1"/>
        <v>Bad</v>
      </c>
    </row>
    <row r="3251" spans="2:34" x14ac:dyDescent="0.2">
      <c r="B3251" s="2">
        <f ca="1"/>
        <v>0.79063367489504088</v>
      </c>
      <c r="O3251" s="2">
        <f ca="1"/>
        <v>-0.29304195816413159</v>
      </c>
      <c r="X3251" s="2">
        <f ca="1"/>
        <v>36.815070097922913</v>
      </c>
      <c r="AG3251" s="2">
        <f ca="1"/>
        <v>0.68352827223009749</v>
      </c>
      <c r="AH3251" s="2" t="str">
        <f ca="1"/>
        <v>Bad</v>
      </c>
    </row>
    <row r="3252" spans="2:34" x14ac:dyDescent="0.2">
      <c r="B3252" s="2">
        <f ca="1"/>
        <v>0.33276936174856941</v>
      </c>
      <c r="O3252" s="2">
        <f ca="1"/>
        <v>-0.66868037611943787</v>
      </c>
      <c r="X3252" s="2">
        <f ca="1"/>
        <v>52.849290595244298</v>
      </c>
      <c r="AG3252" s="2">
        <f ca="1"/>
        <v>0.99477985531811886</v>
      </c>
      <c r="AH3252" s="2" t="str">
        <f ca="1"/>
        <v>Bad</v>
      </c>
    </row>
    <row r="3253" spans="2:34" x14ac:dyDescent="0.2">
      <c r="B3253" s="2">
        <f ca="1"/>
        <v>0.819070490327102</v>
      </c>
      <c r="O3253" s="2">
        <f ca="1"/>
        <v>0.57393640442371296</v>
      </c>
      <c r="X3253" s="2">
        <f ca="1"/>
        <v>66.257765412410052</v>
      </c>
      <c r="AG3253" s="2">
        <f ca="1"/>
        <v>0.2768188089292356</v>
      </c>
      <c r="AH3253" s="2" t="str">
        <f ca="1"/>
        <v>OK</v>
      </c>
    </row>
    <row r="3254" spans="2:34" x14ac:dyDescent="0.2">
      <c r="B3254" s="2">
        <f ca="1"/>
        <v>0.74992785798761741</v>
      </c>
      <c r="O3254" s="2">
        <f ca="1"/>
        <v>1.3669055081555461</v>
      </c>
      <c r="X3254" s="2">
        <f ca="1"/>
        <v>84.941616970328212</v>
      </c>
      <c r="AG3254" s="2">
        <f ca="1"/>
        <v>0.32394984233750357</v>
      </c>
      <c r="AH3254" s="2" t="str">
        <f ca="1"/>
        <v>OK</v>
      </c>
    </row>
    <row r="3255" spans="2:34" x14ac:dyDescent="0.2">
      <c r="B3255" s="2">
        <f ca="1"/>
        <v>0.65889447759750253</v>
      </c>
      <c r="O3255" s="2">
        <f ca="1"/>
        <v>0.90566365401772697</v>
      </c>
      <c r="X3255" s="2">
        <f ca="1"/>
        <v>41.294158944356781</v>
      </c>
      <c r="AG3255" s="2">
        <f ca="1"/>
        <v>0.32152315238861706</v>
      </c>
      <c r="AH3255" s="2" t="str">
        <f ca="1"/>
        <v>OK</v>
      </c>
    </row>
    <row r="3256" spans="2:34" x14ac:dyDescent="0.2">
      <c r="B3256" s="2">
        <f ca="1"/>
        <v>8.3946729694273747E-2</v>
      </c>
      <c r="O3256" s="2">
        <f ca="1"/>
        <v>-0.12204964626428537</v>
      </c>
      <c r="X3256" s="2">
        <f ca="1"/>
        <v>69.169904971726822</v>
      </c>
      <c r="AG3256" s="2">
        <f ca="1"/>
        <v>0.91610398643800983</v>
      </c>
      <c r="AH3256" s="2" t="str">
        <f ca="1"/>
        <v>Bad</v>
      </c>
    </row>
    <row r="3257" spans="2:34" x14ac:dyDescent="0.2">
      <c r="B3257" s="2">
        <f ca="1"/>
        <v>0.398300545912049</v>
      </c>
      <c r="O3257" s="2">
        <f ca="1"/>
        <v>0.37591939222008564</v>
      </c>
      <c r="X3257" s="2">
        <f ca="1"/>
        <v>66.567117374721477</v>
      </c>
      <c r="AG3257" s="2">
        <f ca="1"/>
        <v>0.8378355021833237</v>
      </c>
      <c r="AH3257" s="2" t="str">
        <f ca="1"/>
        <v>Bad</v>
      </c>
    </row>
    <row r="3258" spans="2:34" x14ac:dyDescent="0.2">
      <c r="B3258" s="2">
        <f ca="1"/>
        <v>0.53090523162817949</v>
      </c>
      <c r="O3258" s="2">
        <f ca="1"/>
        <v>1.5216832096165556</v>
      </c>
      <c r="X3258" s="2">
        <f ca="1"/>
        <v>51.581940248320748</v>
      </c>
      <c r="AG3258" s="2">
        <f ca="1"/>
        <v>0.95896176376988618</v>
      </c>
      <c r="AH3258" s="2" t="str">
        <f ca="1"/>
        <v>Bad</v>
      </c>
    </row>
    <row r="3259" spans="2:34" x14ac:dyDescent="0.2">
      <c r="B3259" s="2">
        <f ca="1"/>
        <v>0.89749742924423614</v>
      </c>
      <c r="O3259" s="2">
        <f ca="1"/>
        <v>-0.84433961647478273</v>
      </c>
      <c r="X3259" s="2">
        <f ca="1"/>
        <v>64.241620835637633</v>
      </c>
      <c r="AG3259" s="2">
        <f ca="1"/>
        <v>0.78595409320865151</v>
      </c>
      <c r="AH3259" s="2" t="str">
        <f ca="1"/>
        <v>Bad</v>
      </c>
    </row>
    <row r="3260" spans="2:34" x14ac:dyDescent="0.2">
      <c r="B3260" s="2">
        <f ca="1"/>
        <v>0.27279976701015141</v>
      </c>
      <c r="O3260" s="2">
        <f ca="1"/>
        <v>0.76855898880414308</v>
      </c>
      <c r="X3260" s="2">
        <f ca="1"/>
        <v>62.493398480833342</v>
      </c>
      <c r="AG3260" s="2">
        <f ca="1"/>
        <v>0.5185590883477964</v>
      </c>
      <c r="AH3260" s="2" t="str">
        <f ca="1"/>
        <v>Bad</v>
      </c>
    </row>
    <row r="3261" spans="2:34" x14ac:dyDescent="0.2">
      <c r="B3261" s="2">
        <f ca="1"/>
        <v>0.73311048620734809</v>
      </c>
      <c r="O3261" s="2">
        <f ca="1"/>
        <v>0.42301381903507779</v>
      </c>
      <c r="X3261" s="2">
        <f ca="1"/>
        <v>42.98258437803856</v>
      </c>
      <c r="AG3261" s="2">
        <f ca="1"/>
        <v>0.75296081384861391</v>
      </c>
      <c r="AH3261" s="2" t="str">
        <f ca="1"/>
        <v>Bad</v>
      </c>
    </row>
    <row r="3262" spans="2:34" x14ac:dyDescent="0.2">
      <c r="B3262" s="2">
        <f ca="1"/>
        <v>0.48297263767753051</v>
      </c>
      <c r="O3262" s="2">
        <f ca="1"/>
        <v>-0.60693862463723502</v>
      </c>
      <c r="X3262" s="2">
        <f ca="1"/>
        <v>29.054180103907562</v>
      </c>
      <c r="AG3262" s="2">
        <f ca="1"/>
        <v>0.62819008382544217</v>
      </c>
      <c r="AH3262" s="2" t="str">
        <f ca="1"/>
        <v>Bad</v>
      </c>
    </row>
    <row r="3263" spans="2:34" x14ac:dyDescent="0.2">
      <c r="B3263" s="2">
        <f ca="1"/>
        <v>0.92834240634612253</v>
      </c>
      <c r="O3263" s="2">
        <f ca="1"/>
        <v>1.7548023994605291</v>
      </c>
      <c r="X3263" s="2">
        <f ca="1"/>
        <v>78.159075207746824</v>
      </c>
      <c r="AG3263" s="2">
        <f ca="1"/>
        <v>0.35911087244216566</v>
      </c>
      <c r="AH3263" s="2" t="str">
        <f ca="1"/>
        <v>OK</v>
      </c>
    </row>
    <row r="3264" spans="2:34" x14ac:dyDescent="0.2">
      <c r="B3264" s="2">
        <f ca="1"/>
        <v>0.97973053043463509</v>
      </c>
      <c r="O3264" s="2">
        <f ca="1"/>
        <v>1.0471061602424721</v>
      </c>
      <c r="X3264" s="2">
        <f ca="1"/>
        <v>55.686378933397549</v>
      </c>
      <c r="AG3264" s="2">
        <f ca="1"/>
        <v>0.94015436380288464</v>
      </c>
      <c r="AH3264" s="2" t="str">
        <f ca="1"/>
        <v>Bad</v>
      </c>
    </row>
    <row r="3265" spans="2:34" x14ac:dyDescent="0.2">
      <c r="B3265" s="2">
        <f ca="1"/>
        <v>0.82865916700308806</v>
      </c>
      <c r="O3265" s="2">
        <f ca="1"/>
        <v>-0.74252086157521979</v>
      </c>
      <c r="X3265" s="2">
        <f ca="1"/>
        <v>25.821298966388689</v>
      </c>
      <c r="AG3265" s="2">
        <f ca="1"/>
        <v>0.31293436042642409</v>
      </c>
      <c r="AH3265" s="2" t="str">
        <f ca="1"/>
        <v>OK</v>
      </c>
    </row>
    <row r="3266" spans="2:34" x14ac:dyDescent="0.2">
      <c r="B3266" s="2">
        <f ca="1"/>
        <v>0.3724630177111472</v>
      </c>
      <c r="O3266" s="2">
        <f ca="1"/>
        <v>-1.2522144677572693</v>
      </c>
      <c r="X3266" s="2">
        <f ca="1"/>
        <v>71.199631801456704</v>
      </c>
      <c r="AG3266" s="2">
        <f ca="1"/>
        <v>0.5008849874055703</v>
      </c>
      <c r="AH3266" s="2" t="str">
        <f ca="1"/>
        <v>Bad</v>
      </c>
    </row>
    <row r="3267" spans="2:34" x14ac:dyDescent="0.2">
      <c r="B3267" s="2">
        <f ca="1"/>
        <v>0.30163700519479431</v>
      </c>
      <c r="O3267" s="2">
        <f ca="1"/>
        <v>0.13115710151283619</v>
      </c>
      <c r="X3267" s="2">
        <f ca="1"/>
        <v>34.708654862988425</v>
      </c>
      <c r="AG3267" s="2">
        <f ca="1"/>
        <v>3.3996981786587499E-2</v>
      </c>
      <c r="AH3267" s="2" t="str">
        <f ca="1"/>
        <v>Good</v>
      </c>
    </row>
    <row r="3268" spans="2:34" x14ac:dyDescent="0.2">
      <c r="B3268" s="2">
        <f ca="1"/>
        <v>0.1980971886880396</v>
      </c>
      <c r="O3268" s="2">
        <f ca="1"/>
        <v>0.52209910165299245</v>
      </c>
      <c r="X3268" s="2">
        <f ca="1"/>
        <v>26.851778416252039</v>
      </c>
      <c r="AG3268" s="2">
        <f ca="1"/>
        <v>0.29002841535266599</v>
      </c>
      <c r="AH3268" s="2" t="str">
        <f ca="1"/>
        <v>OK</v>
      </c>
    </row>
    <row r="3269" spans="2:34" x14ac:dyDescent="0.2">
      <c r="B3269" s="2">
        <f ca="1"/>
        <v>0.64619053613009814</v>
      </c>
      <c r="O3269" s="2">
        <f ca="1"/>
        <v>0.28801319320778274</v>
      </c>
      <c r="X3269" s="2">
        <f ca="1"/>
        <v>52.374536610481186</v>
      </c>
      <c r="AG3269" s="2">
        <f ca="1"/>
        <v>0.93427972626308375</v>
      </c>
      <c r="AH3269" s="2" t="str">
        <f ca="1"/>
        <v>Bad</v>
      </c>
    </row>
    <row r="3270" spans="2:34" x14ac:dyDescent="0.2">
      <c r="B3270" s="2">
        <f ca="1"/>
        <v>0.98633058543398477</v>
      </c>
      <c r="O3270" s="2">
        <f ca="1"/>
        <v>-0.70872074792342188</v>
      </c>
      <c r="X3270" s="2">
        <f ca="1"/>
        <v>70.37356614178627</v>
      </c>
      <c r="AG3270" s="2">
        <f ca="1"/>
        <v>0.77420031229923603</v>
      </c>
      <c r="AH3270" s="2" t="str">
        <f ca="1"/>
        <v>Bad</v>
      </c>
    </row>
    <row r="3271" spans="2:34" x14ac:dyDescent="0.2">
      <c r="B3271" s="2">
        <f ca="1"/>
        <v>0.3941298279310792</v>
      </c>
      <c r="O3271" s="2">
        <f ca="1"/>
        <v>-0.70496683742923261</v>
      </c>
      <c r="X3271" s="2">
        <f ca="1"/>
        <v>38.72679164221482</v>
      </c>
      <c r="AG3271" s="2">
        <f ca="1"/>
        <v>0.51514780044209663</v>
      </c>
      <c r="AH3271" s="2" t="str">
        <f ca="1"/>
        <v>Bad</v>
      </c>
    </row>
    <row r="3272" spans="2:34" x14ac:dyDescent="0.2">
      <c r="B3272" s="2">
        <f ca="1"/>
        <v>8.3519218999331457E-2</v>
      </c>
      <c r="O3272" s="2">
        <f ca="1"/>
        <v>0.90769053214716955</v>
      </c>
      <c r="X3272" s="2">
        <f ca="1"/>
        <v>60.729001189110917</v>
      </c>
      <c r="AG3272" s="2">
        <f ca="1"/>
        <v>9.0611846355181047E-2</v>
      </c>
      <c r="AH3272" s="2" t="str">
        <f ca="1"/>
        <v>OK</v>
      </c>
    </row>
    <row r="3273" spans="2:34" x14ac:dyDescent="0.2">
      <c r="B3273" s="2">
        <f ca="1"/>
        <v>0.33091563726635265</v>
      </c>
      <c r="O3273" s="2">
        <f ca="1"/>
        <v>0.86754418388920596</v>
      </c>
      <c r="X3273" s="2">
        <f ca="1"/>
        <v>55.01533900462195</v>
      </c>
      <c r="AG3273" s="2">
        <f ca="1"/>
        <v>0.30110575976442311</v>
      </c>
      <c r="AH3273" s="2" t="str">
        <f ca="1"/>
        <v>OK</v>
      </c>
    </row>
    <row r="3274" spans="2:34" x14ac:dyDescent="0.2">
      <c r="B3274" s="2">
        <f ca="1"/>
        <v>7.7023073440892764E-2</v>
      </c>
      <c r="O3274" s="2">
        <f ca="1"/>
        <v>-3.0414599662673529E-3</v>
      </c>
      <c r="X3274" s="2">
        <f ca="1"/>
        <v>71.316694456498709</v>
      </c>
      <c r="AG3274" s="2">
        <f ca="1"/>
        <v>0.16846784015055394</v>
      </c>
      <c r="AH3274" s="2" t="str">
        <f ca="1"/>
        <v>OK</v>
      </c>
    </row>
    <row r="3275" spans="2:34" x14ac:dyDescent="0.2">
      <c r="B3275" s="2">
        <f ca="1"/>
        <v>0.68357509007147677</v>
      </c>
      <c r="O3275" s="2">
        <f ca="1"/>
        <v>0.27147403551592875</v>
      </c>
      <c r="X3275" s="2">
        <f ca="1"/>
        <v>25.224150406305764</v>
      </c>
      <c r="AG3275" s="2">
        <f ca="1"/>
        <v>0.82284806179031844</v>
      </c>
      <c r="AH3275" s="2" t="str">
        <f ca="1"/>
        <v>Bad</v>
      </c>
    </row>
    <row r="3276" spans="2:34" x14ac:dyDescent="0.2">
      <c r="B3276" s="2">
        <f ca="1"/>
        <v>0.67962415115333497</v>
      </c>
      <c r="O3276" s="2">
        <f ca="1"/>
        <v>1.2552154161690523</v>
      </c>
      <c r="X3276" s="2">
        <f ca="1"/>
        <v>50.866815960089028</v>
      </c>
      <c r="AG3276" s="2">
        <f ca="1"/>
        <v>0.71702910032184297</v>
      </c>
      <c r="AH3276" s="2" t="str">
        <f ca="1"/>
        <v>Bad</v>
      </c>
    </row>
    <row r="3277" spans="2:34" x14ac:dyDescent="0.2">
      <c r="B3277" s="2">
        <f ca="1"/>
        <v>1.4724140505808059E-2</v>
      </c>
      <c r="O3277" s="2">
        <f ca="1"/>
        <v>-0.96030975338367841</v>
      </c>
      <c r="X3277" s="2">
        <f ca="1"/>
        <v>56.113791003744097</v>
      </c>
      <c r="AG3277" s="2">
        <f ca="1"/>
        <v>0.77009739613661488</v>
      </c>
      <c r="AH3277" s="2" t="str">
        <f ca="1"/>
        <v>Bad</v>
      </c>
    </row>
    <row r="3278" spans="2:34" x14ac:dyDescent="0.2">
      <c r="B3278" s="2">
        <f ca="1"/>
        <v>0.88976458044026474</v>
      </c>
      <c r="O3278" s="2">
        <f ca="1"/>
        <v>0.78613766825018538</v>
      </c>
      <c r="X3278" s="2">
        <f ca="1"/>
        <v>51.326480652957656</v>
      </c>
      <c r="AG3278" s="2">
        <f ca="1"/>
        <v>0.96962386708265957</v>
      </c>
      <c r="AH3278" s="2" t="str">
        <f ca="1"/>
        <v>Bad</v>
      </c>
    </row>
    <row r="3279" spans="2:34" x14ac:dyDescent="0.2">
      <c r="B3279" s="2">
        <f ca="1"/>
        <v>0.13283236687602606</v>
      </c>
      <c r="O3279" s="2">
        <f ca="1"/>
        <v>-0.9540271953941224</v>
      </c>
      <c r="X3279" s="2">
        <f ca="1"/>
        <v>41.902432326086583</v>
      </c>
      <c r="AG3279" s="2">
        <f ca="1"/>
        <v>2.0347102356328417E-2</v>
      </c>
      <c r="AH3279" s="2" t="str">
        <f ca="1"/>
        <v>Good</v>
      </c>
    </row>
    <row r="3280" spans="2:34" x14ac:dyDescent="0.2">
      <c r="B3280" s="2">
        <f ca="1"/>
        <v>0.84685953540631509</v>
      </c>
      <c r="O3280" s="2">
        <f ca="1"/>
        <v>-0.36857346663252549</v>
      </c>
      <c r="X3280" s="2">
        <f ca="1"/>
        <v>39.808272946891222</v>
      </c>
      <c r="AG3280" s="2">
        <f ca="1"/>
        <v>0.6984294118380816</v>
      </c>
      <c r="AH3280" s="2" t="str">
        <f ca="1"/>
        <v>Bad</v>
      </c>
    </row>
    <row r="3281" spans="2:34" x14ac:dyDescent="0.2">
      <c r="B3281" s="2">
        <f ca="1"/>
        <v>0.68652011188673301</v>
      </c>
      <c r="O3281" s="2">
        <f ca="1"/>
        <v>0.35512594956356153</v>
      </c>
      <c r="X3281" s="2">
        <f ca="1"/>
        <v>71.872074475230562</v>
      </c>
      <c r="AG3281" s="2">
        <f ca="1"/>
        <v>0.31202783284974545</v>
      </c>
      <c r="AH3281" s="2" t="str">
        <f ca="1"/>
        <v>OK</v>
      </c>
    </row>
    <row r="3282" spans="2:34" x14ac:dyDescent="0.2">
      <c r="B3282" s="2">
        <f ca="1"/>
        <v>0.70570938975374808</v>
      </c>
      <c r="O3282" s="2">
        <f ca="1"/>
        <v>-0.6354733034668244</v>
      </c>
      <c r="X3282" s="2">
        <f ca="1"/>
        <v>43.835698438032892</v>
      </c>
      <c r="AG3282" s="2">
        <f ca="1"/>
        <v>0.11597894321285818</v>
      </c>
      <c r="AH3282" s="2" t="str">
        <f ca="1"/>
        <v>OK</v>
      </c>
    </row>
    <row r="3283" spans="2:34" x14ac:dyDescent="0.2">
      <c r="B3283" s="2">
        <f ca="1"/>
        <v>6.6655151933801227E-2</v>
      </c>
      <c r="O3283" s="2">
        <f ca="1"/>
        <v>1.0096983999081954</v>
      </c>
      <c r="X3283" s="2">
        <f ca="1"/>
        <v>46.069780522868086</v>
      </c>
      <c r="AG3283" s="2">
        <f ca="1"/>
        <v>0.42358926312667822</v>
      </c>
      <c r="AH3283" s="2" t="str">
        <f ca="1"/>
        <v>Bad</v>
      </c>
    </row>
    <row r="3284" spans="2:34" x14ac:dyDescent="0.2">
      <c r="B3284" s="2">
        <f ca="1"/>
        <v>0.59066875549598041</v>
      </c>
      <c r="O3284" s="2">
        <f ca="1"/>
        <v>-1.0906878231192527</v>
      </c>
      <c r="X3284" s="2">
        <f ca="1"/>
        <v>38.138684727470483</v>
      </c>
      <c r="AG3284" s="2">
        <f ca="1"/>
        <v>0.60305564618960927</v>
      </c>
      <c r="AH3284" s="2" t="str">
        <f ca="1"/>
        <v>Bad</v>
      </c>
    </row>
    <row r="3285" spans="2:34" x14ac:dyDescent="0.2">
      <c r="B3285" s="2">
        <f ca="1"/>
        <v>0.40637952906717079</v>
      </c>
      <c r="O3285" s="2">
        <f ca="1"/>
        <v>-0.6903044537928934</v>
      </c>
      <c r="X3285" s="2">
        <f ca="1"/>
        <v>49.943504924767758</v>
      </c>
      <c r="AG3285" s="2">
        <f ca="1"/>
        <v>0.2071343204519267</v>
      </c>
      <c r="AH3285" s="2" t="str">
        <f ca="1"/>
        <v>OK</v>
      </c>
    </row>
    <row r="3286" spans="2:34" x14ac:dyDescent="0.2">
      <c r="B3286" s="2">
        <f ca="1"/>
        <v>0.26742251132519224</v>
      </c>
      <c r="O3286" s="2">
        <f ca="1"/>
        <v>-0.6057419196635343</v>
      </c>
      <c r="X3286" s="2">
        <f ca="1"/>
        <v>69.77373798043115</v>
      </c>
      <c r="AG3286" s="2">
        <f ca="1"/>
        <v>0.40494452295821626</v>
      </c>
      <c r="AH3286" s="2" t="str">
        <f ca="1"/>
        <v>Bad</v>
      </c>
    </row>
    <row r="3287" spans="2:34" x14ac:dyDescent="0.2">
      <c r="B3287" s="2">
        <f ca="1"/>
        <v>0.73492107513041094</v>
      </c>
      <c r="O3287" s="2">
        <f ca="1"/>
        <v>0.4414665435973984</v>
      </c>
      <c r="X3287" s="2">
        <f ca="1"/>
        <v>47.318701169217967</v>
      </c>
      <c r="AG3287" s="2">
        <f ca="1"/>
        <v>0.27150648209298622</v>
      </c>
      <c r="AH3287" s="2" t="str">
        <f ca="1"/>
        <v>OK</v>
      </c>
    </row>
    <row r="3288" spans="2:34" x14ac:dyDescent="0.2">
      <c r="B3288" s="2">
        <f ca="1"/>
        <v>1.6697149387222776E-2</v>
      </c>
      <c r="O3288" s="2">
        <f ca="1"/>
        <v>1.8699155181888416</v>
      </c>
      <c r="X3288" s="2">
        <f ca="1"/>
        <v>54.908967385960494</v>
      </c>
      <c r="AG3288" s="2">
        <f ca="1"/>
        <v>0.37580225735072803</v>
      </c>
      <c r="AH3288" s="2" t="str">
        <f ca="1"/>
        <v>OK</v>
      </c>
    </row>
    <row r="3289" spans="2:34" x14ac:dyDescent="0.2">
      <c r="B3289" s="2">
        <f ca="1"/>
        <v>0.70744643325570622</v>
      </c>
      <c r="O3289" s="2">
        <f ca="1"/>
        <v>0.1419221685922967</v>
      </c>
      <c r="X3289" s="2">
        <f ca="1"/>
        <v>62.443444231767522</v>
      </c>
      <c r="AG3289" s="2">
        <f ca="1"/>
        <v>6.3880767316690568E-2</v>
      </c>
      <c r="AH3289" s="2" t="str">
        <f ca="1"/>
        <v>OK</v>
      </c>
    </row>
    <row r="3290" spans="2:34" x14ac:dyDescent="0.2">
      <c r="B3290" s="2">
        <f ca="1"/>
        <v>0.67387747814285737</v>
      </c>
      <c r="O3290" s="2">
        <f ca="1"/>
        <v>-1.5667361585714346</v>
      </c>
      <c r="X3290" s="2">
        <f ca="1"/>
        <v>22.181680486941161</v>
      </c>
      <c r="AG3290" s="2">
        <f ca="1"/>
        <v>0.99998806101116733</v>
      </c>
      <c r="AH3290" s="2" t="str">
        <f ca="1"/>
        <v>Bad</v>
      </c>
    </row>
    <row r="3291" spans="2:34" x14ac:dyDescent="0.2">
      <c r="B3291" s="2">
        <f ca="1"/>
        <v>0.97906569693230727</v>
      </c>
      <c r="O3291" s="2">
        <f ca="1"/>
        <v>-1.3887443238987793</v>
      </c>
      <c r="X3291" s="2">
        <f ca="1"/>
        <v>49.447810981472024</v>
      </c>
      <c r="AG3291" s="2">
        <f ca="1"/>
        <v>2.8646910921798163E-2</v>
      </c>
      <c r="AH3291" s="2" t="str">
        <f ca="1"/>
        <v>Good</v>
      </c>
    </row>
    <row r="3292" spans="2:34" x14ac:dyDescent="0.2">
      <c r="B3292" s="2">
        <f ca="1"/>
        <v>3.9013184316809557E-3</v>
      </c>
      <c r="O3292" s="2">
        <f ca="1"/>
        <v>0.24038872942664727</v>
      </c>
      <c r="X3292" s="2">
        <f ca="1"/>
        <v>54.845381928067894</v>
      </c>
      <c r="AG3292" s="2">
        <f ca="1"/>
        <v>0.38861780102787558</v>
      </c>
      <c r="AH3292" s="2" t="str">
        <f ca="1"/>
        <v>OK</v>
      </c>
    </row>
    <row r="3293" spans="2:34" x14ac:dyDescent="0.2">
      <c r="B3293" s="2">
        <f ca="1"/>
        <v>0.57520570714943386</v>
      </c>
      <c r="O3293" s="2">
        <f ca="1"/>
        <v>0.87118088945438632</v>
      </c>
      <c r="X3293" s="2">
        <f ca="1"/>
        <v>39.395220126714882</v>
      </c>
      <c r="AG3293" s="2">
        <f ca="1"/>
        <v>0.6444268858448432</v>
      </c>
      <c r="AH3293" s="2" t="str">
        <f ca="1"/>
        <v>Bad</v>
      </c>
    </row>
    <row r="3294" spans="2:34" x14ac:dyDescent="0.2">
      <c r="B3294" s="2">
        <f ca="1"/>
        <v>0.44551056965790115</v>
      </c>
      <c r="O3294" s="2">
        <f ca="1"/>
        <v>-2.1400544385654554E-3</v>
      </c>
      <c r="X3294" s="2">
        <f ca="1"/>
        <v>29.117754719661164</v>
      </c>
      <c r="AG3294" s="2">
        <f ca="1"/>
        <v>0.72489281819749452</v>
      </c>
      <c r="AH3294" s="2" t="str">
        <f ca="1"/>
        <v>Bad</v>
      </c>
    </row>
    <row r="3295" spans="2:34" x14ac:dyDescent="0.2">
      <c r="B3295" s="2">
        <f ca="1"/>
        <v>0.3977952856164193</v>
      </c>
      <c r="O3295" s="2">
        <f ca="1"/>
        <v>-0.77219678566601657</v>
      </c>
      <c r="X3295" s="2">
        <f ca="1"/>
        <v>53.746844707683614</v>
      </c>
      <c r="AG3295" s="2">
        <f ca="1"/>
        <v>0.44987152712687739</v>
      </c>
      <c r="AH3295" s="2" t="str">
        <f ca="1"/>
        <v>Bad</v>
      </c>
    </row>
    <row r="3296" spans="2:34" x14ac:dyDescent="0.2">
      <c r="B3296" s="2">
        <f ca="1"/>
        <v>0.76066778913296251</v>
      </c>
      <c r="O3296" s="2">
        <f ca="1"/>
        <v>0.42329175002730235</v>
      </c>
      <c r="X3296" s="2">
        <f ca="1"/>
        <v>40.44393112279738</v>
      </c>
      <c r="AG3296" s="2">
        <f ca="1"/>
        <v>0.35480635184808262</v>
      </c>
      <c r="AH3296" s="2" t="str">
        <f ca="1"/>
        <v>OK</v>
      </c>
    </row>
    <row r="3297" spans="2:34" x14ac:dyDescent="0.2">
      <c r="B3297" s="2">
        <f ca="1"/>
        <v>0.51418502882881789</v>
      </c>
      <c r="O3297" s="2">
        <f ca="1"/>
        <v>0.57014733451594868</v>
      </c>
      <c r="X3297" s="2">
        <f ca="1"/>
        <v>40.684114512870728</v>
      </c>
      <c r="AG3297" s="2">
        <f ca="1"/>
        <v>0.33824279304045723</v>
      </c>
      <c r="AH3297" s="2" t="str">
        <f ca="1"/>
        <v>OK</v>
      </c>
    </row>
    <row r="3298" spans="2:34" x14ac:dyDescent="0.2">
      <c r="B3298" s="2">
        <f ca="1"/>
        <v>0.94464423862586089</v>
      </c>
      <c r="O3298" s="2">
        <f ca="1"/>
        <v>-0.71146646412036685</v>
      </c>
      <c r="X3298" s="2">
        <f ca="1"/>
        <v>53.385435686865215</v>
      </c>
      <c r="AG3298" s="2">
        <f ca="1"/>
        <v>0.5773610568205203</v>
      </c>
      <c r="AH3298" s="2" t="str">
        <f ca="1"/>
        <v>Bad</v>
      </c>
    </row>
    <row r="3299" spans="2:34" x14ac:dyDescent="0.2">
      <c r="B3299" s="2">
        <f ca="1"/>
        <v>0.29963948822597719</v>
      </c>
      <c r="O3299" s="2">
        <f ca="1"/>
        <v>0.41421461995906467</v>
      </c>
      <c r="X3299" s="2">
        <f ca="1"/>
        <v>67.359773056009402</v>
      </c>
      <c r="AG3299" s="2">
        <f ca="1"/>
        <v>0.27159341802609349</v>
      </c>
      <c r="AH3299" s="2" t="str">
        <f ca="1"/>
        <v>OK</v>
      </c>
    </row>
    <row r="3300" spans="2:34" x14ac:dyDescent="0.2">
      <c r="B3300" s="2">
        <f ca="1"/>
        <v>0.40579374886411479</v>
      </c>
      <c r="O3300" s="2">
        <f ca="1"/>
        <v>-0.49145946919475886</v>
      </c>
      <c r="X3300" s="2">
        <f ca="1"/>
        <v>64.166547130336909</v>
      </c>
      <c r="AG3300" s="2">
        <f ca="1"/>
        <v>0.93437522153339292</v>
      </c>
      <c r="AH3300" s="2" t="str">
        <f ca="1"/>
        <v>Bad</v>
      </c>
    </row>
    <row r="3301" spans="2:34" x14ac:dyDescent="0.2">
      <c r="B3301" s="2">
        <f ca="1"/>
        <v>0.26709631817707224</v>
      </c>
      <c r="O3301" s="2">
        <f ca="1"/>
        <v>1.2499602378321677</v>
      </c>
      <c r="X3301" s="2">
        <f ca="1"/>
        <v>27.396115107337891</v>
      </c>
      <c r="AG3301" s="2">
        <f ca="1"/>
        <v>0.33729906044641078</v>
      </c>
      <c r="AH3301" s="2" t="str">
        <f ca="1"/>
        <v>OK</v>
      </c>
    </row>
    <row r="3302" spans="2:34" x14ac:dyDescent="0.2">
      <c r="B3302" s="2">
        <f ca="1"/>
        <v>0.26958166318935683</v>
      </c>
      <c r="O3302" s="2">
        <f ca="1"/>
        <v>-0.55118977808962499</v>
      </c>
      <c r="X3302" s="2">
        <f ca="1"/>
        <v>60.206258847377299</v>
      </c>
      <c r="AG3302" s="2">
        <f ca="1"/>
        <v>0.51771732346928445</v>
      </c>
      <c r="AH3302" s="2" t="str">
        <f ca="1"/>
        <v>Bad</v>
      </c>
    </row>
    <row r="3303" spans="2:34" x14ac:dyDescent="0.2">
      <c r="B3303" s="2">
        <f ca="1"/>
        <v>0.53868234875871446</v>
      </c>
      <c r="O3303" s="2">
        <f ca="1"/>
        <v>-0.9002887304987075</v>
      </c>
      <c r="X3303" s="2">
        <f ca="1"/>
        <v>35.132184001526824</v>
      </c>
      <c r="AG3303" s="2">
        <f ca="1"/>
        <v>0.64213052082679978</v>
      </c>
      <c r="AH3303" s="2" t="str">
        <f ca="1"/>
        <v>Bad</v>
      </c>
    </row>
    <row r="3304" spans="2:34" x14ac:dyDescent="0.2">
      <c r="B3304" s="2">
        <f ca="1"/>
        <v>0.61896205030419704</v>
      </c>
      <c r="O3304" s="2">
        <f ca="1"/>
        <v>1.5653415015740753E-2</v>
      </c>
      <c r="X3304" s="2">
        <f ca="1"/>
        <v>67.78671326952022</v>
      </c>
      <c r="AG3304" s="2">
        <f ca="1"/>
        <v>0.50472706768365394</v>
      </c>
      <c r="AH3304" s="2" t="str">
        <f ca="1"/>
        <v>Bad</v>
      </c>
    </row>
    <row r="3305" spans="2:34" x14ac:dyDescent="0.2">
      <c r="B3305" s="2">
        <f ca="1"/>
        <v>0.87669399256451763</v>
      </c>
      <c r="O3305" s="2">
        <f ca="1"/>
        <v>-1.7992321181331601</v>
      </c>
      <c r="X3305" s="2">
        <f ca="1"/>
        <v>32.586444761695141</v>
      </c>
      <c r="AG3305" s="2">
        <f ca="1"/>
        <v>0.51478816595841659</v>
      </c>
      <c r="AH3305" s="2" t="str">
        <f ca="1"/>
        <v>Bad</v>
      </c>
    </row>
    <row r="3306" spans="2:34" x14ac:dyDescent="0.2">
      <c r="B3306" s="2">
        <f ca="1"/>
        <v>3.308406264165753E-2</v>
      </c>
      <c r="O3306" s="2">
        <f ca="1"/>
        <v>0.19742187980719228</v>
      </c>
      <c r="X3306" s="2">
        <f ca="1"/>
        <v>60.358914980757802</v>
      </c>
      <c r="AG3306" s="2">
        <f ca="1"/>
        <v>0.23399319952338482</v>
      </c>
      <c r="AH3306" s="2" t="str">
        <f ca="1"/>
        <v>OK</v>
      </c>
    </row>
    <row r="3307" spans="2:34" x14ac:dyDescent="0.2">
      <c r="B3307" s="2">
        <f ca="1"/>
        <v>0.84801273082148065</v>
      </c>
      <c r="O3307" s="2">
        <f ca="1"/>
        <v>0.7231654379404846</v>
      </c>
      <c r="X3307" s="2">
        <f ca="1"/>
        <v>47.096903454804711</v>
      </c>
      <c r="AG3307" s="2">
        <f ca="1"/>
        <v>0.58046760239078532</v>
      </c>
      <c r="AH3307" s="2" t="str">
        <f ca="1"/>
        <v>Bad</v>
      </c>
    </row>
    <row r="3308" spans="2:34" x14ac:dyDescent="0.2">
      <c r="B3308" s="2">
        <f ca="1"/>
        <v>0.44985854110223733</v>
      </c>
      <c r="O3308" s="2">
        <f ca="1"/>
        <v>0.81492785103859577</v>
      </c>
      <c r="X3308" s="2">
        <f ca="1"/>
        <v>49.270150153357967</v>
      </c>
      <c r="AG3308" s="2">
        <f ca="1"/>
        <v>0.72720092965393457</v>
      </c>
      <c r="AH3308" s="2" t="str">
        <f ca="1"/>
        <v>Bad</v>
      </c>
    </row>
    <row r="3309" spans="2:34" x14ac:dyDescent="0.2">
      <c r="B3309" s="2">
        <f ca="1"/>
        <v>0.16588670896653945</v>
      </c>
      <c r="O3309" s="2">
        <f ca="1"/>
        <v>0.91249772630703763</v>
      </c>
      <c r="X3309" s="2">
        <f ca="1"/>
        <v>16.066282508628255</v>
      </c>
      <c r="AG3309" s="2">
        <f ca="1"/>
        <v>6.2026876771791972E-2</v>
      </c>
      <c r="AH3309" s="2" t="str">
        <f ca="1"/>
        <v>OK</v>
      </c>
    </row>
    <row r="3310" spans="2:34" x14ac:dyDescent="0.2">
      <c r="B3310" s="2">
        <f ca="1"/>
        <v>0.51304510190819252</v>
      </c>
      <c r="O3310" s="2">
        <f ca="1"/>
        <v>1.160805243787904</v>
      </c>
      <c r="X3310" s="2">
        <f ca="1"/>
        <v>51.728567394382203</v>
      </c>
      <c r="AG3310" s="2">
        <f ca="1"/>
        <v>1.0120586107362328E-2</v>
      </c>
      <c r="AH3310" s="2" t="str">
        <f ca="1"/>
        <v>Good</v>
      </c>
    </row>
    <row r="3311" spans="2:34" x14ac:dyDescent="0.2">
      <c r="B3311" s="2">
        <f ca="1"/>
        <v>0.50474134561357031</v>
      </c>
      <c r="O3311" s="2">
        <f ca="1"/>
        <v>0.23976257267051906</v>
      </c>
      <c r="X3311" s="2">
        <f ca="1"/>
        <v>63.457942113680289</v>
      </c>
      <c r="AG3311" s="2">
        <f ca="1"/>
        <v>0.39433423800529699</v>
      </c>
      <c r="AH3311" s="2" t="str">
        <f ca="1"/>
        <v>OK</v>
      </c>
    </row>
    <row r="3312" spans="2:34" x14ac:dyDescent="0.2">
      <c r="B3312" s="2">
        <f ca="1"/>
        <v>0.49675090264790622</v>
      </c>
      <c r="O3312" s="2">
        <f ca="1"/>
        <v>-0.49513007635818868</v>
      </c>
      <c r="X3312" s="2">
        <f ca="1"/>
        <v>70.868475122399246</v>
      </c>
      <c r="AG3312" s="2">
        <f ca="1"/>
        <v>0.45281785275131869</v>
      </c>
      <c r="AH3312" s="2" t="str">
        <f ca="1"/>
        <v>Bad</v>
      </c>
    </row>
    <row r="3313" spans="2:34" x14ac:dyDescent="0.2">
      <c r="B3313" s="2">
        <f ca="1"/>
        <v>0.84259185098609324</v>
      </c>
      <c r="O3313" s="2">
        <f ca="1"/>
        <v>-0.50744910534381849</v>
      </c>
      <c r="X3313" s="2">
        <f ca="1"/>
        <v>27.027656940441368</v>
      </c>
      <c r="AG3313" s="2">
        <f ca="1"/>
        <v>0.42829224893978957</v>
      </c>
      <c r="AH3313" s="2" t="str">
        <f ca="1"/>
        <v>Bad</v>
      </c>
    </row>
    <row r="3314" spans="2:34" x14ac:dyDescent="0.2">
      <c r="B3314" s="2">
        <f ca="1"/>
        <v>0.18615391194500952</v>
      </c>
      <c r="O3314" s="2">
        <f ca="1"/>
        <v>-0.6743083678786993</v>
      </c>
      <c r="X3314" s="2">
        <f ca="1"/>
        <v>79.398206150169003</v>
      </c>
      <c r="AG3314" s="2">
        <f ca="1"/>
        <v>0.96685572983520207</v>
      </c>
      <c r="AH3314" s="2" t="str">
        <f ca="1"/>
        <v>Bad</v>
      </c>
    </row>
    <row r="3315" spans="2:34" x14ac:dyDescent="0.2">
      <c r="B3315" s="2">
        <f ca="1"/>
        <v>0.61021386064158034</v>
      </c>
      <c r="O3315" s="2">
        <f ca="1"/>
        <v>0.1003471320994099</v>
      </c>
      <c r="X3315" s="2">
        <f ca="1"/>
        <v>30.651490377447487</v>
      </c>
      <c r="AG3315" s="2">
        <f ca="1"/>
        <v>0.69949680685797855</v>
      </c>
      <c r="AH3315" s="2" t="str">
        <f ca="1"/>
        <v>Bad</v>
      </c>
    </row>
    <row r="3316" spans="2:34" x14ac:dyDescent="0.2">
      <c r="B3316" s="2">
        <f ca="1"/>
        <v>0.49560079371708143</v>
      </c>
      <c r="O3316" s="2">
        <f ca="1"/>
        <v>0.77432466310012216</v>
      </c>
      <c r="X3316" s="2">
        <f ca="1"/>
        <v>53.562919304934915</v>
      </c>
      <c r="AG3316" s="2">
        <f ca="1"/>
        <v>6.5197813280790218E-2</v>
      </c>
      <c r="AH3316" s="2" t="str">
        <f ca="1"/>
        <v>OK</v>
      </c>
    </row>
    <row r="3317" spans="2:34" x14ac:dyDescent="0.2">
      <c r="B3317" s="2">
        <f ca="1"/>
        <v>0.73395799020531061</v>
      </c>
      <c r="O3317" s="2">
        <f ca="1"/>
        <v>1.3091944398736408</v>
      </c>
      <c r="X3317" s="2">
        <f ca="1"/>
        <v>25.079350612497699</v>
      </c>
      <c r="AG3317" s="2">
        <f ca="1"/>
        <v>0.74850554078884057</v>
      </c>
      <c r="AH3317" s="2" t="str">
        <f ca="1"/>
        <v>Bad</v>
      </c>
    </row>
    <row r="3318" spans="2:34" x14ac:dyDescent="0.2">
      <c r="B3318" s="2">
        <f ca="1"/>
        <v>0.1708100539931674</v>
      </c>
      <c r="O3318" s="2">
        <f ca="1"/>
        <v>-1.7553899177312584</v>
      </c>
      <c r="X3318" s="2">
        <f ca="1"/>
        <v>37.724944408417784</v>
      </c>
      <c r="AG3318" s="2">
        <f ca="1"/>
        <v>0.81966824778326197</v>
      </c>
      <c r="AH3318" s="2" t="str">
        <f ca="1"/>
        <v>Bad</v>
      </c>
    </row>
    <row r="3319" spans="2:34" x14ac:dyDescent="0.2">
      <c r="B3319" s="2">
        <f ca="1"/>
        <v>0.21013468475782782</v>
      </c>
      <c r="O3319" s="2">
        <f ca="1"/>
        <v>-1.5538897544602863</v>
      </c>
      <c r="X3319" s="2">
        <f ca="1"/>
        <v>51.335438909278572</v>
      </c>
      <c r="AG3319" s="2">
        <f ca="1"/>
        <v>1.1408515507435713E-2</v>
      </c>
      <c r="AH3319" s="2" t="str">
        <f ca="1"/>
        <v>Good</v>
      </c>
    </row>
    <row r="3320" spans="2:34" x14ac:dyDescent="0.2">
      <c r="B3320" s="2">
        <f ca="1"/>
        <v>0.63388721768536183</v>
      </c>
      <c r="O3320" s="2">
        <f ca="1"/>
        <v>0.49425255957677011</v>
      </c>
      <c r="X3320" s="2">
        <f ca="1"/>
        <v>31.22589714335351</v>
      </c>
      <c r="AG3320" s="2">
        <f ca="1"/>
        <v>0.42634499421129357</v>
      </c>
      <c r="AH3320" s="2" t="str">
        <f ca="1"/>
        <v>Bad</v>
      </c>
    </row>
    <row r="3321" spans="2:34" x14ac:dyDescent="0.2">
      <c r="B3321" s="2">
        <f ca="1"/>
        <v>0.86187775642194753</v>
      </c>
      <c r="O3321" s="2">
        <f ca="1"/>
        <v>1.7158107139366552</v>
      </c>
      <c r="X3321" s="2">
        <f ca="1"/>
        <v>43.306825243806692</v>
      </c>
      <c r="AG3321" s="2">
        <f ca="1"/>
        <v>0.2140025859165664</v>
      </c>
      <c r="AH3321" s="2" t="str">
        <f ca="1"/>
        <v>OK</v>
      </c>
    </row>
    <row r="3322" spans="2:34" x14ac:dyDescent="0.2">
      <c r="B3322" s="2">
        <f ca="1"/>
        <v>0.5655474389767976</v>
      </c>
      <c r="O3322" s="2">
        <f ca="1"/>
        <v>0.13187686519279646</v>
      </c>
      <c r="X3322" s="2">
        <f ca="1"/>
        <v>37.191541349029329</v>
      </c>
      <c r="AG3322" s="2">
        <f ca="1"/>
        <v>0.37721880883729697</v>
      </c>
      <c r="AH3322" s="2" t="str">
        <f ca="1"/>
        <v>OK</v>
      </c>
    </row>
    <row r="3323" spans="2:34" x14ac:dyDescent="0.2">
      <c r="B3323" s="2">
        <f ca="1"/>
        <v>0.11305498817753934</v>
      </c>
      <c r="O3323" s="2">
        <f ca="1"/>
        <v>1.5616565355896608</v>
      </c>
      <c r="X3323" s="2">
        <f ca="1"/>
        <v>61.125357347256852</v>
      </c>
      <c r="AG3323" s="2">
        <f ca="1"/>
        <v>0.60675542832069462</v>
      </c>
      <c r="AH3323" s="2" t="str">
        <f ca="1"/>
        <v>Bad</v>
      </c>
    </row>
    <row r="3324" spans="2:34" x14ac:dyDescent="0.2">
      <c r="B3324" s="2">
        <f ca="1"/>
        <v>0.63516583017837291</v>
      </c>
      <c r="O3324" s="2">
        <f ca="1"/>
        <v>2.1349691059983296</v>
      </c>
      <c r="X3324" s="2">
        <f ca="1"/>
        <v>41.650317715446725</v>
      </c>
      <c r="AG3324" s="2">
        <f ca="1"/>
        <v>0.33767062529945968</v>
      </c>
      <c r="AH3324" s="2" t="str">
        <f ca="1"/>
        <v>OK</v>
      </c>
    </row>
    <row r="3325" spans="2:34" x14ac:dyDescent="0.2">
      <c r="B3325" s="2">
        <f ca="1"/>
        <v>0.56250632065904993</v>
      </c>
      <c r="O3325" s="2">
        <f ca="1"/>
        <v>-1.7221617274287617</v>
      </c>
      <c r="X3325" s="2">
        <f ca="1"/>
        <v>67.756948872855318</v>
      </c>
      <c r="AG3325" s="2">
        <f ca="1"/>
        <v>0.81467980542528085</v>
      </c>
      <c r="AH3325" s="2" t="str">
        <f ca="1"/>
        <v>Bad</v>
      </c>
    </row>
    <row r="3326" spans="2:34" x14ac:dyDescent="0.2">
      <c r="B3326" s="2">
        <f ca="1"/>
        <v>0.34735138716271785</v>
      </c>
      <c r="O3326" s="2">
        <f ca="1"/>
        <v>-0.20621379858885247</v>
      </c>
      <c r="X3326" s="2">
        <f ca="1"/>
        <v>36.090893798897035</v>
      </c>
      <c r="AG3326" s="2">
        <f ca="1"/>
        <v>0.3402405720476549</v>
      </c>
      <c r="AH3326" s="2" t="str">
        <f ca="1"/>
        <v>OK</v>
      </c>
    </row>
    <row r="3327" spans="2:34" x14ac:dyDescent="0.2">
      <c r="B3327" s="2">
        <f ca="1"/>
        <v>0.22969461593395102</v>
      </c>
      <c r="O3327" s="2">
        <f ca="1"/>
        <v>-0.35786962984637694</v>
      </c>
      <c r="X3327" s="2">
        <f ca="1"/>
        <v>51.149777679543462</v>
      </c>
      <c r="AG3327" s="2">
        <f ca="1"/>
        <v>0.17852704179040746</v>
      </c>
      <c r="AH3327" s="2" t="str">
        <f ca="1"/>
        <v>OK</v>
      </c>
    </row>
    <row r="3328" spans="2:34" x14ac:dyDescent="0.2">
      <c r="B3328" s="2">
        <f ca="1"/>
        <v>0.66021921466713995</v>
      </c>
      <c r="O3328" s="2">
        <f ca="1"/>
        <v>-0.58532221955595976</v>
      </c>
      <c r="X3328" s="2">
        <f ca="1"/>
        <v>54.608085753757798</v>
      </c>
      <c r="AG3328" s="2">
        <f ca="1"/>
        <v>0.89427442130891666</v>
      </c>
      <c r="AH3328" s="2" t="str">
        <f ca="1"/>
        <v>Bad</v>
      </c>
    </row>
    <row r="3329" spans="2:34" x14ac:dyDescent="0.2">
      <c r="B3329" s="2">
        <f ca="1"/>
        <v>0.58573310942289236</v>
      </c>
      <c r="O3329" s="2">
        <f ca="1"/>
        <v>-0.27785572137106318</v>
      </c>
      <c r="X3329" s="2">
        <f ca="1"/>
        <v>43.845487197024354</v>
      </c>
      <c r="AG3329" s="2">
        <f ca="1"/>
        <v>0.40214276525586756</v>
      </c>
      <c r="AH3329" s="2" t="str">
        <f ca="1"/>
        <v>Bad</v>
      </c>
    </row>
    <row r="3330" spans="2:34" x14ac:dyDescent="0.2">
      <c r="B3330" s="2">
        <f ca="1"/>
        <v>0.97753616844287294</v>
      </c>
      <c r="O3330" s="2">
        <f ca="1"/>
        <v>-0.62140220146416836</v>
      </c>
      <c r="X3330" s="2">
        <f ca="1"/>
        <v>31.457056745652952</v>
      </c>
      <c r="AG3330" s="2">
        <f ca="1"/>
        <v>0.46202751216662485</v>
      </c>
      <c r="AH3330" s="2" t="str">
        <f ca="1"/>
        <v>Bad</v>
      </c>
    </row>
    <row r="3331" spans="2:34" x14ac:dyDescent="0.2">
      <c r="B3331" s="2">
        <f ca="1"/>
        <v>0.69431211089436884</v>
      </c>
      <c r="O3331" s="2">
        <f ca="1"/>
        <v>0.65961283051054043</v>
      </c>
      <c r="X3331" s="2">
        <f ca="1"/>
        <v>65.594118011848806</v>
      </c>
      <c r="AG3331" s="2">
        <f ca="1"/>
        <v>0.69526416595429108</v>
      </c>
      <c r="AH3331" s="2" t="str">
        <f ca="1"/>
        <v>Bad</v>
      </c>
    </row>
    <row r="3332" spans="2:34" x14ac:dyDescent="0.2">
      <c r="B3332" s="2">
        <f ca="1"/>
        <v>0.98592477350771146</v>
      </c>
      <c r="O3332" s="2">
        <f ca="1"/>
        <v>-1.4709989386699016</v>
      </c>
      <c r="X3332" s="2">
        <f ca="1"/>
        <v>54.329900456371533</v>
      </c>
      <c r="AG3332" s="2">
        <f ca="1"/>
        <v>0.4213921800890803</v>
      </c>
      <c r="AH3332" s="2" t="str">
        <f ca="1"/>
        <v>Bad</v>
      </c>
    </row>
    <row r="3333" spans="2:34" x14ac:dyDescent="0.2">
      <c r="B3333" s="2">
        <f ca="1"/>
        <v>0.55349272961637985</v>
      </c>
      <c r="O3333" s="2">
        <f ca="1"/>
        <v>1.620203140851957</v>
      </c>
      <c r="X3333" s="2">
        <f ca="1"/>
        <v>60.9243378926231</v>
      </c>
      <c r="AG3333" s="2">
        <f ca="1"/>
        <v>0.33015038231883898</v>
      </c>
      <c r="AH3333" s="2" t="str">
        <f ca="1"/>
        <v>OK</v>
      </c>
    </row>
    <row r="3334" spans="2:34" x14ac:dyDescent="0.2">
      <c r="B3334" s="2">
        <f ca="1"/>
        <v>0.61942279463751548</v>
      </c>
      <c r="O3334" s="2">
        <f ca="1"/>
        <v>0.16375465158879635</v>
      </c>
      <c r="X3334" s="2">
        <f ca="1"/>
        <v>40.468630123579537</v>
      </c>
      <c r="AG3334" s="2">
        <f ca="1"/>
        <v>0.20150963591037918</v>
      </c>
      <c r="AH3334" s="2" t="str">
        <f ca="1"/>
        <v>OK</v>
      </c>
    </row>
    <row r="3335" spans="2:34" x14ac:dyDescent="0.2">
      <c r="B3335" s="2">
        <f ca="1"/>
        <v>0.41766551365185944</v>
      </c>
      <c r="O3335" s="2">
        <f ca="1"/>
        <v>0.34703988727460078</v>
      </c>
      <c r="X3335" s="2">
        <f ca="1"/>
        <v>58.03342486799594</v>
      </c>
      <c r="AG3335" s="2">
        <f ca="1"/>
        <v>0.94045420505814015</v>
      </c>
      <c r="AH3335" s="2" t="str">
        <f ca="1"/>
        <v>Bad</v>
      </c>
    </row>
    <row r="3336" spans="2:34" x14ac:dyDescent="0.2">
      <c r="B3336" s="2">
        <f ca="1"/>
        <v>0.61645910065495135</v>
      </c>
      <c r="O3336" s="2">
        <f ca="1"/>
        <v>-1.6755044310609621</v>
      </c>
      <c r="X3336" s="2">
        <f ca="1"/>
        <v>50.386215517153914</v>
      </c>
      <c r="AG3336" s="2">
        <f ca="1"/>
        <v>0.70818628890663704</v>
      </c>
      <c r="AH3336" s="2" t="str">
        <f ca="1"/>
        <v>Bad</v>
      </c>
    </row>
    <row r="3337" spans="2:34" x14ac:dyDescent="0.2">
      <c r="B3337" s="2">
        <f ca="1"/>
        <v>0.7100481586630718</v>
      </c>
      <c r="O3337" s="2">
        <f ca="1"/>
        <v>0.33131026219982435</v>
      </c>
      <c r="X3337" s="2">
        <f ca="1"/>
        <v>50.880456457484371</v>
      </c>
      <c r="AG3337" s="2">
        <f ca="1"/>
        <v>0.16015012898984859</v>
      </c>
      <c r="AH3337" s="2" t="str">
        <f ca="1"/>
        <v>OK</v>
      </c>
    </row>
    <row r="3338" spans="2:34" x14ac:dyDescent="0.2">
      <c r="B3338" s="2">
        <f ca="1"/>
        <v>2.1880791886252249E-2</v>
      </c>
      <c r="O3338" s="2">
        <f ca="1"/>
        <v>-2.6465679429415583</v>
      </c>
      <c r="X3338" s="2">
        <f ca="1"/>
        <v>71.186584385219916</v>
      </c>
      <c r="AG3338" s="2">
        <f ca="1"/>
        <v>0.765539149663651</v>
      </c>
      <c r="AH3338" s="2" t="str">
        <f ca="1"/>
        <v>Bad</v>
      </c>
    </row>
    <row r="3339" spans="2:34" x14ac:dyDescent="0.2">
      <c r="B3339" s="2">
        <f ca="1"/>
        <v>0.29945542546604065</v>
      </c>
      <c r="O3339" s="2">
        <f ca="1"/>
        <v>-0.22092244066778677</v>
      </c>
      <c r="X3339" s="2">
        <f ca="1"/>
        <v>56.517672329626734</v>
      </c>
      <c r="AG3339" s="2">
        <f ca="1"/>
        <v>0.27008050826039653</v>
      </c>
      <c r="AH3339" s="2" t="str">
        <f ca="1"/>
        <v>OK</v>
      </c>
    </row>
    <row r="3340" spans="2:34" x14ac:dyDescent="0.2">
      <c r="B3340" s="2">
        <f ca="1"/>
        <v>0.88240469616021922</v>
      </c>
      <c r="O3340" s="2">
        <f ca="1"/>
        <v>0.91789185359967984</v>
      </c>
      <c r="X3340" s="2">
        <f ca="1"/>
        <v>44.643417885286524</v>
      </c>
      <c r="AG3340" s="2">
        <f ca="1"/>
        <v>0.42265252937104347</v>
      </c>
      <c r="AH3340" s="2" t="str">
        <f ca="1"/>
        <v>Bad</v>
      </c>
    </row>
    <row r="3341" spans="2:34" x14ac:dyDescent="0.2">
      <c r="B3341" s="2">
        <f ca="1"/>
        <v>0.15882224499717634</v>
      </c>
      <c r="O3341" s="2">
        <f ca="1"/>
        <v>-0.50017979010347813</v>
      </c>
      <c r="X3341" s="2">
        <f ca="1"/>
        <v>32.015217473871573</v>
      </c>
      <c r="AG3341" s="2">
        <f ca="1"/>
        <v>0.27004544674958719</v>
      </c>
      <c r="AH3341" s="2" t="str">
        <f ca="1"/>
        <v>OK</v>
      </c>
    </row>
    <row r="3342" spans="2:34" x14ac:dyDescent="0.2">
      <c r="B3342" s="2">
        <f ca="1"/>
        <v>0.76950465578004512</v>
      </c>
      <c r="O3342" s="2">
        <f ca="1"/>
        <v>-0.92580693990588547</v>
      </c>
      <c r="X3342" s="2">
        <f ca="1"/>
        <v>43.189127166407133</v>
      </c>
      <c r="AG3342" s="2">
        <f ca="1"/>
        <v>0.87867408671747027</v>
      </c>
      <c r="AH3342" s="2" t="str">
        <f ca="1"/>
        <v>Bad</v>
      </c>
    </row>
    <row r="3343" spans="2:34" x14ac:dyDescent="0.2">
      <c r="B3343" s="2">
        <f ca="1"/>
        <v>0.91535448068592484</v>
      </c>
      <c r="O3343" s="2">
        <f ca="1"/>
        <v>0.86713065239931464</v>
      </c>
      <c r="X3343" s="2">
        <f ca="1"/>
        <v>69.343273982590404</v>
      </c>
      <c r="AG3343" s="2">
        <f ca="1"/>
        <v>0.75850762880258005</v>
      </c>
      <c r="AH3343" s="2" t="str">
        <f ca="1"/>
        <v>Bad</v>
      </c>
    </row>
    <row r="3344" spans="2:34" x14ac:dyDescent="0.2">
      <c r="B3344" s="2">
        <f ca="1"/>
        <v>0.54917252221596469</v>
      </c>
      <c r="O3344" s="2">
        <f ca="1"/>
        <v>0.47554204680676654</v>
      </c>
      <c r="X3344" s="2">
        <f ca="1"/>
        <v>41.956074544872159</v>
      </c>
      <c r="AG3344" s="2">
        <f ca="1"/>
        <v>0.65291073484995366</v>
      </c>
      <c r="AH3344" s="2" t="str">
        <f ca="1"/>
        <v>Bad</v>
      </c>
    </row>
    <row r="3345" spans="2:34" x14ac:dyDescent="0.2">
      <c r="B3345" s="2">
        <f ca="1"/>
        <v>8.5734208144479407E-2</v>
      </c>
      <c r="O3345" s="2">
        <f ca="1"/>
        <v>1.2132713023977282</v>
      </c>
      <c r="X3345" s="2">
        <f ca="1"/>
        <v>62.848602137244939</v>
      </c>
      <c r="AG3345" s="2">
        <f ca="1"/>
        <v>0.7245617222155849</v>
      </c>
      <c r="AH3345" s="2" t="str">
        <f ca="1"/>
        <v>Bad</v>
      </c>
    </row>
    <row r="3346" spans="2:34" x14ac:dyDescent="0.2">
      <c r="B3346" s="2">
        <f ca="1"/>
        <v>0.1378412788764507</v>
      </c>
      <c r="O3346" s="2">
        <f ca="1"/>
        <v>0.29437887844467214</v>
      </c>
      <c r="X3346" s="2">
        <f ca="1"/>
        <v>61.66122794500879</v>
      </c>
      <c r="AG3346" s="2">
        <f ca="1"/>
        <v>0.46182842816735836</v>
      </c>
      <c r="AH3346" s="2" t="str">
        <f ca="1"/>
        <v>Bad</v>
      </c>
    </row>
    <row r="3347" spans="2:34" x14ac:dyDescent="0.2">
      <c r="B3347" s="2">
        <f ca="1"/>
        <v>0.38840169997866125</v>
      </c>
      <c r="O3347" s="2">
        <f ca="1"/>
        <v>0.29158292186310214</v>
      </c>
      <c r="X3347" s="2">
        <f ca="1"/>
        <v>51.12110919722565</v>
      </c>
      <c r="AG3347" s="2">
        <f ca="1"/>
        <v>0.64811853134317698</v>
      </c>
      <c r="AH3347" s="2" t="str">
        <f ca="1"/>
        <v>Bad</v>
      </c>
    </row>
    <row r="3348" spans="2:34" x14ac:dyDescent="0.2">
      <c r="B3348" s="2">
        <f ca="1"/>
        <v>0.31461030730968087</v>
      </c>
      <c r="O3348" s="2">
        <f ca="1"/>
        <v>-0.51665739100307062</v>
      </c>
      <c r="X3348" s="2">
        <f ca="1"/>
        <v>50.518932471998411</v>
      </c>
      <c r="AG3348" s="2">
        <f ca="1"/>
        <v>0.77736162257958386</v>
      </c>
      <c r="AH3348" s="2" t="str">
        <f ca="1"/>
        <v>Bad</v>
      </c>
    </row>
    <row r="3349" spans="2:34" x14ac:dyDescent="0.2">
      <c r="B3349" s="2">
        <f ca="1"/>
        <v>0.31621970201586036</v>
      </c>
      <c r="O3349" s="2">
        <f ca="1"/>
        <v>-0.62598139054131507</v>
      </c>
      <c r="X3349" s="2">
        <f ca="1"/>
        <v>52.916916237180544</v>
      </c>
      <c r="AG3349" s="2">
        <f ca="1"/>
        <v>0.99660740317375085</v>
      </c>
      <c r="AH3349" s="2" t="str">
        <f ca="1"/>
        <v>Bad</v>
      </c>
    </row>
    <row r="3350" spans="2:34" x14ac:dyDescent="0.2">
      <c r="B3350" s="2">
        <f ca="1"/>
        <v>0.64632106444269133</v>
      </c>
      <c r="O3350" s="2">
        <f ca="1"/>
        <v>0.32541017294399799</v>
      </c>
      <c r="X3350" s="2">
        <f ca="1"/>
        <v>49.022849600631446</v>
      </c>
      <c r="AG3350" s="2">
        <f ca="1"/>
        <v>0.43572407758648213</v>
      </c>
      <c r="AH3350" s="2" t="str">
        <f ca="1"/>
        <v>Bad</v>
      </c>
    </row>
    <row r="3351" spans="2:34" x14ac:dyDescent="0.2">
      <c r="B3351" s="2">
        <f ca="1"/>
        <v>0.17013276384595422</v>
      </c>
      <c r="O3351" s="2">
        <f ca="1"/>
        <v>-0.12974814098424631</v>
      </c>
      <c r="X3351" s="2">
        <f ca="1"/>
        <v>79.137623222939979</v>
      </c>
      <c r="AG3351" s="2">
        <f ca="1"/>
        <v>0.70196540416934261</v>
      </c>
      <c r="AH3351" s="2" t="str">
        <f ca="1"/>
        <v>Bad</v>
      </c>
    </row>
    <row r="3352" spans="2:34" x14ac:dyDescent="0.2">
      <c r="B3352" s="2">
        <f ca="1"/>
        <v>1.9644133554208132E-2</v>
      </c>
      <c r="O3352" s="2">
        <f ca="1"/>
        <v>-2.3775285773819148E-2</v>
      </c>
      <c r="X3352" s="2">
        <f ca="1"/>
        <v>71.22527522978568</v>
      </c>
      <c r="AG3352" s="2">
        <f ca="1"/>
        <v>0.38164149340003384</v>
      </c>
      <c r="AH3352" s="2" t="str">
        <f ca="1"/>
        <v>OK</v>
      </c>
    </row>
    <row r="3353" spans="2:34" x14ac:dyDescent="0.2">
      <c r="B3353" s="2">
        <f ca="1"/>
        <v>0.56324555533956322</v>
      </c>
      <c r="O3353" s="2">
        <f ca="1"/>
        <v>0.15135442555730577</v>
      </c>
      <c r="X3353" s="2">
        <f ca="1"/>
        <v>72.467271659657087</v>
      </c>
      <c r="AG3353" s="2">
        <f ca="1"/>
        <v>0.76284236699294672</v>
      </c>
      <c r="AH3353" s="2" t="str">
        <f ca="1"/>
        <v>Bad</v>
      </c>
    </row>
    <row r="3354" spans="2:34" x14ac:dyDescent="0.2">
      <c r="B3354" s="2">
        <f ca="1"/>
        <v>0.66542449838935025</v>
      </c>
      <c r="O3354" s="2">
        <f ca="1"/>
        <v>0.20636366464312203</v>
      </c>
      <c r="X3354" s="2">
        <f ca="1"/>
        <v>52.457867261608861</v>
      </c>
      <c r="AG3354" s="2">
        <f ca="1"/>
        <v>0.5962658669517491</v>
      </c>
      <c r="AH3354" s="2" t="str">
        <f ca="1"/>
        <v>Bad</v>
      </c>
    </row>
    <row r="3355" spans="2:34" x14ac:dyDescent="0.2">
      <c r="B3355" s="2">
        <f ca="1"/>
        <v>0.6789265259517363</v>
      </c>
      <c r="O3355" s="2">
        <f ca="1"/>
        <v>-9.8075401588844979E-2</v>
      </c>
      <c r="X3355" s="2">
        <f ca="1"/>
        <v>57.945849558699109</v>
      </c>
      <c r="AG3355" s="2">
        <f ca="1"/>
        <v>0.25887208587295407</v>
      </c>
      <c r="AH3355" s="2" t="str">
        <f ca="1"/>
        <v>OK</v>
      </c>
    </row>
    <row r="3356" spans="2:34" x14ac:dyDescent="0.2">
      <c r="B3356" s="2">
        <f ca="1"/>
        <v>0.76813977653689336</v>
      </c>
      <c r="O3356" s="2">
        <f ca="1"/>
        <v>1.7968067325900236E-3</v>
      </c>
      <c r="X3356" s="2">
        <f ca="1"/>
        <v>20.081171942039219</v>
      </c>
      <c r="AG3356" s="2">
        <f ca="1"/>
        <v>0.27583917018076565</v>
      </c>
      <c r="AH3356" s="2" t="str">
        <f ca="1"/>
        <v>OK</v>
      </c>
    </row>
    <row r="3357" spans="2:34" x14ac:dyDescent="0.2">
      <c r="B3357" s="2">
        <f ca="1"/>
        <v>5.4598259476890565E-2</v>
      </c>
      <c r="O3357" s="2">
        <f ca="1"/>
        <v>0.73560622557605393</v>
      </c>
      <c r="X3357" s="2">
        <f ca="1"/>
        <v>39.882133527925482</v>
      </c>
      <c r="AG3357" s="2">
        <f ca="1"/>
        <v>0.84035003677114894</v>
      </c>
      <c r="AH3357" s="2" t="str">
        <f ca="1"/>
        <v>Bad</v>
      </c>
    </row>
    <row r="3358" spans="2:34" x14ac:dyDescent="0.2">
      <c r="B3358" s="2">
        <f ca="1"/>
        <v>0.60378535393228883</v>
      </c>
      <c r="O3358" s="2">
        <f ca="1"/>
        <v>-1.0588728488694632</v>
      </c>
      <c r="X3358" s="2">
        <f ca="1"/>
        <v>19.199051854499199</v>
      </c>
      <c r="AG3358" s="2">
        <f ca="1"/>
        <v>0.56096081005248233</v>
      </c>
      <c r="AH3358" s="2" t="str">
        <f ca="1"/>
        <v>Bad</v>
      </c>
    </row>
    <row r="3359" spans="2:34" x14ac:dyDescent="0.2">
      <c r="B3359" s="2">
        <f ca="1"/>
        <v>0.69183842778773652</v>
      </c>
      <c r="O3359" s="2">
        <f ca="1"/>
        <v>0.73447142557185185</v>
      </c>
      <c r="X3359" s="2">
        <f ca="1"/>
        <v>59.727717438502417</v>
      </c>
      <c r="AG3359" s="2">
        <f ca="1"/>
        <v>0.74817039905455807</v>
      </c>
      <c r="AH3359" s="2" t="str">
        <f ca="1"/>
        <v>Bad</v>
      </c>
    </row>
    <row r="3360" spans="2:34" x14ac:dyDescent="0.2">
      <c r="B3360" s="2">
        <f ca="1"/>
        <v>0.18086488218648511</v>
      </c>
      <c r="O3360" s="2">
        <f ca="1"/>
        <v>0.27628397921168102</v>
      </c>
      <c r="X3360" s="2">
        <f ca="1"/>
        <v>48.610591454669333</v>
      </c>
      <c r="AG3360" s="2">
        <f ca="1"/>
        <v>0.86190488796346099</v>
      </c>
      <c r="AH3360" s="2" t="str">
        <f ca="1"/>
        <v>Bad</v>
      </c>
    </row>
    <row r="3361" spans="2:34" x14ac:dyDescent="0.2">
      <c r="B3361" s="2">
        <f ca="1"/>
        <v>0.43789492834402122</v>
      </c>
      <c r="O3361" s="2">
        <f ca="1"/>
        <v>-1.0733329796311968</v>
      </c>
      <c r="X3361" s="2">
        <f ca="1"/>
        <v>33.335541850689133</v>
      </c>
      <c r="AG3361" s="2">
        <f ca="1"/>
        <v>0.25639508947954592</v>
      </c>
      <c r="AH3361" s="2" t="str">
        <f ca="1"/>
        <v>OK</v>
      </c>
    </row>
    <row r="3362" spans="2:34" x14ac:dyDescent="0.2">
      <c r="B3362" s="2">
        <f ca="1"/>
        <v>8.6610571971809325E-2</v>
      </c>
      <c r="O3362" s="2">
        <f ca="1"/>
        <v>-0.14256489980484308</v>
      </c>
      <c r="X3362" s="2">
        <f ca="1"/>
        <v>56.220141282399268</v>
      </c>
      <c r="AG3362" s="2">
        <f ca="1"/>
        <v>0.65550924711463954</v>
      </c>
      <c r="AH3362" s="2" t="str">
        <f ca="1"/>
        <v>Bad</v>
      </c>
    </row>
    <row r="3363" spans="2:34" x14ac:dyDescent="0.2">
      <c r="B3363" s="2">
        <f ca="1"/>
        <v>0.19734351637441527</v>
      </c>
      <c r="O3363" s="2">
        <f ca="1"/>
        <v>-1.5069700304213272</v>
      </c>
      <c r="X3363" s="2">
        <f ca="1"/>
        <v>31.848982130008629</v>
      </c>
      <c r="AG3363" s="2">
        <f ca="1"/>
        <v>0.14041837366967114</v>
      </c>
      <c r="AH3363" s="2" t="str">
        <f ca="1"/>
        <v>OK</v>
      </c>
    </row>
    <row r="3364" spans="2:34" x14ac:dyDescent="0.2">
      <c r="B3364" s="2">
        <f ca="1"/>
        <v>0.98169960125575906</v>
      </c>
      <c r="O3364" s="2">
        <f ca="1"/>
        <v>-1.0640331937300616</v>
      </c>
      <c r="X3364" s="2">
        <f ca="1"/>
        <v>76.754657861780714</v>
      </c>
      <c r="AG3364" s="2">
        <f ca="1"/>
        <v>0.40078985344909479</v>
      </c>
      <c r="AH3364" s="2" t="str">
        <f ca="1"/>
        <v>Bad</v>
      </c>
    </row>
    <row r="3365" spans="2:34" x14ac:dyDescent="0.2">
      <c r="B3365" s="2">
        <f ca="1"/>
        <v>0.32267593293059482</v>
      </c>
      <c r="O3365" s="2">
        <f ca="1"/>
        <v>-9.2734961416829284E-2</v>
      </c>
      <c r="X3365" s="2">
        <f ca="1"/>
        <v>80.594610555506591</v>
      </c>
      <c r="AG3365" s="2">
        <f ca="1"/>
        <v>0.37733572784576341</v>
      </c>
      <c r="AH3365" s="2" t="str">
        <f ca="1"/>
        <v>OK</v>
      </c>
    </row>
    <row r="3366" spans="2:34" x14ac:dyDescent="0.2">
      <c r="B3366" s="2">
        <f ca="1"/>
        <v>0.54605116649914898</v>
      </c>
      <c r="O3366" s="2">
        <f ca="1"/>
        <v>-2.177885035638945</v>
      </c>
      <c r="X3366" s="2">
        <f ca="1"/>
        <v>37.671456239762151</v>
      </c>
      <c r="AG3366" s="2">
        <f ca="1"/>
        <v>0.21521391881797802</v>
      </c>
      <c r="AH3366" s="2" t="str">
        <f ca="1"/>
        <v>OK</v>
      </c>
    </row>
    <row r="3367" spans="2:34" x14ac:dyDescent="0.2">
      <c r="B3367" s="2">
        <f ca="1"/>
        <v>0.97877672174537933</v>
      </c>
      <c r="O3367" s="2">
        <f ca="1"/>
        <v>0.56469191430945176</v>
      </c>
      <c r="X3367" s="2">
        <f ca="1"/>
        <v>52.934498683004414</v>
      </c>
      <c r="AG3367" s="2">
        <f ca="1"/>
        <v>0.10666884420996881</v>
      </c>
      <c r="AH3367" s="2" t="str">
        <f ca="1"/>
        <v>OK</v>
      </c>
    </row>
    <row r="3368" spans="2:34" x14ac:dyDescent="0.2">
      <c r="B3368" s="2">
        <f ca="1"/>
        <v>0.32747775868819873</v>
      </c>
      <c r="O3368" s="2">
        <f ca="1"/>
        <v>-0.48170234191027889</v>
      </c>
      <c r="X3368" s="2">
        <f ca="1"/>
        <v>57.742850847147544</v>
      </c>
      <c r="AG3368" s="2">
        <f ca="1"/>
        <v>0.60264277832898339</v>
      </c>
      <c r="AH3368" s="2" t="str">
        <f ca="1"/>
        <v>Bad</v>
      </c>
    </row>
    <row r="3369" spans="2:34" x14ac:dyDescent="0.2">
      <c r="B3369" s="2">
        <f ca="1"/>
        <v>0.42365138699356986</v>
      </c>
      <c r="O3369" s="2">
        <f ca="1"/>
        <v>0.80651866131225936</v>
      </c>
      <c r="X3369" s="2">
        <f ca="1"/>
        <v>75.331423131987009</v>
      </c>
      <c r="AG3369" s="2">
        <f ca="1"/>
        <v>4.7195867032178374E-2</v>
      </c>
      <c r="AH3369" s="2" t="str">
        <f ca="1"/>
        <v>Good</v>
      </c>
    </row>
    <row r="3370" spans="2:34" x14ac:dyDescent="0.2">
      <c r="B3370" s="2">
        <f ca="1"/>
        <v>0.68307349910154391</v>
      </c>
      <c r="O3370" s="2">
        <f ca="1"/>
        <v>-0.55877188247555265</v>
      </c>
      <c r="X3370" s="2">
        <f ca="1"/>
        <v>32.661374550429727</v>
      </c>
      <c r="AG3370" s="2">
        <f ca="1"/>
        <v>0.25723253362766041</v>
      </c>
      <c r="AH3370" s="2" t="str">
        <f ca="1"/>
        <v>OK</v>
      </c>
    </row>
    <row r="3371" spans="2:34" x14ac:dyDescent="0.2">
      <c r="B3371" s="2">
        <f ca="1"/>
        <v>0.30859470006829515</v>
      </c>
      <c r="O3371" s="2">
        <f ca="1"/>
        <v>-1.4425424968585308</v>
      </c>
      <c r="X3371" s="2">
        <f ca="1"/>
        <v>70.402287147418562</v>
      </c>
      <c r="AG3371" s="2">
        <f ca="1"/>
        <v>0.21618204250614292</v>
      </c>
      <c r="AH3371" s="2" t="str">
        <f ca="1"/>
        <v>OK</v>
      </c>
    </row>
    <row r="3372" spans="2:34" x14ac:dyDescent="0.2">
      <c r="B3372" s="2">
        <f ca="1"/>
        <v>9.0935047201565533E-2</v>
      </c>
      <c r="O3372" s="2">
        <f ca="1"/>
        <v>-3.2782347165885448</v>
      </c>
      <c r="X3372" s="2">
        <f ca="1"/>
        <v>34.865242421348427</v>
      </c>
      <c r="AG3372" s="2">
        <f ca="1"/>
        <v>0.71091261889324819</v>
      </c>
      <c r="AH3372" s="2" t="str">
        <f ca="1"/>
        <v>Bad</v>
      </c>
    </row>
    <row r="3373" spans="2:34" x14ac:dyDescent="0.2">
      <c r="B3373" s="2">
        <f ca="1"/>
        <v>0.32157687637395194</v>
      </c>
      <c r="O3373" s="2">
        <f ca="1"/>
        <v>0.50043770456647729</v>
      </c>
      <c r="X3373" s="2">
        <f ca="1"/>
        <v>33.129896214148481</v>
      </c>
      <c r="AG3373" s="2">
        <f ca="1"/>
        <v>0.26876812644048198</v>
      </c>
      <c r="AH3373" s="2" t="str">
        <f ca="1"/>
        <v>OK</v>
      </c>
    </row>
    <row r="3374" spans="2:34" x14ac:dyDescent="0.2">
      <c r="B3374" s="2">
        <f ca="1"/>
        <v>0.8143336761383615</v>
      </c>
      <c r="O3374" s="2">
        <f ca="1"/>
        <v>1.5060802226489782</v>
      </c>
      <c r="X3374" s="2">
        <f ca="1"/>
        <v>47.983135728077372</v>
      </c>
      <c r="AG3374" s="2">
        <f ca="1"/>
        <v>0.83961787669757371</v>
      </c>
      <c r="AH3374" s="2" t="str">
        <f ca="1"/>
        <v>Bad</v>
      </c>
    </row>
    <row r="3375" spans="2:34" x14ac:dyDescent="0.2">
      <c r="B3375" s="2">
        <f ca="1"/>
        <v>0.21567079552295643</v>
      </c>
      <c r="O3375" s="2">
        <f ca="1"/>
        <v>0.69238717621788948</v>
      </c>
      <c r="X3375" s="2">
        <f ca="1"/>
        <v>63.588635641455156</v>
      </c>
      <c r="AG3375" s="2">
        <f ca="1"/>
        <v>0.35404945269130916</v>
      </c>
      <c r="AH3375" s="2" t="str">
        <f ca="1"/>
        <v>OK</v>
      </c>
    </row>
    <row r="3376" spans="2:34" x14ac:dyDescent="0.2">
      <c r="B3376" s="2">
        <f ca="1"/>
        <v>0.60776964535939548</v>
      </c>
      <c r="O3376" s="2">
        <f ca="1"/>
        <v>0.47323054020879118</v>
      </c>
      <c r="X3376" s="2">
        <f ca="1"/>
        <v>45.143117224288432</v>
      </c>
      <c r="AG3376" s="2">
        <f ca="1"/>
        <v>0.22259595750912298</v>
      </c>
      <c r="AH3376" s="2" t="str">
        <f ca="1"/>
        <v>OK</v>
      </c>
    </row>
    <row r="3377" spans="2:34" x14ac:dyDescent="0.2">
      <c r="B3377" s="2">
        <f ca="1"/>
        <v>0.16200274591711517</v>
      </c>
      <c r="O3377" s="2">
        <f ca="1"/>
        <v>0.16674307837539579</v>
      </c>
      <c r="X3377" s="2">
        <f ca="1"/>
        <v>75.054157936712244</v>
      </c>
      <c r="AG3377" s="2">
        <f ca="1"/>
        <v>0.94310754795026996</v>
      </c>
      <c r="AH3377" s="2" t="str">
        <f ca="1"/>
        <v>Bad</v>
      </c>
    </row>
    <row r="3378" spans="2:34" x14ac:dyDescent="0.2">
      <c r="B3378" s="2">
        <f ca="1"/>
        <v>0.91560692989677994</v>
      </c>
      <c r="O3378" s="2">
        <f ca="1"/>
        <v>0.57059826618531784</v>
      </c>
      <c r="X3378" s="2">
        <f ca="1"/>
        <v>69.515595730392832</v>
      </c>
      <c r="AG3378" s="2">
        <f ca="1"/>
        <v>0.72794199723214459</v>
      </c>
      <c r="AH3378" s="2" t="str">
        <f ca="1"/>
        <v>Bad</v>
      </c>
    </row>
    <row r="3379" spans="2:34" x14ac:dyDescent="0.2">
      <c r="B3379" s="2">
        <f ca="1"/>
        <v>0.84122334857497694</v>
      </c>
      <c r="O3379" s="2">
        <f ca="1"/>
        <v>-0.7116517154130273</v>
      </c>
      <c r="X3379" s="2">
        <f ca="1"/>
        <v>84.492159215722069</v>
      </c>
      <c r="AG3379" s="2">
        <f ca="1"/>
        <v>0.72526658392355947</v>
      </c>
      <c r="AH3379" s="2" t="str">
        <f ca="1"/>
        <v>Bad</v>
      </c>
    </row>
    <row r="3380" spans="2:34" x14ac:dyDescent="0.2">
      <c r="B3380" s="2">
        <f ca="1"/>
        <v>0.19581121074557117</v>
      </c>
      <c r="O3380" s="2">
        <f ca="1"/>
        <v>0.73879917829689246</v>
      </c>
      <c r="X3380" s="2">
        <f ca="1"/>
        <v>45.513236601929691</v>
      </c>
      <c r="AG3380" s="2">
        <f ca="1"/>
        <v>0.32554858186952806</v>
      </c>
      <c r="AH3380" s="2" t="str">
        <f ca="1"/>
        <v>OK</v>
      </c>
    </row>
    <row r="3381" spans="2:34" x14ac:dyDescent="0.2">
      <c r="B3381" s="2">
        <f ca="1"/>
        <v>0.3382183432832131</v>
      </c>
      <c r="O3381" s="2">
        <f ca="1"/>
        <v>-0.43836792174376921</v>
      </c>
      <c r="X3381" s="2">
        <f ca="1"/>
        <v>32.91536211430887</v>
      </c>
      <c r="AG3381" s="2">
        <f ca="1"/>
        <v>0.69795003733584027</v>
      </c>
      <c r="AH3381" s="2" t="str">
        <f ca="1"/>
        <v>Bad</v>
      </c>
    </row>
    <row r="3382" spans="2:34" x14ac:dyDescent="0.2">
      <c r="B3382" s="2">
        <f ca="1"/>
        <v>0.86842419027285578</v>
      </c>
      <c r="O3382" s="2">
        <f ca="1"/>
        <v>-0.5075020070188927</v>
      </c>
      <c r="X3382" s="2">
        <f ca="1"/>
        <v>50.724243841616953</v>
      </c>
      <c r="AG3382" s="2">
        <f ca="1"/>
        <v>0.912235775655174</v>
      </c>
      <c r="AH3382" s="2" t="str">
        <f ca="1"/>
        <v>Bad</v>
      </c>
    </row>
    <row r="3383" spans="2:34" x14ac:dyDescent="0.2">
      <c r="B3383" s="2">
        <f ca="1"/>
        <v>0.20643016421940596</v>
      </c>
      <c r="O3383" s="2">
        <f ca="1"/>
        <v>1.814320230386709</v>
      </c>
      <c r="X3383" s="2">
        <f ca="1"/>
        <v>55.968203179140794</v>
      </c>
      <c r="AG3383" s="2">
        <f ca="1"/>
        <v>7.2160635502059645E-2</v>
      </c>
      <c r="AH3383" s="2" t="str">
        <f ca="1"/>
        <v>OK</v>
      </c>
    </row>
    <row r="3384" spans="2:34" x14ac:dyDescent="0.2">
      <c r="B3384" s="2">
        <f ca="1"/>
        <v>8.823687552334647E-3</v>
      </c>
      <c r="O3384" s="2">
        <f ca="1"/>
        <v>0.21906021018733965</v>
      </c>
      <c r="X3384" s="2">
        <f ca="1"/>
        <v>39.548559343175917</v>
      </c>
      <c r="AG3384" s="2">
        <f ca="1"/>
        <v>0.12682740294628214</v>
      </c>
      <c r="AH3384" s="2" t="str">
        <f ca="1"/>
        <v>OK</v>
      </c>
    </row>
    <row r="3385" spans="2:34" x14ac:dyDescent="0.2">
      <c r="B3385" s="2">
        <f ca="1"/>
        <v>0.78205028277063859</v>
      </c>
      <c r="O3385" s="2">
        <f ca="1"/>
        <v>0.19322028679018646</v>
      </c>
      <c r="X3385" s="2">
        <f ca="1"/>
        <v>39.669962464595116</v>
      </c>
      <c r="AG3385" s="2">
        <f ca="1"/>
        <v>0.15674237757924292</v>
      </c>
      <c r="AH3385" s="2" t="str">
        <f ca="1"/>
        <v>OK</v>
      </c>
    </row>
    <row r="3386" spans="2:34" x14ac:dyDescent="0.2">
      <c r="B3386" s="2">
        <f ca="1"/>
        <v>0.21000881671742855</v>
      </c>
      <c r="O3386" s="2">
        <f ca="1"/>
        <v>0.56981578610364592</v>
      </c>
      <c r="X3386" s="2">
        <f ca="1"/>
        <v>47.178041960027116</v>
      </c>
      <c r="AG3386" s="2">
        <f ca="1"/>
        <v>0.51072634959399466</v>
      </c>
      <c r="AH3386" s="2" t="str">
        <f ca="1"/>
        <v>Bad</v>
      </c>
    </row>
    <row r="3387" spans="2:34" x14ac:dyDescent="0.2">
      <c r="B3387" s="2">
        <f ca="1"/>
        <v>0.46332637728884896</v>
      </c>
      <c r="O3387" s="2">
        <f ca="1"/>
        <v>-1.5173044046812998</v>
      </c>
      <c r="X3387" s="2">
        <f ca="1"/>
        <v>36.043794772774916</v>
      </c>
      <c r="AG3387" s="2">
        <f ca="1"/>
        <v>0.36718470218541421</v>
      </c>
      <c r="AH3387" s="2" t="str">
        <f ca="1"/>
        <v>OK</v>
      </c>
    </row>
    <row r="3388" spans="2:34" x14ac:dyDescent="0.2">
      <c r="B3388" s="2">
        <f ca="1"/>
        <v>0.5035735835243651</v>
      </c>
      <c r="O3388" s="2">
        <f ca="1"/>
        <v>-0.32860319953511674</v>
      </c>
      <c r="X3388" s="2">
        <f ca="1"/>
        <v>52.668255952853499</v>
      </c>
      <c r="AG3388" s="2">
        <f ca="1"/>
        <v>0.66026122460610748</v>
      </c>
      <c r="AH3388" s="2" t="str">
        <f ca="1"/>
        <v>Bad</v>
      </c>
    </row>
    <row r="3389" spans="2:34" x14ac:dyDescent="0.2">
      <c r="B3389" s="2">
        <f ca="1"/>
        <v>0.28302105929774179</v>
      </c>
      <c r="O3389" s="2">
        <f ca="1"/>
        <v>-1.15503916726361</v>
      </c>
      <c r="X3389" s="2">
        <f ca="1"/>
        <v>46.074053237380561</v>
      </c>
      <c r="AG3389" s="2">
        <f ca="1"/>
        <v>1.722387723289498E-2</v>
      </c>
      <c r="AH3389" s="2" t="str">
        <f ca="1"/>
        <v>Good</v>
      </c>
    </row>
    <row r="3390" spans="2:34" x14ac:dyDescent="0.2">
      <c r="B3390" s="2">
        <f ca="1"/>
        <v>0.35003410871090157</v>
      </c>
      <c r="O3390" s="2">
        <f ca="1"/>
        <v>1.2118590268214893</v>
      </c>
      <c r="X3390" s="2">
        <f ca="1"/>
        <v>34.474415344115329</v>
      </c>
      <c r="AG3390" s="2">
        <f ca="1"/>
        <v>0.66989208040122761</v>
      </c>
      <c r="AH3390" s="2" t="str">
        <f ca="1"/>
        <v>Bad</v>
      </c>
    </row>
    <row r="3391" spans="2:34" x14ac:dyDescent="0.2">
      <c r="B3391" s="2">
        <f ca="1"/>
        <v>0.19105343772849115</v>
      </c>
      <c r="O3391" s="2">
        <f ca="1"/>
        <v>-0.48230529977525222</v>
      </c>
      <c r="X3391" s="2">
        <f ca="1"/>
        <v>43.264342049743007</v>
      </c>
      <c r="AG3391" s="2">
        <f ca="1"/>
        <v>0.35047039109528089</v>
      </c>
      <c r="AH3391" s="2" t="str">
        <f ca="1"/>
        <v>OK</v>
      </c>
    </row>
    <row r="3392" spans="2:34" x14ac:dyDescent="0.2">
      <c r="B3392" s="2">
        <f ca="1"/>
        <v>0.45210834689853829</v>
      </c>
      <c r="O3392" s="2">
        <f ca="1"/>
        <v>-1.4061986191134246</v>
      </c>
      <c r="X3392" s="2">
        <f ca="1"/>
        <v>49.533354617741637</v>
      </c>
      <c r="AG3392" s="2">
        <f ca="1"/>
        <v>0.40876490968684642</v>
      </c>
      <c r="AH3392" s="2" t="str">
        <f ca="1"/>
        <v>Bad</v>
      </c>
    </row>
    <row r="3393" spans="2:34" x14ac:dyDescent="0.2">
      <c r="B3393" s="2">
        <f ca="1"/>
        <v>0.50592953253233208</v>
      </c>
      <c r="O3393" s="2">
        <f ca="1"/>
        <v>-1.0241367743553282</v>
      </c>
      <c r="X3393" s="2">
        <f ca="1"/>
        <v>69.757780165857895</v>
      </c>
      <c r="AG3393" s="2">
        <f ca="1"/>
        <v>0.86289519998492548</v>
      </c>
      <c r="AH3393" s="2" t="str">
        <f ca="1"/>
        <v>Bad</v>
      </c>
    </row>
    <row r="3394" spans="2:34" x14ac:dyDescent="0.2">
      <c r="B3394" s="2">
        <f ca="1"/>
        <v>0.26739074870801183</v>
      </c>
      <c r="O3394" s="2">
        <f ca="1"/>
        <v>-0.94365212338456284</v>
      </c>
      <c r="X3394" s="2">
        <f ca="1"/>
        <v>56.50877138202727</v>
      </c>
      <c r="AG3394" s="2">
        <f ca="1"/>
        <v>0.52720159554014101</v>
      </c>
      <c r="AH3394" s="2" t="str">
        <f ca="1"/>
        <v>Bad</v>
      </c>
    </row>
    <row r="3395" spans="2:34" x14ac:dyDescent="0.2">
      <c r="B3395" s="2">
        <f ca="1"/>
        <v>0.20246270815275325</v>
      </c>
      <c r="O3395" s="2">
        <f ca="1"/>
        <v>0.67928153159747662</v>
      </c>
      <c r="X3395" s="2">
        <f ca="1"/>
        <v>57.377571415869497</v>
      </c>
      <c r="AG3395" s="2">
        <f ca="1"/>
        <v>0.9262434884681785</v>
      </c>
      <c r="AH3395" s="2" t="str">
        <f ca="1"/>
        <v>Bad</v>
      </c>
    </row>
    <row r="3396" spans="2:34" x14ac:dyDescent="0.2">
      <c r="B3396" s="2">
        <f ca="1"/>
        <v>0.49466307525676423</v>
      </c>
      <c r="O3396" s="2">
        <f ca="1"/>
        <v>0.96045479986302373</v>
      </c>
      <c r="X3396" s="2">
        <f ca="1"/>
        <v>54.526911147712589</v>
      </c>
      <c r="AG3396" s="2">
        <f ca="1"/>
        <v>0.67094155783212139</v>
      </c>
      <c r="AH3396" s="2" t="str">
        <f ca="1"/>
        <v>Bad</v>
      </c>
    </row>
    <row r="3397" spans="2:34" x14ac:dyDescent="0.2">
      <c r="B3397" s="2">
        <f ca="1"/>
        <v>0.41504968960289612</v>
      </c>
      <c r="O3397" s="2">
        <f ca="1"/>
        <v>0.70789021138718866</v>
      </c>
      <c r="X3397" s="2">
        <f ca="1"/>
        <v>27.899738128388737</v>
      </c>
      <c r="AG3397" s="2">
        <f ca="1"/>
        <v>0.51542993262324655</v>
      </c>
      <c r="AH3397" s="2" t="str">
        <f ca="1"/>
        <v>Bad</v>
      </c>
    </row>
    <row r="3398" spans="2:34" x14ac:dyDescent="0.2">
      <c r="B3398" s="2">
        <f ca="1"/>
        <v>0.86840751145251893</v>
      </c>
      <c r="O3398" s="2">
        <f ca="1"/>
        <v>-0.29504699177357452</v>
      </c>
      <c r="X3398" s="2">
        <f ca="1"/>
        <v>55.762141558894236</v>
      </c>
      <c r="AG3398" s="2">
        <f ca="1"/>
        <v>0.73171399243519475</v>
      </c>
      <c r="AH3398" s="2" t="str">
        <f ca="1"/>
        <v>Bad</v>
      </c>
    </row>
    <row r="3399" spans="2:34" x14ac:dyDescent="0.2">
      <c r="B3399" s="2">
        <f ca="1"/>
        <v>0.78639160219054238</v>
      </c>
      <c r="O3399" s="2">
        <f ca="1"/>
        <v>-0.24409209569997886</v>
      </c>
      <c r="X3399" s="2">
        <f ca="1"/>
        <v>31.513899154585864</v>
      </c>
      <c r="AG3399" s="2">
        <f ca="1"/>
        <v>0.2583682862531449</v>
      </c>
      <c r="AH3399" s="2" t="str">
        <f ca="1"/>
        <v>OK</v>
      </c>
    </row>
    <row r="3400" spans="2:34" x14ac:dyDescent="0.2">
      <c r="B3400" s="2">
        <f ca="1"/>
        <v>0.46262419504803609</v>
      </c>
      <c r="O3400" s="2">
        <f ca="1"/>
        <v>-0.75755172233666457</v>
      </c>
      <c r="X3400" s="2">
        <f ca="1"/>
        <v>61.81938320658049</v>
      </c>
      <c r="AG3400" s="2">
        <f ca="1"/>
        <v>0.76351250467857734</v>
      </c>
      <c r="AH3400" s="2" t="str">
        <f ca="1"/>
        <v>Bad</v>
      </c>
    </row>
    <row r="3401" spans="2:34" x14ac:dyDescent="0.2">
      <c r="B3401" s="2">
        <f ca="1"/>
        <v>0.5980805781252887</v>
      </c>
      <c r="O3401" s="2">
        <f ca="1"/>
        <v>0.86269437690222872</v>
      </c>
      <c r="X3401" s="2">
        <f ca="1"/>
        <v>36.213833109439989</v>
      </c>
      <c r="AG3401" s="2">
        <f ca="1"/>
        <v>0.41488571211866265</v>
      </c>
      <c r="AH3401" s="2" t="str">
        <f ca="1"/>
        <v>Bad</v>
      </c>
    </row>
    <row r="3402" spans="2:34" x14ac:dyDescent="0.2">
      <c r="B3402" s="2">
        <f ca="1"/>
        <v>0.38644138059842015</v>
      </c>
      <c r="O3402" s="2">
        <f ca="1"/>
        <v>-1.6997822913465079</v>
      </c>
      <c r="X3402" s="2">
        <f ca="1"/>
        <v>66.842628891250072</v>
      </c>
      <c r="AG3402" s="2">
        <f ca="1"/>
        <v>0.43079147934868423</v>
      </c>
      <c r="AH3402" s="2" t="str">
        <f ca="1"/>
        <v>Bad</v>
      </c>
    </row>
    <row r="3403" spans="2:34" x14ac:dyDescent="0.2">
      <c r="B3403" s="2">
        <f ca="1"/>
        <v>0.31520413815281789</v>
      </c>
      <c r="O3403" s="2">
        <f ca="1"/>
        <v>-1.7552551144188737</v>
      </c>
      <c r="X3403" s="2">
        <f ca="1"/>
        <v>51.123782600120371</v>
      </c>
      <c r="AG3403" s="2">
        <f ca="1"/>
        <v>0.95963785448242045</v>
      </c>
      <c r="AH3403" s="2" t="str">
        <f ca="1"/>
        <v>Bad</v>
      </c>
    </row>
    <row r="3404" spans="2:34" x14ac:dyDescent="0.2">
      <c r="B3404" s="2">
        <f ca="1"/>
        <v>0.73932492474746003</v>
      </c>
      <c r="O3404" s="2">
        <f ca="1"/>
        <v>1.6571812378897433</v>
      </c>
      <c r="X3404" s="2">
        <f ca="1"/>
        <v>30.620453843400707</v>
      </c>
      <c r="AG3404" s="2">
        <f ca="1"/>
        <v>0.30598044441868932</v>
      </c>
      <c r="AH3404" s="2" t="str">
        <f ca="1"/>
        <v>OK</v>
      </c>
    </row>
    <row r="3405" spans="2:34" x14ac:dyDescent="0.2">
      <c r="B3405" s="2">
        <f ca="1"/>
        <v>0.71273409872573268</v>
      </c>
      <c r="O3405" s="2">
        <f ca="1"/>
        <v>0.58487892292709209</v>
      </c>
      <c r="X3405" s="2">
        <f ca="1"/>
        <v>54.748650364253791</v>
      </c>
      <c r="AG3405" s="2">
        <f ca="1"/>
        <v>8.2095485307407401E-2</v>
      </c>
      <c r="AH3405" s="2" t="str">
        <f ca="1"/>
        <v>OK</v>
      </c>
    </row>
    <row r="3406" spans="2:34" x14ac:dyDescent="0.2">
      <c r="B3406" s="2">
        <f ca="1"/>
        <v>0.80887488205536062</v>
      </c>
      <c r="O3406" s="2">
        <f ca="1"/>
        <v>-4.2836047258580784E-2</v>
      </c>
      <c r="X3406" s="2">
        <f ca="1"/>
        <v>36.139493195631069</v>
      </c>
      <c r="AG3406" s="2">
        <f ca="1"/>
        <v>0.65867007893304952</v>
      </c>
      <c r="AH3406" s="2" t="str">
        <f ca="1"/>
        <v>Bad</v>
      </c>
    </row>
    <row r="3407" spans="2:34" x14ac:dyDescent="0.2">
      <c r="B3407" s="2">
        <f ca="1"/>
        <v>0.39498852312550281</v>
      </c>
      <c r="O3407" s="2">
        <f ca="1"/>
        <v>-0.16577718242039138</v>
      </c>
      <c r="X3407" s="2">
        <f ca="1"/>
        <v>56.622889812421661</v>
      </c>
      <c r="AG3407" s="2">
        <f ca="1"/>
        <v>0.28322442694491889</v>
      </c>
      <c r="AH3407" s="2" t="str">
        <f ca="1"/>
        <v>OK</v>
      </c>
    </row>
    <row r="3408" spans="2:34" x14ac:dyDescent="0.2">
      <c r="B3408" s="2">
        <f ca="1"/>
        <v>7.7690785025059661E-2</v>
      </c>
      <c r="O3408" s="2">
        <f ca="1"/>
        <v>0.35677045263249446</v>
      </c>
      <c r="X3408" s="2">
        <f ca="1"/>
        <v>33.421181859292837</v>
      </c>
      <c r="AG3408" s="2">
        <f ca="1"/>
        <v>8.1308230190393349E-2</v>
      </c>
      <c r="AH3408" s="2" t="str">
        <f ca="1"/>
        <v>OK</v>
      </c>
    </row>
    <row r="3409" spans="2:34" x14ac:dyDescent="0.2">
      <c r="B3409" s="2">
        <f ca="1"/>
        <v>2.9083929861808855E-2</v>
      </c>
      <c r="O3409" s="2">
        <f ca="1"/>
        <v>-0.11280957222922934</v>
      </c>
      <c r="X3409" s="2">
        <f ca="1"/>
        <v>47.365037250650737</v>
      </c>
      <c r="AG3409" s="2">
        <f ca="1"/>
        <v>7.8995820364702984E-2</v>
      </c>
      <c r="AH3409" s="2" t="str">
        <f ca="1"/>
        <v>OK</v>
      </c>
    </row>
    <row r="3410" spans="2:34" x14ac:dyDescent="0.2">
      <c r="B3410" s="2">
        <f ca="1"/>
        <v>0.70121850450569867</v>
      </c>
      <c r="O3410" s="2">
        <f ca="1"/>
        <v>0.30946138899331094</v>
      </c>
      <c r="X3410" s="2">
        <f ca="1"/>
        <v>62.492048956320609</v>
      </c>
      <c r="AG3410" s="2">
        <f ca="1"/>
        <v>5.6427887995007753E-2</v>
      </c>
      <c r="AH3410" s="2" t="str">
        <f ca="1"/>
        <v>OK</v>
      </c>
    </row>
    <row r="3411" spans="2:34" x14ac:dyDescent="0.2">
      <c r="B3411" s="2">
        <f ca="1"/>
        <v>0.93263683098342209</v>
      </c>
      <c r="O3411" s="2">
        <f ca="1"/>
        <v>-1.5536719774301435</v>
      </c>
      <c r="X3411" s="2">
        <f ca="1"/>
        <v>66.812147079409471</v>
      </c>
      <c r="AG3411" s="2">
        <f ca="1"/>
        <v>0.76698933797002344</v>
      </c>
      <c r="AH3411" s="2" t="str">
        <f ca="1"/>
        <v>Bad</v>
      </c>
    </row>
    <row r="3412" spans="2:34" x14ac:dyDescent="0.2">
      <c r="B3412" s="2">
        <f ca="1"/>
        <v>0.52585114004150135</v>
      </c>
      <c r="O3412" s="2">
        <f ca="1"/>
        <v>-0.64583466978781567</v>
      </c>
      <c r="X3412" s="2">
        <f ca="1"/>
        <v>43.022753285953677</v>
      </c>
      <c r="AG3412" s="2">
        <f ca="1"/>
        <v>0.55695484220787717</v>
      </c>
      <c r="AH3412" s="2" t="str">
        <f ca="1"/>
        <v>Bad</v>
      </c>
    </row>
    <row r="3413" spans="2:34" x14ac:dyDescent="0.2">
      <c r="B3413" s="2">
        <f ca="1"/>
        <v>0.79603669409613875</v>
      </c>
      <c r="O3413" s="2">
        <f ca="1"/>
        <v>-1.1062575259628245</v>
      </c>
      <c r="X3413" s="2">
        <f ca="1"/>
        <v>66.370640517456494</v>
      </c>
      <c r="AG3413" s="2">
        <f ca="1"/>
        <v>0.39689064533410767</v>
      </c>
      <c r="AH3413" s="2" t="str">
        <f ca="1"/>
        <v>OK</v>
      </c>
    </row>
    <row r="3414" spans="2:34" x14ac:dyDescent="0.2">
      <c r="B3414" s="2">
        <f ca="1"/>
        <v>0.45323288583681443</v>
      </c>
      <c r="O3414" s="2">
        <f ca="1"/>
        <v>0.83344137119541617</v>
      </c>
      <c r="X3414" s="2">
        <f ca="1"/>
        <v>49.166719382995922</v>
      </c>
      <c r="AG3414" s="2">
        <f ca="1"/>
        <v>0.31417101146057069</v>
      </c>
      <c r="AH3414" s="2" t="str">
        <f ca="1"/>
        <v>OK</v>
      </c>
    </row>
    <row r="3415" spans="2:34" x14ac:dyDescent="0.2">
      <c r="B3415" s="2">
        <f ca="1"/>
        <v>0.12894980659335653</v>
      </c>
      <c r="O3415" s="2">
        <f ca="1"/>
        <v>0.20875083416092763</v>
      </c>
      <c r="X3415" s="2">
        <f ca="1"/>
        <v>75.892758474721973</v>
      </c>
      <c r="AG3415" s="2">
        <f ca="1"/>
        <v>0.63213765894425067</v>
      </c>
      <c r="AH3415" s="2" t="str">
        <f ca="1"/>
        <v>Bad</v>
      </c>
    </row>
    <row r="3416" spans="2:34" x14ac:dyDescent="0.2">
      <c r="B3416" s="2">
        <f ca="1"/>
        <v>2.0412507393376966E-2</v>
      </c>
      <c r="O3416" s="2">
        <f ca="1"/>
        <v>1.0077596954048607</v>
      </c>
      <c r="X3416" s="2">
        <f ca="1"/>
        <v>114.28615852740433</v>
      </c>
      <c r="AG3416" s="2">
        <f ca="1"/>
        <v>0.50257748732952345</v>
      </c>
      <c r="AH3416" s="2" t="str">
        <f ca="1"/>
        <v>Bad</v>
      </c>
    </row>
    <row r="3417" spans="2:34" x14ac:dyDescent="0.2">
      <c r="B3417" s="2">
        <f ca="1"/>
        <v>8.0777827922715595E-2</v>
      </c>
      <c r="O3417" s="2">
        <f ca="1"/>
        <v>1.0627163166175075</v>
      </c>
      <c r="X3417" s="2">
        <f ca="1"/>
        <v>41.77097434375024</v>
      </c>
      <c r="AG3417" s="2">
        <f ca="1"/>
        <v>0.6053357796899419</v>
      </c>
      <c r="AH3417" s="2" t="str">
        <f ca="1"/>
        <v>Bad</v>
      </c>
    </row>
    <row r="3418" spans="2:34" x14ac:dyDescent="0.2">
      <c r="B3418" s="2">
        <f ca="1"/>
        <v>0.24621146274567307</v>
      </c>
      <c r="O3418" s="2">
        <f ca="1"/>
        <v>0.38621061600386242</v>
      </c>
      <c r="X3418" s="2">
        <f ca="1"/>
        <v>63.615146349306016</v>
      </c>
      <c r="AG3418" s="2">
        <f ca="1"/>
        <v>0.45085562694805326</v>
      </c>
      <c r="AH3418" s="2" t="str">
        <f ca="1"/>
        <v>Bad</v>
      </c>
    </row>
    <row r="3419" spans="2:34" x14ac:dyDescent="0.2">
      <c r="B3419" s="2">
        <f ca="1"/>
        <v>0.78704477463062639</v>
      </c>
      <c r="O3419" s="2">
        <f ca="1"/>
        <v>0.21068447768798054</v>
      </c>
      <c r="X3419" s="2">
        <f ca="1"/>
        <v>56.628038675008767</v>
      </c>
      <c r="AG3419" s="2">
        <f ca="1"/>
        <v>0.9253344875637366</v>
      </c>
      <c r="AH3419" s="2" t="str">
        <f ca="1"/>
        <v>Bad</v>
      </c>
    </row>
    <row r="3420" spans="2:34" x14ac:dyDescent="0.2">
      <c r="B3420" s="2">
        <f ca="1"/>
        <v>0.67623535654261291</v>
      </c>
      <c r="O3420" s="2">
        <f ca="1"/>
        <v>0.58426783899828061</v>
      </c>
      <c r="X3420" s="2">
        <f ca="1"/>
        <v>55.267538568160788</v>
      </c>
      <c r="AG3420" s="2">
        <f ca="1"/>
        <v>0.31649940397812104</v>
      </c>
      <c r="AH3420" s="2" t="str">
        <f ca="1"/>
        <v>OK</v>
      </c>
    </row>
    <row r="3421" spans="2:34" x14ac:dyDescent="0.2">
      <c r="B3421" s="2">
        <f ca="1"/>
        <v>0.95697462313794146</v>
      </c>
      <c r="O3421" s="2">
        <f ca="1"/>
        <v>0.5276355142472412</v>
      </c>
      <c r="X3421" s="2">
        <f ca="1"/>
        <v>41.833923244153233</v>
      </c>
      <c r="AG3421" s="2">
        <f ca="1"/>
        <v>0.90574439265144413</v>
      </c>
      <c r="AH3421" s="2" t="str">
        <f ca="1"/>
        <v>Bad</v>
      </c>
    </row>
    <row r="3422" spans="2:34" x14ac:dyDescent="0.2">
      <c r="B3422" s="2">
        <f ca="1"/>
        <v>0.48643545017720058</v>
      </c>
      <c r="O3422" s="2">
        <f ca="1"/>
        <v>1.5854808787295764</v>
      </c>
      <c r="X3422" s="2">
        <f ca="1"/>
        <v>73.401226753651557</v>
      </c>
      <c r="AG3422" s="2">
        <f ca="1"/>
        <v>0.66030837490941163</v>
      </c>
      <c r="AH3422" s="2" t="str">
        <f ca="1"/>
        <v>Bad</v>
      </c>
    </row>
    <row r="3423" spans="2:34" x14ac:dyDescent="0.2">
      <c r="B3423" s="2">
        <f ca="1"/>
        <v>0.5409873202943285</v>
      </c>
      <c r="O3423" s="2">
        <f ca="1"/>
        <v>0.25555252240711496</v>
      </c>
      <c r="X3423" s="2">
        <f ca="1"/>
        <v>52.838092936962084</v>
      </c>
      <c r="AG3423" s="2">
        <f ca="1"/>
        <v>0.29303784260535304</v>
      </c>
      <c r="AH3423" s="2" t="str">
        <f ca="1"/>
        <v>OK</v>
      </c>
    </row>
    <row r="3424" spans="2:34" x14ac:dyDescent="0.2">
      <c r="B3424" s="2">
        <f ca="1"/>
        <v>0.37236630149164296</v>
      </c>
      <c r="O3424" s="2">
        <f ca="1"/>
        <v>-1.2010511887777133</v>
      </c>
      <c r="X3424" s="2">
        <f ca="1"/>
        <v>30.25945959451807</v>
      </c>
      <c r="AG3424" s="2">
        <f ca="1"/>
        <v>0.53832707992660134</v>
      </c>
      <c r="AH3424" s="2" t="str">
        <f ca="1"/>
        <v>Bad</v>
      </c>
    </row>
    <row r="3425" spans="2:34" x14ac:dyDescent="0.2">
      <c r="B3425" s="2">
        <f ca="1"/>
        <v>0.38231064853644536</v>
      </c>
      <c r="O3425" s="2">
        <f ca="1"/>
        <v>0.30612011068057021</v>
      </c>
      <c r="X3425" s="2">
        <f ca="1"/>
        <v>49.967581709688254</v>
      </c>
      <c r="AG3425" s="2">
        <f ca="1"/>
        <v>0.71752065702054568</v>
      </c>
      <c r="AH3425" s="2" t="str">
        <f ca="1"/>
        <v>Bad</v>
      </c>
    </row>
    <row r="3426" spans="2:34" x14ac:dyDescent="0.2">
      <c r="B3426" s="2">
        <f ca="1"/>
        <v>6.9068609609425513E-2</v>
      </c>
      <c r="O3426" s="2">
        <f ca="1"/>
        <v>1.6774855237823605</v>
      </c>
      <c r="X3426" s="2">
        <f ca="1"/>
        <v>34.179781621006903</v>
      </c>
      <c r="AG3426" s="2">
        <f ca="1"/>
        <v>0.14932906246377753</v>
      </c>
      <c r="AH3426" s="2" t="str">
        <f ca="1"/>
        <v>OK</v>
      </c>
    </row>
    <row r="3427" spans="2:34" x14ac:dyDescent="0.2">
      <c r="B3427" s="2">
        <f ca="1"/>
        <v>0.9222493447780451</v>
      </c>
      <c r="O3427" s="2">
        <f ca="1"/>
        <v>-0.78043282464500052</v>
      </c>
      <c r="X3427" s="2">
        <f ca="1"/>
        <v>67.210012735256996</v>
      </c>
      <c r="AG3427" s="2">
        <f ca="1"/>
        <v>0.22772681588976496</v>
      </c>
      <c r="AH3427" s="2" t="str">
        <f ca="1"/>
        <v>OK</v>
      </c>
    </row>
    <row r="3428" spans="2:34" x14ac:dyDescent="0.2">
      <c r="B3428" s="2">
        <f ca="1"/>
        <v>0.77696671005350604</v>
      </c>
      <c r="O3428" s="2">
        <f ca="1"/>
        <v>-1.315193851999725</v>
      </c>
      <c r="X3428" s="2">
        <f ca="1"/>
        <v>55.470935130087867</v>
      </c>
      <c r="AG3428" s="2">
        <f ca="1"/>
        <v>0.39380883240392284</v>
      </c>
      <c r="AH3428" s="2" t="str">
        <f ca="1"/>
        <v>OK</v>
      </c>
    </row>
    <row r="3429" spans="2:34" x14ac:dyDescent="0.2">
      <c r="B3429" s="2">
        <f ca="1"/>
        <v>0.97820969585539763</v>
      </c>
      <c r="O3429" s="2">
        <f ca="1"/>
        <v>0.77267393085307556</v>
      </c>
      <c r="X3429" s="2">
        <f ca="1"/>
        <v>38.266118321658155</v>
      </c>
      <c r="AG3429" s="2">
        <f ca="1"/>
        <v>0.27514190918441184</v>
      </c>
      <c r="AH3429" s="2" t="str">
        <f ca="1"/>
        <v>OK</v>
      </c>
    </row>
    <row r="3430" spans="2:34" x14ac:dyDescent="0.2">
      <c r="B3430" s="2">
        <f ca="1"/>
        <v>0.91069923464758595</v>
      </c>
      <c r="O3430" s="2">
        <f ca="1"/>
        <v>3.6963367618016926E-2</v>
      </c>
      <c r="X3430" s="2">
        <f ca="1"/>
        <v>36.948446146066146</v>
      </c>
      <c r="AG3430" s="2">
        <f ca="1"/>
        <v>0.45611194574708813</v>
      </c>
      <c r="AH3430" s="2" t="str">
        <f ca="1"/>
        <v>Bad</v>
      </c>
    </row>
    <row r="3431" spans="2:34" x14ac:dyDescent="0.2">
      <c r="B3431" s="2">
        <f ca="1"/>
        <v>0.38512196760930517</v>
      </c>
      <c r="O3431" s="2">
        <f ca="1"/>
        <v>-0.15197511436389408</v>
      </c>
      <c r="X3431" s="2">
        <f ca="1"/>
        <v>45.012382521429934</v>
      </c>
      <c r="AG3431" s="2">
        <f ca="1"/>
        <v>0.14666445271589312</v>
      </c>
      <c r="AH3431" s="2" t="str">
        <f ca="1"/>
        <v>OK</v>
      </c>
    </row>
    <row r="3432" spans="2:34" x14ac:dyDescent="0.2">
      <c r="B3432" s="2">
        <f ca="1"/>
        <v>0.98750614787405566</v>
      </c>
      <c r="O3432" s="2">
        <f ca="1"/>
        <v>-0.13007938673926758</v>
      </c>
      <c r="X3432" s="2">
        <f ca="1"/>
        <v>62.478540027873379</v>
      </c>
      <c r="AG3432" s="2">
        <f ca="1"/>
        <v>0.20035900459781475</v>
      </c>
      <c r="AH3432" s="2" t="str">
        <f ca="1"/>
        <v>OK</v>
      </c>
    </row>
    <row r="3433" spans="2:34" x14ac:dyDescent="0.2">
      <c r="B3433" s="2">
        <f ca="1"/>
        <v>0.83233105844050193</v>
      </c>
      <c r="O3433" s="2">
        <f ca="1"/>
        <v>0.29431599242515633</v>
      </c>
      <c r="X3433" s="2">
        <f ca="1"/>
        <v>55.934610732390446</v>
      </c>
      <c r="AG3433" s="2">
        <f ca="1"/>
        <v>8.2343156379685256E-2</v>
      </c>
      <c r="AH3433" s="2" t="str">
        <f ca="1"/>
        <v>OK</v>
      </c>
    </row>
    <row r="3434" spans="2:34" x14ac:dyDescent="0.2">
      <c r="B3434" s="2">
        <f ca="1"/>
        <v>0.66117417350112051</v>
      </c>
      <c r="O3434" s="2">
        <f ca="1"/>
        <v>-1.3617584116720129</v>
      </c>
      <c r="X3434" s="2">
        <f ca="1"/>
        <v>52.5874354311253</v>
      </c>
      <c r="AG3434" s="2">
        <f ca="1"/>
        <v>0.25154582403719239</v>
      </c>
      <c r="AH3434" s="2" t="str">
        <f ca="1"/>
        <v>OK</v>
      </c>
    </row>
    <row r="3435" spans="2:34" x14ac:dyDescent="0.2">
      <c r="B3435" s="2">
        <f ca="1"/>
        <v>0.57953456681277493</v>
      </c>
      <c r="O3435" s="2">
        <f ca="1"/>
        <v>-0.69658914721297938</v>
      </c>
      <c r="X3435" s="2">
        <f ca="1"/>
        <v>36.342068326354692</v>
      </c>
      <c r="AG3435" s="2">
        <f ca="1"/>
        <v>0.32207644954818404</v>
      </c>
      <c r="AH3435" s="2" t="str">
        <f ca="1"/>
        <v>OK</v>
      </c>
    </row>
    <row r="3436" spans="2:34" x14ac:dyDescent="0.2">
      <c r="B3436" s="2">
        <f ca="1"/>
        <v>2.0892380937062249E-2</v>
      </c>
      <c r="O3436" s="2">
        <f ca="1"/>
        <v>2.3958793083053913</v>
      </c>
      <c r="X3436" s="2">
        <f ca="1"/>
        <v>27.966018603033266</v>
      </c>
      <c r="AG3436" s="2">
        <f ca="1"/>
        <v>0.63905150707636049</v>
      </c>
      <c r="AH3436" s="2" t="str">
        <f ca="1"/>
        <v>Bad</v>
      </c>
    </row>
    <row r="3437" spans="2:34" x14ac:dyDescent="0.2">
      <c r="B3437" s="2">
        <f ca="1"/>
        <v>0.70971018683507636</v>
      </c>
      <c r="O3437" s="2">
        <f ca="1"/>
        <v>1.762741813537789</v>
      </c>
      <c r="X3437" s="2">
        <f ca="1"/>
        <v>62.240171671793661</v>
      </c>
      <c r="AG3437" s="2">
        <f ca="1"/>
        <v>0.99563092970244238</v>
      </c>
      <c r="AH3437" s="2" t="str">
        <f ca="1"/>
        <v>Bad</v>
      </c>
    </row>
    <row r="3438" spans="2:34" x14ac:dyDescent="0.2">
      <c r="B3438" s="2">
        <f ca="1"/>
        <v>0.88685735847874869</v>
      </c>
      <c r="O3438" s="2">
        <f ca="1"/>
        <v>-0.56187305104077001</v>
      </c>
      <c r="X3438" s="2">
        <f ca="1"/>
        <v>74.88601370800933</v>
      </c>
      <c r="AG3438" s="2">
        <f ca="1"/>
        <v>0.50891487859714979</v>
      </c>
      <c r="AH3438" s="2" t="str">
        <f ca="1"/>
        <v>Bad</v>
      </c>
    </row>
    <row r="3439" spans="2:34" x14ac:dyDescent="0.2">
      <c r="B3439" s="2">
        <f ca="1"/>
        <v>0.47300651730218513</v>
      </c>
      <c r="O3439" s="2">
        <f ca="1"/>
        <v>-1.279727025782821</v>
      </c>
      <c r="X3439" s="2">
        <f ca="1"/>
        <v>24.387611203465344</v>
      </c>
      <c r="AG3439" s="2">
        <f ca="1"/>
        <v>0.18360093197014171</v>
      </c>
      <c r="AH3439" s="2" t="str">
        <f ca="1"/>
        <v>OK</v>
      </c>
    </row>
    <row r="3440" spans="2:34" x14ac:dyDescent="0.2">
      <c r="B3440" s="2">
        <f ca="1"/>
        <v>0.8920113838395729</v>
      </c>
      <c r="O3440" s="2">
        <f ca="1"/>
        <v>-0.53857054047459441</v>
      </c>
      <c r="X3440" s="2">
        <f ca="1"/>
        <v>28.148333560141864</v>
      </c>
      <c r="AG3440" s="2">
        <f ca="1"/>
        <v>0.80946309191034427</v>
      </c>
      <c r="AH3440" s="2" t="str">
        <f ca="1"/>
        <v>Bad</v>
      </c>
    </row>
    <row r="3441" spans="2:34" x14ac:dyDescent="0.2">
      <c r="B3441" s="2">
        <f ca="1"/>
        <v>0.60345832478086869</v>
      </c>
      <c r="O3441" s="2">
        <f ca="1"/>
        <v>-0.62730426208611456</v>
      </c>
      <c r="X3441" s="2">
        <f ca="1"/>
        <v>43.259163478930731</v>
      </c>
      <c r="AG3441" s="2">
        <f ca="1"/>
        <v>0.94941813701562872</v>
      </c>
      <c r="AH3441" s="2" t="str">
        <f ca="1"/>
        <v>Bad</v>
      </c>
    </row>
    <row r="3442" spans="2:34" x14ac:dyDescent="0.2">
      <c r="B3442" s="2">
        <f ca="1"/>
        <v>0.95209925419744623</v>
      </c>
      <c r="O3442" s="2">
        <f ca="1"/>
        <v>0.1273638605714574</v>
      </c>
      <c r="X3442" s="2">
        <f ca="1"/>
        <v>51.360540775700024</v>
      </c>
      <c r="AG3442" s="2">
        <f ca="1"/>
        <v>0.38031427370135762</v>
      </c>
      <c r="AH3442" s="2" t="str">
        <f ca="1"/>
        <v>OK</v>
      </c>
    </row>
    <row r="3443" spans="2:34" x14ac:dyDescent="0.2">
      <c r="B3443" s="2">
        <f ca="1"/>
        <v>0.51014572831156579</v>
      </c>
      <c r="O3443" s="2">
        <f ca="1"/>
        <v>-1.4345173221003142</v>
      </c>
      <c r="X3443" s="2">
        <f ca="1"/>
        <v>72.909252395738577</v>
      </c>
      <c r="AG3443" s="2">
        <f ca="1"/>
        <v>0.32112511668716293</v>
      </c>
      <c r="AH3443" s="2" t="str">
        <f ca="1"/>
        <v>OK</v>
      </c>
    </row>
    <row r="3444" spans="2:34" x14ac:dyDescent="0.2">
      <c r="B3444" s="2">
        <f ca="1"/>
        <v>0.72986510395441639</v>
      </c>
      <c r="O3444" s="2">
        <f ca="1"/>
        <v>0.73795578913569093</v>
      </c>
      <c r="X3444" s="2">
        <f ca="1"/>
        <v>45.094974390897661</v>
      </c>
      <c r="AG3444" s="2">
        <f ca="1"/>
        <v>0.55921798902258879</v>
      </c>
      <c r="AH3444" s="2" t="str">
        <f ca="1"/>
        <v>Bad</v>
      </c>
    </row>
    <row r="3445" spans="2:34" x14ac:dyDescent="0.2">
      <c r="B3445" s="2">
        <f ca="1"/>
        <v>0.19328806599673465</v>
      </c>
      <c r="O3445" s="2">
        <f ca="1"/>
        <v>1.4142776342884995</v>
      </c>
      <c r="X3445" s="2">
        <f ca="1"/>
        <v>52.092801305236513</v>
      </c>
      <c r="AG3445" s="2">
        <f ca="1"/>
        <v>0.10887710934081674</v>
      </c>
      <c r="AH3445" s="2" t="str">
        <f ca="1"/>
        <v>OK</v>
      </c>
    </row>
    <row r="3446" spans="2:34" x14ac:dyDescent="0.2">
      <c r="B3446" s="2">
        <f ca="1"/>
        <v>0.26906396271567234</v>
      </c>
      <c r="O3446" s="2">
        <f ca="1"/>
        <v>-1.0084625569963885</v>
      </c>
      <c r="X3446" s="2">
        <f ca="1"/>
        <v>37.294000207637772</v>
      </c>
      <c r="AG3446" s="2">
        <f ca="1"/>
        <v>0.64725945134650886</v>
      </c>
      <c r="AH3446" s="2" t="str">
        <f ca="1"/>
        <v>Bad</v>
      </c>
    </row>
    <row r="3447" spans="2:34" x14ac:dyDescent="0.2">
      <c r="B3447" s="2">
        <f ca="1"/>
        <v>3.0139305956992768E-2</v>
      </c>
      <c r="O3447" s="2">
        <f ca="1"/>
        <v>2.2644520155802783</v>
      </c>
      <c r="X3447" s="2">
        <f ca="1"/>
        <v>59.312939170710834</v>
      </c>
      <c r="AG3447" s="2">
        <f ca="1"/>
        <v>5.4263411178645971E-2</v>
      </c>
      <c r="AH3447" s="2" t="str">
        <f ca="1"/>
        <v>OK</v>
      </c>
    </row>
    <row r="3448" spans="2:34" x14ac:dyDescent="0.2">
      <c r="B3448" s="2">
        <f ca="1"/>
        <v>0.44095339070819173</v>
      </c>
      <c r="O3448" s="2">
        <f ca="1"/>
        <v>-2.7255753272518417</v>
      </c>
      <c r="X3448" s="2">
        <f ca="1"/>
        <v>18.025033014746125</v>
      </c>
      <c r="AG3448" s="2">
        <f ca="1"/>
        <v>0.53413119695550892</v>
      </c>
      <c r="AH3448" s="2" t="str">
        <f ca="1"/>
        <v>Bad</v>
      </c>
    </row>
    <row r="3449" spans="2:34" x14ac:dyDescent="0.2">
      <c r="B3449" s="2">
        <f ca="1"/>
        <v>0.78682860750103578</v>
      </c>
      <c r="O3449" s="2">
        <f ca="1"/>
        <v>0.14903038311453476</v>
      </c>
      <c r="X3449" s="2">
        <f ca="1"/>
        <v>68.663247937709428</v>
      </c>
      <c r="AG3449" s="2">
        <f ca="1"/>
        <v>0.27077572880303591</v>
      </c>
      <c r="AH3449" s="2" t="str">
        <f ca="1"/>
        <v>OK</v>
      </c>
    </row>
    <row r="3450" spans="2:34" x14ac:dyDescent="0.2">
      <c r="B3450" s="2">
        <f ca="1"/>
        <v>0.62949284962432728</v>
      </c>
      <c r="O3450" s="2">
        <f ca="1"/>
        <v>-2.77491761238513</v>
      </c>
      <c r="X3450" s="2">
        <f ca="1"/>
        <v>79.909737065885167</v>
      </c>
      <c r="AG3450" s="2">
        <f ca="1"/>
        <v>0.16277277579194505</v>
      </c>
      <c r="AH3450" s="2" t="str">
        <f ca="1"/>
        <v>OK</v>
      </c>
    </row>
    <row r="3451" spans="2:34" x14ac:dyDescent="0.2">
      <c r="B3451" s="2">
        <f ca="1"/>
        <v>3.2316331638114093E-2</v>
      </c>
      <c r="O3451" s="2">
        <f ca="1"/>
        <v>1.069630226935695</v>
      </c>
      <c r="X3451" s="2">
        <f ca="1"/>
        <v>70.796216819037355</v>
      </c>
      <c r="AG3451" s="2">
        <f ca="1"/>
        <v>0.49148583721266648</v>
      </c>
      <c r="AH3451" s="2" t="str">
        <f ca="1"/>
        <v>Bad</v>
      </c>
    </row>
    <row r="3452" spans="2:34" x14ac:dyDescent="0.2">
      <c r="B3452" s="2">
        <f ca="1"/>
        <v>2.422392881211799E-2</v>
      </c>
      <c r="O3452" s="2">
        <f ca="1"/>
        <v>-0.37857524503371814</v>
      </c>
      <c r="X3452" s="2">
        <f ca="1"/>
        <v>46.606547527880196</v>
      </c>
      <c r="AG3452" s="2">
        <f ca="1"/>
        <v>0.9057445350459068</v>
      </c>
      <c r="AH3452" s="2" t="str">
        <f ca="1"/>
        <v>Bad</v>
      </c>
    </row>
    <row r="3453" spans="2:34" x14ac:dyDescent="0.2">
      <c r="B3453" s="2">
        <f ca="1"/>
        <v>0.20618471345809697</v>
      </c>
      <c r="O3453" s="2">
        <f ca="1"/>
        <v>0.9690326848611136</v>
      </c>
      <c r="X3453" s="2">
        <f ca="1"/>
        <v>32.582374585027438</v>
      </c>
      <c r="AG3453" s="2">
        <f ca="1"/>
        <v>0.8350435394201996</v>
      </c>
      <c r="AH3453" s="2" t="str">
        <f ca="1"/>
        <v>Bad</v>
      </c>
    </row>
    <row r="3454" spans="2:34" x14ac:dyDescent="0.2">
      <c r="B3454" s="2">
        <f ca="1"/>
        <v>0.73398411782169548</v>
      </c>
      <c r="O3454" s="2">
        <f ca="1"/>
        <v>-1.3586184600506821</v>
      </c>
      <c r="X3454" s="2">
        <f ca="1"/>
        <v>41.03967229601168</v>
      </c>
      <c r="AG3454" s="2">
        <f ca="1"/>
        <v>0.60482648287110208</v>
      </c>
      <c r="AH3454" s="2" t="str">
        <f ca="1"/>
        <v>Bad</v>
      </c>
    </row>
    <row r="3455" spans="2:34" x14ac:dyDescent="0.2">
      <c r="B3455" s="2">
        <f ca="1"/>
        <v>0.88810538525896243</v>
      </c>
      <c r="O3455" s="2">
        <f ca="1"/>
        <v>-1.5937123312102144</v>
      </c>
      <c r="X3455" s="2">
        <f ca="1"/>
        <v>22.643544724717557</v>
      </c>
      <c r="AG3455" s="2">
        <f ca="1"/>
        <v>0.41139431536966775</v>
      </c>
      <c r="AH3455" s="2" t="str">
        <f ca="1"/>
        <v>Bad</v>
      </c>
    </row>
    <row r="3456" spans="2:34" x14ac:dyDescent="0.2">
      <c r="B3456" s="2">
        <f ca="1"/>
        <v>0.30834488234189528</v>
      </c>
      <c r="O3456" s="2">
        <f ca="1"/>
        <v>-0.99921148587827513</v>
      </c>
      <c r="X3456" s="2">
        <f ca="1"/>
        <v>42.094013504893866</v>
      </c>
      <c r="AG3456" s="2">
        <f ca="1"/>
        <v>0.2077847742975929</v>
      </c>
      <c r="AH3456" s="2" t="str">
        <f ca="1"/>
        <v>OK</v>
      </c>
    </row>
    <row r="3457" spans="2:34" x14ac:dyDescent="0.2">
      <c r="B3457" s="2">
        <f ca="1"/>
        <v>0.8477948392230652</v>
      </c>
      <c r="O3457" s="2">
        <f ca="1"/>
        <v>1.8401114620596091</v>
      </c>
      <c r="X3457" s="2">
        <f ca="1"/>
        <v>31.523532573990476</v>
      </c>
      <c r="AG3457" s="2">
        <f ca="1"/>
        <v>0.52900298501076248</v>
      </c>
      <c r="AH3457" s="2" t="str">
        <f ca="1"/>
        <v>Bad</v>
      </c>
    </row>
    <row r="3458" spans="2:34" x14ac:dyDescent="0.2">
      <c r="B3458" s="2">
        <f ca="1"/>
        <v>0.24898274738317583</v>
      </c>
      <c r="O3458" s="2">
        <f ca="1"/>
        <v>-0.43466351278306298</v>
      </c>
      <c r="X3458" s="2">
        <f ca="1"/>
        <v>59.923361533669436</v>
      </c>
      <c r="AG3458" s="2">
        <f ca="1"/>
        <v>0.37836301417544504</v>
      </c>
      <c r="AH3458" s="2" t="str">
        <f ca="1"/>
        <v>OK</v>
      </c>
    </row>
    <row r="3459" spans="2:34" x14ac:dyDescent="0.2">
      <c r="B3459" s="2">
        <f ca="1"/>
        <v>0.71351112617644308</v>
      </c>
      <c r="O3459" s="2">
        <f ca="1"/>
        <v>0.89483489401314309</v>
      </c>
      <c r="X3459" s="2">
        <f ca="1"/>
        <v>32.525469856538187</v>
      </c>
      <c r="AG3459" s="2">
        <f ca="1"/>
        <v>0.17472337178056252</v>
      </c>
      <c r="AH3459" s="2" t="str">
        <f ca="1"/>
        <v>OK</v>
      </c>
    </row>
    <row r="3460" spans="2:34" x14ac:dyDescent="0.2">
      <c r="B3460" s="2">
        <f ca="1"/>
        <v>0.18250098403711346</v>
      </c>
      <c r="O3460" s="2">
        <f ca="1"/>
        <v>1.6253780252931715</v>
      </c>
      <c r="X3460" s="2">
        <f ca="1"/>
        <v>39.474317598168952</v>
      </c>
      <c r="AG3460" s="2">
        <f ca="1"/>
        <v>0.94176710601662439</v>
      </c>
      <c r="AH3460" s="2" t="str">
        <f ca="1"/>
        <v>Bad</v>
      </c>
    </row>
    <row r="3461" spans="2:34" x14ac:dyDescent="0.2">
      <c r="B3461" s="2">
        <f ca="1"/>
        <v>0.10722587940744011</v>
      </c>
      <c r="O3461" s="2">
        <f ca="1"/>
        <v>0.42367953839261091</v>
      </c>
      <c r="X3461" s="2">
        <f ca="1"/>
        <v>61.331652638861399</v>
      </c>
      <c r="AG3461" s="2">
        <f ca="1"/>
        <v>0.17108366295724986</v>
      </c>
      <c r="AH3461" s="2" t="str">
        <f ca="1"/>
        <v>OK</v>
      </c>
    </row>
    <row r="3462" spans="2:34" x14ac:dyDescent="0.2">
      <c r="B3462" s="2">
        <f ca="1"/>
        <v>0.49280071789306445</v>
      </c>
      <c r="O3462" s="2">
        <f ca="1"/>
        <v>0.72825962697607793</v>
      </c>
      <c r="X3462" s="2">
        <f ca="1"/>
        <v>44.223437443620654</v>
      </c>
      <c r="AG3462" s="2">
        <f ca="1"/>
        <v>0.40697445165640911</v>
      </c>
      <c r="AH3462" s="2" t="str">
        <f ca="1"/>
        <v>Bad</v>
      </c>
    </row>
    <row r="3463" spans="2:34" x14ac:dyDescent="0.2">
      <c r="B3463" s="2">
        <f ca="1"/>
        <v>0.69349148093119894</v>
      </c>
      <c r="O3463" s="2">
        <f ca="1"/>
        <v>-1.1563131884374613</v>
      </c>
      <c r="X3463" s="2">
        <f ca="1"/>
        <v>42.950309120415483</v>
      </c>
      <c r="AG3463" s="2">
        <f ca="1"/>
        <v>0.57576426186026608</v>
      </c>
      <c r="AH3463" s="2" t="str">
        <f ca="1"/>
        <v>Bad</v>
      </c>
    </row>
    <row r="3464" spans="2:34" x14ac:dyDescent="0.2">
      <c r="B3464" s="2">
        <f ca="1"/>
        <v>0.93183553831667765</v>
      </c>
      <c r="O3464" s="2">
        <f ca="1"/>
        <v>-1.3916162441588793</v>
      </c>
      <c r="X3464" s="2">
        <f ca="1"/>
        <v>52.93011372395501</v>
      </c>
      <c r="AG3464" s="2">
        <f ca="1"/>
        <v>0.33642611021089941</v>
      </c>
      <c r="AH3464" s="2" t="str">
        <f ca="1"/>
        <v>OK</v>
      </c>
    </row>
    <row r="3465" spans="2:34" x14ac:dyDescent="0.2">
      <c r="B3465" s="2">
        <f ca="1"/>
        <v>0.38783321830220707</v>
      </c>
      <c r="O3465" s="2">
        <f ca="1"/>
        <v>-1.1514910510955523</v>
      </c>
      <c r="X3465" s="2">
        <f ca="1"/>
        <v>52.865222337807019</v>
      </c>
      <c r="AG3465" s="2">
        <f ca="1"/>
        <v>0.95893871942565889</v>
      </c>
      <c r="AH3465" s="2" t="str">
        <f ca="1"/>
        <v>Bad</v>
      </c>
    </row>
    <row r="3466" spans="2:34" x14ac:dyDescent="0.2">
      <c r="B3466" s="2">
        <f ca="1"/>
        <v>0.42381245115477162</v>
      </c>
      <c r="O3466" s="2">
        <f ca="1"/>
        <v>-0.1457343562874519</v>
      </c>
      <c r="X3466" s="2">
        <f ca="1"/>
        <v>55.017615080801335</v>
      </c>
      <c r="AG3466" s="2">
        <f ca="1"/>
        <v>0.69867487241860404</v>
      </c>
      <c r="AH3466" s="2" t="str">
        <f ca="1"/>
        <v>Bad</v>
      </c>
    </row>
    <row r="3467" spans="2:34" x14ac:dyDescent="0.2">
      <c r="B3467" s="2">
        <f ca="1"/>
        <v>4.6287544283787341E-3</v>
      </c>
      <c r="O3467" s="2">
        <f ca="1"/>
        <v>0.49940570427698472</v>
      </c>
      <c r="X3467" s="2">
        <f ca="1"/>
        <v>46.697535044171453</v>
      </c>
      <c r="AG3467" s="2">
        <f ca="1"/>
        <v>0.70326556929972361</v>
      </c>
      <c r="AH3467" s="2" t="str">
        <f ca="1"/>
        <v>Bad</v>
      </c>
    </row>
    <row r="3468" spans="2:34" x14ac:dyDescent="0.2">
      <c r="B3468" s="2">
        <f ca="1"/>
        <v>0.88355211463276651</v>
      </c>
      <c r="O3468" s="2">
        <f ca="1"/>
        <v>0.57639748198839713</v>
      </c>
      <c r="X3468" s="2">
        <f ca="1"/>
        <v>32.768490201115632</v>
      </c>
      <c r="AG3468" s="2">
        <f ca="1"/>
        <v>0.23954449712101145</v>
      </c>
      <c r="AH3468" s="2" t="str">
        <f ca="1"/>
        <v>OK</v>
      </c>
    </row>
    <row r="3469" spans="2:34" x14ac:dyDescent="0.2">
      <c r="B3469" s="2">
        <f ca="1"/>
        <v>6.7414808814647564E-2</v>
      </c>
      <c r="O3469" s="2">
        <f ca="1"/>
        <v>0.41659377070435472</v>
      </c>
      <c r="X3469" s="2">
        <f ca="1"/>
        <v>34.608790701622219</v>
      </c>
      <c r="AG3469" s="2">
        <f ca="1"/>
        <v>0.95899359458493749</v>
      </c>
      <c r="AH3469" s="2" t="str">
        <f ca="1"/>
        <v>Bad</v>
      </c>
    </row>
    <row r="3470" spans="2:34" x14ac:dyDescent="0.2">
      <c r="B3470" s="2">
        <f ca="1"/>
        <v>0.24080283855865159</v>
      </c>
      <c r="O3470" s="2">
        <f ca="1"/>
        <v>0.29400586245193633</v>
      </c>
      <c r="X3470" s="2">
        <f ca="1"/>
        <v>63.944027311128913</v>
      </c>
      <c r="AG3470" s="2">
        <f ca="1"/>
        <v>0.80431365214714279</v>
      </c>
      <c r="AH3470" s="2" t="str">
        <f ca="1"/>
        <v>Bad</v>
      </c>
    </row>
    <row r="3471" spans="2:34" x14ac:dyDescent="0.2">
      <c r="B3471" s="2">
        <f ca="1"/>
        <v>0.21534124611928784</v>
      </c>
      <c r="O3471" s="2">
        <f ca="1"/>
        <v>-1.3247309473685189</v>
      </c>
      <c r="X3471" s="2">
        <f ca="1"/>
        <v>47.97856193173196</v>
      </c>
      <c r="AG3471" s="2">
        <f ca="1"/>
        <v>0.48401349379483127</v>
      </c>
      <c r="AH3471" s="2" t="str">
        <f ca="1"/>
        <v>Bad</v>
      </c>
    </row>
    <row r="3472" spans="2:34" x14ac:dyDescent="0.2">
      <c r="B3472" s="2">
        <f ca="1"/>
        <v>0.24756827554163707</v>
      </c>
      <c r="O3472" s="2">
        <f ca="1"/>
        <v>-2.5303026249568594E-2</v>
      </c>
      <c r="X3472" s="2">
        <f ca="1"/>
        <v>38.898525778151971</v>
      </c>
      <c r="AG3472" s="2">
        <f ca="1"/>
        <v>0.71679979146716799</v>
      </c>
      <c r="AH3472" s="2" t="str">
        <f ca="1"/>
        <v>Bad</v>
      </c>
    </row>
    <row r="3473" spans="2:34" x14ac:dyDescent="0.2">
      <c r="B3473" s="2">
        <f ca="1"/>
        <v>0.87070621966259165</v>
      </c>
      <c r="O3473" s="2">
        <f ca="1"/>
        <v>-0.99530098594342331</v>
      </c>
      <c r="X3473" s="2">
        <f ca="1"/>
        <v>50.069468907080108</v>
      </c>
      <c r="AG3473" s="2">
        <f ca="1"/>
        <v>0.42935382731099203</v>
      </c>
      <c r="AH3473" s="2" t="str">
        <f ca="1"/>
        <v>Bad</v>
      </c>
    </row>
    <row r="3474" spans="2:34" x14ac:dyDescent="0.2">
      <c r="B3474" s="2">
        <f ca="1"/>
        <v>0.57292602020013139</v>
      </c>
      <c r="O3474" s="2">
        <f ca="1"/>
        <v>0.4239333179582836</v>
      </c>
      <c r="X3474" s="2">
        <f ca="1"/>
        <v>66.558147918875378</v>
      </c>
      <c r="AG3474" s="2">
        <f ca="1"/>
        <v>0.99815388733100696</v>
      </c>
      <c r="AH3474" s="2" t="str">
        <f ca="1"/>
        <v>Bad</v>
      </c>
    </row>
    <row r="3475" spans="2:34" x14ac:dyDescent="0.2">
      <c r="B3475" s="2">
        <f ca="1"/>
        <v>0.75553978579392367</v>
      </c>
      <c r="O3475" s="2">
        <f ca="1"/>
        <v>-1.9979532224517971E-2</v>
      </c>
      <c r="X3475" s="2">
        <f ca="1"/>
        <v>53.121686029523715</v>
      </c>
      <c r="AG3475" s="2">
        <f ca="1"/>
        <v>0.67284773978392898</v>
      </c>
      <c r="AH3475" s="2" t="str">
        <f ca="1"/>
        <v>Bad</v>
      </c>
    </row>
    <row r="3476" spans="2:34" x14ac:dyDescent="0.2">
      <c r="B3476" s="2">
        <f ca="1"/>
        <v>0.76233632767128601</v>
      </c>
      <c r="O3476" s="2">
        <f ca="1"/>
        <v>-1.2547893810140816</v>
      </c>
      <c r="X3476" s="2">
        <f ca="1"/>
        <v>61.234416150302593</v>
      </c>
      <c r="AG3476" s="2">
        <f ca="1"/>
        <v>0.51217602829747944</v>
      </c>
      <c r="AH3476" s="2" t="str">
        <f ca="1"/>
        <v>Bad</v>
      </c>
    </row>
    <row r="3477" spans="2:34" x14ac:dyDescent="0.2">
      <c r="B3477" s="2">
        <f ca="1"/>
        <v>0.32866831033568689</v>
      </c>
      <c r="O3477" s="2">
        <f ca="1"/>
        <v>-0.72824639321261109</v>
      </c>
      <c r="X3477" s="2">
        <f ca="1"/>
        <v>55.576506472902807</v>
      </c>
      <c r="AG3477" s="2">
        <f ca="1"/>
        <v>4.6817012376133782E-2</v>
      </c>
      <c r="AH3477" s="2" t="str">
        <f ca="1"/>
        <v>Good</v>
      </c>
    </row>
    <row r="3478" spans="2:34" x14ac:dyDescent="0.2">
      <c r="B3478" s="2">
        <f ca="1"/>
        <v>0.4888847209876872</v>
      </c>
      <c r="O3478" s="2">
        <f ca="1"/>
        <v>0.91384066838224542</v>
      </c>
      <c r="X3478" s="2">
        <f ca="1"/>
        <v>55.476515363215384</v>
      </c>
      <c r="AG3478" s="2">
        <f ca="1"/>
        <v>0.39560057811619176</v>
      </c>
      <c r="AH3478" s="2" t="str">
        <f ca="1"/>
        <v>OK</v>
      </c>
    </row>
    <row r="3479" spans="2:34" x14ac:dyDescent="0.2">
      <c r="B3479" s="2">
        <f ca="1"/>
        <v>0.95685929185742169</v>
      </c>
      <c r="O3479" s="2">
        <f ca="1"/>
        <v>1.1131364862353772</v>
      </c>
      <c r="X3479" s="2">
        <f ca="1"/>
        <v>34.146250790685883</v>
      </c>
      <c r="AG3479" s="2">
        <f ca="1"/>
        <v>0.52369105789761905</v>
      </c>
      <c r="AH3479" s="2" t="str">
        <f ca="1"/>
        <v>Bad</v>
      </c>
    </row>
    <row r="3480" spans="2:34" x14ac:dyDescent="0.2">
      <c r="B3480" s="2">
        <f ca="1"/>
        <v>0.85894479666753187</v>
      </c>
      <c r="O3480" s="2">
        <f ca="1"/>
        <v>7.3677891399258885E-2</v>
      </c>
      <c r="X3480" s="2">
        <f ca="1"/>
        <v>51.070196523019163</v>
      </c>
      <c r="AG3480" s="2">
        <f ca="1"/>
        <v>0.67512579052169142</v>
      </c>
      <c r="AH3480" s="2" t="str">
        <f ca="1"/>
        <v>Bad</v>
      </c>
    </row>
    <row r="3481" spans="2:34" x14ac:dyDescent="0.2">
      <c r="B3481" s="2">
        <f ca="1"/>
        <v>0.55736513015485012</v>
      </c>
      <c r="O3481" s="2">
        <f ca="1"/>
        <v>-0.39704419800695767</v>
      </c>
      <c r="X3481" s="2">
        <f ca="1"/>
        <v>43.957818452779335</v>
      </c>
      <c r="AG3481" s="2">
        <f ca="1"/>
        <v>0.55044495126902726</v>
      </c>
      <c r="AH3481" s="2" t="str">
        <f ca="1"/>
        <v>Bad</v>
      </c>
    </row>
    <row r="3482" spans="2:34" x14ac:dyDescent="0.2">
      <c r="B3482" s="2">
        <f ca="1"/>
        <v>0.39193639854623941</v>
      </c>
      <c r="O3482" s="2">
        <f ca="1"/>
        <v>2.3606818140961454E-3</v>
      </c>
      <c r="X3482" s="2">
        <f ca="1"/>
        <v>49.527100155413919</v>
      </c>
      <c r="AG3482" s="2">
        <f ca="1"/>
        <v>0.30346206981520729</v>
      </c>
      <c r="AH3482" s="2" t="str">
        <f ca="1"/>
        <v>OK</v>
      </c>
    </row>
    <row r="3483" spans="2:34" x14ac:dyDescent="0.2">
      <c r="B3483" s="2">
        <f ca="1"/>
        <v>0.66972340284767662</v>
      </c>
      <c r="O3483" s="2">
        <f ca="1"/>
        <v>0.44167510409926275</v>
      </c>
      <c r="X3483" s="2">
        <f ca="1"/>
        <v>42.408964352187617</v>
      </c>
      <c r="AG3483" s="2">
        <f ca="1"/>
        <v>6.0451918359124113E-2</v>
      </c>
      <c r="AH3483" s="2" t="str">
        <f ca="1"/>
        <v>OK</v>
      </c>
    </row>
    <row r="3484" spans="2:34" x14ac:dyDescent="0.2">
      <c r="B3484" s="2">
        <f ca="1"/>
        <v>0.1614889210252457</v>
      </c>
      <c r="O3484" s="2">
        <f ca="1"/>
        <v>0.52369170178359337</v>
      </c>
      <c r="X3484" s="2">
        <f ca="1"/>
        <v>31.486564585316259</v>
      </c>
      <c r="AG3484" s="2">
        <f ca="1"/>
        <v>0.82730218934790067</v>
      </c>
      <c r="AH3484" s="2" t="str">
        <f ca="1"/>
        <v>Bad</v>
      </c>
    </row>
    <row r="3485" spans="2:34" x14ac:dyDescent="0.2">
      <c r="B3485" s="2">
        <f ca="1"/>
        <v>0.2389589075234595</v>
      </c>
      <c r="O3485" s="2">
        <f ca="1"/>
        <v>1.1017438407181346</v>
      </c>
      <c r="X3485" s="2">
        <f ca="1"/>
        <v>46.789458781226799</v>
      </c>
      <c r="AG3485" s="2">
        <f ca="1"/>
        <v>0.87901724433603912</v>
      </c>
      <c r="AH3485" s="2" t="str">
        <f ca="1"/>
        <v>Bad</v>
      </c>
    </row>
    <row r="3486" spans="2:34" x14ac:dyDescent="0.2">
      <c r="B3486" s="2">
        <f ca="1"/>
        <v>0.23262023700844159</v>
      </c>
      <c r="O3486" s="2">
        <f ca="1"/>
        <v>0.31855324075040542</v>
      </c>
      <c r="X3486" s="2">
        <f ca="1"/>
        <v>55.840524768539304</v>
      </c>
      <c r="AG3486" s="2">
        <f ca="1"/>
        <v>0.32031638404851126</v>
      </c>
      <c r="AH3486" s="2" t="str">
        <f ca="1"/>
        <v>OK</v>
      </c>
    </row>
    <row r="3487" spans="2:34" x14ac:dyDescent="0.2">
      <c r="B3487" s="2">
        <f ca="1"/>
        <v>0.25149933203585384</v>
      </c>
      <c r="O3487" s="2">
        <f ca="1"/>
        <v>-1.9902048899190532</v>
      </c>
      <c r="X3487" s="2">
        <f ca="1"/>
        <v>61.710892128073745</v>
      </c>
      <c r="AG3487" s="2">
        <f ca="1"/>
        <v>0.95041163955854779</v>
      </c>
      <c r="AH3487" s="2" t="str">
        <f ca="1"/>
        <v>Bad</v>
      </c>
    </row>
    <row r="3488" spans="2:34" x14ac:dyDescent="0.2">
      <c r="B3488" s="2">
        <f ca="1"/>
        <v>0.81846367856943103</v>
      </c>
      <c r="O3488" s="2">
        <f ca="1"/>
        <v>2.8133867823197169</v>
      </c>
      <c r="X3488" s="2">
        <f ca="1"/>
        <v>43.911826218312257</v>
      </c>
      <c r="AG3488" s="2">
        <f ca="1"/>
        <v>1.7113588183287343E-2</v>
      </c>
      <c r="AH3488" s="2" t="str">
        <f ca="1"/>
        <v>Good</v>
      </c>
    </row>
    <row r="3489" spans="2:34" x14ac:dyDescent="0.2">
      <c r="B3489" s="2">
        <f ca="1"/>
        <v>0.46602808316778876</v>
      </c>
      <c r="O3489" s="2">
        <f ca="1"/>
        <v>4.0740809077315997E-2</v>
      </c>
      <c r="X3489" s="2">
        <f ca="1"/>
        <v>65.110856716999791</v>
      </c>
      <c r="AG3489" s="2">
        <f ca="1"/>
        <v>6.0823637313094148E-2</v>
      </c>
      <c r="AH3489" s="2" t="str">
        <f ca="1"/>
        <v>OK</v>
      </c>
    </row>
    <row r="3490" spans="2:34" x14ac:dyDescent="0.2">
      <c r="B3490" s="2">
        <f ca="1"/>
        <v>4.0421875640617166E-4</v>
      </c>
      <c r="O3490" s="2">
        <f ca="1"/>
        <v>1.023628465170167</v>
      </c>
      <c r="X3490" s="2">
        <f ca="1"/>
        <v>23.823446436238068</v>
      </c>
      <c r="AG3490" s="2">
        <f ca="1"/>
        <v>0.78630365238184008</v>
      </c>
      <c r="AH3490" s="2" t="str">
        <f ca="1"/>
        <v>Bad</v>
      </c>
    </row>
    <row r="3491" spans="2:34" x14ac:dyDescent="0.2">
      <c r="B3491" s="2">
        <f ca="1"/>
        <v>0.63439216162160661</v>
      </c>
      <c r="O3491" s="2">
        <f ca="1"/>
        <v>-0.74235230551291931</v>
      </c>
      <c r="X3491" s="2">
        <f ca="1"/>
        <v>43.789508291577391</v>
      </c>
      <c r="AG3491" s="2">
        <f ca="1"/>
        <v>0.46374436150390164</v>
      </c>
      <c r="AH3491" s="2" t="str">
        <f ca="1"/>
        <v>Bad</v>
      </c>
    </row>
    <row r="3492" spans="2:34" x14ac:dyDescent="0.2">
      <c r="B3492" s="2">
        <f ca="1"/>
        <v>0.20875207522628902</v>
      </c>
      <c r="O3492" s="2">
        <f ca="1"/>
        <v>0.54356449043725308</v>
      </c>
      <c r="X3492" s="2">
        <f ca="1"/>
        <v>36.058006905277047</v>
      </c>
      <c r="AG3492" s="2">
        <f ca="1"/>
        <v>0.22621227365319396</v>
      </c>
      <c r="AH3492" s="2" t="str">
        <f ca="1"/>
        <v>OK</v>
      </c>
    </row>
    <row r="3493" spans="2:34" x14ac:dyDescent="0.2">
      <c r="B3493" s="2">
        <f ca="1"/>
        <v>0.65096835890080107</v>
      </c>
      <c r="O3493" s="2">
        <f ca="1"/>
        <v>-1.6923143325743844</v>
      </c>
      <c r="X3493" s="2">
        <f ca="1"/>
        <v>59.045738915871695</v>
      </c>
      <c r="AG3493" s="2">
        <f ca="1"/>
        <v>0.46143048312283352</v>
      </c>
      <c r="AH3493" s="2" t="str">
        <f ca="1"/>
        <v>Bad</v>
      </c>
    </row>
    <row r="3494" spans="2:34" x14ac:dyDescent="0.2">
      <c r="B3494" s="2">
        <f ca="1"/>
        <v>0.62134011477012097</v>
      </c>
      <c r="O3494" s="2">
        <f ca="1"/>
        <v>-0.5276024978045688</v>
      </c>
      <c r="X3494" s="2">
        <f ca="1"/>
        <v>35.631999235446969</v>
      </c>
      <c r="AG3494" s="2">
        <f ca="1"/>
        <v>0.88685948464025</v>
      </c>
      <c r="AH3494" s="2" t="str">
        <f ca="1"/>
        <v>Bad</v>
      </c>
    </row>
    <row r="3495" spans="2:34" x14ac:dyDescent="0.2">
      <c r="B3495" s="2">
        <f ca="1"/>
        <v>0.81955124854356942</v>
      </c>
      <c r="O3495" s="2">
        <f ca="1"/>
        <v>0.34858198026440723</v>
      </c>
      <c r="X3495" s="2">
        <f ca="1"/>
        <v>53.923112515436209</v>
      </c>
      <c r="AG3495" s="2">
        <f ca="1"/>
        <v>0.26233452057393736</v>
      </c>
      <c r="AH3495" s="2" t="str">
        <f ca="1"/>
        <v>OK</v>
      </c>
    </row>
    <row r="3496" spans="2:34" x14ac:dyDescent="0.2">
      <c r="B3496" s="2">
        <f ca="1"/>
        <v>0.96889952476417451</v>
      </c>
      <c r="O3496" s="2">
        <f ca="1"/>
        <v>1.3334298896074999</v>
      </c>
      <c r="X3496" s="2">
        <f ca="1"/>
        <v>49.273669989441117</v>
      </c>
      <c r="AG3496" s="2">
        <f ca="1"/>
        <v>0.85470573707658604</v>
      </c>
      <c r="AH3496" s="2" t="str">
        <f ca="1"/>
        <v>Bad</v>
      </c>
    </row>
    <row r="3497" spans="2:34" x14ac:dyDescent="0.2">
      <c r="B3497" s="2">
        <f ca="1"/>
        <v>6.7832883682179546E-2</v>
      </c>
      <c r="O3497" s="2">
        <f ca="1"/>
        <v>0.42573680282709958</v>
      </c>
      <c r="X3497" s="2">
        <f ca="1"/>
        <v>34.374052730681825</v>
      </c>
      <c r="AG3497" s="2">
        <f ca="1"/>
        <v>0.86815268492553854</v>
      </c>
      <c r="AH3497" s="2" t="str">
        <f ca="1"/>
        <v>Bad</v>
      </c>
    </row>
    <row r="3498" spans="2:34" x14ac:dyDescent="0.2">
      <c r="B3498" s="2">
        <f ca="1"/>
        <v>0.21870279831821415</v>
      </c>
      <c r="O3498" s="2">
        <f ca="1"/>
        <v>-0.21601897050656763</v>
      </c>
      <c r="X3498" s="2">
        <f ca="1"/>
        <v>55.37308036249803</v>
      </c>
      <c r="AG3498" s="2">
        <f ca="1"/>
        <v>0.11783621464847238</v>
      </c>
      <c r="AH3498" s="2" t="str">
        <f ca="1"/>
        <v>OK</v>
      </c>
    </row>
    <row r="3499" spans="2:34" x14ac:dyDescent="0.2">
      <c r="B3499" s="2">
        <f ca="1"/>
        <v>0.6939137354931515</v>
      </c>
      <c r="O3499" s="2">
        <f ca="1"/>
        <v>0.34415869505418456</v>
      </c>
      <c r="X3499" s="2">
        <f ca="1"/>
        <v>37.403131038873553</v>
      </c>
      <c r="AG3499" s="2">
        <f ca="1"/>
        <v>0.90994357576566287</v>
      </c>
      <c r="AH3499" s="2" t="str">
        <f ca="1"/>
        <v>Bad</v>
      </c>
    </row>
    <row r="3500" spans="2:34" x14ac:dyDescent="0.2">
      <c r="B3500" s="2">
        <f ca="1"/>
        <v>0.20413814768645877</v>
      </c>
      <c r="O3500" s="2">
        <f ca="1"/>
        <v>0.14777193511132039</v>
      </c>
      <c r="X3500" s="2">
        <f ca="1"/>
        <v>45.277627306500918</v>
      </c>
      <c r="AG3500" s="2">
        <f ca="1"/>
        <v>0.81773259836251944</v>
      </c>
      <c r="AH3500" s="2" t="str">
        <f ca="1"/>
        <v>Bad</v>
      </c>
    </row>
    <row r="3501" spans="2:34" x14ac:dyDescent="0.2">
      <c r="B3501" s="2">
        <f ca="1"/>
        <v>0.21427751038401688</v>
      </c>
      <c r="O3501" s="2">
        <f ca="1"/>
        <v>-0.31688238803842222</v>
      </c>
      <c r="X3501" s="2">
        <f ca="1"/>
        <v>32.731216914004506</v>
      </c>
      <c r="AG3501" s="2">
        <f ca="1"/>
        <v>0.99687436472065927</v>
      </c>
      <c r="AH3501" s="2" t="str">
        <f ca="1"/>
        <v>Bad</v>
      </c>
    </row>
    <row r="3502" spans="2:34" x14ac:dyDescent="0.2">
      <c r="B3502" s="2">
        <f ca="1"/>
        <v>0.2592881454692324</v>
      </c>
      <c r="O3502" s="2">
        <f ca="1"/>
        <v>-0.78032388825130061</v>
      </c>
      <c r="X3502" s="2">
        <f ca="1"/>
        <v>32.992073270705291</v>
      </c>
      <c r="AG3502" s="2">
        <f ca="1"/>
        <v>0.18761859310862605</v>
      </c>
      <c r="AH3502" s="2" t="str">
        <f ca="1"/>
        <v>OK</v>
      </c>
    </row>
    <row r="3503" spans="2:34" x14ac:dyDescent="0.2">
      <c r="B3503" s="2">
        <f ca="1"/>
        <v>0.80340456341120459</v>
      </c>
      <c r="O3503" s="2">
        <f ca="1"/>
        <v>-0.19076464441404381</v>
      </c>
      <c r="X3503" s="2">
        <f ca="1"/>
        <v>40.504978222755298</v>
      </c>
      <c r="AG3503" s="2">
        <f ca="1"/>
        <v>8.5225653216950192E-2</v>
      </c>
      <c r="AH3503" s="2" t="str">
        <f ca="1"/>
        <v>OK</v>
      </c>
    </row>
    <row r="3504" spans="2:34" x14ac:dyDescent="0.2">
      <c r="B3504" s="2">
        <f ca="1"/>
        <v>0.27067488259970252</v>
      </c>
      <c r="O3504" s="2">
        <f ca="1"/>
        <v>0.2720350381115294</v>
      </c>
      <c r="X3504" s="2">
        <f ca="1"/>
        <v>73.639854067999437</v>
      </c>
      <c r="AG3504" s="2">
        <f ca="1"/>
        <v>0.47871857097867232</v>
      </c>
      <c r="AH3504" s="2" t="str">
        <f ca="1"/>
        <v>Bad</v>
      </c>
    </row>
    <row r="3505" spans="2:34" x14ac:dyDescent="0.2">
      <c r="B3505" s="2">
        <f ca="1"/>
        <v>0.10758684030405563</v>
      </c>
      <c r="O3505" s="2">
        <f ca="1"/>
        <v>1.8827369319891143</v>
      </c>
      <c r="X3505" s="2">
        <f ca="1"/>
        <v>52.797117311619402</v>
      </c>
      <c r="AG3505" s="2">
        <f ca="1"/>
        <v>0.79119665311222542</v>
      </c>
      <c r="AH3505" s="2" t="str">
        <f ca="1"/>
        <v>Bad</v>
      </c>
    </row>
    <row r="3506" spans="2:34" x14ac:dyDescent="0.2">
      <c r="B3506" s="2">
        <f ca="1"/>
        <v>5.7041086110915185E-2</v>
      </c>
      <c r="O3506" s="2">
        <f ca="1"/>
        <v>0.25824750760134829</v>
      </c>
      <c r="X3506" s="2">
        <f ca="1"/>
        <v>55.756742474617383</v>
      </c>
      <c r="AG3506" s="2">
        <f ca="1"/>
        <v>0.3625503103510701</v>
      </c>
      <c r="AH3506" s="2" t="str">
        <f ca="1"/>
        <v>OK</v>
      </c>
    </row>
    <row r="3507" spans="2:34" x14ac:dyDescent="0.2">
      <c r="B3507" s="2">
        <f ca="1"/>
        <v>0.49723286373529541</v>
      </c>
      <c r="O3507" s="2">
        <f ca="1"/>
        <v>-0.25664166490856416</v>
      </c>
      <c r="X3507" s="2">
        <f ca="1"/>
        <v>27.00509901331985</v>
      </c>
      <c r="AG3507" s="2">
        <f ca="1"/>
        <v>0.43085089284418188</v>
      </c>
      <c r="AH3507" s="2" t="str">
        <f ca="1"/>
        <v>Bad</v>
      </c>
    </row>
    <row r="3508" spans="2:34" x14ac:dyDescent="0.2">
      <c r="B3508" s="2">
        <f ca="1"/>
        <v>0.98748101004611688</v>
      </c>
      <c r="O3508" s="2">
        <f ca="1"/>
        <v>6.2877562996709171E-2</v>
      </c>
      <c r="X3508" s="2">
        <f ca="1"/>
        <v>35.321597705355785</v>
      </c>
      <c r="AG3508" s="2">
        <f ca="1"/>
        <v>0.12580722012849543</v>
      </c>
      <c r="AH3508" s="2" t="str">
        <f ca="1"/>
        <v>OK</v>
      </c>
    </row>
    <row r="3509" spans="2:34" x14ac:dyDescent="0.2">
      <c r="B3509" s="2">
        <f ca="1"/>
        <v>0.44933143946224097</v>
      </c>
      <c r="O3509" s="2">
        <f ca="1"/>
        <v>1.1677243414865299</v>
      </c>
      <c r="X3509" s="2">
        <f ca="1"/>
        <v>50.737273495217899</v>
      </c>
      <c r="AG3509" s="2">
        <f ca="1"/>
        <v>0.96117069348842521</v>
      </c>
      <c r="AH3509" s="2" t="str">
        <f ca="1"/>
        <v>Bad</v>
      </c>
    </row>
    <row r="3510" spans="2:34" x14ac:dyDescent="0.2">
      <c r="B3510" s="2">
        <f ca="1"/>
        <v>0.60558471771077715</v>
      </c>
      <c r="O3510" s="2">
        <f ca="1"/>
        <v>-0.4963185624825287</v>
      </c>
      <c r="X3510" s="2">
        <f ca="1"/>
        <v>42.258907115723225</v>
      </c>
      <c r="AG3510" s="2">
        <f ca="1"/>
        <v>0.4748230815728216</v>
      </c>
      <c r="AH3510" s="2" t="str">
        <f ca="1"/>
        <v>Bad</v>
      </c>
    </row>
    <row r="3511" spans="2:34" x14ac:dyDescent="0.2">
      <c r="B3511" s="2">
        <f ca="1"/>
        <v>0.23986932638336556</v>
      </c>
      <c r="O3511" s="2">
        <f ca="1"/>
        <v>1.1255454008893728</v>
      </c>
      <c r="X3511" s="2">
        <f ca="1"/>
        <v>58.777336175001089</v>
      </c>
      <c r="AG3511" s="2">
        <f ca="1"/>
        <v>0.96680000096608865</v>
      </c>
      <c r="AH3511" s="2" t="str">
        <f ca="1"/>
        <v>Bad</v>
      </c>
    </row>
    <row r="3512" spans="2:34" x14ac:dyDescent="0.2">
      <c r="B3512" s="2">
        <f ca="1"/>
        <v>0.4132174056048199</v>
      </c>
      <c r="O3512" s="2">
        <f ca="1"/>
        <v>-1.550784762445186</v>
      </c>
      <c r="X3512" s="2">
        <f ca="1"/>
        <v>67.232499760813965</v>
      </c>
      <c r="AG3512" s="2">
        <f ca="1"/>
        <v>0.91444305147289207</v>
      </c>
      <c r="AH3512" s="2" t="str">
        <f ca="1"/>
        <v>Bad</v>
      </c>
    </row>
    <row r="3513" spans="2:34" x14ac:dyDescent="0.2">
      <c r="B3513" s="2">
        <f ca="1"/>
        <v>0.65289871380435804</v>
      </c>
      <c r="O3513" s="2">
        <f ca="1"/>
        <v>-0.97357767688500874</v>
      </c>
      <c r="X3513" s="2">
        <f ca="1"/>
        <v>46.076907786911995</v>
      </c>
      <c r="AG3513" s="2">
        <f ca="1"/>
        <v>0.47266642945825854</v>
      </c>
      <c r="AH3513" s="2" t="str">
        <f ca="1"/>
        <v>Bad</v>
      </c>
    </row>
    <row r="3514" spans="2:34" x14ac:dyDescent="0.2">
      <c r="B3514" s="2">
        <f ca="1"/>
        <v>1.6339593425751975E-2</v>
      </c>
      <c r="O3514" s="2">
        <f ca="1"/>
        <v>-0.68157528097235165</v>
      </c>
      <c r="X3514" s="2">
        <f ca="1"/>
        <v>50.475132304156396</v>
      </c>
      <c r="AG3514" s="2">
        <f ca="1"/>
        <v>0.48407022357505824</v>
      </c>
      <c r="AH3514" s="2" t="str">
        <f ca="1"/>
        <v>Bad</v>
      </c>
    </row>
    <row r="3515" spans="2:34" x14ac:dyDescent="0.2">
      <c r="B3515" s="2">
        <f ca="1"/>
        <v>0.77062190661764651</v>
      </c>
      <c r="O3515" s="2">
        <f ca="1"/>
        <v>-0.3930195899867045</v>
      </c>
      <c r="X3515" s="2">
        <f ca="1"/>
        <v>36.717077310849781</v>
      </c>
      <c r="AG3515" s="2">
        <f ca="1"/>
        <v>0.69517009567982546</v>
      </c>
      <c r="AH3515" s="2" t="str">
        <f ca="1"/>
        <v>Bad</v>
      </c>
    </row>
    <row r="3516" spans="2:34" x14ac:dyDescent="0.2">
      <c r="B3516" s="2">
        <f ca="1"/>
        <v>0.94921529792826487</v>
      </c>
      <c r="O3516" s="2">
        <f ca="1"/>
        <v>1.8960370595720075</v>
      </c>
      <c r="X3516" s="2">
        <f ca="1"/>
        <v>45.722395420427517</v>
      </c>
      <c r="AG3516" s="2">
        <f ca="1"/>
        <v>0.24255495396245208</v>
      </c>
      <c r="AH3516" s="2" t="str">
        <f ca="1"/>
        <v>OK</v>
      </c>
    </row>
    <row r="3517" spans="2:34" x14ac:dyDescent="0.2">
      <c r="B3517" s="2">
        <f ca="1"/>
        <v>0.94426418938982071</v>
      </c>
      <c r="O3517" s="2">
        <f ca="1"/>
        <v>-1.9563496018204229</v>
      </c>
      <c r="X3517" s="2">
        <f ca="1"/>
        <v>50.594590008308415</v>
      </c>
      <c r="AG3517" s="2">
        <f ca="1"/>
        <v>0.26211752638701236</v>
      </c>
      <c r="AH3517" s="2" t="str">
        <f ca="1"/>
        <v>OK</v>
      </c>
    </row>
    <row r="3518" spans="2:34" x14ac:dyDescent="0.2">
      <c r="B3518" s="2">
        <f ca="1"/>
        <v>0.10220415807718708</v>
      </c>
      <c r="O3518" s="2">
        <f ca="1"/>
        <v>-0.1425861696538209</v>
      </c>
      <c r="X3518" s="2">
        <f ca="1"/>
        <v>45.072344121491817</v>
      </c>
      <c r="AG3518" s="2">
        <f ca="1"/>
        <v>0.97710712491352614</v>
      </c>
      <c r="AH3518" s="2" t="str">
        <f ca="1"/>
        <v>Bad</v>
      </c>
    </row>
    <row r="3519" spans="2:34" x14ac:dyDescent="0.2">
      <c r="B3519" s="2">
        <f ca="1"/>
        <v>0.54835603103959341</v>
      </c>
      <c r="O3519" s="2">
        <f ca="1"/>
        <v>-0.39675794530109754</v>
      </c>
      <c r="X3519" s="2">
        <f ca="1"/>
        <v>45.101453854376324</v>
      </c>
      <c r="AG3519" s="2">
        <f ca="1"/>
        <v>0.12329348555460107</v>
      </c>
      <c r="AH3519" s="2" t="str">
        <f ca="1"/>
        <v>OK</v>
      </c>
    </row>
    <row r="3520" spans="2:34" x14ac:dyDescent="0.2">
      <c r="B3520" s="2">
        <f ca="1"/>
        <v>6.5312114976182833E-2</v>
      </c>
      <c r="O3520" s="2">
        <f ca="1"/>
        <v>0.39962598657040321</v>
      </c>
      <c r="X3520" s="2">
        <f ca="1"/>
        <v>36.582141918043448</v>
      </c>
      <c r="AG3520" s="2">
        <f ca="1"/>
        <v>9.9739553183762597E-2</v>
      </c>
      <c r="AH3520" s="2" t="str">
        <f ca="1"/>
        <v>OK</v>
      </c>
    </row>
    <row r="3521" spans="2:34" x14ac:dyDescent="0.2">
      <c r="B3521" s="2">
        <f ca="1"/>
        <v>0.84208538197635185</v>
      </c>
      <c r="O3521" s="2">
        <f ca="1"/>
        <v>0.25602423415693337</v>
      </c>
      <c r="X3521" s="2">
        <f ca="1"/>
        <v>54.478650953442518</v>
      </c>
      <c r="AG3521" s="2">
        <f ca="1"/>
        <v>0.10028993867771607</v>
      </c>
      <c r="AH3521" s="2" t="str">
        <f ca="1"/>
        <v>OK</v>
      </c>
    </row>
    <row r="3522" spans="2:34" x14ac:dyDescent="0.2">
      <c r="B3522" s="2">
        <f ca="1"/>
        <v>0.49395511025978855</v>
      </c>
      <c r="O3522" s="2">
        <f ca="1"/>
        <v>-0.12010640401684178</v>
      </c>
      <c r="X3522" s="2">
        <f ca="1"/>
        <v>51.353174807056121</v>
      </c>
      <c r="AG3522" s="2">
        <f ca="1"/>
        <v>0.94987608195471385</v>
      </c>
      <c r="AH3522" s="2" t="str">
        <f ca="1"/>
        <v>Bad</v>
      </c>
    </row>
    <row r="3523" spans="2:34" x14ac:dyDescent="0.2">
      <c r="B3523" s="2">
        <f ca="1"/>
        <v>0.97865917526105273</v>
      </c>
      <c r="O3523" s="2">
        <f ca="1"/>
        <v>0.24006242002871173</v>
      </c>
      <c r="X3523" s="2">
        <f ca="1"/>
        <v>46.411055071802934</v>
      </c>
      <c r="AG3523" s="2">
        <f ca="1"/>
        <v>0.77497268073103975</v>
      </c>
      <c r="AH3523" s="2" t="str">
        <f ca="1"/>
        <v>Bad</v>
      </c>
    </row>
    <row r="3524" spans="2:34" x14ac:dyDescent="0.2">
      <c r="B3524" s="2">
        <f ca="1"/>
        <v>0.5431477736698469</v>
      </c>
      <c r="O3524" s="2">
        <f ca="1"/>
        <v>-0.9057076432752339</v>
      </c>
      <c r="X3524" s="2">
        <f ca="1"/>
        <v>79.530824177709846</v>
      </c>
      <c r="AG3524" s="2">
        <f ca="1"/>
        <v>0.56992454698063466</v>
      </c>
      <c r="AH3524" s="2" t="str">
        <f ca="1"/>
        <v>Bad</v>
      </c>
    </row>
    <row r="3525" spans="2:34" x14ac:dyDescent="0.2">
      <c r="B3525" s="2">
        <f ca="1"/>
        <v>0.68780369195568647</v>
      </c>
      <c r="O3525" s="2">
        <f ca="1"/>
        <v>0.60298862001582321</v>
      </c>
      <c r="X3525" s="2">
        <f ca="1"/>
        <v>44.569803437309339</v>
      </c>
      <c r="AG3525" s="2">
        <f ca="1"/>
        <v>0.20329928531701325</v>
      </c>
      <c r="AH3525" s="2" t="str">
        <f ca="1"/>
        <v>OK</v>
      </c>
    </row>
    <row r="3526" spans="2:34" x14ac:dyDescent="0.2">
      <c r="B3526" s="2">
        <f ca="1"/>
        <v>0.10692410943794539</v>
      </c>
      <c r="O3526" s="2">
        <f ca="1"/>
        <v>0.82718588757335976</v>
      </c>
      <c r="X3526" s="2">
        <f ca="1"/>
        <v>48.61278896695552</v>
      </c>
      <c r="AG3526" s="2">
        <f ca="1"/>
        <v>0.70031803205673393</v>
      </c>
      <c r="AH3526" s="2" t="str">
        <f ca="1"/>
        <v>Bad</v>
      </c>
    </row>
    <row r="3527" spans="2:34" x14ac:dyDescent="0.2">
      <c r="B3527" s="2">
        <f ca="1"/>
        <v>0.3599501887964216</v>
      </c>
      <c r="O3527" s="2">
        <f ca="1"/>
        <v>-0.41655524081463574</v>
      </c>
      <c r="X3527" s="2">
        <f ca="1"/>
        <v>37.269047410436684</v>
      </c>
      <c r="AG3527" s="2">
        <f ca="1"/>
        <v>0.3761072626626687</v>
      </c>
      <c r="AH3527" s="2" t="str">
        <f ca="1"/>
        <v>OK</v>
      </c>
    </row>
    <row r="3528" spans="2:34" x14ac:dyDescent="0.2">
      <c r="B3528" s="2">
        <f ca="1"/>
        <v>2.5398650734335781E-2</v>
      </c>
      <c r="O3528" s="2">
        <f ca="1"/>
        <v>-0.85353640700718991</v>
      </c>
      <c r="X3528" s="2">
        <f ca="1"/>
        <v>31.526126510452013</v>
      </c>
      <c r="AG3528" s="2">
        <f ca="1"/>
        <v>0.70257987628558016</v>
      </c>
      <c r="AH3528" s="2" t="str">
        <f ca="1"/>
        <v>Bad</v>
      </c>
    </row>
    <row r="3529" spans="2:34" x14ac:dyDescent="0.2">
      <c r="B3529" s="2">
        <f ca="1"/>
        <v>0.78902403932618537</v>
      </c>
      <c r="O3529" s="2">
        <f ca="1"/>
        <v>-1.1857122922330836</v>
      </c>
      <c r="X3529" s="2">
        <f ca="1"/>
        <v>18.001391839524416</v>
      </c>
      <c r="AG3529" s="2">
        <f ca="1"/>
        <v>6.8221990959325129E-3</v>
      </c>
      <c r="AH3529" s="2" t="str">
        <f ca="1"/>
        <v>Good</v>
      </c>
    </row>
    <row r="3530" spans="2:34" x14ac:dyDescent="0.2">
      <c r="B3530" s="2">
        <f ca="1"/>
        <v>0.44252745502180635</v>
      </c>
      <c r="O3530" s="2">
        <f ca="1"/>
        <v>-4.2459357165047229E-2</v>
      </c>
      <c r="X3530" s="2">
        <f ca="1"/>
        <v>45.214462435685483</v>
      </c>
      <c r="AG3530" s="2">
        <f ca="1"/>
        <v>0.40306255122493173</v>
      </c>
      <c r="AH3530" s="2" t="str">
        <f ca="1"/>
        <v>Bad</v>
      </c>
    </row>
    <row r="3531" spans="2:34" x14ac:dyDescent="0.2">
      <c r="B3531" s="2">
        <f ca="1"/>
        <v>2.2518333534734536E-2</v>
      </c>
      <c r="O3531" s="2">
        <f ca="1"/>
        <v>1.4769590482950756</v>
      </c>
      <c r="X3531" s="2">
        <f ca="1"/>
        <v>77.832058510732182</v>
      </c>
      <c r="AG3531" s="2">
        <f ca="1"/>
        <v>0.65415969192341694</v>
      </c>
      <c r="AH3531" s="2" t="str">
        <f ca="1"/>
        <v>Bad</v>
      </c>
    </row>
    <row r="3532" spans="2:34" x14ac:dyDescent="0.2">
      <c r="B3532" s="2">
        <f ca="1"/>
        <v>0.18019855159609199</v>
      </c>
      <c r="O3532" s="2">
        <f ca="1"/>
        <v>3.3354237211840616E-2</v>
      </c>
      <c r="X3532" s="2">
        <f ca="1"/>
        <v>46.849888360499563</v>
      </c>
      <c r="AG3532" s="2">
        <f ca="1"/>
        <v>0.35774163720078134</v>
      </c>
      <c r="AH3532" s="2" t="str">
        <f ca="1"/>
        <v>OK</v>
      </c>
    </row>
    <row r="3533" spans="2:34" x14ac:dyDescent="0.2">
      <c r="B3533" s="2">
        <f ca="1"/>
        <v>2.738853219999493E-2</v>
      </c>
      <c r="O3533" s="2">
        <f ca="1"/>
        <v>-3.6254917504591123E-2</v>
      </c>
      <c r="X3533" s="2">
        <f ca="1"/>
        <v>68.713212298734376</v>
      </c>
      <c r="AG3533" s="2">
        <f ca="1"/>
        <v>0.47637272255345442</v>
      </c>
      <c r="AH3533" s="2" t="str">
        <f ca="1"/>
        <v>Bad</v>
      </c>
    </row>
    <row r="3534" spans="2:34" x14ac:dyDescent="0.2">
      <c r="B3534" s="2">
        <f ca="1"/>
        <v>0.47739410337271138</v>
      </c>
      <c r="O3534" s="2">
        <f ca="1"/>
        <v>0.12007834503238596</v>
      </c>
      <c r="X3534" s="2">
        <f ca="1"/>
        <v>35.551231251544728</v>
      </c>
      <c r="AG3534" s="2">
        <f ca="1"/>
        <v>0.62088109901925193</v>
      </c>
      <c r="AH3534" s="2" t="str">
        <f ca="1"/>
        <v>Bad</v>
      </c>
    </row>
    <row r="3535" spans="2:34" x14ac:dyDescent="0.2">
      <c r="B3535" s="2">
        <f ca="1"/>
        <v>0.18086724248316699</v>
      </c>
      <c r="O3535" s="2">
        <f ca="1"/>
        <v>1.4076644972779671</v>
      </c>
      <c r="X3535" s="2">
        <f ca="1"/>
        <v>56.585354452952565</v>
      </c>
      <c r="AG3535" s="2">
        <f ca="1"/>
        <v>8.3468774386313838E-2</v>
      </c>
      <c r="AH3535" s="2" t="str">
        <f ca="1"/>
        <v>OK</v>
      </c>
    </row>
    <row r="3536" spans="2:34" x14ac:dyDescent="0.2">
      <c r="B3536" s="2">
        <f ca="1"/>
        <v>0.58831911427425987</v>
      </c>
      <c r="O3536" s="2">
        <f ca="1"/>
        <v>0.20989761131361373</v>
      </c>
      <c r="X3536" s="2">
        <f ca="1"/>
        <v>42.489124468783366</v>
      </c>
      <c r="AG3536" s="2">
        <f ca="1"/>
        <v>0.51460389100714399</v>
      </c>
      <c r="AH3536" s="2" t="str">
        <f ca="1"/>
        <v>Bad</v>
      </c>
    </row>
    <row r="3537" spans="2:34" x14ac:dyDescent="0.2">
      <c r="B3537" s="2">
        <f ca="1"/>
        <v>0.67262346415028507</v>
      </c>
      <c r="O3537" s="2">
        <f ca="1"/>
        <v>-3.1413986106262962E-2</v>
      </c>
      <c r="X3537" s="2">
        <f ca="1"/>
        <v>32.0309574952894</v>
      </c>
      <c r="AG3537" s="2">
        <f ca="1"/>
        <v>0.95397684368827762</v>
      </c>
      <c r="AH3537" s="2" t="str">
        <f ca="1"/>
        <v>Bad</v>
      </c>
    </row>
    <row r="3538" spans="2:34" x14ac:dyDescent="0.2">
      <c r="B3538" s="2">
        <f ca="1"/>
        <v>0.52733098689361513</v>
      </c>
      <c r="O3538" s="2">
        <f ca="1"/>
        <v>0.20386587659388772</v>
      </c>
      <c r="X3538" s="2">
        <f ca="1"/>
        <v>38.537869562795791</v>
      </c>
      <c r="AG3538" s="2">
        <f ca="1"/>
        <v>0.83266415466473753</v>
      </c>
      <c r="AH3538" s="2" t="str">
        <f ca="1"/>
        <v>Bad</v>
      </c>
    </row>
    <row r="3539" spans="2:34" x14ac:dyDescent="0.2">
      <c r="B3539" s="2">
        <f ca="1"/>
        <v>0.90739631906157525</v>
      </c>
      <c r="O3539" s="2">
        <f ca="1"/>
        <v>1.3140737441011394</v>
      </c>
      <c r="X3539" s="2">
        <f ca="1"/>
        <v>32.074227130479379</v>
      </c>
      <c r="AG3539" s="2">
        <f ca="1"/>
        <v>0.90947588749581576</v>
      </c>
      <c r="AH3539" s="2" t="str">
        <f ca="1"/>
        <v>Bad</v>
      </c>
    </row>
    <row r="3540" spans="2:34" x14ac:dyDescent="0.2">
      <c r="B3540" s="2">
        <f ca="1"/>
        <v>0.92479125522050221</v>
      </c>
      <c r="O3540" s="2">
        <f ca="1"/>
        <v>-0.89403392346388733</v>
      </c>
      <c r="X3540" s="2">
        <f ca="1"/>
        <v>50.530075201740345</v>
      </c>
      <c r="AG3540" s="2">
        <f ca="1"/>
        <v>0.44780660839151243</v>
      </c>
      <c r="AH3540" s="2" t="str">
        <f ca="1"/>
        <v>Bad</v>
      </c>
    </row>
    <row r="3541" spans="2:34" x14ac:dyDescent="0.2">
      <c r="B3541" s="2">
        <f ca="1"/>
        <v>0.58853883764435366</v>
      </c>
      <c r="O3541" s="2">
        <f ca="1"/>
        <v>-0.73554434187736961</v>
      </c>
      <c r="X3541" s="2">
        <f ca="1"/>
        <v>37.246611111330374</v>
      </c>
      <c r="AG3541" s="2">
        <f ca="1"/>
        <v>0.41793095031224792</v>
      </c>
      <c r="AH3541" s="2" t="str">
        <f ca="1"/>
        <v>Bad</v>
      </c>
    </row>
    <row r="3542" spans="2:34" x14ac:dyDescent="0.2">
      <c r="B3542" s="2">
        <f ca="1"/>
        <v>1.4358795065304131E-2</v>
      </c>
      <c r="O3542" s="2">
        <f ca="1"/>
        <v>0.22765294965475727</v>
      </c>
      <c r="X3542" s="2">
        <f ca="1"/>
        <v>46.321717834062788</v>
      </c>
      <c r="AG3542" s="2">
        <f ca="1"/>
        <v>0.77297387273894502</v>
      </c>
      <c r="AH3542" s="2" t="str">
        <f ca="1"/>
        <v>Bad</v>
      </c>
    </row>
    <row r="3543" spans="2:34" x14ac:dyDescent="0.2">
      <c r="B3543" s="2">
        <f ca="1"/>
        <v>0.20099924441988648</v>
      </c>
      <c r="O3543" s="2">
        <f ca="1"/>
        <v>0.3740190225933363</v>
      </c>
      <c r="X3543" s="2">
        <f ca="1"/>
        <v>57.2041798802491</v>
      </c>
      <c r="AG3543" s="2">
        <f ca="1"/>
        <v>0.28406056052781192</v>
      </c>
      <c r="AH3543" s="2" t="str">
        <f ca="1"/>
        <v>OK</v>
      </c>
    </row>
    <row r="3544" spans="2:34" x14ac:dyDescent="0.2">
      <c r="B3544" s="2">
        <f ca="1"/>
        <v>0.56150084514978094</v>
      </c>
      <c r="O3544" s="2">
        <f ca="1"/>
        <v>0.27532438346507343</v>
      </c>
      <c r="X3544" s="2">
        <f ca="1"/>
        <v>25.523259158489282</v>
      </c>
      <c r="AG3544" s="2">
        <f ca="1"/>
        <v>0.74697436110862014</v>
      </c>
      <c r="AH3544" s="2" t="str">
        <f ca="1"/>
        <v>Bad</v>
      </c>
    </row>
    <row r="3545" spans="2:34" x14ac:dyDescent="0.2">
      <c r="B3545" s="2">
        <f ca="1"/>
        <v>1.2985960385524908E-2</v>
      </c>
      <c r="O3545" s="2">
        <f ca="1"/>
        <v>-2.0029121957081935</v>
      </c>
      <c r="X3545" s="2">
        <f ca="1"/>
        <v>48.760141969305991</v>
      </c>
      <c r="AG3545" s="2">
        <f ca="1"/>
        <v>0.48922968761805108</v>
      </c>
      <c r="AH3545" s="2" t="str">
        <f ca="1"/>
        <v>Bad</v>
      </c>
    </row>
    <row r="3546" spans="2:34" x14ac:dyDescent="0.2">
      <c r="B3546" s="2">
        <f ca="1"/>
        <v>7.3828669105331368E-2</v>
      </c>
      <c r="O3546" s="2">
        <f ca="1"/>
        <v>-1.1587033060435408</v>
      </c>
      <c r="X3546" s="2">
        <f ca="1"/>
        <v>34.038584051194441</v>
      </c>
      <c r="AG3546" s="2">
        <f ca="1"/>
        <v>0.67523117492905937</v>
      </c>
      <c r="AH3546" s="2" t="str">
        <f ca="1"/>
        <v>Bad</v>
      </c>
    </row>
    <row r="3547" spans="2:34" x14ac:dyDescent="0.2">
      <c r="B3547" s="2">
        <f ca="1"/>
        <v>0.12313162657167176</v>
      </c>
      <c r="O3547" s="2">
        <f ca="1"/>
        <v>-0.36590245836269786</v>
      </c>
      <c r="X3547" s="2">
        <f ca="1"/>
        <v>62.360441556298902</v>
      </c>
      <c r="AG3547" s="2">
        <f ca="1"/>
        <v>0.48776698231156201</v>
      </c>
      <c r="AH3547" s="2" t="str">
        <f ca="1"/>
        <v>Bad</v>
      </c>
    </row>
    <row r="3548" spans="2:34" x14ac:dyDescent="0.2">
      <c r="B3548" s="2">
        <f ca="1"/>
        <v>0.99498151015094871</v>
      </c>
      <c r="O3548" s="2">
        <f ca="1"/>
        <v>0.49520964992702482</v>
      </c>
      <c r="X3548" s="2">
        <f ca="1"/>
        <v>57.64785761382241</v>
      </c>
      <c r="AG3548" s="2">
        <f ca="1"/>
        <v>0.49953765677778184</v>
      </c>
      <c r="AH3548" s="2" t="str">
        <f ca="1"/>
        <v>Bad</v>
      </c>
    </row>
    <row r="3549" spans="2:34" x14ac:dyDescent="0.2">
      <c r="B3549" s="2">
        <f ca="1"/>
        <v>0.72134332627233144</v>
      </c>
      <c r="O3549" s="2">
        <f ca="1"/>
        <v>-0.93315192847115647</v>
      </c>
      <c r="X3549" s="2">
        <f ca="1"/>
        <v>89.089053098582625</v>
      </c>
      <c r="AG3549" s="2">
        <f ca="1"/>
        <v>0.83833870137209265</v>
      </c>
      <c r="AH3549" s="2" t="str">
        <f ca="1"/>
        <v>Bad</v>
      </c>
    </row>
    <row r="3550" spans="2:34" x14ac:dyDescent="0.2">
      <c r="B3550" s="2">
        <f ca="1"/>
        <v>0.1106928099175053</v>
      </c>
      <c r="O3550" s="2">
        <f ca="1"/>
        <v>-0.42389270065599166</v>
      </c>
      <c r="X3550" s="2">
        <f ca="1"/>
        <v>21.641319009628411</v>
      </c>
      <c r="AG3550" s="2">
        <f ca="1"/>
        <v>0.16162846125584429</v>
      </c>
      <c r="AH3550" s="2" t="str">
        <f ca="1"/>
        <v>OK</v>
      </c>
    </row>
    <row r="3551" spans="2:34" x14ac:dyDescent="0.2">
      <c r="B3551" s="2">
        <f ca="1"/>
        <v>0.65608880563824057</v>
      </c>
      <c r="O3551" s="2">
        <f ca="1"/>
        <v>0.94286430534553534</v>
      </c>
      <c r="X3551" s="2">
        <f ca="1"/>
        <v>23.821648369432392</v>
      </c>
      <c r="AG3551" s="2">
        <f ca="1"/>
        <v>0.32774047938985373</v>
      </c>
      <c r="AH3551" s="2" t="str">
        <f ca="1"/>
        <v>OK</v>
      </c>
    </row>
    <row r="3552" spans="2:34" x14ac:dyDescent="0.2">
      <c r="B3552" s="2">
        <f ca="1"/>
        <v>0.42358772947299439</v>
      </c>
      <c r="O3552" s="2">
        <f ca="1"/>
        <v>1.8332709884844527</v>
      </c>
      <c r="X3552" s="2">
        <f ca="1"/>
        <v>58.033285241984665</v>
      </c>
      <c r="AG3552" s="2">
        <f ca="1"/>
        <v>0.59391629825078907</v>
      </c>
      <c r="AH3552" s="2" t="str">
        <f ca="1"/>
        <v>Bad</v>
      </c>
    </row>
    <row r="3553" spans="2:34" x14ac:dyDescent="0.2">
      <c r="B3553" s="2">
        <f ca="1"/>
        <v>0.79509200882931808</v>
      </c>
      <c r="O3553" s="2">
        <f ca="1"/>
        <v>-0.14967395151565094</v>
      </c>
      <c r="X3553" s="2">
        <f ca="1"/>
        <v>67.608302596288695</v>
      </c>
      <c r="AG3553" s="2">
        <f ca="1"/>
        <v>0.62411475155512153</v>
      </c>
      <c r="AH3553" s="2" t="str">
        <f ca="1"/>
        <v>Bad</v>
      </c>
    </row>
    <row r="3554" spans="2:34" x14ac:dyDescent="0.2">
      <c r="B3554" s="2">
        <f ca="1"/>
        <v>4.4058489069179085E-2</v>
      </c>
      <c r="O3554" s="2">
        <f ca="1"/>
        <v>-0.6575403554519097</v>
      </c>
      <c r="X3554" s="2">
        <f ca="1"/>
        <v>51.648085847103772</v>
      </c>
      <c r="AG3554" s="2">
        <f ca="1"/>
        <v>0.35449749512281459</v>
      </c>
      <c r="AH3554" s="2" t="str">
        <f ca="1"/>
        <v>OK</v>
      </c>
    </row>
    <row r="3555" spans="2:34" x14ac:dyDescent="0.2">
      <c r="B3555" s="2">
        <f ca="1"/>
        <v>0.8081737759839378</v>
      </c>
      <c r="O3555" s="2">
        <f ca="1"/>
        <v>1.2948484237720002</v>
      </c>
      <c r="X3555" s="2">
        <f ca="1"/>
        <v>38.298774931636117</v>
      </c>
      <c r="AG3555" s="2">
        <f ca="1"/>
        <v>0.23867015888433207</v>
      </c>
      <c r="AH3555" s="2" t="str">
        <f ca="1"/>
        <v>OK</v>
      </c>
    </row>
    <row r="3556" spans="2:34" x14ac:dyDescent="0.2">
      <c r="B3556" s="2">
        <f ca="1"/>
        <v>0.57166819494967558</v>
      </c>
      <c r="O3556" s="2">
        <f ca="1"/>
        <v>-0.32522899232928221</v>
      </c>
      <c r="X3556" s="2">
        <f ca="1"/>
        <v>66.208371197631934</v>
      </c>
      <c r="AG3556" s="2">
        <f ca="1"/>
        <v>0.49631977837101537</v>
      </c>
      <c r="AH3556" s="2" t="str">
        <f ca="1"/>
        <v>Bad</v>
      </c>
    </row>
    <row r="3557" spans="2:34" x14ac:dyDescent="0.2">
      <c r="B3557" s="2">
        <f ca="1"/>
        <v>0.69743278883150372</v>
      </c>
      <c r="O3557" s="2">
        <f ca="1"/>
        <v>0.6785713093693464</v>
      </c>
      <c r="X3557" s="2">
        <f ca="1"/>
        <v>47.740878952662797</v>
      </c>
      <c r="AG3557" s="2">
        <f ca="1"/>
        <v>0.38495175023074446</v>
      </c>
      <c r="AH3557" s="2" t="str">
        <f ca="1"/>
        <v>OK</v>
      </c>
    </row>
    <row r="3558" spans="2:34" x14ac:dyDescent="0.2">
      <c r="B3558" s="2">
        <f ca="1"/>
        <v>0.29233799436773111</v>
      </c>
      <c r="O3558" s="2">
        <f ca="1"/>
        <v>-0.45990286919722001</v>
      </c>
      <c r="X3558" s="2">
        <f ca="1"/>
        <v>11.346517771246178</v>
      </c>
      <c r="AG3558" s="2">
        <f ca="1"/>
        <v>0.61317565940702501</v>
      </c>
      <c r="AH3558" s="2" t="str">
        <f ca="1"/>
        <v>Bad</v>
      </c>
    </row>
    <row r="3559" spans="2:34" x14ac:dyDescent="0.2">
      <c r="B3559" s="2">
        <f ca="1"/>
        <v>0.94919010197856624</v>
      </c>
      <c r="O3559" s="2">
        <f ca="1"/>
        <v>0.56189674428822822</v>
      </c>
      <c r="X3559" s="2">
        <f ca="1"/>
        <v>69.991943605032873</v>
      </c>
      <c r="AG3559" s="2">
        <f ca="1"/>
        <v>0.85093100957053069</v>
      </c>
      <c r="AH3559" s="2" t="str">
        <f ca="1"/>
        <v>Bad</v>
      </c>
    </row>
    <row r="3560" spans="2:34" x14ac:dyDescent="0.2">
      <c r="B3560" s="2">
        <f ca="1"/>
        <v>0.19711674505896837</v>
      </c>
      <c r="O3560" s="2">
        <f ca="1"/>
        <v>0.58081156624079655</v>
      </c>
      <c r="X3560" s="2">
        <f ca="1"/>
        <v>69.22175792938188</v>
      </c>
      <c r="AG3560" s="2">
        <f ca="1"/>
        <v>0.31700751380046688</v>
      </c>
      <c r="AH3560" s="2" t="str">
        <f ca="1"/>
        <v>OK</v>
      </c>
    </row>
    <row r="3561" spans="2:34" x14ac:dyDescent="0.2">
      <c r="B3561" s="2">
        <f ca="1"/>
        <v>0.35014052311854904</v>
      </c>
      <c r="O3561" s="2">
        <f ca="1"/>
        <v>-1.7954597408510709</v>
      </c>
      <c r="X3561" s="2">
        <f ca="1"/>
        <v>71.910155163521353</v>
      </c>
      <c r="AG3561" s="2">
        <f ca="1"/>
        <v>0.23715774286312796</v>
      </c>
      <c r="AH3561" s="2" t="str">
        <f ca="1"/>
        <v>OK</v>
      </c>
    </row>
    <row r="3562" spans="2:34" x14ac:dyDescent="0.2">
      <c r="B3562" s="2">
        <f ca="1"/>
        <v>0.5103334655848033</v>
      </c>
      <c r="O3562" s="2">
        <f ca="1"/>
        <v>0.37162862741569103</v>
      </c>
      <c r="X3562" s="2">
        <f ca="1"/>
        <v>57.766120150254103</v>
      </c>
      <c r="AG3562" s="2">
        <f ca="1"/>
        <v>0.52878263136882686</v>
      </c>
      <c r="AH3562" s="2" t="str">
        <f ca="1"/>
        <v>Bad</v>
      </c>
    </row>
    <row r="3563" spans="2:34" x14ac:dyDescent="0.2">
      <c r="B3563" s="2">
        <f ca="1"/>
        <v>0.26246705705492124</v>
      </c>
      <c r="O3563" s="2">
        <f ca="1"/>
        <v>0.20326880029212865</v>
      </c>
      <c r="X3563" s="2">
        <f ca="1"/>
        <v>53.887691413648099</v>
      </c>
      <c r="AG3563" s="2">
        <f ca="1"/>
        <v>0.53150232666619246</v>
      </c>
      <c r="AH3563" s="2" t="str">
        <f ca="1"/>
        <v>Bad</v>
      </c>
    </row>
    <row r="3564" spans="2:34" x14ac:dyDescent="0.2">
      <c r="B3564" s="2">
        <f ca="1"/>
        <v>0.1249132400129187</v>
      </c>
      <c r="O3564" s="2">
        <f ca="1"/>
        <v>0.18736467916986835</v>
      </c>
      <c r="X3564" s="2">
        <f ca="1"/>
        <v>25.881106791374613</v>
      </c>
      <c r="AG3564" s="2">
        <f ca="1"/>
        <v>0.81255390888995227</v>
      </c>
      <c r="AH3564" s="2" t="str">
        <f ca="1"/>
        <v>Bad</v>
      </c>
    </row>
    <row r="3565" spans="2:34" x14ac:dyDescent="0.2">
      <c r="B3565" s="2">
        <f ca="1"/>
        <v>2.4595108765028684E-3</v>
      </c>
      <c r="O3565" s="2">
        <f ca="1"/>
        <v>-0.58082984414688488</v>
      </c>
      <c r="X3565" s="2">
        <f ca="1"/>
        <v>29.254220247299219</v>
      </c>
      <c r="AG3565" s="2">
        <f ca="1"/>
        <v>0.52445694963238876</v>
      </c>
      <c r="AH3565" s="2" t="str">
        <f ca="1"/>
        <v>Bad</v>
      </c>
    </row>
    <row r="3566" spans="2:34" x14ac:dyDescent="0.2">
      <c r="B3566" s="2">
        <f ca="1"/>
        <v>0.21559644417691404</v>
      </c>
      <c r="O3566" s="2">
        <f ca="1"/>
        <v>-0.94082047748961373</v>
      </c>
      <c r="X3566" s="2">
        <f ca="1"/>
        <v>56.774130934767356</v>
      </c>
      <c r="AG3566" s="2">
        <f ca="1"/>
        <v>0.37720140500492016</v>
      </c>
      <c r="AH3566" s="2" t="str">
        <f ca="1"/>
        <v>OK</v>
      </c>
    </row>
    <row r="3567" spans="2:34" x14ac:dyDescent="0.2">
      <c r="B3567" s="2">
        <f ca="1"/>
        <v>0.43952413906040078</v>
      </c>
      <c r="O3567" s="2">
        <f ca="1"/>
        <v>0.16098169619126695</v>
      </c>
      <c r="X3567" s="2">
        <f ca="1"/>
        <v>53.484012206553551</v>
      </c>
      <c r="AG3567" s="2">
        <f ca="1"/>
        <v>0.91703317954673524</v>
      </c>
      <c r="AH3567" s="2" t="str">
        <f ca="1"/>
        <v>Bad</v>
      </c>
    </row>
    <row r="3568" spans="2:34" x14ac:dyDescent="0.2">
      <c r="B3568" s="2">
        <f ca="1"/>
        <v>0.49826747240019675</v>
      </c>
      <c r="O3568" s="2">
        <f ca="1"/>
        <v>0.58050347207093711</v>
      </c>
      <c r="X3568" s="2">
        <f ca="1"/>
        <v>45.950524779706825</v>
      </c>
      <c r="AG3568" s="2">
        <f ca="1"/>
        <v>0.97367014152423415</v>
      </c>
      <c r="AH3568" s="2" t="str">
        <f ca="1"/>
        <v>Bad</v>
      </c>
    </row>
    <row r="3569" spans="2:34" x14ac:dyDescent="0.2">
      <c r="B3569" s="2">
        <f ca="1"/>
        <v>0.62523998281719617</v>
      </c>
      <c r="O3569" s="2">
        <f ca="1"/>
        <v>1.3865861800533263</v>
      </c>
      <c r="X3569" s="2">
        <f ca="1"/>
        <v>50.979211637890813</v>
      </c>
      <c r="AG3569" s="2">
        <f ca="1"/>
        <v>6.8533986736451835E-2</v>
      </c>
      <c r="AH3569" s="2" t="str">
        <f ca="1"/>
        <v>OK</v>
      </c>
    </row>
    <row r="3570" spans="2:34" x14ac:dyDescent="0.2">
      <c r="B3570" s="2">
        <f ca="1"/>
        <v>0.47241568926413069</v>
      </c>
      <c r="O3570" s="2">
        <f ca="1"/>
        <v>-0.63978363802545546</v>
      </c>
      <c r="X3570" s="2">
        <f ca="1"/>
        <v>37.801282565257978</v>
      </c>
      <c r="AG3570" s="2">
        <f ca="1"/>
        <v>0.2047436824579798</v>
      </c>
      <c r="AH3570" s="2" t="str">
        <f ca="1"/>
        <v>OK</v>
      </c>
    </row>
    <row r="3571" spans="2:34" x14ac:dyDescent="0.2">
      <c r="B3571" s="2">
        <f ca="1"/>
        <v>0.33817302613101008</v>
      </c>
      <c r="O3571" s="2">
        <f ca="1"/>
        <v>1.4880213975833017</v>
      </c>
      <c r="X3571" s="2">
        <f ca="1"/>
        <v>50.301655958673692</v>
      </c>
      <c r="AG3571" s="2">
        <f ca="1"/>
        <v>0.29022281590021271</v>
      </c>
      <c r="AH3571" s="2" t="str">
        <f ca="1"/>
        <v>OK</v>
      </c>
    </row>
    <row r="3572" spans="2:34" x14ac:dyDescent="0.2">
      <c r="B3572" s="2">
        <f ca="1"/>
        <v>0.79745770485256151</v>
      </c>
      <c r="O3572" s="2">
        <f ca="1"/>
        <v>-1.1250597411089314</v>
      </c>
      <c r="X3572" s="2">
        <f ca="1"/>
        <v>34.940712705380989</v>
      </c>
      <c r="AG3572" s="2">
        <f ca="1"/>
        <v>0.68530968760037259</v>
      </c>
      <c r="AH3572" s="2" t="str">
        <f ca="1"/>
        <v>Bad</v>
      </c>
    </row>
    <row r="3573" spans="2:34" x14ac:dyDescent="0.2">
      <c r="B3573" s="2">
        <f ca="1"/>
        <v>0.39652713773178183</v>
      </c>
      <c r="O3573" s="2">
        <f ca="1"/>
        <v>1.1847311472810087</v>
      </c>
      <c r="X3573" s="2">
        <f ca="1"/>
        <v>49.381823901312089</v>
      </c>
      <c r="AG3573" s="2">
        <f ca="1"/>
        <v>0.94442818398819428</v>
      </c>
      <c r="AH3573" s="2" t="str">
        <f ca="1"/>
        <v>Bad</v>
      </c>
    </row>
    <row r="3574" spans="2:34" x14ac:dyDescent="0.2">
      <c r="B3574" s="2">
        <f ca="1"/>
        <v>0.79944225924435397</v>
      </c>
      <c r="O3574" s="2">
        <f ca="1"/>
        <v>0.50273025122959636</v>
      </c>
      <c r="X3574" s="2">
        <f ca="1"/>
        <v>50.659385797576306</v>
      </c>
      <c r="AG3574" s="2">
        <f ca="1"/>
        <v>0.38139519827687951</v>
      </c>
      <c r="AH3574" s="2" t="str">
        <f ca="1"/>
        <v>OK</v>
      </c>
    </row>
    <row r="3575" spans="2:34" x14ac:dyDescent="0.2">
      <c r="B3575" s="2">
        <f ca="1"/>
        <v>0.78939155627690316</v>
      </c>
      <c r="O3575" s="2">
        <f ca="1"/>
        <v>-8.9964211973587588E-2</v>
      </c>
      <c r="X3575" s="2">
        <f ca="1"/>
        <v>33.573211408748151</v>
      </c>
      <c r="AG3575" s="2">
        <f ca="1"/>
        <v>0.5310610622717109</v>
      </c>
      <c r="AH3575" s="2" t="str">
        <f ca="1"/>
        <v>Bad</v>
      </c>
    </row>
    <row r="3576" spans="2:34" x14ac:dyDescent="0.2">
      <c r="B3576" s="2">
        <f ca="1"/>
        <v>0.73969010073153774</v>
      </c>
      <c r="O3576" s="2">
        <f ca="1"/>
        <v>2.1023665900570494</v>
      </c>
      <c r="X3576" s="2">
        <f ca="1"/>
        <v>31.952026797012358</v>
      </c>
      <c r="AG3576" s="2">
        <f ca="1"/>
        <v>7.4566367883034834E-2</v>
      </c>
      <c r="AH3576" s="2" t="str">
        <f ca="1"/>
        <v>OK</v>
      </c>
    </row>
    <row r="3577" spans="2:34" x14ac:dyDescent="0.2">
      <c r="B3577" s="2">
        <f ca="1"/>
        <v>0.12518718010356933</v>
      </c>
      <c r="O3577" s="2">
        <f ca="1"/>
        <v>-0.41660022909868827</v>
      </c>
      <c r="X3577" s="2">
        <f ca="1"/>
        <v>43.312338116867046</v>
      </c>
      <c r="AG3577" s="2">
        <f ca="1"/>
        <v>0.19365782572567514</v>
      </c>
      <c r="AH3577" s="2" t="str">
        <f ca="1"/>
        <v>OK</v>
      </c>
    </row>
    <row r="3578" spans="2:34" x14ac:dyDescent="0.2">
      <c r="B3578" s="2">
        <f ca="1"/>
        <v>0.79202080615104031</v>
      </c>
      <c r="O3578" s="2">
        <f ca="1"/>
        <v>1.9528525340708374</v>
      </c>
      <c r="X3578" s="2">
        <f ca="1"/>
        <v>46.579215344902288</v>
      </c>
      <c r="AG3578" s="2">
        <f ca="1"/>
        <v>0.42112295485785167</v>
      </c>
      <c r="AH3578" s="2" t="str">
        <f ca="1"/>
        <v>Bad</v>
      </c>
    </row>
    <row r="3579" spans="2:34" x14ac:dyDescent="0.2">
      <c r="B3579" s="2">
        <f ca="1"/>
        <v>0.98113625894859169</v>
      </c>
      <c r="O3579" s="2">
        <f ca="1"/>
        <v>0.42184167437340386</v>
      </c>
      <c r="X3579" s="2">
        <f ca="1"/>
        <v>58.091419161176447</v>
      </c>
      <c r="AG3579" s="2">
        <f ca="1"/>
        <v>0.38243188387822413</v>
      </c>
      <c r="AH3579" s="2" t="str">
        <f ca="1"/>
        <v>OK</v>
      </c>
    </row>
    <row r="3580" spans="2:34" x14ac:dyDescent="0.2">
      <c r="B3580" s="2">
        <f ca="1"/>
        <v>0.10002938546853279</v>
      </c>
      <c r="O3580" s="2">
        <f ca="1"/>
        <v>-1.1758996704530227E-2</v>
      </c>
      <c r="X3580" s="2">
        <f ca="1"/>
        <v>57.228587071265828</v>
      </c>
      <c r="AG3580" s="2">
        <f ca="1"/>
        <v>5.8585792310030582E-2</v>
      </c>
      <c r="AH3580" s="2" t="str">
        <f ca="1"/>
        <v>OK</v>
      </c>
    </row>
    <row r="3581" spans="2:34" x14ac:dyDescent="0.2">
      <c r="B3581" s="2">
        <f ca="1"/>
        <v>0.37507662804389641</v>
      </c>
      <c r="O3581" s="2">
        <f ca="1"/>
        <v>-0.75713593641145782</v>
      </c>
      <c r="X3581" s="2">
        <f ca="1"/>
        <v>68.915543427931979</v>
      </c>
      <c r="AG3581" s="2">
        <f ca="1"/>
        <v>0.57087053989123659</v>
      </c>
      <c r="AH3581" s="2" t="str">
        <f ca="1"/>
        <v>Bad</v>
      </c>
    </row>
    <row r="3582" spans="2:34" x14ac:dyDescent="0.2">
      <c r="B3582" s="2">
        <f ca="1"/>
        <v>0.91572408760466639</v>
      </c>
      <c r="O3582" s="2">
        <f ca="1"/>
        <v>0.43248445748431885</v>
      </c>
      <c r="X3582" s="2">
        <f ca="1"/>
        <v>37.057781513947702</v>
      </c>
      <c r="AG3582" s="2">
        <f ca="1"/>
        <v>0.5763294275342703</v>
      </c>
      <c r="AH3582" s="2" t="str">
        <f ca="1"/>
        <v>Bad</v>
      </c>
    </row>
    <row r="3583" spans="2:34" x14ac:dyDescent="0.2">
      <c r="B3583" s="2">
        <f ca="1"/>
        <v>0.22861871401869238</v>
      </c>
      <c r="O3583" s="2">
        <f ca="1"/>
        <v>-0.12544693468666213</v>
      </c>
      <c r="X3583" s="2">
        <f ca="1"/>
        <v>63.68776410130026</v>
      </c>
      <c r="AG3583" s="2">
        <f ca="1"/>
        <v>0.31306186887337129</v>
      </c>
      <c r="AH3583" s="2" t="str">
        <f ca="1"/>
        <v>OK</v>
      </c>
    </row>
    <row r="3584" spans="2:34" x14ac:dyDescent="0.2">
      <c r="B3584" s="2">
        <f ca="1"/>
        <v>0.39411066236388237</v>
      </c>
      <c r="O3584" s="2">
        <f ca="1"/>
        <v>-0.85467311706143678</v>
      </c>
      <c r="X3584" s="2">
        <f ca="1"/>
        <v>67.832385376003444</v>
      </c>
      <c r="AG3584" s="2">
        <f ca="1"/>
        <v>0.66117256405665126</v>
      </c>
      <c r="AH3584" s="2" t="str">
        <f ca="1"/>
        <v>Bad</v>
      </c>
    </row>
    <row r="3585" spans="2:34" x14ac:dyDescent="0.2">
      <c r="B3585" s="2">
        <f ca="1"/>
        <v>0.98896949964172909</v>
      </c>
      <c r="O3585" s="2">
        <f ca="1"/>
        <v>0.10079940628830265</v>
      </c>
      <c r="X3585" s="2">
        <f ca="1"/>
        <v>45.128668221158861</v>
      </c>
      <c r="AG3585" s="2">
        <f ca="1"/>
        <v>0.48771739270281333</v>
      </c>
      <c r="AH3585" s="2" t="str">
        <f ca="1"/>
        <v>Bad</v>
      </c>
    </row>
    <row r="3586" spans="2:34" x14ac:dyDescent="0.2">
      <c r="B3586" s="2">
        <f ca="1"/>
        <v>1.965213815861766E-2</v>
      </c>
      <c r="O3586" s="2">
        <f ca="1"/>
        <v>-0.21644085739203414</v>
      </c>
      <c r="X3586" s="2">
        <f ca="1"/>
        <v>58.522570425297857</v>
      </c>
      <c r="AG3586" s="2">
        <f ca="1"/>
        <v>0.98480474172821642</v>
      </c>
      <c r="AH3586" s="2" t="str">
        <f ca="1"/>
        <v>Bad</v>
      </c>
    </row>
    <row r="3587" spans="2:34" x14ac:dyDescent="0.2">
      <c r="B3587" s="2">
        <f ca="1"/>
        <v>2.3393485683633752E-3</v>
      </c>
      <c r="O3587" s="2">
        <f ca="1"/>
        <v>0.55411258673358865</v>
      </c>
      <c r="X3587" s="2">
        <f ca="1"/>
        <v>57.968389105492271</v>
      </c>
      <c r="AG3587" s="2">
        <f ca="1"/>
        <v>0.42541610633638416</v>
      </c>
      <c r="AH3587" s="2" t="str">
        <f ca="1"/>
        <v>Bad</v>
      </c>
    </row>
    <row r="3588" spans="2:34" x14ac:dyDescent="0.2">
      <c r="B3588" s="2">
        <f ca="1"/>
        <v>0.1505363727275828</v>
      </c>
      <c r="O3588" s="2">
        <f ca="1"/>
        <v>-0.45208545291091684</v>
      </c>
      <c r="X3588" s="2">
        <f ca="1"/>
        <v>35.842167693566168</v>
      </c>
      <c r="AG3588" s="2">
        <f ca="1"/>
        <v>0.18410032223965289</v>
      </c>
      <c r="AH3588" s="2" t="str">
        <f ca="1"/>
        <v>OK</v>
      </c>
    </row>
    <row r="3589" spans="2:34" x14ac:dyDescent="0.2">
      <c r="B3589" s="2">
        <f ca="1"/>
        <v>0.2080487869399692</v>
      </c>
      <c r="O3589" s="2">
        <f ca="1"/>
        <v>1.0289401623832184</v>
      </c>
      <c r="X3589" s="2">
        <f ca="1"/>
        <v>55.403269007168213</v>
      </c>
      <c r="AG3589" s="2">
        <f ca="1"/>
        <v>0.86577727135212368</v>
      </c>
      <c r="AH3589" s="2" t="str">
        <f ca="1"/>
        <v>Bad</v>
      </c>
    </row>
    <row r="3590" spans="2:34" x14ac:dyDescent="0.2">
      <c r="B3590" s="2">
        <f ca="1"/>
        <v>0.91349600469319459</v>
      </c>
      <c r="O3590" s="2">
        <f ca="1"/>
        <v>0.74027256351598703</v>
      </c>
      <c r="X3590" s="2">
        <f ca="1"/>
        <v>47.195117432311179</v>
      </c>
      <c r="AG3590" s="2">
        <f ca="1"/>
        <v>0.69628097747335249</v>
      </c>
      <c r="AH3590" s="2" t="str">
        <f ca="1"/>
        <v>Bad</v>
      </c>
    </row>
    <row r="3591" spans="2:34" x14ac:dyDescent="0.2">
      <c r="B3591" s="2">
        <f ca="1"/>
        <v>0.59166965993737075</v>
      </c>
      <c r="O3591" s="2">
        <f ca="1"/>
        <v>9.2000330119780344E-2</v>
      </c>
      <c r="X3591" s="2">
        <f ca="1"/>
        <v>44.97593347726373</v>
      </c>
      <c r="AG3591" s="2">
        <f ca="1"/>
        <v>0.60477864118840063</v>
      </c>
      <c r="AH3591" s="2" t="str">
        <f ca="1"/>
        <v>Bad</v>
      </c>
    </row>
    <row r="3592" spans="2:34" x14ac:dyDescent="0.2">
      <c r="B3592" s="2">
        <f ca="1"/>
        <v>0.53380859413478055</v>
      </c>
      <c r="O3592" s="2">
        <f ca="1"/>
        <v>-0.54992130720044963</v>
      </c>
      <c r="X3592" s="2">
        <f ca="1"/>
        <v>42.687881224930521</v>
      </c>
      <c r="AG3592" s="2">
        <f ca="1"/>
        <v>0.42519585108755487</v>
      </c>
      <c r="AH3592" s="2" t="str">
        <f ca="1"/>
        <v>Bad</v>
      </c>
    </row>
    <row r="3593" spans="2:34" x14ac:dyDescent="0.2">
      <c r="B3593" s="2">
        <f ca="1"/>
        <v>0.42412948232687042</v>
      </c>
      <c r="O3593" s="2">
        <f ca="1"/>
        <v>1.3599894292087764</v>
      </c>
      <c r="X3593" s="2">
        <f ca="1"/>
        <v>28.959459909095706</v>
      </c>
      <c r="AG3593" s="2">
        <f ca="1"/>
        <v>0.14242964245232947</v>
      </c>
      <c r="AH3593" s="2" t="str">
        <f ca="1"/>
        <v>OK</v>
      </c>
    </row>
    <row r="3594" spans="2:34" x14ac:dyDescent="0.2">
      <c r="B3594" s="2">
        <f ca="1"/>
        <v>0.74116806877229813</v>
      </c>
      <c r="O3594" s="2">
        <f ca="1"/>
        <v>-0.13727272353591907</v>
      </c>
      <c r="X3594" s="2">
        <f ca="1"/>
        <v>52.186593525342602</v>
      </c>
      <c r="AG3594" s="2">
        <f ca="1"/>
        <v>0.38922175534554326</v>
      </c>
      <c r="AH3594" s="2" t="str">
        <f ca="1"/>
        <v>OK</v>
      </c>
    </row>
    <row r="3595" spans="2:34" x14ac:dyDescent="0.2">
      <c r="B3595" s="2">
        <f ca="1"/>
        <v>0.46502023327645992</v>
      </c>
      <c r="O3595" s="2">
        <f ca="1"/>
        <v>0.26247539475244236</v>
      </c>
      <c r="X3595" s="2">
        <f ca="1"/>
        <v>39.335198007122941</v>
      </c>
      <c r="AG3595" s="2">
        <f ca="1"/>
        <v>0.34557805963215027</v>
      </c>
      <c r="AH3595" s="2" t="str">
        <f ca="1"/>
        <v>OK</v>
      </c>
    </row>
    <row r="3596" spans="2:34" x14ac:dyDescent="0.2">
      <c r="B3596" s="2">
        <f ca="1"/>
        <v>0.32777640978679257</v>
      </c>
      <c r="O3596" s="2">
        <f ca="1"/>
        <v>0.9982215704932117</v>
      </c>
      <c r="X3596" s="2">
        <f ca="1"/>
        <v>33.936475021618776</v>
      </c>
      <c r="AG3596" s="2">
        <f ca="1"/>
        <v>0.69687305030253754</v>
      </c>
      <c r="AH3596" s="2" t="str">
        <f ca="1"/>
        <v>Bad</v>
      </c>
    </row>
    <row r="3597" spans="2:34" x14ac:dyDescent="0.2">
      <c r="B3597" s="2">
        <f ca="1"/>
        <v>0.3247390400019059</v>
      </c>
      <c r="O3597" s="2">
        <f ca="1"/>
        <v>-0.79766170517347057</v>
      </c>
      <c r="X3597" s="2">
        <f ca="1"/>
        <v>15.400998605700584</v>
      </c>
      <c r="AG3597" s="2">
        <f ca="1"/>
        <v>0.32477360129517074</v>
      </c>
      <c r="AH3597" s="2" t="str">
        <f ca="1"/>
        <v>OK</v>
      </c>
    </row>
    <row r="3598" spans="2:34" x14ac:dyDescent="0.2">
      <c r="B3598" s="2">
        <f ca="1"/>
        <v>0.42350689551270637</v>
      </c>
      <c r="O3598" s="2">
        <f ca="1"/>
        <v>1.8252460666738568</v>
      </c>
      <c r="X3598" s="2">
        <f ca="1"/>
        <v>84.567802707089555</v>
      </c>
      <c r="AG3598" s="2">
        <f ca="1"/>
        <v>0.57003170251274438</v>
      </c>
      <c r="AH3598" s="2" t="str">
        <f ca="1"/>
        <v>Bad</v>
      </c>
    </row>
    <row r="3599" spans="2:34" x14ac:dyDescent="0.2">
      <c r="B3599" s="2">
        <f ca="1"/>
        <v>0.77968027157755504</v>
      </c>
      <c r="O3599" s="2">
        <f ca="1"/>
        <v>-0.61356708556809769</v>
      </c>
      <c r="X3599" s="2">
        <f ca="1"/>
        <v>58.996001915456063</v>
      </c>
      <c r="AG3599" s="2">
        <f ca="1"/>
        <v>0.99676366574208775</v>
      </c>
      <c r="AH3599" s="2" t="str">
        <f ca="1"/>
        <v>Bad</v>
      </c>
    </row>
    <row r="3600" spans="2:34" x14ac:dyDescent="0.2">
      <c r="B3600" s="2">
        <f ca="1"/>
        <v>0.93758769643321771</v>
      </c>
      <c r="O3600" s="2">
        <f ca="1"/>
        <v>0.79200024214677833</v>
      </c>
      <c r="X3600" s="2">
        <f ca="1"/>
        <v>39.825365256896092</v>
      </c>
      <c r="AG3600" s="2">
        <f ca="1"/>
        <v>6.5017577417729733E-2</v>
      </c>
      <c r="AH3600" s="2" t="str">
        <f ca="1"/>
        <v>OK</v>
      </c>
    </row>
    <row r="3601" spans="2:34" x14ac:dyDescent="0.2">
      <c r="B3601" s="2">
        <f ca="1"/>
        <v>0.92516216978737442</v>
      </c>
      <c r="O3601" s="2">
        <f ca="1"/>
        <v>1.7077633197896367</v>
      </c>
      <c r="X3601" s="2">
        <f ca="1"/>
        <v>39.570751258158566</v>
      </c>
      <c r="AG3601" s="2">
        <f ca="1"/>
        <v>0.19024294595180313</v>
      </c>
      <c r="AH3601" s="2" t="str">
        <f ca="1"/>
        <v>OK</v>
      </c>
    </row>
    <row r="3602" spans="2:34" x14ac:dyDescent="0.2">
      <c r="B3602" s="2">
        <f ca="1"/>
        <v>5.2040079298788511E-2</v>
      </c>
      <c r="O3602" s="2">
        <f ca="1"/>
        <v>-1.1430998092519866</v>
      </c>
      <c r="X3602" s="2">
        <f ca="1"/>
        <v>51.054170562481303</v>
      </c>
      <c r="AG3602" s="2">
        <f ca="1"/>
        <v>0.20856209935654157</v>
      </c>
      <c r="AH3602" s="2" t="str">
        <f ca="1"/>
        <v>OK</v>
      </c>
    </row>
    <row r="3603" spans="2:34" x14ac:dyDescent="0.2">
      <c r="B3603" s="2">
        <f ca="1"/>
        <v>0.15067204119304867</v>
      </c>
      <c r="O3603" s="2">
        <f ca="1"/>
        <v>0.19525446377395114</v>
      </c>
      <c r="X3603" s="2">
        <f ca="1"/>
        <v>52.283575535907396</v>
      </c>
      <c r="AG3603" s="2">
        <f ca="1"/>
        <v>0.17139968937491235</v>
      </c>
      <c r="AH3603" s="2" t="str">
        <f ca="1"/>
        <v>OK</v>
      </c>
    </row>
    <row r="3604" spans="2:34" x14ac:dyDescent="0.2">
      <c r="B3604" s="2">
        <f ca="1"/>
        <v>0.7546760066073841</v>
      </c>
      <c r="O3604" s="2">
        <f ca="1"/>
        <v>-2.3925171637507487</v>
      </c>
      <c r="X3604" s="2">
        <f ca="1"/>
        <v>33.487444528095416</v>
      </c>
      <c r="AG3604" s="2">
        <f ca="1"/>
        <v>0.82533074974968934</v>
      </c>
      <c r="AH3604" s="2" t="str">
        <f ca="1"/>
        <v>Bad</v>
      </c>
    </row>
    <row r="3605" spans="2:34" x14ac:dyDescent="0.2">
      <c r="B3605" s="2">
        <f ca="1"/>
        <v>0.3894329227574751</v>
      </c>
      <c r="O3605" s="2">
        <f ca="1"/>
        <v>7.950561443429259E-2</v>
      </c>
      <c r="X3605" s="2">
        <f ca="1"/>
        <v>66.747746061961266</v>
      </c>
      <c r="AG3605" s="2">
        <f ca="1"/>
        <v>0.59740119982725925</v>
      </c>
      <c r="AH3605" s="2" t="str">
        <f ca="1"/>
        <v>Bad</v>
      </c>
    </row>
    <row r="3606" spans="2:34" x14ac:dyDescent="0.2">
      <c r="B3606" s="2">
        <f ca="1"/>
        <v>0.34872964706666654</v>
      </c>
      <c r="O3606" s="2">
        <f ca="1"/>
        <v>1.2893831524006309</v>
      </c>
      <c r="X3606" s="2">
        <f ca="1"/>
        <v>44.612272211844193</v>
      </c>
      <c r="AG3606" s="2">
        <f ca="1"/>
        <v>0.21833040075298715</v>
      </c>
      <c r="AH3606" s="2" t="str">
        <f ca="1"/>
        <v>OK</v>
      </c>
    </row>
    <row r="3607" spans="2:34" x14ac:dyDescent="0.2">
      <c r="B3607" s="2">
        <f ca="1"/>
        <v>2.6021251250448296E-2</v>
      </c>
      <c r="O3607" s="2">
        <f ca="1"/>
        <v>-0.46509571535957928</v>
      </c>
      <c r="X3607" s="2">
        <f ca="1"/>
        <v>56.121269490685151</v>
      </c>
      <c r="AG3607" s="2">
        <f ca="1"/>
        <v>0.38503202184106855</v>
      </c>
      <c r="AH3607" s="2" t="str">
        <f ca="1"/>
        <v>OK</v>
      </c>
    </row>
    <row r="3608" spans="2:34" x14ac:dyDescent="0.2">
      <c r="B3608" s="2">
        <f ca="1"/>
        <v>3.3820897073953748E-2</v>
      </c>
      <c r="O3608" s="2">
        <f ca="1"/>
        <v>-0.19764250308551298</v>
      </c>
      <c r="X3608" s="2">
        <f ca="1"/>
        <v>29.949765943463298</v>
      </c>
      <c r="AG3608" s="2">
        <f ca="1"/>
        <v>0.96139453578566414</v>
      </c>
      <c r="AH3608" s="2" t="str">
        <f ca="1"/>
        <v>Bad</v>
      </c>
    </row>
    <row r="3609" spans="2:34" x14ac:dyDescent="0.2">
      <c r="B3609" s="2">
        <f ca="1"/>
        <v>0.41173529561479971</v>
      </c>
      <c r="O3609" s="2">
        <f ca="1"/>
        <v>-0.57623509033776321</v>
      </c>
      <c r="X3609" s="2">
        <f ca="1"/>
        <v>39.137107582608138</v>
      </c>
      <c r="AG3609" s="2">
        <f ca="1"/>
        <v>0.97440990157870822</v>
      </c>
      <c r="AH3609" s="2" t="str">
        <f ca="1"/>
        <v>Bad</v>
      </c>
    </row>
    <row r="3610" spans="2:34" x14ac:dyDescent="0.2">
      <c r="B3610" s="2">
        <f ca="1"/>
        <v>0.42050276685972632</v>
      </c>
      <c r="O3610" s="2">
        <f ca="1"/>
        <v>1.1026093282012607E-2</v>
      </c>
      <c r="X3610" s="2">
        <f ca="1"/>
        <v>59.056830298169487</v>
      </c>
      <c r="AG3610" s="2">
        <f ca="1"/>
        <v>0.18618404129314547</v>
      </c>
      <c r="AH3610" s="2" t="str">
        <f ca="1"/>
        <v>OK</v>
      </c>
    </row>
    <row r="3611" spans="2:34" x14ac:dyDescent="0.2">
      <c r="B3611" s="2">
        <f ca="1"/>
        <v>0.82766765150513932</v>
      </c>
      <c r="O3611" s="2">
        <f ca="1"/>
        <v>-0.90394669965050212</v>
      </c>
      <c r="X3611" s="2">
        <f ca="1"/>
        <v>79.936270225548114</v>
      </c>
      <c r="AG3611" s="2">
        <f ca="1"/>
        <v>0.79634460954451569</v>
      </c>
      <c r="AH3611" s="2" t="str">
        <f ca="1"/>
        <v>Bad</v>
      </c>
    </row>
    <row r="3612" spans="2:34" x14ac:dyDescent="0.2">
      <c r="B3612" s="2">
        <f ca="1"/>
        <v>0.17572394631977639</v>
      </c>
      <c r="O3612" s="2">
        <f ca="1"/>
        <v>1.1905124954158266</v>
      </c>
      <c r="X3612" s="2">
        <f ca="1"/>
        <v>64.025803108160446</v>
      </c>
      <c r="AG3612" s="2">
        <f ca="1"/>
        <v>1.233945499501421E-2</v>
      </c>
      <c r="AH3612" s="2" t="str">
        <f ca="1"/>
        <v>Good</v>
      </c>
    </row>
    <row r="3613" spans="2:34" x14ac:dyDescent="0.2">
      <c r="B3613" s="2">
        <f ca="1"/>
        <v>0.96671762775396286</v>
      </c>
      <c r="O3613" s="2">
        <f ca="1"/>
        <v>0.7277370136398349</v>
      </c>
      <c r="X3613" s="2">
        <f ca="1"/>
        <v>35.15168579421973</v>
      </c>
      <c r="AG3613" s="2">
        <f ca="1"/>
        <v>0.50555345125159956</v>
      </c>
      <c r="AH3613" s="2" t="str">
        <f ca="1"/>
        <v>Bad</v>
      </c>
    </row>
    <row r="3614" spans="2:34" x14ac:dyDescent="0.2">
      <c r="B3614" s="2">
        <f ca="1"/>
        <v>0.44708335304068192</v>
      </c>
      <c r="O3614" s="2">
        <f ca="1"/>
        <v>0.11646909497607975</v>
      </c>
      <c r="X3614" s="2">
        <f ca="1"/>
        <v>53.414585006573191</v>
      </c>
      <c r="AG3614" s="2">
        <f ca="1"/>
        <v>0.48659561853718447</v>
      </c>
      <c r="AH3614" s="2" t="str">
        <f ca="1"/>
        <v>Bad</v>
      </c>
    </row>
    <row r="3615" spans="2:34" x14ac:dyDescent="0.2">
      <c r="B3615" s="2">
        <f ca="1"/>
        <v>0.64984230051604275</v>
      </c>
      <c r="O3615" s="2">
        <f ca="1"/>
        <v>0.58503042470689859</v>
      </c>
      <c r="X3615" s="2">
        <f ca="1"/>
        <v>64.497213366976297</v>
      </c>
      <c r="AG3615" s="2">
        <f ca="1"/>
        <v>0.73807346508142357</v>
      </c>
      <c r="AH3615" s="2" t="str">
        <f ca="1"/>
        <v>Bad</v>
      </c>
    </row>
    <row r="3616" spans="2:34" x14ac:dyDescent="0.2">
      <c r="B3616" s="2">
        <f ca="1"/>
        <v>0.36938191080871108</v>
      </c>
      <c r="O3616" s="2">
        <f ca="1"/>
        <v>-6.1656379625684453E-2</v>
      </c>
      <c r="X3616" s="2">
        <f ca="1"/>
        <v>78.719882650553572</v>
      </c>
      <c r="AG3616" s="2">
        <f ca="1"/>
        <v>0.52019613503378159</v>
      </c>
      <c r="AH3616" s="2" t="str">
        <f ca="1"/>
        <v>Bad</v>
      </c>
    </row>
    <row r="3617" spans="2:34" x14ac:dyDescent="0.2">
      <c r="B3617" s="2">
        <f ca="1"/>
        <v>0.65735744219300973</v>
      </c>
      <c r="O3617" s="2">
        <f ca="1"/>
        <v>-4.8878729242538121E-3</v>
      </c>
      <c r="X3617" s="2">
        <f ca="1"/>
        <v>77.364875200011269</v>
      </c>
      <c r="AG3617" s="2">
        <f ca="1"/>
        <v>0.86497930774852683</v>
      </c>
      <c r="AH3617" s="2" t="str">
        <f ca="1"/>
        <v>Bad</v>
      </c>
    </row>
    <row r="3618" spans="2:34" x14ac:dyDescent="0.2">
      <c r="B3618" s="2">
        <f ca="1"/>
        <v>0.76433576274544612</v>
      </c>
      <c r="O3618" s="2">
        <f ca="1"/>
        <v>0.60390673407159379</v>
      </c>
      <c r="X3618" s="2">
        <f ca="1"/>
        <v>76.093402288366278</v>
      </c>
      <c r="AG3618" s="2">
        <f ca="1"/>
        <v>0.97324713241454885</v>
      </c>
      <c r="AH3618" s="2" t="str">
        <f ca="1"/>
        <v>Bad</v>
      </c>
    </row>
    <row r="3619" spans="2:34" x14ac:dyDescent="0.2">
      <c r="B3619" s="2">
        <f ca="1"/>
        <v>0.54300314735212418</v>
      </c>
      <c r="O3619" s="2">
        <f ca="1"/>
        <v>-0.43444859818803594</v>
      </c>
      <c r="X3619" s="2">
        <f ca="1"/>
        <v>89.198732147494013</v>
      </c>
      <c r="AG3619" s="2">
        <f ca="1"/>
        <v>0.50624690071288958</v>
      </c>
      <c r="AH3619" s="2" t="str">
        <f ca="1"/>
        <v>Bad</v>
      </c>
    </row>
    <row r="3620" spans="2:34" x14ac:dyDescent="0.2">
      <c r="B3620" s="2">
        <f ca="1"/>
        <v>0.52243503600819463</v>
      </c>
      <c r="O3620" s="2">
        <f ca="1"/>
        <v>-0.22954740076328836</v>
      </c>
      <c r="X3620" s="2">
        <f ca="1"/>
        <v>53.097141572129701</v>
      </c>
      <c r="AG3620" s="2">
        <f ca="1"/>
        <v>0.30477142068709329</v>
      </c>
      <c r="AH3620" s="2" t="str">
        <f ca="1"/>
        <v>OK</v>
      </c>
    </row>
    <row r="3621" spans="2:34" x14ac:dyDescent="0.2">
      <c r="B3621" s="2">
        <f ca="1"/>
        <v>2.4058668528756488E-2</v>
      </c>
      <c r="O3621" s="2">
        <f ca="1"/>
        <v>0.34036728892838514</v>
      </c>
      <c r="X3621" s="2">
        <f ca="1"/>
        <v>22.389986828793937</v>
      </c>
      <c r="AG3621" s="2">
        <f ca="1"/>
        <v>0.86164185790055492</v>
      </c>
      <c r="AH3621" s="2" t="str">
        <f ca="1"/>
        <v>Bad</v>
      </c>
    </row>
    <row r="3622" spans="2:34" x14ac:dyDescent="0.2">
      <c r="B3622" s="2">
        <f ca="1"/>
        <v>0.82740374955872009</v>
      </c>
      <c r="O3622" s="2">
        <f ca="1"/>
        <v>-0.52706557285982747</v>
      </c>
      <c r="X3622" s="2">
        <f ca="1"/>
        <v>32.742649930197921</v>
      </c>
      <c r="AG3622" s="2">
        <f ca="1"/>
        <v>0.24941019826462596</v>
      </c>
      <c r="AH3622" s="2" t="str">
        <f ca="1"/>
        <v>OK</v>
      </c>
    </row>
    <row r="3623" spans="2:34" x14ac:dyDescent="0.2">
      <c r="B3623" s="2">
        <f ca="1"/>
        <v>0.80729210731083789</v>
      </c>
      <c r="O3623" s="2">
        <f ca="1"/>
        <v>-6.218919762936985E-2</v>
      </c>
      <c r="X3623" s="2">
        <f ca="1"/>
        <v>65.834336713407481</v>
      </c>
      <c r="AG3623" s="2">
        <f ca="1"/>
        <v>0.29650962450096419</v>
      </c>
      <c r="AH3623" s="2" t="str">
        <f ca="1"/>
        <v>OK</v>
      </c>
    </row>
    <row r="3624" spans="2:34" x14ac:dyDescent="0.2">
      <c r="B3624" s="2">
        <f ca="1"/>
        <v>0.27517266103419313</v>
      </c>
      <c r="O3624" s="2">
        <f ca="1"/>
        <v>-1.5890264380610812</v>
      </c>
      <c r="X3624" s="2">
        <f ca="1"/>
        <v>30.372601473323474</v>
      </c>
      <c r="AG3624" s="2">
        <f ca="1"/>
        <v>0.41025306167362863</v>
      </c>
      <c r="AH3624" s="2" t="str">
        <f ca="1"/>
        <v>Bad</v>
      </c>
    </row>
    <row r="3625" spans="2:34" x14ac:dyDescent="0.2">
      <c r="B3625" s="2">
        <f ca="1"/>
        <v>0.66406585466585466</v>
      </c>
      <c r="O3625" s="2">
        <f ca="1"/>
        <v>0.53721138466461382</v>
      </c>
      <c r="X3625" s="2">
        <f ca="1"/>
        <v>40.360638231085197</v>
      </c>
      <c r="AG3625" s="2">
        <f ca="1"/>
        <v>0.18480804708433163</v>
      </c>
      <c r="AH3625" s="2" t="str">
        <f ca="1"/>
        <v>OK</v>
      </c>
    </row>
    <row r="3626" spans="2:34" x14ac:dyDescent="0.2">
      <c r="B3626" s="2">
        <f ca="1"/>
        <v>0.50656197350395393</v>
      </c>
      <c r="O3626" s="2">
        <f ca="1"/>
        <v>-0.46846623378820557</v>
      </c>
      <c r="X3626" s="2">
        <f ca="1"/>
        <v>26.567610262176309</v>
      </c>
      <c r="AG3626" s="2">
        <f ca="1"/>
        <v>0.36479596548191218</v>
      </c>
      <c r="AH3626" s="2" t="str">
        <f ca="1"/>
        <v>OK</v>
      </c>
    </row>
    <row r="3627" spans="2:34" x14ac:dyDescent="0.2">
      <c r="B3627" s="2">
        <f ca="1"/>
        <v>0.6906795114417561</v>
      </c>
      <c r="O3627" s="2">
        <f ca="1"/>
        <v>-0.53489003836309157</v>
      </c>
      <c r="X3627" s="2">
        <f ca="1"/>
        <v>49.532933815655724</v>
      </c>
      <c r="AG3627" s="2">
        <f ca="1"/>
        <v>9.2271987536766131E-2</v>
      </c>
      <c r="AH3627" s="2" t="str">
        <f ca="1"/>
        <v>OK</v>
      </c>
    </row>
    <row r="3628" spans="2:34" x14ac:dyDescent="0.2">
      <c r="B3628" s="2">
        <f ca="1"/>
        <v>0.69126833187753123</v>
      </c>
      <c r="O3628" s="2">
        <f ca="1"/>
        <v>-0.16071277221852201</v>
      </c>
      <c r="X3628" s="2">
        <f ca="1"/>
        <v>35.826253276095642</v>
      </c>
      <c r="AG3628" s="2">
        <f ca="1"/>
        <v>0.64868816765565063</v>
      </c>
      <c r="AH3628" s="2" t="str">
        <f ca="1"/>
        <v>Bad</v>
      </c>
    </row>
    <row r="3629" spans="2:34" x14ac:dyDescent="0.2">
      <c r="B3629" s="2">
        <f ca="1"/>
        <v>0.59378548276665333</v>
      </c>
      <c r="O3629" s="2">
        <f ca="1"/>
        <v>0.26885476937580172</v>
      </c>
      <c r="X3629" s="2">
        <f ca="1"/>
        <v>43.843264206864205</v>
      </c>
      <c r="AG3629" s="2">
        <f ca="1"/>
        <v>0.98769992522203243</v>
      </c>
      <c r="AH3629" s="2" t="str">
        <f ca="1"/>
        <v>Bad</v>
      </c>
    </row>
    <row r="3630" spans="2:34" x14ac:dyDescent="0.2">
      <c r="B3630" s="2">
        <f ca="1"/>
        <v>0.71608185202527297</v>
      </c>
      <c r="O3630" s="2">
        <f ca="1"/>
        <v>-1.0565486041202568</v>
      </c>
      <c r="X3630" s="2">
        <f ca="1"/>
        <v>48.347257533861324</v>
      </c>
      <c r="AG3630" s="2">
        <f ca="1"/>
        <v>0.74288453984190839</v>
      </c>
      <c r="AH3630" s="2" t="str">
        <f ca="1"/>
        <v>Bad</v>
      </c>
    </row>
    <row r="3631" spans="2:34" x14ac:dyDescent="0.2">
      <c r="B3631" s="2">
        <f ca="1"/>
        <v>0.33069176586999793</v>
      </c>
      <c r="O3631" s="2">
        <f ca="1"/>
        <v>-0.80536892342223843</v>
      </c>
      <c r="X3631" s="2">
        <f ca="1"/>
        <v>66.778609008193214</v>
      </c>
      <c r="AG3631" s="2">
        <f ca="1"/>
        <v>0.65796220524372995</v>
      </c>
      <c r="AH3631" s="2" t="str">
        <f ca="1"/>
        <v>Bad</v>
      </c>
    </row>
    <row r="3632" spans="2:34" x14ac:dyDescent="0.2">
      <c r="B3632" s="2">
        <f ca="1"/>
        <v>0.10848095073457764</v>
      </c>
      <c r="O3632" s="2">
        <f ca="1"/>
        <v>-2.3520234484972976E-2</v>
      </c>
      <c r="X3632" s="2">
        <f ca="1"/>
        <v>32.410530759874575</v>
      </c>
      <c r="AG3632" s="2">
        <f ca="1"/>
        <v>0.16755042115028185</v>
      </c>
      <c r="AH3632" s="2" t="str">
        <f ca="1"/>
        <v>OK</v>
      </c>
    </row>
    <row r="3633" spans="2:34" x14ac:dyDescent="0.2">
      <c r="B3633" s="2">
        <f ca="1"/>
        <v>0.66131120039432467</v>
      </c>
      <c r="O3633" s="2">
        <f ca="1"/>
        <v>-1.4906869973628696</v>
      </c>
      <c r="X3633" s="2">
        <f ca="1"/>
        <v>57.948942312253855</v>
      </c>
      <c r="AG3633" s="2">
        <f ca="1"/>
        <v>0.81456927080046349</v>
      </c>
      <c r="AH3633" s="2" t="str">
        <f ca="1"/>
        <v>Bad</v>
      </c>
    </row>
    <row r="3634" spans="2:34" x14ac:dyDescent="0.2">
      <c r="B3634" s="2">
        <f ca="1"/>
        <v>0.37805018145036606</v>
      </c>
      <c r="O3634" s="2">
        <f ca="1"/>
        <v>2.2019373986535902</v>
      </c>
      <c r="X3634" s="2">
        <f ca="1"/>
        <v>37.877360634236062</v>
      </c>
      <c r="AG3634" s="2">
        <f ca="1"/>
        <v>0.69463939487468984</v>
      </c>
      <c r="AH3634" s="2" t="str">
        <f ca="1"/>
        <v>Bad</v>
      </c>
    </row>
    <row r="3635" spans="2:34" x14ac:dyDescent="0.2">
      <c r="B3635" s="2">
        <f ca="1"/>
        <v>0.31147539170404182</v>
      </c>
      <c r="O3635" s="2">
        <f ca="1"/>
        <v>0.12345289538009374</v>
      </c>
      <c r="X3635" s="2">
        <f ca="1"/>
        <v>45.6170961978424</v>
      </c>
      <c r="AG3635" s="2">
        <f ca="1"/>
        <v>0.73900168114877007</v>
      </c>
      <c r="AH3635" s="2" t="str">
        <f ca="1"/>
        <v>Bad</v>
      </c>
    </row>
    <row r="3636" spans="2:34" x14ac:dyDescent="0.2">
      <c r="B3636" s="2">
        <f ca="1"/>
        <v>3.7359050065761235E-2</v>
      </c>
      <c r="O3636" s="2">
        <f ca="1"/>
        <v>-0.9023272581747166</v>
      </c>
      <c r="X3636" s="2">
        <f ca="1"/>
        <v>44.566689623621585</v>
      </c>
      <c r="AG3636" s="2">
        <f ca="1"/>
        <v>0.72497647008137078</v>
      </c>
      <c r="AH3636" s="2" t="str">
        <f ca="1"/>
        <v>Bad</v>
      </c>
    </row>
    <row r="3637" spans="2:34" x14ac:dyDescent="0.2">
      <c r="B3637" s="2">
        <f ca="1"/>
        <v>0.61057849965916722</v>
      </c>
      <c r="O3637" s="2">
        <f ca="1"/>
        <v>-0.46186033252823311</v>
      </c>
      <c r="X3637" s="2">
        <f ca="1"/>
        <v>59.312170616112347</v>
      </c>
      <c r="AG3637" s="2">
        <f ca="1"/>
        <v>0.23504054215717485</v>
      </c>
      <c r="AH3637" s="2" t="str">
        <f ca="1"/>
        <v>OK</v>
      </c>
    </row>
    <row r="3638" spans="2:34" x14ac:dyDescent="0.2">
      <c r="B3638" s="2">
        <f ca="1"/>
        <v>0.59792182537998895</v>
      </c>
      <c r="O3638" s="2">
        <f ca="1"/>
        <v>1.4567833862403317</v>
      </c>
      <c r="X3638" s="2">
        <f ca="1"/>
        <v>46.069108185195525</v>
      </c>
      <c r="AG3638" s="2">
        <f ca="1"/>
        <v>0.89740537185821867</v>
      </c>
      <c r="AH3638" s="2" t="str">
        <f ca="1"/>
        <v>Bad</v>
      </c>
    </row>
    <row r="3639" spans="2:34" x14ac:dyDescent="0.2">
      <c r="B3639" s="2">
        <f ca="1"/>
        <v>0.75102855441659933</v>
      </c>
      <c r="O3639" s="2">
        <f ca="1"/>
        <v>0.18371907338715784</v>
      </c>
      <c r="X3639" s="2">
        <f ca="1"/>
        <v>76.381591884435466</v>
      </c>
      <c r="AG3639" s="2">
        <f ca="1"/>
        <v>1.5846907145771194E-3</v>
      </c>
      <c r="AH3639" s="2" t="str">
        <f ca="1"/>
        <v>Good</v>
      </c>
    </row>
    <row r="3640" spans="2:34" x14ac:dyDescent="0.2">
      <c r="B3640" s="2">
        <f ca="1"/>
        <v>0.74981669419376473</v>
      </c>
      <c r="O3640" s="2">
        <f ca="1"/>
        <v>-0.13476425560145933</v>
      </c>
      <c r="X3640" s="2">
        <f ca="1"/>
        <v>53.720832708062574</v>
      </c>
      <c r="AG3640" s="2">
        <f ca="1"/>
        <v>0.66737654196680118</v>
      </c>
      <c r="AH3640" s="2" t="str">
        <f ca="1"/>
        <v>Bad</v>
      </c>
    </row>
    <row r="3641" spans="2:34" x14ac:dyDescent="0.2">
      <c r="B3641" s="2">
        <f ca="1"/>
        <v>0.94689916580912081</v>
      </c>
      <c r="O3641" s="2">
        <f ca="1"/>
        <v>-1.0291747691810911</v>
      </c>
      <c r="X3641" s="2">
        <f ca="1"/>
        <v>58.79988663012309</v>
      </c>
      <c r="AG3641" s="2">
        <f ca="1"/>
        <v>0.28532441024255761</v>
      </c>
      <c r="AH3641" s="2" t="str">
        <f ca="1"/>
        <v>OK</v>
      </c>
    </row>
    <row r="3642" spans="2:34" x14ac:dyDescent="0.2">
      <c r="B3642" s="2">
        <f ca="1"/>
        <v>0.56665971144028293</v>
      </c>
      <c r="O3642" s="2">
        <f ca="1"/>
        <v>-1.0457503700561723</v>
      </c>
      <c r="X3642" s="2">
        <f ca="1"/>
        <v>60.802623048804421</v>
      </c>
      <c r="AG3642" s="2">
        <f ca="1"/>
        <v>0.84855386602211147</v>
      </c>
      <c r="AH3642" s="2" t="str">
        <f ca="1"/>
        <v>Bad</v>
      </c>
    </row>
    <row r="3643" spans="2:34" x14ac:dyDescent="0.2">
      <c r="B3643" s="2">
        <f ca="1"/>
        <v>0.54133212080806503</v>
      </c>
      <c r="O3643" s="2">
        <f ca="1"/>
        <v>0.18225075175348746</v>
      </c>
      <c r="X3643" s="2">
        <f ca="1"/>
        <v>79.867832471009933</v>
      </c>
      <c r="AG3643" s="2">
        <f ca="1"/>
        <v>0.54548949176484074</v>
      </c>
      <c r="AH3643" s="2" t="str">
        <f ca="1"/>
        <v>Bad</v>
      </c>
    </row>
    <row r="3644" spans="2:34" x14ac:dyDescent="0.2">
      <c r="B3644" s="2">
        <f ca="1"/>
        <v>0.65286885106616133</v>
      </c>
      <c r="O3644" s="2">
        <f ca="1"/>
        <v>-2.6345093112791838</v>
      </c>
      <c r="X3644" s="2">
        <f ca="1"/>
        <v>45.226637565987751</v>
      </c>
      <c r="AG3644" s="2">
        <f ca="1"/>
        <v>0.82735280372832309</v>
      </c>
      <c r="AH3644" s="2" t="str">
        <f ca="1"/>
        <v>Bad</v>
      </c>
    </row>
    <row r="3645" spans="2:34" x14ac:dyDescent="0.2">
      <c r="B3645" s="2">
        <f ca="1"/>
        <v>0.76383361138947015</v>
      </c>
      <c r="O3645" s="2">
        <f ca="1"/>
        <v>0.313452532760572</v>
      </c>
      <c r="X3645" s="2">
        <f ca="1"/>
        <v>61.783153531934552</v>
      </c>
      <c r="AG3645" s="2">
        <f ca="1"/>
        <v>0.4390913225690769</v>
      </c>
      <c r="AH3645" s="2" t="str">
        <f ca="1"/>
        <v>Bad</v>
      </c>
    </row>
    <row r="3646" spans="2:34" x14ac:dyDescent="0.2">
      <c r="B3646" s="2">
        <f ca="1"/>
        <v>0.1941213711748333</v>
      </c>
      <c r="O3646" s="2">
        <f ca="1"/>
        <v>-0.84693463024240645</v>
      </c>
      <c r="X3646" s="2">
        <f ca="1"/>
        <v>69.940674603916847</v>
      </c>
      <c r="AG3646" s="2">
        <f ca="1"/>
        <v>0.47535613278044364</v>
      </c>
      <c r="AH3646" s="2" t="str">
        <f ca="1"/>
        <v>Bad</v>
      </c>
    </row>
    <row r="3647" spans="2:34" x14ac:dyDescent="0.2">
      <c r="B3647" s="2">
        <f ca="1"/>
        <v>0.58795920417745107</v>
      </c>
      <c r="O3647" s="2">
        <f ca="1"/>
        <v>-0.74007882828753369</v>
      </c>
      <c r="X3647" s="2">
        <f ca="1"/>
        <v>34.851092397131666</v>
      </c>
      <c r="AG3647" s="2">
        <f ca="1"/>
        <v>0.95146128551542231</v>
      </c>
      <c r="AH3647" s="2" t="str">
        <f ca="1"/>
        <v>Bad</v>
      </c>
    </row>
    <row r="3648" spans="2:34" x14ac:dyDescent="0.2">
      <c r="B3648" s="2">
        <f ca="1"/>
        <v>0.29569969685559783</v>
      </c>
      <c r="O3648" s="2">
        <f ca="1"/>
        <v>0.85879780074070511</v>
      </c>
      <c r="X3648" s="2">
        <f ca="1"/>
        <v>32.751109741954558</v>
      </c>
      <c r="AG3648" s="2">
        <f ca="1"/>
        <v>0.771241928935684</v>
      </c>
      <c r="AH3648" s="2" t="str">
        <f ca="1"/>
        <v>Bad</v>
      </c>
    </row>
    <row r="3649" spans="2:34" x14ac:dyDescent="0.2">
      <c r="B3649" s="2">
        <f ca="1"/>
        <v>0.73053526252156908</v>
      </c>
      <c r="O3649" s="2">
        <f ca="1"/>
        <v>0.58341234126722208</v>
      </c>
      <c r="X3649" s="2">
        <f ca="1"/>
        <v>94.572593823118197</v>
      </c>
      <c r="AG3649" s="2">
        <f ca="1"/>
        <v>0.15595070610960371</v>
      </c>
      <c r="AH3649" s="2" t="str">
        <f ca="1"/>
        <v>OK</v>
      </c>
    </row>
    <row r="3650" spans="2:34" x14ac:dyDescent="0.2">
      <c r="B3650" s="2">
        <f ca="1"/>
        <v>0.5208482322505894</v>
      </c>
      <c r="O3650" s="2">
        <f ca="1"/>
        <v>-0.37600395146184851</v>
      </c>
      <c r="X3650" s="2">
        <f ca="1"/>
        <v>80.850707676725136</v>
      </c>
      <c r="AG3650" s="2">
        <f ca="1"/>
        <v>0.48952986150313338</v>
      </c>
      <c r="AH3650" s="2" t="str">
        <f ca="1"/>
        <v>Bad</v>
      </c>
    </row>
    <row r="3651" spans="2:34" x14ac:dyDescent="0.2">
      <c r="B3651" s="2">
        <f ca="1"/>
        <v>0.7475071804122404</v>
      </c>
      <c r="O3651" s="2">
        <f ca="1"/>
        <v>1.9292445291508709</v>
      </c>
      <c r="X3651" s="2">
        <f ca="1"/>
        <v>63.799569208936752</v>
      </c>
      <c r="AG3651" s="2">
        <f ca="1"/>
        <v>4.7591053754471258E-2</v>
      </c>
      <c r="AH3651" s="2" t="str">
        <f ca="1"/>
        <v>Good</v>
      </c>
    </row>
    <row r="3652" spans="2:34" x14ac:dyDescent="0.2">
      <c r="B3652" s="2">
        <f ca="1"/>
        <v>0.13941519344360698</v>
      </c>
      <c r="O3652" s="2">
        <f ca="1"/>
        <v>-3.6596757462347043E-2</v>
      </c>
      <c r="X3652" s="2">
        <f ca="1"/>
        <v>81.295840395176256</v>
      </c>
      <c r="AG3652" s="2">
        <f ca="1"/>
        <v>0.61027444070815995</v>
      </c>
      <c r="AH3652" s="2" t="str">
        <f ca="1"/>
        <v>Bad</v>
      </c>
    </row>
    <row r="3653" spans="2:34" x14ac:dyDescent="0.2">
      <c r="B3653" s="2">
        <f ca="1"/>
        <v>5.1918446920919514E-2</v>
      </c>
      <c r="O3653" s="2">
        <f ca="1"/>
        <v>-1.3021141159384642</v>
      </c>
      <c r="X3653" s="2">
        <f ca="1"/>
        <v>30.732452723447782</v>
      </c>
      <c r="AG3653" s="2">
        <f ca="1"/>
        <v>0.80761236415977655</v>
      </c>
      <c r="AH3653" s="2" t="str">
        <f ca="1"/>
        <v>Bad</v>
      </c>
    </row>
    <row r="3654" spans="2:34" x14ac:dyDescent="0.2">
      <c r="B3654" s="2">
        <f ca="1"/>
        <v>0.7157295177756251</v>
      </c>
      <c r="O3654" s="2">
        <f ca="1"/>
        <v>-1.1115286339349542</v>
      </c>
      <c r="X3654" s="2">
        <f ca="1"/>
        <v>58.609228806372386</v>
      </c>
      <c r="AG3654" s="2">
        <f ca="1"/>
        <v>0.12831280276928192</v>
      </c>
      <c r="AH3654" s="2" t="str">
        <f ca="1"/>
        <v>OK</v>
      </c>
    </row>
    <row r="3655" spans="2:34" x14ac:dyDescent="0.2">
      <c r="B3655" s="2">
        <f ca="1"/>
        <v>2.0339395368012214E-2</v>
      </c>
      <c r="O3655" s="2">
        <f ca="1"/>
        <v>0.3755294071172145</v>
      </c>
      <c r="X3655" s="2">
        <f ca="1"/>
        <v>65.056305854736479</v>
      </c>
      <c r="AG3655" s="2">
        <f ca="1"/>
        <v>0.45349675965517422</v>
      </c>
      <c r="AH3655" s="2" t="str">
        <f ca="1"/>
        <v>Bad</v>
      </c>
    </row>
    <row r="3656" spans="2:34" x14ac:dyDescent="0.2">
      <c r="B3656" s="2">
        <f ca="1"/>
        <v>0.20740035505678756</v>
      </c>
      <c r="O3656" s="2">
        <f ca="1"/>
        <v>1.1370908551373502</v>
      </c>
      <c r="X3656" s="2">
        <f ca="1"/>
        <v>77.267123815946789</v>
      </c>
      <c r="AG3656" s="2">
        <f ca="1"/>
        <v>0.84550219611028732</v>
      </c>
      <c r="AH3656" s="2" t="str">
        <f ca="1"/>
        <v>Bad</v>
      </c>
    </row>
    <row r="3657" spans="2:34" x14ac:dyDescent="0.2">
      <c r="B3657" s="2">
        <f ca="1"/>
        <v>0.54586490207599891</v>
      </c>
      <c r="O3657" s="2">
        <f ca="1"/>
        <v>0.66844761870129055</v>
      </c>
      <c r="X3657" s="2">
        <f ca="1"/>
        <v>41.368589490916492</v>
      </c>
      <c r="AG3657" s="2">
        <f ca="1"/>
        <v>0.34157221472828336</v>
      </c>
      <c r="AH3657" s="2" t="str">
        <f ca="1"/>
        <v>OK</v>
      </c>
    </row>
    <row r="3658" spans="2:34" x14ac:dyDescent="0.2">
      <c r="B3658" s="2">
        <f ca="1"/>
        <v>0.39758951826115929</v>
      </c>
      <c r="O3658" s="2">
        <f ca="1"/>
        <v>-6.3248421361554355E-2</v>
      </c>
      <c r="X3658" s="2">
        <f ca="1"/>
        <v>45.794733187744008</v>
      </c>
      <c r="AG3658" s="2">
        <f ca="1"/>
        <v>2.1429232661970721E-2</v>
      </c>
      <c r="AH3658" s="2" t="str">
        <f ca="1"/>
        <v>Good</v>
      </c>
    </row>
    <row r="3659" spans="2:34" x14ac:dyDescent="0.2">
      <c r="B3659" s="2">
        <f ca="1"/>
        <v>5.4181747466473418E-2</v>
      </c>
      <c r="O3659" s="2">
        <f ca="1"/>
        <v>-0.75821655964062418</v>
      </c>
      <c r="X3659" s="2">
        <f ca="1"/>
        <v>53.390534561963236</v>
      </c>
      <c r="AG3659" s="2">
        <f ca="1"/>
        <v>0.75850619853458467</v>
      </c>
      <c r="AH3659" s="2" t="str">
        <f ca="1"/>
        <v>Bad</v>
      </c>
    </row>
    <row r="3660" spans="2:34" x14ac:dyDescent="0.2">
      <c r="B3660" s="2">
        <f ca="1"/>
        <v>0.53522926649760616</v>
      </c>
      <c r="O3660" s="2">
        <f ca="1"/>
        <v>-0.13917403586105309</v>
      </c>
      <c r="X3660" s="2">
        <f ca="1"/>
        <v>47.441247856935369</v>
      </c>
      <c r="AG3660" s="2">
        <f ca="1"/>
        <v>0.82035625817535029</v>
      </c>
      <c r="AH3660" s="2" t="str">
        <f ca="1"/>
        <v>Bad</v>
      </c>
    </row>
    <row r="3661" spans="2:34" x14ac:dyDescent="0.2">
      <c r="B3661" s="2">
        <f ca="1"/>
        <v>0.4124771664138327</v>
      </c>
      <c r="O3661" s="2">
        <f ca="1"/>
        <v>-0.87096417257124448</v>
      </c>
      <c r="X3661" s="2">
        <f ca="1"/>
        <v>74.633734695995614</v>
      </c>
      <c r="AG3661" s="2">
        <f ca="1"/>
        <v>0.27928255477720398</v>
      </c>
      <c r="AH3661" s="2" t="str">
        <f ca="1"/>
        <v>OK</v>
      </c>
    </row>
    <row r="3662" spans="2:34" x14ac:dyDescent="0.2">
      <c r="B3662" s="2">
        <f ca="1"/>
        <v>0.26348243927766712</v>
      </c>
      <c r="O3662" s="2">
        <f ca="1"/>
        <v>0.46952347275796308</v>
      </c>
      <c r="X3662" s="2">
        <f ca="1"/>
        <v>53.529939112614038</v>
      </c>
      <c r="AG3662" s="2">
        <f ca="1"/>
        <v>9.3002018576364698E-2</v>
      </c>
      <c r="AH3662" s="2" t="str">
        <f ca="1"/>
        <v>OK</v>
      </c>
    </row>
    <row r="3663" spans="2:34" x14ac:dyDescent="0.2">
      <c r="B3663" s="2">
        <f ca="1"/>
        <v>0.92778046310683182</v>
      </c>
      <c r="O3663" s="2">
        <f ca="1"/>
        <v>1.2504345779913131</v>
      </c>
      <c r="X3663" s="2">
        <f ca="1"/>
        <v>55.14370824534182</v>
      </c>
      <c r="AG3663" s="2">
        <f ca="1"/>
        <v>0.55068663352113378</v>
      </c>
      <c r="AH3663" s="2" t="str">
        <f ca="1"/>
        <v>Bad</v>
      </c>
    </row>
    <row r="3664" spans="2:34" x14ac:dyDescent="0.2">
      <c r="B3664" s="2">
        <f ca="1"/>
        <v>0.19968978694267925</v>
      </c>
      <c r="O3664" s="2">
        <f ca="1"/>
        <v>-0.78648517951237074</v>
      </c>
      <c r="X3664" s="2">
        <f ca="1"/>
        <v>45.220208123961392</v>
      </c>
      <c r="AG3664" s="2">
        <f ca="1"/>
        <v>0.2614306436660363</v>
      </c>
      <c r="AH3664" s="2" t="str">
        <f ca="1"/>
        <v>OK</v>
      </c>
    </row>
    <row r="3665" spans="2:34" x14ac:dyDescent="0.2">
      <c r="B3665" s="2">
        <f ca="1"/>
        <v>0.62347412353104859</v>
      </c>
      <c r="O3665" s="2">
        <f ca="1"/>
        <v>1.0162028471709701</v>
      </c>
      <c r="X3665" s="2">
        <f ca="1"/>
        <v>75.465744518455438</v>
      </c>
      <c r="AG3665" s="2">
        <f ca="1"/>
        <v>0.93663221532288188</v>
      </c>
      <c r="AH3665" s="2" t="str">
        <f ca="1"/>
        <v>Bad</v>
      </c>
    </row>
    <row r="3666" spans="2:34" x14ac:dyDescent="0.2">
      <c r="B3666" s="2">
        <f ca="1"/>
        <v>0.26712720414748481</v>
      </c>
      <c r="O3666" s="2">
        <f ca="1"/>
        <v>-0.96489734816843487</v>
      </c>
      <c r="X3666" s="2">
        <f ca="1"/>
        <v>57.811838721533526</v>
      </c>
      <c r="AG3666" s="2">
        <f ca="1"/>
        <v>0.3435183706321141</v>
      </c>
      <c r="AH3666" s="2" t="str">
        <f ca="1"/>
        <v>OK</v>
      </c>
    </row>
    <row r="3667" spans="2:34" x14ac:dyDescent="0.2">
      <c r="B3667" s="2">
        <f ca="1"/>
        <v>0.16120929477191526</v>
      </c>
      <c r="O3667" s="2">
        <f ca="1"/>
        <v>-1.2837262130473652</v>
      </c>
      <c r="X3667" s="2">
        <f ca="1"/>
        <v>42.011592934397981</v>
      </c>
      <c r="AG3667" s="2">
        <f ca="1"/>
        <v>0.76051058747255373</v>
      </c>
      <c r="AH3667" s="2" t="str">
        <f ca="1"/>
        <v>Bad</v>
      </c>
    </row>
    <row r="3668" spans="2:34" x14ac:dyDescent="0.2">
      <c r="B3668" s="2">
        <f ca="1"/>
        <v>0.88210194504009132</v>
      </c>
      <c r="O3668" s="2">
        <f ca="1"/>
        <v>-0.49687106717117369</v>
      </c>
      <c r="X3668" s="2">
        <f ca="1"/>
        <v>54.865460946786719</v>
      </c>
      <c r="AG3668" s="2">
        <f ca="1"/>
        <v>0.33279995297758447</v>
      </c>
      <c r="AH3668" s="2" t="str">
        <f ca="1"/>
        <v>OK</v>
      </c>
    </row>
    <row r="3669" spans="2:34" x14ac:dyDescent="0.2">
      <c r="B3669" s="2">
        <f ca="1"/>
        <v>0.22035957248495408</v>
      </c>
      <c r="O3669" s="2">
        <f ca="1"/>
        <v>0.66946732655864283</v>
      </c>
      <c r="X3669" s="2">
        <f ca="1"/>
        <v>62.897682940449513</v>
      </c>
      <c r="AG3669" s="2">
        <f ca="1"/>
        <v>0.14018956759931167</v>
      </c>
      <c r="AH3669" s="2" t="str">
        <f ca="1"/>
        <v>OK</v>
      </c>
    </row>
    <row r="3670" spans="2:34" x14ac:dyDescent="0.2">
      <c r="B3670" s="2">
        <f ca="1"/>
        <v>0.64328729643673332</v>
      </c>
      <c r="O3670" s="2">
        <f ca="1"/>
        <v>0.26147540475805336</v>
      </c>
      <c r="X3670" s="2">
        <f ca="1"/>
        <v>32.417067581647508</v>
      </c>
      <c r="AG3670" s="2">
        <f ca="1"/>
        <v>0.37629245707652226</v>
      </c>
      <c r="AH3670" s="2" t="str">
        <f ca="1"/>
        <v>OK</v>
      </c>
    </row>
    <row r="3671" spans="2:34" x14ac:dyDescent="0.2">
      <c r="B3671" s="2">
        <f ca="1"/>
        <v>0.19765998679320318</v>
      </c>
      <c r="O3671" s="2">
        <f ca="1"/>
        <v>-6.6094635228663165E-3</v>
      </c>
      <c r="X3671" s="2">
        <f ca="1"/>
        <v>37.974271109524388</v>
      </c>
      <c r="AG3671" s="2">
        <f ca="1"/>
        <v>0.85624221934171452</v>
      </c>
      <c r="AH3671" s="2" t="str">
        <f ca="1"/>
        <v>Bad</v>
      </c>
    </row>
    <row r="3672" spans="2:34" x14ac:dyDescent="0.2">
      <c r="B3672" s="2">
        <f ca="1"/>
        <v>7.6533040055692947E-2</v>
      </c>
      <c r="O3672" s="2">
        <f ca="1"/>
        <v>0.58697992286690348</v>
      </c>
      <c r="X3672" s="2">
        <f ca="1"/>
        <v>56.621965823486768</v>
      </c>
      <c r="AG3672" s="2">
        <f ca="1"/>
        <v>0.61258515449101592</v>
      </c>
      <c r="AH3672" s="2" t="str">
        <f ca="1"/>
        <v>Bad</v>
      </c>
    </row>
    <row r="3673" spans="2:34" x14ac:dyDescent="0.2">
      <c r="B3673" s="2">
        <f ca="1"/>
        <v>0.96040196095348174</v>
      </c>
      <c r="O3673" s="2">
        <f ca="1"/>
        <v>0.1757001966458486</v>
      </c>
      <c r="X3673" s="2">
        <f ca="1"/>
        <v>66.517490061859689</v>
      </c>
      <c r="AG3673" s="2">
        <f ca="1"/>
        <v>0.97492855825357005</v>
      </c>
      <c r="AH3673" s="2" t="str">
        <f ca="1"/>
        <v>Bad</v>
      </c>
    </row>
    <row r="3674" spans="2:34" x14ac:dyDescent="0.2">
      <c r="B3674" s="2">
        <f ca="1"/>
        <v>0.25519448857555527</v>
      </c>
      <c r="O3674" s="2">
        <f ca="1"/>
        <v>2.1035804366617605</v>
      </c>
      <c r="X3674" s="2">
        <f ca="1"/>
        <v>48.096329363969666</v>
      </c>
      <c r="AG3674" s="2">
        <f ca="1"/>
        <v>0.18669717609352765</v>
      </c>
      <c r="AH3674" s="2" t="str">
        <f ca="1"/>
        <v>OK</v>
      </c>
    </row>
    <row r="3675" spans="2:34" x14ac:dyDescent="0.2">
      <c r="B3675" s="2">
        <f ca="1"/>
        <v>0.10796341003482013</v>
      </c>
      <c r="O3675" s="2">
        <f ca="1"/>
        <v>-1.6853972675057058</v>
      </c>
      <c r="X3675" s="2">
        <f ca="1"/>
        <v>33.118539974034398</v>
      </c>
      <c r="AG3675" s="2">
        <f ca="1"/>
        <v>0.53767691445943933</v>
      </c>
      <c r="AH3675" s="2" t="str">
        <f ca="1"/>
        <v>Bad</v>
      </c>
    </row>
    <row r="3676" spans="2:34" x14ac:dyDescent="0.2">
      <c r="B3676" s="2">
        <f ca="1"/>
        <v>0.24336622762736027</v>
      </c>
      <c r="O3676" s="2">
        <f ca="1"/>
        <v>0.32452751226755872</v>
      </c>
      <c r="X3676" s="2">
        <f ca="1"/>
        <v>76.81975806413179</v>
      </c>
      <c r="AG3676" s="2">
        <f ca="1"/>
        <v>9.7941590772658627E-2</v>
      </c>
      <c r="AH3676" s="2" t="str">
        <f ca="1"/>
        <v>OK</v>
      </c>
    </row>
    <row r="3677" spans="2:34" x14ac:dyDescent="0.2">
      <c r="B3677" s="2">
        <f ca="1"/>
        <v>0.83263322272918927</v>
      </c>
      <c r="O3677" s="2">
        <f ca="1"/>
        <v>0.40626300640660701</v>
      </c>
      <c r="X3677" s="2">
        <f ca="1"/>
        <v>28.01763476891653</v>
      </c>
      <c r="AG3677" s="2">
        <f ca="1"/>
        <v>7.9739777935161626E-4</v>
      </c>
      <c r="AH3677" s="2" t="str">
        <f ca="1"/>
        <v>Good</v>
      </c>
    </row>
    <row r="3678" spans="2:34" x14ac:dyDescent="0.2">
      <c r="B3678" s="2">
        <f ca="1"/>
        <v>0.37655617737599578</v>
      </c>
      <c r="O3678" s="2">
        <f ca="1"/>
        <v>0.31658854389657271</v>
      </c>
      <c r="X3678" s="2">
        <f ca="1"/>
        <v>52.187592830308404</v>
      </c>
      <c r="AG3678" s="2">
        <f ca="1"/>
        <v>0.83344570638520921</v>
      </c>
      <c r="AH3678" s="2" t="str">
        <f ca="1"/>
        <v>Bad</v>
      </c>
    </row>
    <row r="3679" spans="2:34" x14ac:dyDescent="0.2">
      <c r="B3679" s="2">
        <f ca="1"/>
        <v>0.5384722426597679</v>
      </c>
      <c r="O3679" s="2">
        <f ca="1"/>
        <v>8.4017607418649942E-3</v>
      </c>
      <c r="X3679" s="2">
        <f ca="1"/>
        <v>46.957878199399971</v>
      </c>
      <c r="AG3679" s="2">
        <f ca="1"/>
        <v>7.4780232985148798E-2</v>
      </c>
      <c r="AH3679" s="2" t="str">
        <f ca="1"/>
        <v>OK</v>
      </c>
    </row>
    <row r="3680" spans="2:34" x14ac:dyDescent="0.2">
      <c r="B3680" s="2">
        <f ca="1"/>
        <v>0.66285101836525717</v>
      </c>
      <c r="O3680" s="2">
        <f ca="1"/>
        <v>0.23558252823420622</v>
      </c>
      <c r="X3680" s="2">
        <f ca="1"/>
        <v>35.410002732428453</v>
      </c>
      <c r="AG3680" s="2">
        <f ca="1"/>
        <v>0.3925158784834033</v>
      </c>
      <c r="AH3680" s="2" t="str">
        <f ca="1"/>
        <v>OK</v>
      </c>
    </row>
    <row r="3681" spans="2:34" x14ac:dyDescent="0.2">
      <c r="B3681" s="2">
        <f ca="1"/>
        <v>6.6157785054499429E-2</v>
      </c>
      <c r="O3681" s="2">
        <f ca="1"/>
        <v>-0.8404006259274146</v>
      </c>
      <c r="X3681" s="2">
        <f ca="1"/>
        <v>39.435430925903205</v>
      </c>
      <c r="AG3681" s="2">
        <f ca="1"/>
        <v>0.35034641781083598</v>
      </c>
      <c r="AH3681" s="2" t="str">
        <f ca="1"/>
        <v>OK</v>
      </c>
    </row>
    <row r="3682" spans="2:34" x14ac:dyDescent="0.2">
      <c r="B3682" s="2">
        <f ca="1"/>
        <v>0.92329532711626583</v>
      </c>
      <c r="O3682" s="2">
        <f ca="1"/>
        <v>0.56070471731760763</v>
      </c>
      <c r="X3682" s="2">
        <f ca="1"/>
        <v>32.268033486425566</v>
      </c>
      <c r="AG3682" s="2">
        <f ca="1"/>
        <v>0.34191950304653207</v>
      </c>
      <c r="AH3682" s="2" t="str">
        <f ca="1"/>
        <v>OK</v>
      </c>
    </row>
    <row r="3683" spans="2:34" x14ac:dyDescent="0.2">
      <c r="B3683" s="2">
        <f ca="1"/>
        <v>0.53648907567155746</v>
      </c>
      <c r="O3683" s="2">
        <f ca="1"/>
        <v>-0.33481554806063279</v>
      </c>
      <c r="X3683" s="2">
        <f ca="1"/>
        <v>39.484721300607227</v>
      </c>
      <c r="AG3683" s="2">
        <f ca="1"/>
        <v>0.48305289159545395</v>
      </c>
      <c r="AH3683" s="2" t="str">
        <f ca="1"/>
        <v>Bad</v>
      </c>
    </row>
    <row r="3684" spans="2:34" x14ac:dyDescent="0.2">
      <c r="B3684" s="2">
        <f ca="1"/>
        <v>0.39659102186929673</v>
      </c>
      <c r="O3684" s="2">
        <f ca="1"/>
        <v>-7.0344603577246714E-2</v>
      </c>
      <c r="X3684" s="2">
        <f ca="1"/>
        <v>51.432620122043531</v>
      </c>
      <c r="AG3684" s="2">
        <f ca="1"/>
        <v>0.11409553851370502</v>
      </c>
      <c r="AH3684" s="2" t="str">
        <f ca="1"/>
        <v>OK</v>
      </c>
    </row>
    <row r="3685" spans="2:34" x14ac:dyDescent="0.2">
      <c r="B3685" s="2">
        <f ca="1"/>
        <v>0.37086123867626219</v>
      </c>
      <c r="O3685" s="2">
        <f ca="1"/>
        <v>-1.2957079449682813</v>
      </c>
      <c r="X3685" s="2">
        <f ca="1"/>
        <v>42.010589466260626</v>
      </c>
      <c r="AG3685" s="2">
        <f ca="1"/>
        <v>0.29199363831260983</v>
      </c>
      <c r="AH3685" s="2" t="str">
        <f ca="1"/>
        <v>OK</v>
      </c>
    </row>
    <row r="3686" spans="2:34" x14ac:dyDescent="0.2">
      <c r="B3686" s="2">
        <f ca="1"/>
        <v>0.31949763218623528</v>
      </c>
      <c r="O3686" s="2">
        <f ca="1"/>
        <v>-0.81750904859216078</v>
      </c>
      <c r="X3686" s="2">
        <f ca="1"/>
        <v>33.619694608664986</v>
      </c>
      <c r="AG3686" s="2">
        <f ca="1"/>
        <v>0.43334149375068254</v>
      </c>
      <c r="AH3686" s="2" t="str">
        <f ca="1"/>
        <v>Bad</v>
      </c>
    </row>
    <row r="3687" spans="2:34" x14ac:dyDescent="0.2">
      <c r="B3687" s="2">
        <f ca="1"/>
        <v>0.32640483075871463</v>
      </c>
      <c r="O3687" s="2">
        <f ca="1"/>
        <v>0.1854859494955218</v>
      </c>
      <c r="X3687" s="2">
        <f ca="1"/>
        <v>59.262021910888848</v>
      </c>
      <c r="AG3687" s="2">
        <f ca="1"/>
        <v>1.3824487348735204E-2</v>
      </c>
      <c r="AH3687" s="2" t="str">
        <f ca="1"/>
        <v>Good</v>
      </c>
    </row>
    <row r="3688" spans="2:34" x14ac:dyDescent="0.2">
      <c r="B3688" s="2">
        <f ca="1"/>
        <v>0.98152959479394775</v>
      </c>
      <c r="O3688" s="2">
        <f ca="1"/>
        <v>-0.41545337888245909</v>
      </c>
      <c r="X3688" s="2">
        <f ca="1"/>
        <v>41.119972627529464</v>
      </c>
      <c r="AG3688" s="2">
        <f ca="1"/>
        <v>0.70616047953789041</v>
      </c>
      <c r="AH3688" s="2" t="str">
        <f ca="1"/>
        <v>Bad</v>
      </c>
    </row>
    <row r="3689" spans="2:34" x14ac:dyDescent="0.2">
      <c r="B3689" s="2">
        <f ca="1"/>
        <v>0.62251560764487679</v>
      </c>
      <c r="O3689" s="2">
        <f ca="1"/>
        <v>0.19999810379075961</v>
      </c>
      <c r="X3689" s="2">
        <f ca="1"/>
        <v>50.552707974552547</v>
      </c>
      <c r="AG3689" s="2">
        <f ca="1"/>
        <v>4.010608785752412E-2</v>
      </c>
      <c r="AH3689" s="2" t="str">
        <f ca="1"/>
        <v>Good</v>
      </c>
    </row>
    <row r="3690" spans="2:34" x14ac:dyDescent="0.2">
      <c r="B3690" s="2">
        <f ca="1"/>
        <v>0.93360540233370526</v>
      </c>
      <c r="O3690" s="2">
        <f ca="1"/>
        <v>0.84342855852396625</v>
      </c>
      <c r="X3690" s="2">
        <f ca="1"/>
        <v>38.969817577448708</v>
      </c>
      <c r="AG3690" s="2">
        <f ca="1"/>
        <v>0.7664860792645789</v>
      </c>
      <c r="AH3690" s="2" t="str">
        <f ca="1"/>
        <v>Bad</v>
      </c>
    </row>
    <row r="3691" spans="2:34" x14ac:dyDescent="0.2">
      <c r="B3691" s="2">
        <f ca="1"/>
        <v>0.27942315050081734</v>
      </c>
      <c r="O3691" s="2">
        <f ca="1"/>
        <v>1.5423329203082474</v>
      </c>
      <c r="X3691" s="2">
        <f ca="1"/>
        <v>51.647813007627022</v>
      </c>
      <c r="AG3691" s="2">
        <f ca="1"/>
        <v>0.48566593290399074</v>
      </c>
      <c r="AH3691" s="2" t="str">
        <f ca="1"/>
        <v>Bad</v>
      </c>
    </row>
    <row r="3692" spans="2:34" x14ac:dyDescent="0.2">
      <c r="B3692" s="2">
        <f ca="1"/>
        <v>0.30762834951291174</v>
      </c>
      <c r="O3692" s="2">
        <f ca="1"/>
        <v>0.66628125118368808</v>
      </c>
      <c r="X3692" s="2">
        <f ca="1"/>
        <v>41.708944413483522</v>
      </c>
      <c r="AG3692" s="2">
        <f ca="1"/>
        <v>0.3809919956745933</v>
      </c>
      <c r="AH3692" s="2" t="str">
        <f ca="1"/>
        <v>OK</v>
      </c>
    </row>
    <row r="3693" spans="2:34" x14ac:dyDescent="0.2">
      <c r="B3693" s="2">
        <f ca="1"/>
        <v>0.8227624968542766</v>
      </c>
      <c r="O3693" s="2">
        <f ca="1"/>
        <v>1.0902909374379013</v>
      </c>
      <c r="X3693" s="2">
        <f ca="1"/>
        <v>55.71672366470564</v>
      </c>
      <c r="AG3693" s="2">
        <f ca="1"/>
        <v>0.72065925313695378</v>
      </c>
      <c r="AH3693" s="2" t="str">
        <f ca="1"/>
        <v>Bad</v>
      </c>
    </row>
    <row r="3694" spans="2:34" x14ac:dyDescent="0.2">
      <c r="B3694" s="2">
        <f ca="1"/>
        <v>0.32616840041281936</v>
      </c>
      <c r="O3694" s="2">
        <f ca="1"/>
        <v>-1.406410500959983</v>
      </c>
      <c r="X3694" s="2">
        <f ca="1"/>
        <v>40.880357272202772</v>
      </c>
      <c r="AG3694" s="2">
        <f ca="1"/>
        <v>0.96418828965569014</v>
      </c>
      <c r="AH3694" s="2" t="str">
        <f ca="1"/>
        <v>Bad</v>
      </c>
    </row>
    <row r="3695" spans="2:34" x14ac:dyDescent="0.2">
      <c r="B3695" s="2">
        <f ca="1"/>
        <v>0.34866011846212563</v>
      </c>
      <c r="O3695" s="2">
        <f ca="1"/>
        <v>0.4323796216409842</v>
      </c>
      <c r="X3695" s="2">
        <f ca="1"/>
        <v>47.604234395122148</v>
      </c>
      <c r="AG3695" s="2">
        <f ca="1"/>
        <v>0.57293162743470094</v>
      </c>
      <c r="AH3695" s="2" t="str">
        <f ca="1"/>
        <v>Bad</v>
      </c>
    </row>
    <row r="3696" spans="2:34" x14ac:dyDescent="0.2">
      <c r="B3696" s="2">
        <f ca="1"/>
        <v>0.20931703681882752</v>
      </c>
      <c r="O3696" s="2">
        <f ca="1"/>
        <v>-0.19636200822726829</v>
      </c>
      <c r="X3696" s="2">
        <f ca="1"/>
        <v>60.882736103155047</v>
      </c>
      <c r="AG3696" s="2">
        <f ca="1"/>
        <v>0.51261586922844593</v>
      </c>
      <c r="AH3696" s="2" t="str">
        <f ca="1"/>
        <v>Bad</v>
      </c>
    </row>
    <row r="3697" spans="2:34" x14ac:dyDescent="0.2">
      <c r="B3697" s="2">
        <f ca="1"/>
        <v>0.51566594510820574</v>
      </c>
      <c r="O3697" s="2">
        <f ca="1"/>
        <v>1.4919590534579268</v>
      </c>
      <c r="X3697" s="2">
        <f ca="1"/>
        <v>30.374825006112726</v>
      </c>
      <c r="AG3697" s="2">
        <f ca="1"/>
        <v>0.14653068500013156</v>
      </c>
      <c r="AH3697" s="2" t="str">
        <f ca="1"/>
        <v>OK</v>
      </c>
    </row>
    <row r="3698" spans="2:34" x14ac:dyDescent="0.2">
      <c r="B3698" s="2">
        <f ca="1"/>
        <v>0.5230035409758873</v>
      </c>
      <c r="O3698" s="2">
        <f ca="1"/>
        <v>-0.32869196226977859</v>
      </c>
      <c r="X3698" s="2">
        <f ca="1"/>
        <v>31.306359970237601</v>
      </c>
      <c r="AG3698" s="2">
        <f ca="1"/>
        <v>0.20104847255740776</v>
      </c>
      <c r="AH3698" s="2" t="str">
        <f ca="1"/>
        <v>OK</v>
      </c>
    </row>
    <row r="3699" spans="2:34" x14ac:dyDescent="0.2">
      <c r="B3699" s="2">
        <f ca="1"/>
        <v>0.5619030007583119</v>
      </c>
      <c r="O3699" s="2">
        <f ca="1"/>
        <v>0.80214336359102167</v>
      </c>
      <c r="X3699" s="2">
        <f ca="1"/>
        <v>54.844220516871715</v>
      </c>
      <c r="AG3699" s="2">
        <f ca="1"/>
        <v>0.97974706398288003</v>
      </c>
      <c r="AH3699" s="2" t="str">
        <f ca="1"/>
        <v>Bad</v>
      </c>
    </row>
    <row r="3700" spans="2:34" x14ac:dyDescent="0.2">
      <c r="B3700" s="2">
        <f ca="1"/>
        <v>0.65892820164528354</v>
      </c>
      <c r="O3700" s="2">
        <f ca="1"/>
        <v>-0.13737597463158713</v>
      </c>
      <c r="X3700" s="2">
        <f ca="1"/>
        <v>47.129845527061804</v>
      </c>
      <c r="AG3700" s="2">
        <f ca="1"/>
        <v>0.27107659447133581</v>
      </c>
      <c r="AH3700" s="2" t="str">
        <f ca="1"/>
        <v>OK</v>
      </c>
    </row>
    <row r="3701" spans="2:34" x14ac:dyDescent="0.2">
      <c r="B3701" s="2">
        <f ca="1"/>
        <v>0.83934047515009924</v>
      </c>
      <c r="O3701" s="2">
        <f ca="1"/>
        <v>-1.1461742670383102</v>
      </c>
      <c r="X3701" s="2">
        <f ca="1"/>
        <v>44.691698749019437</v>
      </c>
      <c r="AG3701" s="2">
        <f ca="1"/>
        <v>0.12627826720202107</v>
      </c>
      <c r="AH3701" s="2" t="str">
        <f ca="1"/>
        <v>OK</v>
      </c>
    </row>
    <row r="3702" spans="2:34" x14ac:dyDescent="0.2">
      <c r="B3702" s="2">
        <f ca="1"/>
        <v>0.62679575621026662</v>
      </c>
      <c r="O3702" s="2">
        <f ca="1"/>
        <v>-0.83976209202015606</v>
      </c>
      <c r="X3702" s="2">
        <f ca="1"/>
        <v>60.714551619120826</v>
      </c>
      <c r="AG3702" s="2">
        <f ca="1"/>
        <v>0.50289215064522907</v>
      </c>
      <c r="AH3702" s="2" t="str">
        <f ca="1"/>
        <v>Bad</v>
      </c>
    </row>
    <row r="3703" spans="2:34" x14ac:dyDescent="0.2">
      <c r="B3703" s="2">
        <f ca="1"/>
        <v>0.1857894688258066</v>
      </c>
      <c r="O3703" s="2">
        <f ca="1"/>
        <v>8.37414456405223E-2</v>
      </c>
      <c r="X3703" s="2">
        <f ca="1"/>
        <v>44.039970810870734</v>
      </c>
      <c r="AG3703" s="2">
        <f ca="1"/>
        <v>0.72677705101885914</v>
      </c>
      <c r="AH3703" s="2" t="str">
        <f ca="1"/>
        <v>Bad</v>
      </c>
    </row>
    <row r="3704" spans="2:34" x14ac:dyDescent="0.2">
      <c r="B3704" s="2">
        <f ca="1"/>
        <v>9.806545621560292E-2</v>
      </c>
      <c r="O3704" s="2">
        <f ca="1"/>
        <v>0.37185790414671155</v>
      </c>
      <c r="X3704" s="2">
        <f ca="1"/>
        <v>70.463380889404604</v>
      </c>
      <c r="AG3704" s="2">
        <f ca="1"/>
        <v>0.62503293155140782</v>
      </c>
      <c r="AH3704" s="2" t="str">
        <f ca="1"/>
        <v>Bad</v>
      </c>
    </row>
    <row r="3705" spans="2:34" x14ac:dyDescent="0.2">
      <c r="B3705" s="2">
        <f ca="1"/>
        <v>0.64689333771868207</v>
      </c>
      <c r="O3705" s="2">
        <f ca="1"/>
        <v>0.86185571424885332</v>
      </c>
      <c r="X3705" s="2">
        <f ca="1"/>
        <v>32.736287863560911</v>
      </c>
      <c r="AG3705" s="2">
        <f ca="1"/>
        <v>0.3413233475249462</v>
      </c>
      <c r="AH3705" s="2" t="str">
        <f ca="1"/>
        <v>OK</v>
      </c>
    </row>
    <row r="3706" spans="2:34" x14ac:dyDescent="0.2">
      <c r="B3706" s="2">
        <f ca="1"/>
        <v>0.18341538835032334</v>
      </c>
      <c r="O3706" s="2">
        <f ca="1"/>
        <v>-1.0610479318377841</v>
      </c>
      <c r="X3706" s="2">
        <f ca="1"/>
        <v>45.672239868831497</v>
      </c>
      <c r="AG3706" s="2">
        <f ca="1"/>
        <v>0.39962864170268575</v>
      </c>
      <c r="AH3706" s="2" t="str">
        <f ca="1"/>
        <v>OK</v>
      </c>
    </row>
    <row r="3707" spans="2:34" x14ac:dyDescent="0.2">
      <c r="B3707" s="2">
        <f ca="1"/>
        <v>0.41450970757828021</v>
      </c>
      <c r="O3707" s="2">
        <f ca="1"/>
        <v>-0.8400206336872249</v>
      </c>
      <c r="X3707" s="2">
        <f ca="1"/>
        <v>28.346749660805145</v>
      </c>
      <c r="AG3707" s="2">
        <f ca="1"/>
        <v>0.58730446894373123</v>
      </c>
      <c r="AH3707" s="2" t="str">
        <f ca="1"/>
        <v>Bad</v>
      </c>
    </row>
    <row r="3708" spans="2:34" x14ac:dyDescent="0.2">
      <c r="B3708" s="2">
        <f ca="1"/>
        <v>0.3196561660299575</v>
      </c>
      <c r="O3708" s="2">
        <f ca="1"/>
        <v>-0.95936176938727424</v>
      </c>
      <c r="X3708" s="2">
        <f ca="1"/>
        <v>48.970582699928656</v>
      </c>
      <c r="AG3708" s="2">
        <f ca="1"/>
        <v>0.44628105526123929</v>
      </c>
      <c r="AH3708" s="2" t="str">
        <f ca="1"/>
        <v>Bad</v>
      </c>
    </row>
    <row r="3709" spans="2:34" x14ac:dyDescent="0.2">
      <c r="B3709" s="2">
        <f ca="1"/>
        <v>0.39815316458778338</v>
      </c>
      <c r="O3709" s="2">
        <f ca="1"/>
        <v>-1.6794258476452544</v>
      </c>
      <c r="X3709" s="2">
        <f ca="1"/>
        <v>32.487696246055833</v>
      </c>
      <c r="AG3709" s="2">
        <f ca="1"/>
        <v>8.5956992180388214E-2</v>
      </c>
      <c r="AH3709" s="2" t="str">
        <f ca="1"/>
        <v>OK</v>
      </c>
    </row>
    <row r="3710" spans="2:34" x14ac:dyDescent="0.2">
      <c r="B3710" s="2">
        <f ca="1"/>
        <v>0.2013231214555451</v>
      </c>
      <c r="O3710" s="2">
        <f ca="1"/>
        <v>-1.3557451891060901</v>
      </c>
      <c r="X3710" s="2">
        <f ca="1"/>
        <v>44.986972652704637</v>
      </c>
      <c r="AG3710" s="2">
        <f ca="1"/>
        <v>2.38602085785522E-2</v>
      </c>
      <c r="AH3710" s="2" t="str">
        <f ca="1"/>
        <v>Good</v>
      </c>
    </row>
    <row r="3711" spans="2:34" x14ac:dyDescent="0.2">
      <c r="B3711" s="2">
        <f ca="1"/>
        <v>0.26785024364974275</v>
      </c>
      <c r="O3711" s="2">
        <f ca="1"/>
        <v>-0.3618093291381953</v>
      </c>
      <c r="X3711" s="2">
        <f ca="1"/>
        <v>64.542726638666238</v>
      </c>
      <c r="AG3711" s="2">
        <f ca="1"/>
        <v>0.90049178305441258</v>
      </c>
      <c r="AH3711" s="2" t="str">
        <f ca="1"/>
        <v>Bad</v>
      </c>
    </row>
    <row r="3712" spans="2:34" x14ac:dyDescent="0.2">
      <c r="B3712" s="2">
        <f ca="1"/>
        <v>0.31166797200286411</v>
      </c>
      <c r="O3712" s="2">
        <f ca="1"/>
        <v>0.79363440787914952</v>
      </c>
      <c r="X3712" s="2">
        <f ca="1"/>
        <v>87.050053583604523</v>
      </c>
      <c r="AG3712" s="2">
        <f ca="1"/>
        <v>0.55595199541892271</v>
      </c>
      <c r="AH3712" s="2" t="str">
        <f ca="1"/>
        <v>Bad</v>
      </c>
    </row>
    <row r="3713" spans="2:34" x14ac:dyDescent="0.2">
      <c r="B3713" s="2">
        <f ca="1"/>
        <v>0.48865457235013321</v>
      </c>
      <c r="O3713" s="2">
        <f ca="1"/>
        <v>-0.21384943264269393</v>
      </c>
      <c r="X3713" s="2">
        <f ca="1"/>
        <v>40.619764058860895</v>
      </c>
      <c r="AG3713" s="2">
        <f ca="1"/>
        <v>0.67679221606836504</v>
      </c>
      <c r="AH3713" s="2" t="str">
        <f ca="1"/>
        <v>Bad</v>
      </c>
    </row>
    <row r="3714" spans="2:34" x14ac:dyDescent="0.2">
      <c r="B3714" s="2">
        <f ca="1"/>
        <v>0.98070314256835678</v>
      </c>
      <c r="O3714" s="2">
        <f ca="1"/>
        <v>-0.85723323842396681</v>
      </c>
      <c r="X3714" s="2">
        <f ca="1"/>
        <v>42.70310676258903</v>
      </c>
      <c r="AG3714" s="2">
        <f ca="1"/>
        <v>0.64365663260211203</v>
      </c>
      <c r="AH3714" s="2" t="str">
        <f ca="1"/>
        <v>Bad</v>
      </c>
    </row>
    <row r="3715" spans="2:34" x14ac:dyDescent="0.2">
      <c r="B3715" s="2">
        <f ca="1"/>
        <v>5.7207355887606059E-2</v>
      </c>
      <c r="O3715" s="2">
        <f ca="1"/>
        <v>-1.0588382201272788</v>
      </c>
      <c r="X3715" s="2">
        <f ca="1"/>
        <v>79.474940995556111</v>
      </c>
      <c r="AG3715" s="2">
        <f ca="1"/>
        <v>0.58334526048560442</v>
      </c>
      <c r="AH3715" s="2" t="str">
        <f ca="1"/>
        <v>Bad</v>
      </c>
    </row>
    <row r="3716" spans="2:34" x14ac:dyDescent="0.2">
      <c r="B3716" s="2">
        <f ca="1"/>
        <v>0.51387571511772978</v>
      </c>
      <c r="O3716" s="2">
        <f ca="1"/>
        <v>1.4002372365172397</v>
      </c>
      <c r="X3716" s="2">
        <f ca="1"/>
        <v>34.953601680340839</v>
      </c>
      <c r="AG3716" s="2">
        <f ca="1"/>
        <v>0.68494834697272866</v>
      </c>
      <c r="AH3716" s="2" t="str">
        <f ca="1"/>
        <v>Bad</v>
      </c>
    </row>
    <row r="3717" spans="2:34" x14ac:dyDescent="0.2">
      <c r="B3717" s="2">
        <f ca="1"/>
        <v>0.23268086340960648</v>
      </c>
      <c r="O3717" s="2">
        <f ca="1"/>
        <v>-0.23039158604549151</v>
      </c>
      <c r="X3717" s="2">
        <f ca="1"/>
        <v>45.085711807499877</v>
      </c>
      <c r="AG3717" s="2">
        <f ca="1"/>
        <v>0.92515434231183447</v>
      </c>
      <c r="AH3717" s="2" t="str">
        <f ca="1"/>
        <v>Bad</v>
      </c>
    </row>
    <row r="3718" spans="2:34" x14ac:dyDescent="0.2">
      <c r="B3718" s="2">
        <f ca="1"/>
        <v>0.3012395613613319</v>
      </c>
      <c r="O3718" s="2">
        <f ca="1"/>
        <v>-6.7531237012476666E-2</v>
      </c>
      <c r="X3718" s="2">
        <f ca="1"/>
        <v>79.363697242822028</v>
      </c>
      <c r="AG3718" s="2">
        <f ca="1"/>
        <v>4.6755772315587141E-2</v>
      </c>
      <c r="AH3718" s="2" t="str">
        <f ca="1"/>
        <v>Good</v>
      </c>
    </row>
    <row r="3719" spans="2:34" x14ac:dyDescent="0.2">
      <c r="B3719" s="2">
        <f ca="1"/>
        <v>4.5873745752262662E-2</v>
      </c>
      <c r="O3719" s="2">
        <f ca="1"/>
        <v>-0.8689220460016166</v>
      </c>
      <c r="X3719" s="2">
        <f ca="1"/>
        <v>18.642668258308184</v>
      </c>
      <c r="AG3719" s="2">
        <f ca="1"/>
        <v>0.32826715218719027</v>
      </c>
      <c r="AH3719" s="2" t="str">
        <f ca="1"/>
        <v>OK</v>
      </c>
    </row>
    <row r="3720" spans="2:34" x14ac:dyDescent="0.2">
      <c r="B3720" s="2">
        <f ca="1"/>
        <v>0.11578681482192965</v>
      </c>
      <c r="O3720" s="2">
        <f ca="1"/>
        <v>-0.98454928253327023</v>
      </c>
      <c r="X3720" s="2">
        <f ca="1"/>
        <v>38.866937204176068</v>
      </c>
      <c r="AG3720" s="2">
        <f ca="1"/>
        <v>0.70491749052418173</v>
      </c>
      <c r="AH3720" s="2" t="str">
        <f ca="1"/>
        <v>Bad</v>
      </c>
    </row>
    <row r="3721" spans="2:34" x14ac:dyDescent="0.2">
      <c r="B3721" s="2">
        <f ca="1"/>
        <v>0.73558664980069732</v>
      </c>
      <c r="O3721" s="2">
        <f ca="1"/>
        <v>-7.609951578705359E-3</v>
      </c>
      <c r="X3721" s="2">
        <f ca="1"/>
        <v>41.545054490260952</v>
      </c>
      <c r="AG3721" s="2">
        <f ca="1"/>
        <v>0.87892282445179548</v>
      </c>
      <c r="AH3721" s="2" t="str">
        <f ca="1"/>
        <v>Bad</v>
      </c>
    </row>
    <row r="3722" spans="2:34" x14ac:dyDescent="0.2">
      <c r="B3722" s="2">
        <f ca="1"/>
        <v>0.64952635461547037</v>
      </c>
      <c r="O3722" s="2">
        <f ca="1"/>
        <v>0.7711096100475473</v>
      </c>
      <c r="X3722" s="2">
        <f ca="1"/>
        <v>73.481593232444396</v>
      </c>
      <c r="AG3722" s="2">
        <f ca="1"/>
        <v>0.51141474799598829</v>
      </c>
      <c r="AH3722" s="2" t="str">
        <f ca="1"/>
        <v>Bad</v>
      </c>
    </row>
    <row r="3723" spans="2:34" x14ac:dyDescent="0.2">
      <c r="B3723" s="2">
        <f ca="1"/>
        <v>0.12621597087463465</v>
      </c>
      <c r="O3723" s="2">
        <f ca="1"/>
        <v>-1.4607144854362681</v>
      </c>
      <c r="X3723" s="2">
        <f ca="1"/>
        <v>44.746837717816881</v>
      </c>
      <c r="AG3723" s="2">
        <f ca="1"/>
        <v>0.87681461156573692</v>
      </c>
      <c r="AH3723" s="2" t="str">
        <f ca="1"/>
        <v>Bad</v>
      </c>
    </row>
    <row r="3724" spans="2:34" x14ac:dyDescent="0.2">
      <c r="B3724" s="2">
        <f ca="1"/>
        <v>4.1575124384755302E-2</v>
      </c>
      <c r="O3724" s="2">
        <f ca="1"/>
        <v>0.79818248044314322</v>
      </c>
      <c r="X3724" s="2">
        <f ca="1"/>
        <v>52.91280904530776</v>
      </c>
      <c r="AG3724" s="2">
        <f ca="1"/>
        <v>0.15461306192681246</v>
      </c>
      <c r="AH3724" s="2" t="str">
        <f ca="1"/>
        <v>OK</v>
      </c>
    </row>
    <row r="3725" spans="2:34" x14ac:dyDescent="0.2">
      <c r="B3725" s="2">
        <f ca="1"/>
        <v>6.1550054790258324E-2</v>
      </c>
      <c r="O3725" s="2">
        <f ca="1"/>
        <v>-0.61574642449535655</v>
      </c>
      <c r="X3725" s="2">
        <f ca="1"/>
        <v>40.27679415142601</v>
      </c>
      <c r="AG3725" s="2">
        <f ca="1"/>
        <v>0.46381734804323371</v>
      </c>
      <c r="AH3725" s="2" t="str">
        <f ca="1"/>
        <v>Bad</v>
      </c>
    </row>
    <row r="3726" spans="2:34" x14ac:dyDescent="0.2">
      <c r="B3726" s="2">
        <f ca="1"/>
        <v>0.77087816136907517</v>
      </c>
      <c r="O3726" s="2">
        <f ca="1"/>
        <v>1.9851079327285579</v>
      </c>
      <c r="X3726" s="2">
        <f ca="1"/>
        <v>53.349602305735303</v>
      </c>
      <c r="AG3726" s="2">
        <f ca="1"/>
        <v>0.82459574543285497</v>
      </c>
      <c r="AH3726" s="2" t="str">
        <f ca="1"/>
        <v>Bad</v>
      </c>
    </row>
    <row r="3727" spans="2:34" x14ac:dyDescent="0.2">
      <c r="B3727" s="2">
        <f ca="1"/>
        <v>0.21703013866103027</v>
      </c>
      <c r="O3727" s="2">
        <f ca="1"/>
        <v>-0.63683064447449156</v>
      </c>
      <c r="X3727" s="2">
        <f ca="1"/>
        <v>42.276141718778455</v>
      </c>
      <c r="AG3727" s="2">
        <f ca="1"/>
        <v>0.33031563752734594</v>
      </c>
      <c r="AH3727" s="2" t="str">
        <f ca="1"/>
        <v>OK</v>
      </c>
    </row>
    <row r="3728" spans="2:34" x14ac:dyDescent="0.2">
      <c r="B3728" s="2">
        <f ca="1"/>
        <v>7.5059497152353716E-2</v>
      </c>
      <c r="O3728" s="2">
        <f ca="1"/>
        <v>-1.097242190998958</v>
      </c>
      <c r="X3728" s="2">
        <f ca="1"/>
        <v>38.66299041766068</v>
      </c>
      <c r="AG3728" s="2">
        <f ca="1"/>
        <v>0.10501572172958284</v>
      </c>
      <c r="AH3728" s="2" t="str">
        <f ca="1"/>
        <v>OK</v>
      </c>
    </row>
    <row r="3729" spans="2:34" x14ac:dyDescent="0.2">
      <c r="B3729" s="2">
        <f ca="1"/>
        <v>0.29226472345128984</v>
      </c>
      <c r="O3729" s="2">
        <f ca="1"/>
        <v>-1.6372572928404574</v>
      </c>
      <c r="X3729" s="2">
        <f ca="1"/>
        <v>33.695633996019275</v>
      </c>
      <c r="AG3729" s="2">
        <f ca="1"/>
        <v>2.1701057539156077E-2</v>
      </c>
      <c r="AH3729" s="2" t="str">
        <f ca="1"/>
        <v>Good</v>
      </c>
    </row>
    <row r="3730" spans="2:34" x14ac:dyDescent="0.2">
      <c r="B3730" s="2">
        <f ca="1"/>
        <v>0.96819492890982239</v>
      </c>
      <c r="O3730" s="2">
        <f ca="1"/>
        <v>1.1020074611981237</v>
      </c>
      <c r="X3730" s="2">
        <f ca="1"/>
        <v>60.138208558077523</v>
      </c>
      <c r="AG3730" s="2">
        <f ca="1"/>
        <v>0.17617820368232096</v>
      </c>
      <c r="AH3730" s="2" t="str">
        <f ca="1"/>
        <v>OK</v>
      </c>
    </row>
    <row r="3731" spans="2:34" x14ac:dyDescent="0.2">
      <c r="B3731" s="2">
        <f ca="1"/>
        <v>0.75230177876543691</v>
      </c>
      <c r="O3731" s="2">
        <f ca="1"/>
        <v>0.30327372601756236</v>
      </c>
      <c r="X3731" s="2">
        <f ca="1"/>
        <v>48.644112091545665</v>
      </c>
      <c r="AG3731" s="2">
        <f ca="1"/>
        <v>0.94622476283622414</v>
      </c>
      <c r="AH3731" s="2" t="str">
        <f ca="1"/>
        <v>Bad</v>
      </c>
    </row>
    <row r="3732" spans="2:34" x14ac:dyDescent="0.2">
      <c r="B3732" s="2">
        <f ca="1"/>
        <v>0.63820448637192762</v>
      </c>
      <c r="O3732" s="2">
        <f ca="1"/>
        <v>-0.68546582590272831</v>
      </c>
      <c r="X3732" s="2">
        <f ca="1"/>
        <v>41.948544025447973</v>
      </c>
      <c r="AG3732" s="2">
        <f ca="1"/>
        <v>0.7268533446351082</v>
      </c>
      <c r="AH3732" s="2" t="str">
        <f ca="1"/>
        <v>Bad</v>
      </c>
    </row>
    <row r="3733" spans="2:34" x14ac:dyDescent="0.2">
      <c r="B3733" s="2">
        <f ca="1"/>
        <v>0.38353325181565467</v>
      </c>
      <c r="O3733" s="2">
        <f ca="1"/>
        <v>2.1362774137661567</v>
      </c>
      <c r="X3733" s="2">
        <f ca="1"/>
        <v>41.679429329371054</v>
      </c>
      <c r="AG3733" s="2">
        <f ca="1"/>
        <v>0.72122566347621708</v>
      </c>
      <c r="AH3733" s="2" t="str">
        <f ca="1"/>
        <v>Bad</v>
      </c>
    </row>
    <row r="3734" spans="2:34" x14ac:dyDescent="0.2">
      <c r="B3734" s="2">
        <f ca="1"/>
        <v>0.16821541147174068</v>
      </c>
      <c r="O3734" s="2">
        <f ca="1"/>
        <v>-1.5392960378374954</v>
      </c>
      <c r="X3734" s="2">
        <f ca="1"/>
        <v>56.569965355313883</v>
      </c>
      <c r="AG3734" s="2">
        <f ca="1"/>
        <v>0.96453263770732622</v>
      </c>
      <c r="AH3734" s="2" t="str">
        <f ca="1"/>
        <v>Bad</v>
      </c>
    </row>
    <row r="3735" spans="2:34" x14ac:dyDescent="0.2">
      <c r="B3735" s="2">
        <f ca="1"/>
        <v>0.43759662190507931</v>
      </c>
      <c r="O3735" s="2">
        <f ca="1"/>
        <v>1.6213037318650418</v>
      </c>
      <c r="X3735" s="2">
        <f ca="1"/>
        <v>36.799663089016079</v>
      </c>
      <c r="AG3735" s="2">
        <f ca="1"/>
        <v>0.1513634536272126</v>
      </c>
      <c r="AH3735" s="2" t="str">
        <f ca="1"/>
        <v>OK</v>
      </c>
    </row>
    <row r="3736" spans="2:34" x14ac:dyDescent="0.2">
      <c r="B3736" s="2">
        <f ca="1"/>
        <v>0.11442798406372523</v>
      </c>
      <c r="O3736" s="2">
        <f ca="1"/>
        <v>-0.8789948594344168</v>
      </c>
      <c r="X3736" s="2">
        <f ca="1"/>
        <v>37.95051769786523</v>
      </c>
      <c r="AG3736" s="2">
        <f ca="1"/>
        <v>0.40478226829667507</v>
      </c>
      <c r="AH3736" s="2" t="str">
        <f ca="1"/>
        <v>Bad</v>
      </c>
    </row>
    <row r="3737" spans="2:34" x14ac:dyDescent="0.2">
      <c r="B3737" s="2">
        <f ca="1"/>
        <v>0.15461725694858308</v>
      </c>
      <c r="O3737" s="2">
        <f ca="1"/>
        <v>1.3865114179151314</v>
      </c>
      <c r="X3737" s="2">
        <f ca="1"/>
        <v>61.403745705292152</v>
      </c>
      <c r="AG3737" s="2">
        <f ca="1"/>
        <v>0.56446708584007843</v>
      </c>
      <c r="AH3737" s="2" t="str">
        <f ca="1"/>
        <v>Bad</v>
      </c>
    </row>
    <row r="3738" spans="2:34" x14ac:dyDescent="0.2">
      <c r="B3738" s="2">
        <f ca="1"/>
        <v>0.13760071653742001</v>
      </c>
      <c r="O3738" s="2">
        <f ca="1"/>
        <v>-0.40481938838320713</v>
      </c>
      <c r="X3738" s="2">
        <f ca="1"/>
        <v>66.280280178111155</v>
      </c>
      <c r="AG3738" s="2">
        <f ca="1"/>
        <v>0.27502023506105977</v>
      </c>
      <c r="AH3738" s="2" t="str">
        <f ca="1"/>
        <v>OK</v>
      </c>
    </row>
    <row r="3739" spans="2:34" x14ac:dyDescent="0.2">
      <c r="B3739" s="2">
        <f ca="1"/>
        <v>0.34086813039415342</v>
      </c>
      <c r="O3739" s="2">
        <f ca="1"/>
        <v>0.74044000946458755</v>
      </c>
      <c r="X3739" s="2">
        <f ca="1"/>
        <v>57.404535897250391</v>
      </c>
      <c r="AG3739" s="2">
        <f ca="1"/>
        <v>0.27268037353145735</v>
      </c>
      <c r="AH3739" s="2" t="str">
        <f ca="1"/>
        <v>OK</v>
      </c>
    </row>
    <row r="3740" spans="2:34" x14ac:dyDescent="0.2">
      <c r="B3740" s="2">
        <f ca="1"/>
        <v>0.30867006470936875</v>
      </c>
      <c r="O3740" s="2">
        <f ca="1"/>
        <v>1.5017648813917577</v>
      </c>
      <c r="X3740" s="2">
        <f ca="1"/>
        <v>50.727919656368229</v>
      </c>
      <c r="AG3740" s="2">
        <f ca="1"/>
        <v>0.92498010886171378</v>
      </c>
      <c r="AH3740" s="2" t="str">
        <f ca="1"/>
        <v>Bad</v>
      </c>
    </row>
    <row r="3741" spans="2:34" x14ac:dyDescent="0.2">
      <c r="B3741" s="2">
        <f ca="1"/>
        <v>0.73105815082990899</v>
      </c>
      <c r="O3741" s="2">
        <f ca="1"/>
        <v>1.1693524434375187</v>
      </c>
      <c r="X3741" s="2">
        <f ca="1"/>
        <v>42.298550193522424</v>
      </c>
      <c r="AG3741" s="2">
        <f ca="1"/>
        <v>6.8950915795840118E-3</v>
      </c>
      <c r="AH3741" s="2" t="str">
        <f ca="1"/>
        <v>Good</v>
      </c>
    </row>
    <row r="3742" spans="2:34" x14ac:dyDescent="0.2">
      <c r="B3742" s="2">
        <f ca="1"/>
        <v>0.95563471473721595</v>
      </c>
      <c r="O3742" s="2">
        <f ca="1"/>
        <v>0.30076611346901722</v>
      </c>
      <c r="X3742" s="2">
        <f ca="1"/>
        <v>50.457356258472444</v>
      </c>
      <c r="AG3742" s="2">
        <f ca="1"/>
        <v>0.41461009187549336</v>
      </c>
      <c r="AH3742" s="2" t="str">
        <f ca="1"/>
        <v>Bad</v>
      </c>
    </row>
    <row r="3743" spans="2:34" x14ac:dyDescent="0.2">
      <c r="B3743" s="2">
        <f ca="1"/>
        <v>0.84116193535378114</v>
      </c>
      <c r="O3743" s="2">
        <f ca="1"/>
        <v>1.237921925738668</v>
      </c>
      <c r="X3743" s="2">
        <f ca="1"/>
        <v>44.937388571035456</v>
      </c>
      <c r="AG3743" s="2">
        <f ca="1"/>
        <v>0.55612473190072587</v>
      </c>
      <c r="AH3743" s="2" t="str">
        <f ca="1"/>
        <v>Bad</v>
      </c>
    </row>
    <row r="3744" spans="2:34" x14ac:dyDescent="0.2">
      <c r="B3744" s="2">
        <f ca="1"/>
        <v>0.5450364961815013</v>
      </c>
      <c r="O3744" s="2">
        <f ca="1"/>
        <v>7.6815385981968534E-2</v>
      </c>
      <c r="X3744" s="2">
        <f ca="1"/>
        <v>36.255403312146527</v>
      </c>
      <c r="AG3744" s="2">
        <f ca="1"/>
        <v>0.38430377848017883</v>
      </c>
      <c r="AH3744" s="2" t="str">
        <f ca="1"/>
        <v>OK</v>
      </c>
    </row>
    <row r="3745" spans="2:34" x14ac:dyDescent="0.2">
      <c r="B3745" s="2">
        <f ca="1"/>
        <v>6.4817929443890199E-2</v>
      </c>
      <c r="O3745" s="2">
        <f ca="1"/>
        <v>-3.6679391088459967E-2</v>
      </c>
      <c r="X3745" s="2">
        <f ca="1"/>
        <v>33.547663862873364</v>
      </c>
      <c r="AG3745" s="2">
        <f ca="1"/>
        <v>0.62509455565158989</v>
      </c>
      <c r="AH3745" s="2" t="str">
        <f ca="1"/>
        <v>Bad</v>
      </c>
    </row>
    <row r="3746" spans="2:34" x14ac:dyDescent="0.2">
      <c r="B3746" s="2">
        <f ca="1"/>
        <v>0.61824667240595299</v>
      </c>
      <c r="O3746" s="2">
        <f ca="1"/>
        <v>-1.093153443288132</v>
      </c>
      <c r="X3746" s="2">
        <f ca="1"/>
        <v>72.697131113542511</v>
      </c>
      <c r="AG3746" s="2">
        <f ca="1"/>
        <v>0.22085986597902418</v>
      </c>
      <c r="AH3746" s="2" t="str">
        <f ca="1"/>
        <v>OK</v>
      </c>
    </row>
    <row r="3747" spans="2:34" x14ac:dyDescent="0.2">
      <c r="B3747" s="2">
        <f ca="1"/>
        <v>0.69767345866155139</v>
      </c>
      <c r="O3747" s="2">
        <f ca="1"/>
        <v>0.2795119682472052</v>
      </c>
      <c r="X3747" s="2">
        <f ca="1"/>
        <v>27.593088641232924</v>
      </c>
      <c r="AG3747" s="2">
        <f ca="1"/>
        <v>0.23068402220619277</v>
      </c>
      <c r="AH3747" s="2" t="str">
        <f ca="1"/>
        <v>OK</v>
      </c>
    </row>
    <row r="3748" spans="2:34" x14ac:dyDescent="0.2">
      <c r="B3748" s="2">
        <f ca="1"/>
        <v>0.47063816391106417</v>
      </c>
      <c r="O3748" s="2">
        <f ca="1"/>
        <v>1.244290052433753</v>
      </c>
      <c r="X3748" s="2">
        <f ca="1"/>
        <v>49.754720857848831</v>
      </c>
      <c r="AG3748" s="2">
        <f ca="1"/>
        <v>0.36122726881118283</v>
      </c>
      <c r="AH3748" s="2" t="str">
        <f ca="1"/>
        <v>OK</v>
      </c>
    </row>
    <row r="3749" spans="2:34" x14ac:dyDescent="0.2">
      <c r="B3749" s="2">
        <f ca="1"/>
        <v>0.30220781020371867</v>
      </c>
      <c r="O3749" s="2">
        <f ca="1"/>
        <v>-1.5208251873848699</v>
      </c>
      <c r="X3749" s="2">
        <f ca="1"/>
        <v>58.60060900833566</v>
      </c>
      <c r="AG3749" s="2">
        <f ca="1"/>
        <v>0.90072665598881763</v>
      </c>
      <c r="AH3749" s="2" t="str">
        <f ca="1"/>
        <v>Bad</v>
      </c>
    </row>
    <row r="3750" spans="2:34" x14ac:dyDescent="0.2">
      <c r="B3750" s="2">
        <f ca="1"/>
        <v>0.52856742438183746</v>
      </c>
      <c r="O3750" s="2">
        <f ca="1"/>
        <v>-0.97980384593989445</v>
      </c>
      <c r="X3750" s="2">
        <f ca="1"/>
        <v>65.171838447662012</v>
      </c>
      <c r="AG3750" s="2">
        <f ca="1"/>
        <v>0.4273423006379975</v>
      </c>
      <c r="AH3750" s="2" t="str">
        <f ca="1"/>
        <v>Bad</v>
      </c>
    </row>
    <row r="3751" spans="2:34" x14ac:dyDescent="0.2">
      <c r="B3751" s="2">
        <f ca="1"/>
        <v>0.17819834549257063</v>
      </c>
      <c r="O3751" s="2">
        <f ca="1"/>
        <v>-0.28082938120612144</v>
      </c>
      <c r="X3751" s="2">
        <f ca="1"/>
        <v>66.082568987262434</v>
      </c>
      <c r="AG3751" s="2">
        <f ca="1"/>
        <v>0.96845283405846794</v>
      </c>
      <c r="AH3751" s="2" t="str">
        <f ca="1"/>
        <v>Bad</v>
      </c>
    </row>
    <row r="3752" spans="2:34" x14ac:dyDescent="0.2">
      <c r="B3752" s="2">
        <f ca="1"/>
        <v>0.81001057789700104</v>
      </c>
      <c r="O3752" s="2">
        <f ca="1"/>
        <v>-0.761509390290809</v>
      </c>
      <c r="X3752" s="2">
        <f ca="1"/>
        <v>79.140915029256817</v>
      </c>
      <c r="AG3752" s="2">
        <f ca="1"/>
        <v>8.7067770325435667E-2</v>
      </c>
      <c r="AH3752" s="2" t="str">
        <f ca="1"/>
        <v>OK</v>
      </c>
    </row>
    <row r="3753" spans="2:34" x14ac:dyDescent="0.2">
      <c r="B3753" s="2">
        <f ca="1"/>
        <v>0.20800519636522674</v>
      </c>
      <c r="O3753" s="2">
        <f ca="1"/>
        <v>0.17261354235283688</v>
      </c>
      <c r="X3753" s="2">
        <f ca="1"/>
        <v>56.419971142481359</v>
      </c>
      <c r="AG3753" s="2">
        <f ca="1"/>
        <v>0.91184955629581443</v>
      </c>
      <c r="AH3753" s="2" t="str">
        <f ca="1"/>
        <v>Bad</v>
      </c>
    </row>
    <row r="3754" spans="2:34" x14ac:dyDescent="0.2">
      <c r="B3754" s="2">
        <f ca="1"/>
        <v>0.32338680098551054</v>
      </c>
      <c r="O3754" s="2">
        <f ca="1"/>
        <v>-0.97906557431307395</v>
      </c>
      <c r="X3754" s="2">
        <f ca="1"/>
        <v>31.911066810700301</v>
      </c>
      <c r="AG3754" s="2">
        <f ca="1"/>
        <v>0.11939740957087763</v>
      </c>
      <c r="AH3754" s="2" t="str">
        <f ca="1"/>
        <v>OK</v>
      </c>
    </row>
    <row r="3755" spans="2:34" x14ac:dyDescent="0.2">
      <c r="B3755" s="2">
        <f ca="1"/>
        <v>0.27975848640821011</v>
      </c>
      <c r="O3755" s="2">
        <f ca="1"/>
        <v>0.23549632892056652</v>
      </c>
      <c r="X3755" s="2">
        <f ca="1"/>
        <v>42.456488800685072</v>
      </c>
      <c r="AG3755" s="2">
        <f ca="1"/>
        <v>0.23587368852644341</v>
      </c>
      <c r="AH3755" s="2" t="str">
        <f ca="1"/>
        <v>OK</v>
      </c>
    </row>
    <row r="3756" spans="2:34" x14ac:dyDescent="0.2">
      <c r="B3756" s="2">
        <f ca="1"/>
        <v>0.21864307573744135</v>
      </c>
      <c r="O3756" s="2">
        <f ca="1"/>
        <v>-0.32798003389494085</v>
      </c>
      <c r="X3756" s="2">
        <f ca="1"/>
        <v>65.595148755562548</v>
      </c>
      <c r="AG3756" s="2">
        <f ca="1"/>
        <v>0.5042777448115896</v>
      </c>
      <c r="AH3756" s="2" t="str">
        <f ca="1"/>
        <v>Bad</v>
      </c>
    </row>
    <row r="3757" spans="2:34" x14ac:dyDescent="0.2">
      <c r="B3757" s="2">
        <f ca="1"/>
        <v>0.36518389652056071</v>
      </c>
      <c r="O3757" s="2">
        <f ca="1"/>
        <v>0.51611921773120994</v>
      </c>
      <c r="X3757" s="2">
        <f ca="1"/>
        <v>47.479203972838164</v>
      </c>
      <c r="AG3757" s="2">
        <f ca="1"/>
        <v>4.6897961641151342E-2</v>
      </c>
      <c r="AH3757" s="2" t="str">
        <f ca="1"/>
        <v>Good</v>
      </c>
    </row>
    <row r="3758" spans="2:34" x14ac:dyDescent="0.2">
      <c r="B3758" s="2">
        <f ca="1"/>
        <v>0.41372060223246976</v>
      </c>
      <c r="O3758" s="2">
        <f ca="1"/>
        <v>-0.21261512357830989</v>
      </c>
      <c r="X3758" s="2">
        <f ca="1"/>
        <v>58.73593572058433</v>
      </c>
      <c r="AG3758" s="2">
        <f ca="1"/>
        <v>0.54328042870699855</v>
      </c>
      <c r="AH3758" s="2" t="str">
        <f ca="1"/>
        <v>Bad</v>
      </c>
    </row>
    <row r="3759" spans="2:34" x14ac:dyDescent="0.2">
      <c r="B3759" s="2">
        <f ca="1"/>
        <v>0.44358296264810826</v>
      </c>
      <c r="O3759" s="2">
        <f ca="1"/>
        <v>1.3398870439925181</v>
      </c>
      <c r="X3759" s="2">
        <f ca="1"/>
        <v>37.342192578604205</v>
      </c>
      <c r="AG3759" s="2">
        <f ca="1"/>
        <v>0.47462697036749191</v>
      </c>
      <c r="AH3759" s="2" t="str">
        <f ca="1"/>
        <v>Bad</v>
      </c>
    </row>
    <row r="3760" spans="2:34" x14ac:dyDescent="0.2">
      <c r="B3760" s="2">
        <f ca="1"/>
        <v>0.1106915087879945</v>
      </c>
      <c r="O3760" s="2">
        <f ca="1"/>
        <v>1.6460890001436304</v>
      </c>
      <c r="X3760" s="2">
        <f ca="1"/>
        <v>47.009104027275058</v>
      </c>
      <c r="AG3760" s="2">
        <f ca="1"/>
        <v>0.69503962988821266</v>
      </c>
      <c r="AH3760" s="2" t="str">
        <f ca="1"/>
        <v>Bad</v>
      </c>
    </row>
    <row r="3761" spans="2:34" x14ac:dyDescent="0.2">
      <c r="B3761" s="2">
        <f ca="1"/>
        <v>0.83687742341761528</v>
      </c>
      <c r="O3761" s="2">
        <f ca="1"/>
        <v>0.82193309819622273</v>
      </c>
      <c r="X3761" s="2">
        <f ca="1"/>
        <v>48.651004735128822</v>
      </c>
      <c r="AG3761" s="2">
        <f ca="1"/>
        <v>0.96825251712716232</v>
      </c>
      <c r="AH3761" s="2" t="str">
        <f ca="1"/>
        <v>Bad</v>
      </c>
    </row>
    <row r="3762" spans="2:34" x14ac:dyDescent="0.2">
      <c r="B3762" s="2">
        <f ca="1"/>
        <v>0.41486069071661347</v>
      </c>
      <c r="O3762" s="2">
        <f ca="1"/>
        <v>0.27069512242913751</v>
      </c>
      <c r="X3762" s="2">
        <f ca="1"/>
        <v>20.080036867761486</v>
      </c>
      <c r="AG3762" s="2">
        <f ca="1"/>
        <v>0.66417138932296882</v>
      </c>
      <c r="AH3762" s="2" t="str">
        <f ca="1"/>
        <v>Bad</v>
      </c>
    </row>
    <row r="3763" spans="2:34" x14ac:dyDescent="0.2">
      <c r="B3763" s="2">
        <f ca="1"/>
        <v>0.58847901943044389</v>
      </c>
      <c r="O3763" s="2">
        <f ca="1"/>
        <v>0.87246219423259008</v>
      </c>
      <c r="X3763" s="2">
        <f ca="1"/>
        <v>46.152805526529903</v>
      </c>
      <c r="AG3763" s="2">
        <f ca="1"/>
        <v>0.58694363801059457</v>
      </c>
      <c r="AH3763" s="2" t="str">
        <f ca="1"/>
        <v>Bad</v>
      </c>
    </row>
    <row r="3764" spans="2:34" x14ac:dyDescent="0.2">
      <c r="B3764" s="2">
        <f ca="1"/>
        <v>4.4603800844481123E-2</v>
      </c>
      <c r="O3764" s="2">
        <f ca="1"/>
        <v>0.46903602807280581</v>
      </c>
      <c r="X3764" s="2">
        <f ca="1"/>
        <v>49.758321890728567</v>
      </c>
      <c r="AG3764" s="2">
        <f ca="1"/>
        <v>0.75661348491904268</v>
      </c>
      <c r="AH3764" s="2" t="str">
        <f ca="1"/>
        <v>Bad</v>
      </c>
    </row>
    <row r="3765" spans="2:34" x14ac:dyDescent="0.2">
      <c r="B3765" s="2">
        <f ca="1"/>
        <v>0.89456517224601928</v>
      </c>
      <c r="O3765" s="2">
        <f ca="1"/>
        <v>0.23874861027294522</v>
      </c>
      <c r="X3765" s="2">
        <f ca="1"/>
        <v>48.764805652915356</v>
      </c>
      <c r="AG3765" s="2">
        <f ca="1"/>
        <v>0.35478177565652902</v>
      </c>
      <c r="AH3765" s="2" t="str">
        <f ca="1"/>
        <v>OK</v>
      </c>
    </row>
    <row r="3766" spans="2:34" x14ac:dyDescent="0.2">
      <c r="B3766" s="2">
        <f ca="1"/>
        <v>0.44054147123359089</v>
      </c>
      <c r="O3766" s="2">
        <f ca="1"/>
        <v>-2.2268591327628036</v>
      </c>
      <c r="X3766" s="2">
        <f ca="1"/>
        <v>68.510113815616322</v>
      </c>
      <c r="AG3766" s="2">
        <f ca="1"/>
        <v>0.9499954059014486</v>
      </c>
      <c r="AH3766" s="2" t="str">
        <f ca="1"/>
        <v>Bad</v>
      </c>
    </row>
    <row r="3767" spans="2:34" x14ac:dyDescent="0.2">
      <c r="B3767" s="2">
        <f ca="1"/>
        <v>0.89645733726379717</v>
      </c>
      <c r="O3767" s="2">
        <f ca="1"/>
        <v>1.483315253859955</v>
      </c>
      <c r="X3767" s="2">
        <f ca="1"/>
        <v>30.461054760897785</v>
      </c>
      <c r="AG3767" s="2">
        <f ca="1"/>
        <v>0.59904184110022696</v>
      </c>
      <c r="AH3767" s="2" t="str">
        <f ca="1"/>
        <v>Bad</v>
      </c>
    </row>
    <row r="3768" spans="2:34" x14ac:dyDescent="0.2">
      <c r="B3768" s="2">
        <f ca="1"/>
        <v>0.26547950984167179</v>
      </c>
      <c r="O3768" s="2">
        <f ca="1"/>
        <v>-0.19302628904228883</v>
      </c>
      <c r="X3768" s="2">
        <f ca="1"/>
        <v>54.225278135981767</v>
      </c>
      <c r="AG3768" s="2">
        <f ca="1"/>
        <v>0.9606710588689924</v>
      </c>
      <c r="AH3768" s="2" t="str">
        <f ca="1"/>
        <v>Bad</v>
      </c>
    </row>
    <row r="3769" spans="2:34" x14ac:dyDescent="0.2">
      <c r="B3769" s="2">
        <f ca="1"/>
        <v>0.82584781761180537</v>
      </c>
      <c r="O3769" s="2">
        <f ca="1"/>
        <v>-1.9533180068601025E-2</v>
      </c>
      <c r="X3769" s="2">
        <f ca="1"/>
        <v>35.405558373691612</v>
      </c>
      <c r="AG3769" s="2">
        <f ca="1"/>
        <v>0.49559321697645964</v>
      </c>
      <c r="AH3769" s="2" t="str">
        <f ca="1"/>
        <v>Bad</v>
      </c>
    </row>
    <row r="3770" spans="2:34" x14ac:dyDescent="0.2">
      <c r="B3770" s="2">
        <f ca="1"/>
        <v>0.26734841047854063</v>
      </c>
      <c r="O3770" s="2">
        <f ca="1"/>
        <v>-1.3178024861003352</v>
      </c>
      <c r="X3770" s="2">
        <f ca="1"/>
        <v>37.702804246507654</v>
      </c>
      <c r="AG3770" s="2">
        <f ca="1"/>
        <v>0.738264075167548</v>
      </c>
      <c r="AH3770" s="2" t="str">
        <f ca="1"/>
        <v>Bad</v>
      </c>
    </row>
    <row r="3771" spans="2:34" x14ac:dyDescent="0.2">
      <c r="B3771" s="2">
        <f ca="1"/>
        <v>0.74530395447970621</v>
      </c>
      <c r="O3771" s="2">
        <f ca="1"/>
        <v>-1.1497790272776882</v>
      </c>
      <c r="X3771" s="2">
        <f ca="1"/>
        <v>47.884256035949385</v>
      </c>
      <c r="AG3771" s="2">
        <f ca="1"/>
        <v>0.89769175865423945</v>
      </c>
      <c r="AH3771" s="2" t="str">
        <f ca="1"/>
        <v>Bad</v>
      </c>
    </row>
    <row r="3772" spans="2:34" x14ac:dyDescent="0.2">
      <c r="B3772" s="2">
        <f ca="1"/>
        <v>0.98102943601042947</v>
      </c>
      <c r="O3772" s="2">
        <f ca="1"/>
        <v>-0.8172661840255554</v>
      </c>
      <c r="X3772" s="2">
        <f ca="1"/>
        <v>53.890861024415379</v>
      </c>
      <c r="AG3772" s="2">
        <f ca="1"/>
        <v>0.82646684374289903</v>
      </c>
      <c r="AH3772" s="2" t="str">
        <f ca="1"/>
        <v>Bad</v>
      </c>
    </row>
    <row r="3773" spans="2:34" x14ac:dyDescent="0.2">
      <c r="B3773" s="2">
        <f ca="1"/>
        <v>0.42790750427965984</v>
      </c>
      <c r="O3773" s="2">
        <f ca="1"/>
        <v>-0.8643452857511762</v>
      </c>
      <c r="X3773" s="2">
        <f ca="1"/>
        <v>60.351316766685201</v>
      </c>
      <c r="AG3773" s="2">
        <f ca="1"/>
        <v>0.83152532358418862</v>
      </c>
      <c r="AH3773" s="2" t="str">
        <f ca="1"/>
        <v>Bad</v>
      </c>
    </row>
    <row r="3774" spans="2:34" x14ac:dyDescent="0.2">
      <c r="B3774" s="2">
        <f ca="1"/>
        <v>0.28729548234127744</v>
      </c>
      <c r="O3774" s="2">
        <f ca="1"/>
        <v>0.2903782262360039</v>
      </c>
      <c r="X3774" s="2">
        <f ca="1"/>
        <v>62.725237825099711</v>
      </c>
      <c r="AG3774" s="2">
        <f ca="1"/>
        <v>0.99977682027540782</v>
      </c>
      <c r="AH3774" s="2" t="str">
        <f ca="1"/>
        <v>Bad</v>
      </c>
    </row>
    <row r="3775" spans="2:34" x14ac:dyDescent="0.2">
      <c r="B3775" s="2">
        <f ca="1"/>
        <v>0.34701416452589684</v>
      </c>
      <c r="O3775" s="2">
        <f ca="1"/>
        <v>1.5838775278385586</v>
      </c>
      <c r="X3775" s="2">
        <f ca="1"/>
        <v>47.232342593252035</v>
      </c>
      <c r="AG3775" s="2">
        <f ca="1"/>
        <v>0.79516440550299605</v>
      </c>
      <c r="AH3775" s="2" t="str">
        <f ca="1"/>
        <v>Bad</v>
      </c>
    </row>
    <row r="3776" spans="2:34" x14ac:dyDescent="0.2">
      <c r="B3776" s="2">
        <f ca="1"/>
        <v>0.6409412123637086</v>
      </c>
      <c r="O3776" s="2">
        <f ca="1"/>
        <v>0.16869021702387332</v>
      </c>
      <c r="X3776" s="2">
        <f ca="1"/>
        <v>59.979736059765727</v>
      </c>
      <c r="AG3776" s="2">
        <f ca="1"/>
        <v>0.92182931149952529</v>
      </c>
      <c r="AH3776" s="2" t="str">
        <f ca="1"/>
        <v>Bad</v>
      </c>
    </row>
    <row r="3777" spans="2:34" x14ac:dyDescent="0.2">
      <c r="B3777" s="2">
        <f ca="1"/>
        <v>0.94325085725939228</v>
      </c>
      <c r="O3777" s="2">
        <f ca="1"/>
        <v>1.4830537360647988</v>
      </c>
      <c r="X3777" s="2">
        <f ca="1"/>
        <v>62.972693026571505</v>
      </c>
      <c r="AG3777" s="2">
        <f ca="1"/>
        <v>0.80152671319425783</v>
      </c>
      <c r="AH3777" s="2" t="str">
        <f ca="1"/>
        <v>Bad</v>
      </c>
    </row>
    <row r="3778" spans="2:34" x14ac:dyDescent="0.2">
      <c r="B3778" s="2">
        <f ca="1"/>
        <v>0.92779730805575999</v>
      </c>
      <c r="O3778" s="2">
        <f ca="1"/>
        <v>-0.20216360184074755</v>
      </c>
      <c r="X3778" s="2">
        <f ca="1"/>
        <v>53.331160740007647</v>
      </c>
      <c r="AG3778" s="2">
        <f ca="1"/>
        <v>0.61063043359227831</v>
      </c>
      <c r="AH3778" s="2" t="str">
        <f ca="1"/>
        <v>Bad</v>
      </c>
    </row>
    <row r="3779" spans="2:34" x14ac:dyDescent="0.2">
      <c r="B3779" s="2">
        <f ca="1"/>
        <v>0.46576911189181569</v>
      </c>
      <c r="O3779" s="2">
        <f ca="1"/>
        <v>-1.0912451837719512</v>
      </c>
      <c r="X3779" s="2">
        <f ca="1"/>
        <v>56.831194902523166</v>
      </c>
      <c r="AG3779" s="2">
        <f ca="1"/>
        <v>0.17967876996042342</v>
      </c>
      <c r="AH3779" s="2" t="str">
        <f ca="1"/>
        <v>OK</v>
      </c>
    </row>
    <row r="3780" spans="2:34" x14ac:dyDescent="0.2">
      <c r="B3780" s="2">
        <f ca="1"/>
        <v>0.44828515862188745</v>
      </c>
      <c r="O3780" s="2">
        <f ca="1"/>
        <v>5.8580737678831173E-2</v>
      </c>
      <c r="X3780" s="2">
        <f ca="1"/>
        <v>65.788387205482735</v>
      </c>
      <c r="AG3780" s="2">
        <f ca="1"/>
        <v>3.5862244985912728E-2</v>
      </c>
      <c r="AH3780" s="2" t="str">
        <f ca="1"/>
        <v>Good</v>
      </c>
    </row>
    <row r="3781" spans="2:34" x14ac:dyDescent="0.2">
      <c r="B3781" s="2">
        <f ca="1"/>
        <v>8.0296293958022291E-2</v>
      </c>
      <c r="O3781" s="2">
        <f ca="1"/>
        <v>-0.65702949913551778</v>
      </c>
      <c r="X3781" s="2">
        <f ca="1"/>
        <v>50.674795149400722</v>
      </c>
      <c r="AG3781" s="2">
        <f ca="1"/>
        <v>0.90915827019092843</v>
      </c>
      <c r="AH3781" s="2" t="str">
        <f ca="1"/>
        <v>Bad</v>
      </c>
    </row>
    <row r="3782" spans="2:34" x14ac:dyDescent="0.2">
      <c r="B3782" s="2">
        <f ca="1"/>
        <v>0.46887102226079636</v>
      </c>
      <c r="O3782" s="2">
        <f ca="1"/>
        <v>-1.8602663634141758</v>
      </c>
      <c r="X3782" s="2">
        <f ca="1"/>
        <v>47.656791285865339</v>
      </c>
      <c r="AG3782" s="2">
        <f ca="1"/>
        <v>0.83997924190666118</v>
      </c>
      <c r="AH3782" s="2" t="str">
        <f ca="1"/>
        <v>Bad</v>
      </c>
    </row>
    <row r="3783" spans="2:34" x14ac:dyDescent="0.2">
      <c r="B3783" s="2">
        <f ca="1"/>
        <v>0.49426473941567628</v>
      </c>
      <c r="O3783" s="2">
        <f ca="1"/>
        <v>8.6085794593996665E-2</v>
      </c>
      <c r="X3783" s="2">
        <f ca="1"/>
        <v>39.160625729488878</v>
      </c>
      <c r="AG3783" s="2">
        <f ca="1"/>
        <v>0.56283841775700516</v>
      </c>
      <c r="AH3783" s="2" t="str">
        <f ca="1"/>
        <v>Bad</v>
      </c>
    </row>
    <row r="3784" spans="2:34" x14ac:dyDescent="0.2">
      <c r="B3784" s="2">
        <f ca="1"/>
        <v>0.16337781967927323</v>
      </c>
      <c r="O3784" s="2">
        <f ca="1"/>
        <v>0.76452572260616758</v>
      </c>
      <c r="X3784" s="2">
        <f ca="1"/>
        <v>26.059994155260654</v>
      </c>
      <c r="AG3784" s="2">
        <f ca="1"/>
        <v>0.75843191965454881</v>
      </c>
      <c r="AH3784" s="2" t="str">
        <f ca="1"/>
        <v>Bad</v>
      </c>
    </row>
    <row r="3785" spans="2:34" x14ac:dyDescent="0.2">
      <c r="B3785" s="2">
        <f ca="1"/>
        <v>0.40497176421271597</v>
      </c>
      <c r="O3785" s="2">
        <f ca="1"/>
        <v>-1.2527306582062794</v>
      </c>
      <c r="X3785" s="2">
        <f ca="1"/>
        <v>26.138231700181969</v>
      </c>
      <c r="AG3785" s="2">
        <f ca="1"/>
        <v>1.1593485619438848E-2</v>
      </c>
      <c r="AH3785" s="2" t="str">
        <f ca="1"/>
        <v>Good</v>
      </c>
    </row>
    <row r="3786" spans="2:34" x14ac:dyDescent="0.2">
      <c r="B3786" s="2">
        <f ca="1"/>
        <v>9.0162739801306957E-2</v>
      </c>
      <c r="O3786" s="2">
        <f ca="1"/>
        <v>-0.71494781624918746</v>
      </c>
      <c r="X3786" s="2">
        <f ca="1"/>
        <v>31.023453535317564</v>
      </c>
      <c r="AG3786" s="2">
        <f ca="1"/>
        <v>0.52380469634376214</v>
      </c>
      <c r="AH3786" s="2" t="str">
        <f ca="1"/>
        <v>Bad</v>
      </c>
    </row>
    <row r="3787" spans="2:34" x14ac:dyDescent="0.2">
      <c r="B3787" s="2">
        <f ca="1"/>
        <v>0.13647592040907863</v>
      </c>
      <c r="O3787" s="2">
        <f ca="1"/>
        <v>-0.45780111682848834</v>
      </c>
      <c r="X3787" s="2">
        <f ca="1"/>
        <v>90.063224665344208</v>
      </c>
      <c r="AG3787" s="2">
        <f ca="1"/>
        <v>0.6463455580427806</v>
      </c>
      <c r="AH3787" s="2" t="str">
        <f ca="1"/>
        <v>Bad</v>
      </c>
    </row>
    <row r="3788" spans="2:34" x14ac:dyDescent="0.2">
      <c r="B3788" s="2">
        <f ca="1"/>
        <v>0.54066747097497481</v>
      </c>
      <c r="O3788" s="2">
        <f ca="1"/>
        <v>0.54350695997810461</v>
      </c>
      <c r="X3788" s="2">
        <f ca="1"/>
        <v>57.050507489237049</v>
      </c>
      <c r="AG3788" s="2">
        <f ca="1"/>
        <v>0.68840701784208047</v>
      </c>
      <c r="AH3788" s="2" t="str">
        <f ca="1"/>
        <v>Bad</v>
      </c>
    </row>
    <row r="3789" spans="2:34" x14ac:dyDescent="0.2">
      <c r="B3789" s="2">
        <f ca="1"/>
        <v>0.77546802991463015</v>
      </c>
      <c r="O3789" s="2">
        <f ca="1"/>
        <v>-0.79968767019783127</v>
      </c>
      <c r="X3789" s="2">
        <f ca="1"/>
        <v>35.694688298987309</v>
      </c>
      <c r="AG3789" s="2">
        <f ca="1"/>
        <v>0.39132464168623482</v>
      </c>
      <c r="AH3789" s="2" t="str">
        <f ca="1"/>
        <v>OK</v>
      </c>
    </row>
    <row r="3790" spans="2:34" x14ac:dyDescent="0.2">
      <c r="B3790" s="2">
        <f ca="1"/>
        <v>0.28596437844777478</v>
      </c>
      <c r="O3790" s="2">
        <f ca="1"/>
        <v>-2.4734251595824599</v>
      </c>
      <c r="X3790" s="2">
        <f ca="1"/>
        <v>73.745413927799333</v>
      </c>
      <c r="AG3790" s="2">
        <f ca="1"/>
        <v>0.30418736484286013</v>
      </c>
      <c r="AH3790" s="2" t="str">
        <f ca="1"/>
        <v>OK</v>
      </c>
    </row>
    <row r="3791" spans="2:34" x14ac:dyDescent="0.2">
      <c r="B3791" s="2">
        <f ca="1"/>
        <v>0.45889898142650631</v>
      </c>
      <c r="O3791" s="2">
        <f ca="1"/>
        <v>-0.7995821905922047</v>
      </c>
      <c r="X3791" s="2">
        <f ca="1"/>
        <v>29.075893701606805</v>
      </c>
      <c r="AG3791" s="2">
        <f ca="1"/>
        <v>0.12030968237385031</v>
      </c>
      <c r="AH3791" s="2" t="str">
        <f ca="1"/>
        <v>OK</v>
      </c>
    </row>
    <row r="3792" spans="2:34" x14ac:dyDescent="0.2">
      <c r="B3792" s="2">
        <f ca="1"/>
        <v>0.4504209295107453</v>
      </c>
      <c r="O3792" s="2">
        <f ca="1"/>
        <v>-0.37597244898588156</v>
      </c>
      <c r="X3792" s="2">
        <f ca="1"/>
        <v>44.679249106974339</v>
      </c>
      <c r="AG3792" s="2">
        <f ca="1"/>
        <v>0.7440404728711667</v>
      </c>
      <c r="AH3792" s="2" t="str">
        <f ca="1"/>
        <v>Bad</v>
      </c>
    </row>
    <row r="3793" spans="2:34" x14ac:dyDescent="0.2">
      <c r="B3793" s="2">
        <f ca="1"/>
        <v>0.48052153574775036</v>
      </c>
      <c r="O3793" s="2">
        <f ca="1"/>
        <v>0.18522276597991125</v>
      </c>
      <c r="X3793" s="2">
        <f ca="1"/>
        <v>70.944352372296919</v>
      </c>
      <c r="AG3793" s="2">
        <f ca="1"/>
        <v>0.83292869253179647</v>
      </c>
      <c r="AH3793" s="2" t="str">
        <f ca="1"/>
        <v>Bad</v>
      </c>
    </row>
    <row r="3794" spans="2:34" x14ac:dyDescent="0.2">
      <c r="B3794" s="2">
        <f ca="1"/>
        <v>0.84761658522796024</v>
      </c>
      <c r="O3794" s="2">
        <f ca="1"/>
        <v>0.28019025297852301</v>
      </c>
      <c r="X3794" s="2">
        <f ca="1"/>
        <v>70.965617130109607</v>
      </c>
      <c r="AG3794" s="2">
        <f ca="1"/>
        <v>0.62268061898875171</v>
      </c>
      <c r="AH3794" s="2" t="str">
        <f ca="1"/>
        <v>Bad</v>
      </c>
    </row>
    <row r="3795" spans="2:34" x14ac:dyDescent="0.2">
      <c r="B3795" s="2">
        <f ca="1"/>
        <v>0.61388741120089962</v>
      </c>
      <c r="O3795" s="2">
        <f ca="1"/>
        <v>-0.50227922487710497</v>
      </c>
      <c r="X3795" s="2">
        <f ca="1"/>
        <v>26.083094043651474</v>
      </c>
      <c r="AG3795" s="2">
        <f ca="1"/>
        <v>4.0509498347796047E-2</v>
      </c>
      <c r="AH3795" s="2" t="str">
        <f ca="1"/>
        <v>Good</v>
      </c>
    </row>
    <row r="3796" spans="2:34" x14ac:dyDescent="0.2">
      <c r="B3796" s="2">
        <f ca="1"/>
        <v>0.5106888991313332</v>
      </c>
      <c r="O3796" s="2">
        <f ca="1"/>
        <v>-1.161121005634405</v>
      </c>
      <c r="X3796" s="2">
        <f ca="1"/>
        <v>28.024196437679908</v>
      </c>
      <c r="AG3796" s="2">
        <f ca="1"/>
        <v>0.9129796747693919</v>
      </c>
      <c r="AH3796" s="2" t="str">
        <f ca="1"/>
        <v>Bad</v>
      </c>
    </row>
    <row r="3797" spans="2:34" x14ac:dyDescent="0.2">
      <c r="B3797" s="2">
        <f ca="1"/>
        <v>0.6791339767382647</v>
      </c>
      <c r="O3797" s="2">
        <f ca="1"/>
        <v>0.83578875141234676</v>
      </c>
      <c r="X3797" s="2">
        <f ca="1"/>
        <v>61.489700401688097</v>
      </c>
      <c r="AG3797" s="2">
        <f ca="1"/>
        <v>0.71993106251622252</v>
      </c>
      <c r="AH3797" s="2" t="str">
        <f ca="1"/>
        <v>Bad</v>
      </c>
    </row>
    <row r="3798" spans="2:34" x14ac:dyDescent="0.2">
      <c r="B3798" s="2">
        <f ca="1"/>
        <v>0.84097092835236009</v>
      </c>
      <c r="O3798" s="2">
        <f ca="1"/>
        <v>1.6894703247509792</v>
      </c>
      <c r="X3798" s="2">
        <f ca="1"/>
        <v>56.607606811473666</v>
      </c>
      <c r="AG3798" s="2">
        <f ca="1"/>
        <v>0.28183694098792933</v>
      </c>
      <c r="AH3798" s="2" t="str">
        <f ca="1"/>
        <v>OK</v>
      </c>
    </row>
    <row r="3799" spans="2:34" x14ac:dyDescent="0.2">
      <c r="B3799" s="2">
        <f ca="1"/>
        <v>0.49827873411366008</v>
      </c>
      <c r="O3799" s="2">
        <f ca="1"/>
        <v>-1.7601155340068171</v>
      </c>
      <c r="X3799" s="2">
        <f ca="1"/>
        <v>62.478699081414568</v>
      </c>
      <c r="AG3799" s="2">
        <f ca="1"/>
        <v>0.57020159881637977</v>
      </c>
      <c r="AH3799" s="2" t="str">
        <f ca="1"/>
        <v>Bad</v>
      </c>
    </row>
    <row r="3800" spans="2:34" x14ac:dyDescent="0.2">
      <c r="B3800" s="2">
        <f ca="1"/>
        <v>1.609485369751984E-2</v>
      </c>
      <c r="O3800" s="2">
        <f ca="1"/>
        <v>0.60193951046292593</v>
      </c>
      <c r="X3800" s="2">
        <f ca="1"/>
        <v>38.009837215081681</v>
      </c>
      <c r="AG3800" s="2">
        <f ca="1"/>
        <v>0.5455408352214699</v>
      </c>
      <c r="AH3800" s="2" t="str">
        <f ca="1"/>
        <v>Bad</v>
      </c>
    </row>
    <row r="3801" spans="2:34" x14ac:dyDescent="0.2">
      <c r="B3801" s="2">
        <f ca="1"/>
        <v>0.43422033099753699</v>
      </c>
      <c r="O3801" s="2">
        <f ca="1"/>
        <v>-1.0525294646886525</v>
      </c>
      <c r="X3801" s="2">
        <f ca="1"/>
        <v>49.479385622753313</v>
      </c>
      <c r="AG3801" s="2">
        <f ca="1"/>
        <v>0.14093461009168418</v>
      </c>
      <c r="AH3801" s="2" t="str">
        <f ca="1"/>
        <v>OK</v>
      </c>
    </row>
    <row r="3802" spans="2:34" x14ac:dyDescent="0.2">
      <c r="B3802" s="2">
        <f ca="1"/>
        <v>0.57031500126357249</v>
      </c>
      <c r="O3802" s="2">
        <f ca="1"/>
        <v>-0.37282448475408136</v>
      </c>
      <c r="X3802" s="2">
        <f ca="1"/>
        <v>26.786448992800651</v>
      </c>
      <c r="AG3802" s="2">
        <f ca="1"/>
        <v>0.3436723948532352</v>
      </c>
      <c r="AH3802" s="2" t="str">
        <f ca="1"/>
        <v>OK</v>
      </c>
    </row>
    <row r="3803" spans="2:34" x14ac:dyDescent="0.2">
      <c r="B3803" s="2">
        <f ca="1"/>
        <v>2.7877986037736502E-3</v>
      </c>
      <c r="O3803" s="2">
        <f ca="1"/>
        <v>-8.8935473640379306E-2</v>
      </c>
      <c r="X3803" s="2">
        <f ca="1"/>
        <v>48.028260398730254</v>
      </c>
      <c r="AG3803" s="2">
        <f ca="1"/>
        <v>0.39187108199785903</v>
      </c>
      <c r="AH3803" s="2" t="str">
        <f ca="1"/>
        <v>OK</v>
      </c>
    </row>
    <row r="3804" spans="2:34" x14ac:dyDescent="0.2">
      <c r="B3804" s="2">
        <f ca="1"/>
        <v>0.19680955938904088</v>
      </c>
      <c r="O3804" s="2">
        <f ca="1"/>
        <v>-0.30301549869092792</v>
      </c>
      <c r="X3804" s="2">
        <f ca="1"/>
        <v>81.035569473476016</v>
      </c>
      <c r="AG3804" s="2">
        <f ca="1"/>
        <v>0.73039172323820001</v>
      </c>
      <c r="AH3804" s="2" t="str">
        <f ca="1"/>
        <v>Bad</v>
      </c>
    </row>
    <row r="3805" spans="2:34" x14ac:dyDescent="0.2">
      <c r="B3805" s="2">
        <f ca="1"/>
        <v>0.81345134071449876</v>
      </c>
      <c r="O3805" s="2">
        <f ca="1"/>
        <v>0.87775871498570046</v>
      </c>
      <c r="X3805" s="2">
        <f ca="1"/>
        <v>40.478284890991191</v>
      </c>
      <c r="AG3805" s="2">
        <f ca="1"/>
        <v>0.30224840292228206</v>
      </c>
      <c r="AH3805" s="2" t="str">
        <f ca="1"/>
        <v>OK</v>
      </c>
    </row>
    <row r="3806" spans="2:34" x14ac:dyDescent="0.2">
      <c r="B3806" s="2">
        <f ca="1"/>
        <v>0.95222225839634889</v>
      </c>
      <c r="O3806" s="2">
        <f ca="1"/>
        <v>-0.11273207378811689</v>
      </c>
      <c r="X3806" s="2">
        <f ca="1"/>
        <v>61.13983237857375</v>
      </c>
      <c r="AG3806" s="2">
        <f ca="1"/>
        <v>0.17059565249780273</v>
      </c>
      <c r="AH3806" s="2" t="str">
        <f ca="1"/>
        <v>OK</v>
      </c>
    </row>
    <row r="3807" spans="2:34" x14ac:dyDescent="0.2">
      <c r="B3807" s="2">
        <f ca="1"/>
        <v>0.29102771302221231</v>
      </c>
      <c r="O3807" s="2">
        <f ca="1"/>
        <v>-5.9508481702927329E-3</v>
      </c>
      <c r="X3807" s="2">
        <f ca="1"/>
        <v>49.24375105936393</v>
      </c>
      <c r="AG3807" s="2">
        <f ca="1"/>
        <v>0.22122015610390355</v>
      </c>
      <c r="AH3807" s="2" t="str">
        <f ca="1"/>
        <v>OK</v>
      </c>
    </row>
    <row r="3808" spans="2:34" x14ac:dyDescent="0.2">
      <c r="B3808" s="2">
        <f ca="1"/>
        <v>6.6156454635410977E-3</v>
      </c>
      <c r="O3808" s="2">
        <f ca="1"/>
        <v>-0.68097879222807667</v>
      </c>
      <c r="X3808" s="2">
        <f ca="1"/>
        <v>27.740712575287063</v>
      </c>
      <c r="AG3808" s="2">
        <f ca="1"/>
        <v>0.67460094852093033</v>
      </c>
      <c r="AH3808" s="2" t="str">
        <f ca="1"/>
        <v>Bad</v>
      </c>
    </row>
    <row r="3809" spans="2:34" x14ac:dyDescent="0.2">
      <c r="B3809" s="2">
        <f ca="1"/>
        <v>0.79469347156246117</v>
      </c>
      <c r="O3809" s="2">
        <f ca="1"/>
        <v>0.76277994417963402</v>
      </c>
      <c r="X3809" s="2">
        <f ca="1"/>
        <v>55.082848354944986</v>
      </c>
      <c r="AG3809" s="2">
        <f ca="1"/>
        <v>0.49299975358135661</v>
      </c>
      <c r="AH3809" s="2" t="str">
        <f ca="1"/>
        <v>Bad</v>
      </c>
    </row>
    <row r="3810" spans="2:34" x14ac:dyDescent="0.2">
      <c r="B3810" s="2">
        <f ca="1"/>
        <v>0.77817013737677176</v>
      </c>
      <c r="O3810" s="2">
        <f ca="1"/>
        <v>-9.9833039129451434E-2</v>
      </c>
      <c r="X3810" s="2">
        <f ca="1"/>
        <v>39.345639315313157</v>
      </c>
      <c r="AG3810" s="2">
        <f ca="1"/>
        <v>0.91691900893007783</v>
      </c>
      <c r="AH3810" s="2" t="str">
        <f ca="1"/>
        <v>Bad</v>
      </c>
    </row>
    <row r="3811" spans="2:34" x14ac:dyDescent="0.2">
      <c r="B3811" s="2">
        <f ca="1"/>
        <v>0.30232061136507293</v>
      </c>
      <c r="O3811" s="2">
        <f ca="1"/>
        <v>-1.585245413919951</v>
      </c>
      <c r="X3811" s="2">
        <f ca="1"/>
        <v>61.666942592145958</v>
      </c>
      <c r="AG3811" s="2">
        <f ca="1"/>
        <v>0.30606647278958032</v>
      </c>
      <c r="AH3811" s="2" t="str">
        <f ca="1"/>
        <v>OK</v>
      </c>
    </row>
    <row r="3812" spans="2:34" x14ac:dyDescent="0.2">
      <c r="B3812" s="2">
        <f ca="1"/>
        <v>0.49906324190313645</v>
      </c>
      <c r="O3812" s="2">
        <f ca="1"/>
        <v>0.47698731679656475</v>
      </c>
      <c r="X3812" s="2">
        <f ca="1"/>
        <v>36.179008808689638</v>
      </c>
      <c r="AG3812" s="2">
        <f ca="1"/>
        <v>0.20000629858418795</v>
      </c>
      <c r="AH3812" s="2" t="str">
        <f ca="1"/>
        <v>OK</v>
      </c>
    </row>
    <row r="3813" spans="2:34" x14ac:dyDescent="0.2">
      <c r="B3813" s="2">
        <f ca="1"/>
        <v>9.9787541549456238E-2</v>
      </c>
      <c r="O3813" s="2">
        <f ca="1"/>
        <v>-1.4292828172635681</v>
      </c>
      <c r="X3813" s="2">
        <f ca="1"/>
        <v>46.634771069760106</v>
      </c>
      <c r="AG3813" s="2">
        <f ca="1"/>
        <v>0.52756275865168911</v>
      </c>
      <c r="AH3813" s="2" t="str">
        <f ca="1"/>
        <v>Bad</v>
      </c>
    </row>
    <row r="3814" spans="2:34" x14ac:dyDescent="0.2">
      <c r="B3814" s="2">
        <f ca="1"/>
        <v>0.21195801403193859</v>
      </c>
      <c r="O3814" s="2">
        <f ca="1"/>
        <v>-0.28390747649499687</v>
      </c>
      <c r="X3814" s="2">
        <f ca="1"/>
        <v>38.034102013900259</v>
      </c>
      <c r="AG3814" s="2">
        <f ca="1"/>
        <v>0.94878918421573566</v>
      </c>
      <c r="AH3814" s="2" t="str">
        <f ca="1"/>
        <v>Bad</v>
      </c>
    </row>
    <row r="3815" spans="2:34" x14ac:dyDescent="0.2">
      <c r="B3815" s="2">
        <f ca="1"/>
        <v>0.71615773961706242</v>
      </c>
      <c r="O3815" s="2">
        <f ca="1"/>
        <v>-3.9763888830787364</v>
      </c>
      <c r="X3815" s="2">
        <f ca="1"/>
        <v>66.469532392564901</v>
      </c>
      <c r="AG3815" s="2">
        <f ca="1"/>
        <v>9.2211088489639881E-2</v>
      </c>
      <c r="AH3815" s="2" t="str">
        <f ca="1"/>
        <v>OK</v>
      </c>
    </row>
    <row r="3816" spans="2:34" x14ac:dyDescent="0.2">
      <c r="B3816" s="2">
        <f ca="1"/>
        <v>6.5298686599155609E-3</v>
      </c>
      <c r="O3816" s="2">
        <f ca="1"/>
        <v>-2.5093312289286573</v>
      </c>
      <c r="X3816" s="2">
        <f ca="1"/>
        <v>29.718275061213951</v>
      </c>
      <c r="AG3816" s="2">
        <f ca="1"/>
        <v>0.14570107440384961</v>
      </c>
      <c r="AH3816" s="2" t="str">
        <f ca="1"/>
        <v>OK</v>
      </c>
    </row>
    <row r="3817" spans="2:34" x14ac:dyDescent="0.2">
      <c r="B3817" s="2">
        <f ca="1"/>
        <v>0.76152222860752095</v>
      </c>
      <c r="O3817" s="2">
        <f ca="1"/>
        <v>1.608804172943689</v>
      </c>
      <c r="X3817" s="2">
        <f ca="1"/>
        <v>46.473012643261242</v>
      </c>
      <c r="AG3817" s="2">
        <f ca="1"/>
        <v>3.0878601536537653E-2</v>
      </c>
      <c r="AH3817" s="2" t="str">
        <f ca="1"/>
        <v>Good</v>
      </c>
    </row>
    <row r="3818" spans="2:34" x14ac:dyDescent="0.2">
      <c r="B3818" s="2">
        <f ca="1"/>
        <v>0.52271363817803373</v>
      </c>
      <c r="O3818" s="2">
        <f ca="1"/>
        <v>0.22206808510687362</v>
      </c>
      <c r="X3818" s="2">
        <f ca="1"/>
        <v>28.159822251145101</v>
      </c>
      <c r="AG3818" s="2">
        <f ca="1"/>
        <v>0.9466074093951875</v>
      </c>
      <c r="AH3818" s="2" t="str">
        <f ca="1"/>
        <v>Bad</v>
      </c>
    </row>
    <row r="3819" spans="2:34" x14ac:dyDescent="0.2">
      <c r="B3819" s="2">
        <f ca="1"/>
        <v>9.7389261681930517E-3</v>
      </c>
      <c r="O3819" s="2">
        <f ca="1"/>
        <v>0.75506789530583907</v>
      </c>
      <c r="X3819" s="2">
        <f ca="1"/>
        <v>35.77502957314482</v>
      </c>
      <c r="AG3819" s="2">
        <f ca="1"/>
        <v>0.55233431886557249</v>
      </c>
      <c r="AH3819" s="2" t="str">
        <f ca="1"/>
        <v>Bad</v>
      </c>
    </row>
    <row r="3820" spans="2:34" x14ac:dyDescent="0.2">
      <c r="B3820" s="2">
        <f ca="1"/>
        <v>0.543881388006763</v>
      </c>
      <c r="O3820" s="2">
        <f ca="1"/>
        <v>-0.15368796267978588</v>
      </c>
      <c r="X3820" s="2">
        <f ca="1"/>
        <v>47.839145543880576</v>
      </c>
      <c r="AG3820" s="2">
        <f ca="1"/>
        <v>0.34929447409046777</v>
      </c>
      <c r="AH3820" s="2" t="str">
        <f ca="1"/>
        <v>OK</v>
      </c>
    </row>
    <row r="3821" spans="2:34" x14ac:dyDescent="0.2">
      <c r="B3821" s="2">
        <f ca="1"/>
        <v>3.0865102381815612E-2</v>
      </c>
      <c r="O3821" s="2">
        <f ca="1"/>
        <v>0.21043639759851596</v>
      </c>
      <c r="X3821" s="2">
        <f ca="1"/>
        <v>59.100506697258375</v>
      </c>
      <c r="AG3821" s="2">
        <f ca="1"/>
        <v>0.27174981255477748</v>
      </c>
      <c r="AH3821" s="2" t="str">
        <f ca="1"/>
        <v>OK</v>
      </c>
    </row>
    <row r="3822" spans="2:34" x14ac:dyDescent="0.2">
      <c r="B3822" s="2">
        <f ca="1"/>
        <v>0.97624715741785506</v>
      </c>
      <c r="O3822" s="2">
        <f ca="1"/>
        <v>0.34752094804428013</v>
      </c>
      <c r="X3822" s="2">
        <f ca="1"/>
        <v>47.566746702027771</v>
      </c>
      <c r="AG3822" s="2">
        <f ca="1"/>
        <v>0.14013220824080252</v>
      </c>
      <c r="AH3822" s="2" t="str">
        <f ca="1"/>
        <v>OK</v>
      </c>
    </row>
    <row r="3823" spans="2:34" x14ac:dyDescent="0.2">
      <c r="B3823" s="2">
        <f ca="1"/>
        <v>0.31852104782587909</v>
      </c>
      <c r="O3823" s="2">
        <f ca="1"/>
        <v>0.14675279539802891</v>
      </c>
      <c r="X3823" s="2">
        <f ca="1"/>
        <v>34.961104122626573</v>
      </c>
      <c r="AG3823" s="2">
        <f ca="1"/>
        <v>0.16387325979467371</v>
      </c>
      <c r="AH3823" s="2" t="str">
        <f ca="1"/>
        <v>OK</v>
      </c>
    </row>
    <row r="3824" spans="2:34" x14ac:dyDescent="0.2">
      <c r="B3824" s="2">
        <f ca="1"/>
        <v>0.26196732280405044</v>
      </c>
      <c r="O3824" s="2">
        <f ca="1"/>
        <v>-0.35998980252865342</v>
      </c>
      <c r="X3824" s="2">
        <f ca="1"/>
        <v>56.357389640504906</v>
      </c>
      <c r="AG3824" s="2">
        <f ca="1"/>
        <v>0.1314605984669639</v>
      </c>
      <c r="AH3824" s="2" t="str">
        <f ca="1"/>
        <v>OK</v>
      </c>
    </row>
    <row r="3825" spans="2:34" x14ac:dyDescent="0.2">
      <c r="B3825" s="2">
        <f ca="1"/>
        <v>0.20897031785192222</v>
      </c>
      <c r="O3825" s="2">
        <f ca="1"/>
        <v>-0.87199892491458253</v>
      </c>
      <c r="X3825" s="2">
        <f ca="1"/>
        <v>64.172214827208208</v>
      </c>
      <c r="AG3825" s="2">
        <f ca="1"/>
        <v>0.20529148978790279</v>
      </c>
      <c r="AH3825" s="2" t="str">
        <f ca="1"/>
        <v>OK</v>
      </c>
    </row>
    <row r="3826" spans="2:34" x14ac:dyDescent="0.2">
      <c r="B3826" s="2">
        <f ca="1"/>
        <v>0.26927074205184498</v>
      </c>
      <c r="O3826" s="2">
        <f ca="1"/>
        <v>-0.10249393575318382</v>
      </c>
      <c r="X3826" s="2">
        <f ca="1"/>
        <v>43.538402353702381</v>
      </c>
      <c r="AG3826" s="2">
        <f ca="1"/>
        <v>0.3102217241552796</v>
      </c>
      <c r="AH3826" s="2" t="str">
        <f ca="1"/>
        <v>OK</v>
      </c>
    </row>
    <row r="3827" spans="2:34" x14ac:dyDescent="0.2">
      <c r="B3827" s="2">
        <f ca="1"/>
        <v>0.41469135836474669</v>
      </c>
      <c r="O3827" s="2">
        <f ca="1"/>
        <v>1.4745460331847617</v>
      </c>
      <c r="X3827" s="2">
        <f ca="1"/>
        <v>48.330545377299678</v>
      </c>
      <c r="AG3827" s="2">
        <f ca="1"/>
        <v>0.83159483265823209</v>
      </c>
      <c r="AH3827" s="2" t="str">
        <f ca="1"/>
        <v>Bad</v>
      </c>
    </row>
    <row r="3828" spans="2:34" x14ac:dyDescent="0.2">
      <c r="B3828" s="2">
        <f ca="1"/>
        <v>0.29314390348215347</v>
      </c>
      <c r="O3828" s="2">
        <f ca="1"/>
        <v>-0.79119913885304083</v>
      </c>
      <c r="X3828" s="2">
        <f ca="1"/>
        <v>49.470252386332419</v>
      </c>
      <c r="AG3828" s="2">
        <f ca="1"/>
        <v>0.73509608111254754</v>
      </c>
      <c r="AH3828" s="2" t="str">
        <f ca="1"/>
        <v>Bad</v>
      </c>
    </row>
    <row r="3829" spans="2:34" x14ac:dyDescent="0.2">
      <c r="B3829" s="2">
        <f ca="1"/>
        <v>0.91460951032351501</v>
      </c>
      <c r="O3829" s="2">
        <f ca="1"/>
        <v>0.35625502550246929</v>
      </c>
      <c r="X3829" s="2">
        <f ca="1"/>
        <v>54.897838168002963</v>
      </c>
      <c r="AG3829" s="2">
        <f ca="1"/>
        <v>0.7709778884219336</v>
      </c>
      <c r="AH3829" s="2" t="str">
        <f ca="1"/>
        <v>Bad</v>
      </c>
    </row>
    <row r="3830" spans="2:34" x14ac:dyDescent="0.2">
      <c r="B3830" s="2">
        <f ca="1"/>
        <v>0.81498808337970341</v>
      </c>
      <c r="O3830" s="2">
        <f ca="1"/>
        <v>-1.177513425121804</v>
      </c>
      <c r="X3830" s="2">
        <f ca="1"/>
        <v>51.073798917036115</v>
      </c>
      <c r="AG3830" s="2">
        <f ca="1"/>
        <v>0.71043153844904805</v>
      </c>
      <c r="AH3830" s="2" t="str">
        <f ca="1"/>
        <v>Bad</v>
      </c>
    </row>
    <row r="3831" spans="2:34" x14ac:dyDescent="0.2">
      <c r="B3831" s="2">
        <f ca="1"/>
        <v>0.62287254168521633</v>
      </c>
      <c r="O3831" s="2">
        <f ca="1"/>
        <v>-1.8396604082015866</v>
      </c>
      <c r="X3831" s="2">
        <f ca="1"/>
        <v>75.957141114938011</v>
      </c>
      <c r="AG3831" s="2">
        <f ca="1"/>
        <v>0.11987053967988648</v>
      </c>
      <c r="AH3831" s="2" t="str">
        <f ca="1"/>
        <v>OK</v>
      </c>
    </row>
    <row r="3832" spans="2:34" x14ac:dyDescent="0.2">
      <c r="B3832" s="2">
        <f ca="1"/>
        <v>1.3488915456179473E-2</v>
      </c>
      <c r="O3832" s="2">
        <f ca="1"/>
        <v>-1.0530868115679624</v>
      </c>
      <c r="X3832" s="2">
        <f ca="1"/>
        <v>45.37490422624834</v>
      </c>
      <c r="AG3832" s="2">
        <f ca="1"/>
        <v>0.19858186878074502</v>
      </c>
      <c r="AH3832" s="2" t="str">
        <f ca="1"/>
        <v>OK</v>
      </c>
    </row>
    <row r="3833" spans="2:34" x14ac:dyDescent="0.2">
      <c r="B3833" s="2">
        <f ca="1"/>
        <v>0.5340111693613705</v>
      </c>
      <c r="O3833" s="2">
        <f ca="1"/>
        <v>0.80885658681653438</v>
      </c>
      <c r="X3833" s="2">
        <f ca="1"/>
        <v>57.324353309662882</v>
      </c>
      <c r="AG3833" s="2">
        <f ca="1"/>
        <v>7.7700052268531827E-2</v>
      </c>
      <c r="AH3833" s="2" t="str">
        <f ca="1"/>
        <v>OK</v>
      </c>
    </row>
    <row r="3834" spans="2:34" x14ac:dyDescent="0.2">
      <c r="B3834" s="2">
        <f ca="1"/>
        <v>0.24129747437379834</v>
      </c>
      <c r="O3834" s="2">
        <f ca="1"/>
        <v>0.81711560574778619</v>
      </c>
      <c r="X3834" s="2">
        <f ca="1"/>
        <v>36.460036851917835</v>
      </c>
      <c r="AG3834" s="2">
        <f ca="1"/>
        <v>0.19154650873251144</v>
      </c>
      <c r="AH3834" s="2" t="str">
        <f ca="1"/>
        <v>OK</v>
      </c>
    </row>
    <row r="3835" spans="2:34" x14ac:dyDescent="0.2">
      <c r="B3835" s="2">
        <f ca="1"/>
        <v>0.74682074203923299</v>
      </c>
      <c r="O3835" s="2">
        <f ca="1"/>
        <v>-1.0691888321812273</v>
      </c>
      <c r="X3835" s="2">
        <f ca="1"/>
        <v>34.957472929957241</v>
      </c>
      <c r="AG3835" s="2">
        <f ca="1"/>
        <v>0.40536694302219001</v>
      </c>
      <c r="AH3835" s="2" t="str">
        <f ca="1"/>
        <v>Bad</v>
      </c>
    </row>
    <row r="3836" spans="2:34" x14ac:dyDescent="0.2">
      <c r="B3836" s="2">
        <f ca="1"/>
        <v>0.19481357513408581</v>
      </c>
      <c r="O3836" s="2">
        <f ca="1"/>
        <v>1.0223380937588571</v>
      </c>
      <c r="X3836" s="2">
        <f ca="1"/>
        <v>65.406352933649799</v>
      </c>
      <c r="AG3836" s="2">
        <f ca="1"/>
        <v>0.17703964534919314</v>
      </c>
      <c r="AH3836" s="2" t="str">
        <f ca="1"/>
        <v>OK</v>
      </c>
    </row>
    <row r="3837" spans="2:34" x14ac:dyDescent="0.2">
      <c r="B3837" s="2">
        <f ca="1"/>
        <v>0.4546101163701779</v>
      </c>
      <c r="O3837" s="2">
        <f ca="1"/>
        <v>-5.0068256794413547E-2</v>
      </c>
      <c r="X3837" s="2">
        <f ca="1"/>
        <v>32.98034595059562</v>
      </c>
      <c r="AG3837" s="2">
        <f ca="1"/>
        <v>0.75329332054340203</v>
      </c>
      <c r="AH3837" s="2" t="str">
        <f ca="1"/>
        <v>Bad</v>
      </c>
    </row>
    <row r="3838" spans="2:34" x14ac:dyDescent="0.2">
      <c r="B3838" s="2">
        <f ca="1"/>
        <v>0.71913181154460082</v>
      </c>
      <c r="O3838" s="2">
        <f ca="1"/>
        <v>-1.8626044415498411</v>
      </c>
      <c r="X3838" s="2">
        <f ca="1"/>
        <v>25.31728026820883</v>
      </c>
      <c r="AG3838" s="2">
        <f ca="1"/>
        <v>0.81810610812409656</v>
      </c>
      <c r="AH3838" s="2" t="str">
        <f ca="1"/>
        <v>Bad</v>
      </c>
    </row>
    <row r="3839" spans="2:34" x14ac:dyDescent="0.2">
      <c r="B3839" s="2">
        <f ca="1"/>
        <v>0.17498280688823331</v>
      </c>
      <c r="O3839" s="2">
        <f ca="1"/>
        <v>-0.31863772022899606</v>
      </c>
      <c r="X3839" s="2">
        <f ca="1"/>
        <v>38.712301516863626</v>
      </c>
      <c r="AG3839" s="2">
        <f ca="1"/>
        <v>9.2123614172692436E-2</v>
      </c>
      <c r="AH3839" s="2" t="str">
        <f ca="1"/>
        <v>OK</v>
      </c>
    </row>
    <row r="3840" spans="2:34" x14ac:dyDescent="0.2">
      <c r="B3840" s="2">
        <f ca="1"/>
        <v>0.43793454096847872</v>
      </c>
      <c r="O3840" s="2">
        <f ca="1"/>
        <v>0.59394785634367397</v>
      </c>
      <c r="X3840" s="2">
        <f ca="1"/>
        <v>57.014332228095846</v>
      </c>
      <c r="AG3840" s="2">
        <f ca="1"/>
        <v>0.57215693273094614</v>
      </c>
      <c r="AH3840" s="2" t="str">
        <f ca="1"/>
        <v>Bad</v>
      </c>
    </row>
    <row r="3841" spans="2:34" x14ac:dyDescent="0.2">
      <c r="B3841" s="2">
        <f ca="1"/>
        <v>0.3892108846733584</v>
      </c>
      <c r="O3841" s="2">
        <f ca="1"/>
        <v>2.1783363716902597</v>
      </c>
      <c r="X3841" s="2">
        <f ca="1"/>
        <v>46.799981443723979</v>
      </c>
      <c r="AG3841" s="2">
        <f ca="1"/>
        <v>0.23185778179747407</v>
      </c>
      <c r="AH3841" s="2" t="str">
        <f ca="1"/>
        <v>OK</v>
      </c>
    </row>
    <row r="3842" spans="2:34" x14ac:dyDescent="0.2">
      <c r="B3842" s="2">
        <f ca="1"/>
        <v>0.46297967189468126</v>
      </c>
      <c r="O3842" s="2">
        <f ca="1"/>
        <v>-1.0689127579514268</v>
      </c>
      <c r="X3842" s="2">
        <f ca="1"/>
        <v>60.504373552561745</v>
      </c>
      <c r="AG3842" s="2">
        <f ca="1"/>
        <v>0.53494064358763738</v>
      </c>
      <c r="AH3842" s="2" t="str">
        <f ca="1"/>
        <v>Bad</v>
      </c>
    </row>
    <row r="3843" spans="2:34" x14ac:dyDescent="0.2">
      <c r="B3843" s="2">
        <f ca="1"/>
        <v>0.48630112428937844</v>
      </c>
      <c r="O3843" s="2">
        <f ca="1"/>
        <v>0.18469833237922706</v>
      </c>
      <c r="X3843" s="2">
        <f ca="1"/>
        <v>32.379809670143864</v>
      </c>
      <c r="AG3843" s="2">
        <f ca="1"/>
        <v>0.49703443930245328</v>
      </c>
      <c r="AH3843" s="2" t="str">
        <f ca="1"/>
        <v>Bad</v>
      </c>
    </row>
    <row r="3844" spans="2:34" x14ac:dyDescent="0.2">
      <c r="B3844" s="2">
        <f ca="1"/>
        <v>0.94316721531014935</v>
      </c>
      <c r="O3844" s="2">
        <f ca="1"/>
        <v>0.36891462234644112</v>
      </c>
      <c r="X3844" s="2">
        <f ca="1"/>
        <v>50.948192675752651</v>
      </c>
      <c r="AG3844" s="2">
        <f ca="1"/>
        <v>5.5257620624906689E-2</v>
      </c>
      <c r="AH3844" s="2" t="str">
        <f ca="1"/>
        <v>OK</v>
      </c>
    </row>
    <row r="3845" spans="2:34" x14ac:dyDescent="0.2">
      <c r="B3845" s="2">
        <f ca="1"/>
        <v>0.22575077701110335</v>
      </c>
      <c r="O3845" s="2">
        <f ca="1"/>
        <v>1.4450993684904412</v>
      </c>
      <c r="X3845" s="2">
        <f ca="1"/>
        <v>97.056341294665714</v>
      </c>
      <c r="AG3845" s="2">
        <f ca="1"/>
        <v>0.90406129508952171</v>
      </c>
      <c r="AH3845" s="2" t="str">
        <f ca="1"/>
        <v>Bad</v>
      </c>
    </row>
    <row r="3846" spans="2:34" x14ac:dyDescent="0.2">
      <c r="B3846" s="2">
        <f ca="1"/>
        <v>0.63339347536086521</v>
      </c>
      <c r="O3846" s="2">
        <f ca="1"/>
        <v>1.7882140975269079</v>
      </c>
      <c r="X3846" s="2">
        <f ca="1"/>
        <v>67.122198252827303</v>
      </c>
      <c r="AG3846" s="2">
        <f ca="1"/>
        <v>0.42634707788563553</v>
      </c>
      <c r="AH3846" s="2" t="str">
        <f ca="1"/>
        <v>Bad</v>
      </c>
    </row>
    <row r="3847" spans="2:34" x14ac:dyDescent="0.2">
      <c r="B3847" s="2">
        <f ca="1"/>
        <v>0.91588770279052012</v>
      </c>
      <c r="O3847" s="2">
        <f ca="1"/>
        <v>1.1087663800953604</v>
      </c>
      <c r="X3847" s="2">
        <f ca="1"/>
        <v>19.296294449919507</v>
      </c>
      <c r="AG3847" s="2">
        <f ca="1"/>
        <v>0.18193499097139543</v>
      </c>
      <c r="AH3847" s="2" t="str">
        <f ca="1"/>
        <v>OK</v>
      </c>
    </row>
    <row r="3848" spans="2:34" x14ac:dyDescent="0.2">
      <c r="B3848" s="2">
        <f ca="1"/>
        <v>0.67240808570274568</v>
      </c>
      <c r="O3848" s="2">
        <f ca="1"/>
        <v>0.20545108468853926</v>
      </c>
      <c r="X3848" s="2">
        <f ca="1"/>
        <v>46.029480036191323</v>
      </c>
      <c r="AG3848" s="2">
        <f ca="1"/>
        <v>0.64384255658734579</v>
      </c>
      <c r="AH3848" s="2" t="str">
        <f ca="1"/>
        <v>Bad</v>
      </c>
    </row>
    <row r="3849" spans="2:34" x14ac:dyDescent="0.2">
      <c r="B3849" s="2">
        <f ca="1"/>
        <v>0.24683270602118412</v>
      </c>
      <c r="O3849" s="2">
        <f ca="1"/>
        <v>1.2609737170536808</v>
      </c>
      <c r="X3849" s="2">
        <f ca="1"/>
        <v>41.126863292119026</v>
      </c>
      <c r="AG3849" s="2">
        <f ca="1"/>
        <v>0.85862838732465496</v>
      </c>
      <c r="AH3849" s="2" t="str">
        <f ca="1"/>
        <v>Bad</v>
      </c>
    </row>
    <row r="3850" spans="2:34" x14ac:dyDescent="0.2">
      <c r="B3850" s="2">
        <f ca="1"/>
        <v>0.15290364803509249</v>
      </c>
      <c r="O3850" s="2">
        <f ca="1"/>
        <v>0.92483428024604841</v>
      </c>
      <c r="X3850" s="2">
        <f ca="1"/>
        <v>57.397889154515028</v>
      </c>
      <c r="AG3850" s="2">
        <f ca="1"/>
        <v>0.40346465178766433</v>
      </c>
      <c r="AH3850" s="2" t="str">
        <f ca="1"/>
        <v>Bad</v>
      </c>
    </row>
    <row r="3851" spans="2:34" x14ac:dyDescent="0.2">
      <c r="B3851" s="2">
        <f ca="1"/>
        <v>0.53160639614427496</v>
      </c>
      <c r="O3851" s="2">
        <f ca="1"/>
        <v>-0.52670909955456591</v>
      </c>
      <c r="X3851" s="2">
        <f ca="1"/>
        <v>38.409694540106514</v>
      </c>
      <c r="AG3851" s="2">
        <f ca="1"/>
        <v>0.31842402963945049</v>
      </c>
      <c r="AH3851" s="2" t="str">
        <f ca="1"/>
        <v>OK</v>
      </c>
    </row>
    <row r="3852" spans="2:34" x14ac:dyDescent="0.2">
      <c r="B3852" s="2">
        <f ca="1"/>
        <v>0.23870825161678355</v>
      </c>
      <c r="O3852" s="2">
        <f ca="1"/>
        <v>0.98531881567559232</v>
      </c>
      <c r="X3852" s="2">
        <f ca="1"/>
        <v>102.72661848839981</v>
      </c>
      <c r="AG3852" s="2">
        <f ca="1"/>
        <v>0.52425733343288927</v>
      </c>
      <c r="AH3852" s="2" t="str">
        <f ca="1"/>
        <v>Bad</v>
      </c>
    </row>
    <row r="3853" spans="2:34" x14ac:dyDescent="0.2">
      <c r="B3853" s="2">
        <f ca="1"/>
        <v>0.59865308115651317</v>
      </c>
      <c r="O3853" s="2">
        <f ca="1"/>
        <v>0.40066456318635008</v>
      </c>
      <c r="X3853" s="2">
        <f ca="1"/>
        <v>35.633409337173021</v>
      </c>
      <c r="AG3853" s="2">
        <f ca="1"/>
        <v>0.16151702712802241</v>
      </c>
      <c r="AH3853" s="2" t="str">
        <f ca="1"/>
        <v>OK</v>
      </c>
    </row>
    <row r="3854" spans="2:34" x14ac:dyDescent="0.2">
      <c r="B3854" s="2">
        <f ca="1"/>
        <v>0.47501762558709837</v>
      </c>
      <c r="O3854" s="2">
        <f ca="1"/>
        <v>0.2222392026137337</v>
      </c>
      <c r="X3854" s="2">
        <f ca="1"/>
        <v>31.85495359137721</v>
      </c>
      <c r="AG3854" s="2">
        <f ca="1"/>
        <v>0.96042750188976411</v>
      </c>
      <c r="AH3854" s="2" t="str">
        <f ca="1"/>
        <v>Bad</v>
      </c>
    </row>
    <row r="3855" spans="2:34" x14ac:dyDescent="0.2">
      <c r="B3855" s="2">
        <f ca="1"/>
        <v>0.32930099191157258</v>
      </c>
      <c r="O3855" s="2">
        <f ca="1"/>
        <v>0.71234407345859951</v>
      </c>
      <c r="X3855" s="2">
        <f ca="1"/>
        <v>48.496536441963684</v>
      </c>
      <c r="AG3855" s="2">
        <f ca="1"/>
        <v>0.94518571315324462</v>
      </c>
      <c r="AH3855" s="2" t="str">
        <f ca="1"/>
        <v>Bad</v>
      </c>
    </row>
    <row r="3856" spans="2:34" x14ac:dyDescent="0.2">
      <c r="B3856" s="2">
        <f ca="1"/>
        <v>0.60894820903387892</v>
      </c>
      <c r="O3856" s="2">
        <f ca="1"/>
        <v>-0.8309051926416593</v>
      </c>
      <c r="X3856" s="2">
        <f ca="1"/>
        <v>39.226973305127586</v>
      </c>
      <c r="AG3856" s="2">
        <f ca="1"/>
        <v>0.41272044112105744</v>
      </c>
      <c r="AH3856" s="2" t="str">
        <f ca="1"/>
        <v>Bad</v>
      </c>
    </row>
    <row r="3857" spans="2:34" x14ac:dyDescent="0.2">
      <c r="B3857" s="2">
        <f ca="1"/>
        <v>0.92581285404487446</v>
      </c>
      <c r="O3857" s="2">
        <f ca="1"/>
        <v>1.044277851152793</v>
      </c>
      <c r="X3857" s="2">
        <f ca="1"/>
        <v>96.347789266387508</v>
      </c>
      <c r="AG3857" s="2">
        <f ca="1"/>
        <v>0.33727090019238104</v>
      </c>
      <c r="AH3857" s="2" t="str">
        <f ca="1"/>
        <v>OK</v>
      </c>
    </row>
    <row r="3858" spans="2:34" x14ac:dyDescent="0.2">
      <c r="B3858" s="2">
        <f ca="1"/>
        <v>0.69696274953684934</v>
      </c>
      <c r="O3858" s="2">
        <f ca="1"/>
        <v>-0.35335161517182551</v>
      </c>
      <c r="X3858" s="2">
        <f ca="1"/>
        <v>38.540284908784329</v>
      </c>
      <c r="AG3858" s="2">
        <f ca="1"/>
        <v>0.75131791758673216</v>
      </c>
      <c r="AH3858" s="2" t="str">
        <f ca="1"/>
        <v>Bad</v>
      </c>
    </row>
    <row r="3859" spans="2:34" x14ac:dyDescent="0.2">
      <c r="B3859" s="2">
        <f ca="1"/>
        <v>0.12183002497115036</v>
      </c>
      <c r="O3859" s="2">
        <f ca="1"/>
        <v>1.3187662811247622</v>
      </c>
      <c r="X3859" s="2">
        <f ca="1"/>
        <v>51.297506065761354</v>
      </c>
      <c r="AG3859" s="2">
        <f ca="1"/>
        <v>0.9371017014390528</v>
      </c>
      <c r="AH3859" s="2" t="str">
        <f ca="1"/>
        <v>Bad</v>
      </c>
    </row>
    <row r="3860" spans="2:34" x14ac:dyDescent="0.2">
      <c r="B3860" s="2">
        <f ca="1"/>
        <v>0.8353349248618962</v>
      </c>
      <c r="O3860" s="2">
        <f ca="1"/>
        <v>-0.52270559372935455</v>
      </c>
      <c r="X3860" s="2">
        <f ca="1"/>
        <v>52.872990314310158</v>
      </c>
      <c r="AG3860" s="2">
        <f ca="1"/>
        <v>3.0400850661959966E-2</v>
      </c>
      <c r="AH3860" s="2" t="str">
        <f ca="1"/>
        <v>Good</v>
      </c>
    </row>
    <row r="3861" spans="2:34" x14ac:dyDescent="0.2">
      <c r="B3861" s="2">
        <f ca="1"/>
        <v>0.83203885421404866</v>
      </c>
      <c r="O3861" s="2">
        <f ca="1"/>
        <v>-0.4386827413171096</v>
      </c>
      <c r="X3861" s="2">
        <f ca="1"/>
        <v>65.338914953266467</v>
      </c>
      <c r="AG3861" s="2">
        <f ca="1"/>
        <v>0.54029949603388783</v>
      </c>
      <c r="AH3861" s="2" t="str">
        <f ca="1"/>
        <v>Bad</v>
      </c>
    </row>
    <row r="3862" spans="2:34" x14ac:dyDescent="0.2">
      <c r="B3862" s="2">
        <f ca="1"/>
        <v>8.6206009888471602E-2</v>
      </c>
      <c r="O3862" s="2">
        <f ca="1"/>
        <v>0.65918398018480284</v>
      </c>
      <c r="X3862" s="2">
        <f ca="1"/>
        <v>38.682556125946043</v>
      </c>
      <c r="AG3862" s="2">
        <f ca="1"/>
        <v>0.71300911054204863</v>
      </c>
      <c r="AH3862" s="2" t="str">
        <f ca="1"/>
        <v>Bad</v>
      </c>
    </row>
    <row r="3863" spans="2:34" x14ac:dyDescent="0.2">
      <c r="B3863" s="2">
        <f ca="1"/>
        <v>0.24402978945384524</v>
      </c>
      <c r="O3863" s="2">
        <f ca="1"/>
        <v>0.15710001699634038</v>
      </c>
      <c r="X3863" s="2">
        <f ca="1"/>
        <v>55.16807395455082</v>
      </c>
      <c r="AG3863" s="2">
        <f ca="1"/>
        <v>0.40755616374086778</v>
      </c>
      <c r="AH3863" s="2" t="str">
        <f ca="1"/>
        <v>Bad</v>
      </c>
    </row>
    <row r="3864" spans="2:34" x14ac:dyDescent="0.2">
      <c r="B3864" s="2">
        <f ca="1"/>
        <v>0.59750426295081049</v>
      </c>
      <c r="O3864" s="2">
        <f ca="1"/>
        <v>-0.17385604130771209</v>
      </c>
      <c r="X3864" s="2">
        <f ca="1"/>
        <v>36.298599426391746</v>
      </c>
      <c r="AG3864" s="2">
        <f ca="1"/>
        <v>0.59053550402187005</v>
      </c>
      <c r="AH3864" s="2" t="str">
        <f ca="1"/>
        <v>Bad</v>
      </c>
    </row>
    <row r="3865" spans="2:34" x14ac:dyDescent="0.2">
      <c r="B3865" s="2">
        <f ca="1"/>
        <v>8.6199225104298893E-2</v>
      </c>
      <c r="O3865" s="2">
        <f ca="1"/>
        <v>-1.1003187761747231</v>
      </c>
      <c r="X3865" s="2">
        <f ca="1"/>
        <v>63.135615956108488</v>
      </c>
      <c r="AG3865" s="2">
        <f ca="1"/>
        <v>0.12828096338107997</v>
      </c>
      <c r="AH3865" s="2" t="str">
        <f ca="1"/>
        <v>OK</v>
      </c>
    </row>
    <row r="3866" spans="2:34" x14ac:dyDescent="0.2">
      <c r="B3866" s="2">
        <f ca="1"/>
        <v>0.35069391214733781</v>
      </c>
      <c r="O3866" s="2">
        <f ca="1"/>
        <v>-0.24465891254707584</v>
      </c>
      <c r="X3866" s="2">
        <f ca="1"/>
        <v>36.165555421631524</v>
      </c>
      <c r="AG3866" s="2">
        <f ca="1"/>
        <v>0.24001031844587706</v>
      </c>
      <c r="AH3866" s="2" t="str">
        <f ca="1"/>
        <v>OK</v>
      </c>
    </row>
    <row r="3867" spans="2:34" x14ac:dyDescent="0.2">
      <c r="B3867" s="2">
        <f ca="1"/>
        <v>0.26846436761005754</v>
      </c>
      <c r="O3867" s="2">
        <f ca="1"/>
        <v>0.34020125839788123</v>
      </c>
      <c r="X3867" s="2">
        <f ca="1"/>
        <v>29.270221284025951</v>
      </c>
      <c r="AG3867" s="2">
        <f ca="1"/>
        <v>0.1853699323510507</v>
      </c>
      <c r="AH3867" s="2" t="str">
        <f ca="1"/>
        <v>OK</v>
      </c>
    </row>
    <row r="3868" spans="2:34" x14ac:dyDescent="0.2">
      <c r="B3868" s="2">
        <f ca="1"/>
        <v>0.77679160130543501</v>
      </c>
      <c r="O3868" s="2">
        <f ca="1"/>
        <v>-8.2918850557280308E-2</v>
      </c>
      <c r="X3868" s="2">
        <f ca="1"/>
        <v>49.714225623407565</v>
      </c>
      <c r="AG3868" s="2">
        <f ca="1"/>
        <v>0.85834008224798986</v>
      </c>
      <c r="AH3868" s="2" t="str">
        <f ca="1"/>
        <v>Bad</v>
      </c>
    </row>
    <row r="3869" spans="2:34" x14ac:dyDescent="0.2">
      <c r="B3869" s="2">
        <f ca="1"/>
        <v>0.73936356583872698</v>
      </c>
      <c r="O3869" s="2">
        <f ca="1"/>
        <v>-0.45903318264762605</v>
      </c>
      <c r="X3869" s="2">
        <f ca="1"/>
        <v>36.756185905044248</v>
      </c>
      <c r="AG3869" s="2">
        <f ca="1"/>
        <v>0.31960522485579546</v>
      </c>
      <c r="AH3869" s="2" t="str">
        <f ca="1"/>
        <v>OK</v>
      </c>
    </row>
    <row r="3870" spans="2:34" x14ac:dyDescent="0.2">
      <c r="B3870" s="2">
        <f ca="1"/>
        <v>0.20008376730538902</v>
      </c>
      <c r="O3870" s="2">
        <f ca="1"/>
        <v>0.45133413881055001</v>
      </c>
      <c r="X3870" s="2">
        <f ca="1"/>
        <v>57.151552738813301</v>
      </c>
      <c r="AG3870" s="2">
        <f ca="1"/>
        <v>0.57408166258104942</v>
      </c>
      <c r="AH3870" s="2" t="str">
        <f ca="1"/>
        <v>Bad</v>
      </c>
    </row>
    <row r="3871" spans="2:34" x14ac:dyDescent="0.2">
      <c r="B3871" s="2">
        <f ca="1"/>
        <v>0.99898909286921778</v>
      </c>
      <c r="O3871" s="2">
        <f ca="1"/>
        <v>-0.350764048849177</v>
      </c>
      <c r="X3871" s="2">
        <f ca="1"/>
        <v>48.511276092981824</v>
      </c>
      <c r="AG3871" s="2">
        <f ca="1"/>
        <v>0.63177570230985047</v>
      </c>
      <c r="AH3871" s="2" t="str">
        <f ca="1"/>
        <v>Bad</v>
      </c>
    </row>
    <row r="3872" spans="2:34" x14ac:dyDescent="0.2">
      <c r="B3872" s="2">
        <f ca="1"/>
        <v>0.28543132468521204</v>
      </c>
      <c r="O3872" s="2">
        <f ca="1"/>
        <v>1.0669564848431545</v>
      </c>
      <c r="X3872" s="2">
        <f ca="1"/>
        <v>60.325812855235903</v>
      </c>
      <c r="AG3872" s="2">
        <f ca="1"/>
        <v>0.76908302830358477</v>
      </c>
      <c r="AH3872" s="2" t="str">
        <f ca="1"/>
        <v>Bad</v>
      </c>
    </row>
    <row r="3873" spans="2:34" x14ac:dyDescent="0.2">
      <c r="B3873" s="2">
        <f ca="1"/>
        <v>0.99532695359275536</v>
      </c>
      <c r="O3873" s="2">
        <f ca="1"/>
        <v>-0.4053946208712933</v>
      </c>
      <c r="X3873" s="2">
        <f ca="1"/>
        <v>30.957436083742408</v>
      </c>
      <c r="AG3873" s="2">
        <f ca="1"/>
        <v>0.41316892927561488</v>
      </c>
      <c r="AH3873" s="2" t="str">
        <f ca="1"/>
        <v>Bad</v>
      </c>
    </row>
    <row r="3874" spans="2:34" x14ac:dyDescent="0.2">
      <c r="B3874" s="2">
        <f ca="1"/>
        <v>0.68920979015136852</v>
      </c>
      <c r="O3874" s="2">
        <f ca="1"/>
        <v>1.0608482818432312</v>
      </c>
      <c r="X3874" s="2">
        <f ca="1"/>
        <v>25.205238855252109</v>
      </c>
      <c r="AG3874" s="2">
        <f ca="1"/>
        <v>0.53534179337236942</v>
      </c>
      <c r="AH3874" s="2" t="str">
        <f ca="1"/>
        <v>Bad</v>
      </c>
    </row>
    <row r="3875" spans="2:34" x14ac:dyDescent="0.2">
      <c r="B3875" s="2">
        <f ca="1"/>
        <v>0.21595830414280659</v>
      </c>
      <c r="O3875" s="2">
        <f ca="1"/>
        <v>-0.24075022296704021</v>
      </c>
      <c r="X3875" s="2">
        <f ca="1"/>
        <v>25.222037309273748</v>
      </c>
      <c r="AG3875" s="2">
        <f ca="1"/>
        <v>0.29761944036953136</v>
      </c>
      <c r="AH3875" s="2" t="str">
        <f ca="1"/>
        <v>OK</v>
      </c>
    </row>
    <row r="3876" spans="2:34" x14ac:dyDescent="0.2">
      <c r="B3876" s="2">
        <f ca="1"/>
        <v>0.49755375150816361</v>
      </c>
      <c r="O3876" s="2">
        <f ca="1"/>
        <v>0.97142869190198977</v>
      </c>
      <c r="X3876" s="2">
        <f ca="1"/>
        <v>59.327890989999688</v>
      </c>
      <c r="AG3876" s="2">
        <f ca="1"/>
        <v>0.39693127499416536</v>
      </c>
      <c r="AH3876" s="2" t="str">
        <f ca="1"/>
        <v>OK</v>
      </c>
    </row>
    <row r="3877" spans="2:34" x14ac:dyDescent="0.2">
      <c r="B3877" s="2">
        <f ca="1"/>
        <v>0.66286858930660442</v>
      </c>
      <c r="O3877" s="2">
        <f ca="1"/>
        <v>3.2994165461560837E-2</v>
      </c>
      <c r="X3877" s="2">
        <f ca="1"/>
        <v>35.548050900166118</v>
      </c>
      <c r="AG3877" s="2">
        <f ca="1"/>
        <v>0.69968618078823819</v>
      </c>
      <c r="AH3877" s="2" t="str">
        <f ca="1"/>
        <v>Bad</v>
      </c>
    </row>
    <row r="3878" spans="2:34" x14ac:dyDescent="0.2">
      <c r="B3878" s="2">
        <f ca="1"/>
        <v>0.98781676041124777</v>
      </c>
      <c r="O3878" s="2">
        <f ca="1"/>
        <v>-1.0211209150331091</v>
      </c>
      <c r="X3878" s="2">
        <f ca="1"/>
        <v>38.238828374935572</v>
      </c>
      <c r="AG3878" s="2">
        <f ca="1"/>
        <v>0.64642784973308354</v>
      </c>
      <c r="AH3878" s="2" t="str">
        <f ca="1"/>
        <v>Bad</v>
      </c>
    </row>
    <row r="3879" spans="2:34" x14ac:dyDescent="0.2">
      <c r="B3879" s="2">
        <f ca="1"/>
        <v>1.5041380158947515E-2</v>
      </c>
      <c r="O3879" s="2">
        <f ca="1"/>
        <v>-0.59385179563244805</v>
      </c>
      <c r="X3879" s="2">
        <f ca="1"/>
        <v>60.790936613740278</v>
      </c>
      <c r="AG3879" s="2">
        <f ca="1"/>
        <v>0.2302129181662298</v>
      </c>
      <c r="AH3879" s="2" t="str">
        <f ca="1"/>
        <v>OK</v>
      </c>
    </row>
    <row r="3880" spans="2:34" x14ac:dyDescent="0.2">
      <c r="B3880" s="2">
        <f ca="1"/>
        <v>0.96484974372587651</v>
      </c>
      <c r="O3880" s="2">
        <f ca="1"/>
        <v>-1.0237503946849682</v>
      </c>
      <c r="X3880" s="2">
        <f ca="1"/>
        <v>43.655029578627385</v>
      </c>
      <c r="AG3880" s="2">
        <f ca="1"/>
        <v>0.12252521939618677</v>
      </c>
      <c r="AH3880" s="2" t="str">
        <f ca="1"/>
        <v>OK</v>
      </c>
    </row>
    <row r="3881" spans="2:34" x14ac:dyDescent="0.2">
      <c r="B3881" s="2">
        <f ca="1"/>
        <v>0.94452738447844542</v>
      </c>
      <c r="O3881" s="2">
        <f ca="1"/>
        <v>1.2884041170297253</v>
      </c>
      <c r="X3881" s="2">
        <f ca="1"/>
        <v>29.008867557223038</v>
      </c>
      <c r="AG3881" s="2">
        <f ca="1"/>
        <v>0.51454010059341537</v>
      </c>
      <c r="AH3881" s="2" t="str">
        <f ca="1"/>
        <v>Bad</v>
      </c>
    </row>
    <row r="3882" spans="2:34" x14ac:dyDescent="0.2">
      <c r="B3882" s="2">
        <f ca="1"/>
        <v>0.99792505191190339</v>
      </c>
      <c r="O3882" s="2">
        <f ca="1"/>
        <v>-0.26504112930229684</v>
      </c>
      <c r="X3882" s="2">
        <f ca="1"/>
        <v>33.148329141095012</v>
      </c>
      <c r="AG3882" s="2">
        <f ca="1"/>
        <v>0.82322002603181077</v>
      </c>
      <c r="AH3882" s="2" t="str">
        <f ca="1"/>
        <v>Bad</v>
      </c>
    </row>
    <row r="3883" spans="2:34" x14ac:dyDescent="0.2">
      <c r="B3883" s="2">
        <f ca="1"/>
        <v>0.45872001864716849</v>
      </c>
      <c r="O3883" s="2">
        <f ca="1"/>
        <v>-0.42268698172150265</v>
      </c>
      <c r="X3883" s="2">
        <f ca="1"/>
        <v>41.833965371152793</v>
      </c>
      <c r="AG3883" s="2">
        <f ca="1"/>
        <v>0.85617944212189134</v>
      </c>
      <c r="AH3883" s="2" t="str">
        <f ca="1"/>
        <v>Bad</v>
      </c>
    </row>
    <row r="3884" spans="2:34" x14ac:dyDescent="0.2">
      <c r="B3884" s="2">
        <f ca="1"/>
        <v>0.4016315089489586</v>
      </c>
      <c r="O3884" s="2">
        <f ca="1"/>
        <v>-4.7466481622401004E-2</v>
      </c>
      <c r="X3884" s="2">
        <f ca="1"/>
        <v>44.587084691276146</v>
      </c>
      <c r="AG3884" s="2">
        <f ca="1"/>
        <v>0.67598689532318645</v>
      </c>
      <c r="AH3884" s="2" t="str">
        <f ca="1"/>
        <v>Bad</v>
      </c>
    </row>
    <row r="3885" spans="2:34" x14ac:dyDescent="0.2">
      <c r="B3885" s="2">
        <f ca="1"/>
        <v>0.98416896550967992</v>
      </c>
      <c r="O3885" s="2">
        <f ca="1"/>
        <v>0.6978579243795161</v>
      </c>
      <c r="X3885" s="2">
        <f ca="1"/>
        <v>70.022021662935373</v>
      </c>
      <c r="AG3885" s="2">
        <f ca="1"/>
        <v>0.95807476453275098</v>
      </c>
      <c r="AH3885" s="2" t="str">
        <f ca="1"/>
        <v>Bad</v>
      </c>
    </row>
    <row r="3886" spans="2:34" x14ac:dyDescent="0.2">
      <c r="B3886" s="2">
        <f ca="1"/>
        <v>0.74175944740079003</v>
      </c>
      <c r="O3886" s="2">
        <f ca="1"/>
        <v>0.53368532304552763</v>
      </c>
      <c r="X3886" s="2">
        <f ca="1"/>
        <v>36.803726241717406</v>
      </c>
      <c r="AG3886" s="2">
        <f ca="1"/>
        <v>0.99841953415524665</v>
      </c>
      <c r="AH3886" s="2" t="str">
        <f ca="1"/>
        <v>Bad</v>
      </c>
    </row>
    <row r="3887" spans="2:34" x14ac:dyDescent="0.2">
      <c r="B3887" s="2">
        <f ca="1"/>
        <v>0.85198235072463335</v>
      </c>
      <c r="O3887" s="2">
        <f ca="1"/>
        <v>0.36755536284612683</v>
      </c>
      <c r="X3887" s="2">
        <f ca="1"/>
        <v>34.720265373199133</v>
      </c>
      <c r="AG3887" s="2">
        <f ca="1"/>
        <v>0.35797871225122724</v>
      </c>
      <c r="AH3887" s="2" t="str">
        <f ca="1"/>
        <v>OK</v>
      </c>
    </row>
    <row r="3888" spans="2:34" x14ac:dyDescent="0.2">
      <c r="B3888" s="2">
        <f ca="1"/>
        <v>0.9695655662446383</v>
      </c>
      <c r="O3888" s="2">
        <f ca="1"/>
        <v>1.9662114692961528</v>
      </c>
      <c r="X3888" s="2">
        <f ca="1"/>
        <v>63.148050877140271</v>
      </c>
      <c r="AG3888" s="2">
        <f ca="1"/>
        <v>0.98630073238200633</v>
      </c>
      <c r="AH3888" s="2" t="str">
        <f ca="1"/>
        <v>Bad</v>
      </c>
    </row>
    <row r="3889" spans="2:34" x14ac:dyDescent="0.2">
      <c r="B3889" s="2">
        <f ca="1"/>
        <v>0.45079275141314312</v>
      </c>
      <c r="O3889" s="2">
        <f ca="1"/>
        <v>3.765177961339029E-3</v>
      </c>
      <c r="X3889" s="2">
        <f ca="1"/>
        <v>44.144617786736589</v>
      </c>
      <c r="AG3889" s="2">
        <f ca="1"/>
        <v>0.58631818694706106</v>
      </c>
      <c r="AH3889" s="2" t="str">
        <f ca="1"/>
        <v>Bad</v>
      </c>
    </row>
    <row r="3890" spans="2:34" x14ac:dyDescent="0.2">
      <c r="B3890" s="2">
        <f ca="1"/>
        <v>0.53111207766223045</v>
      </c>
      <c r="O3890" s="2">
        <f ca="1"/>
        <v>0.15597857074361718</v>
      </c>
      <c r="X3890" s="2">
        <f ca="1"/>
        <v>62.159417454330708</v>
      </c>
      <c r="AG3890" s="2">
        <f ca="1"/>
        <v>0.39081976108035543</v>
      </c>
      <c r="AH3890" s="2" t="str">
        <f ca="1"/>
        <v>OK</v>
      </c>
    </row>
    <row r="3891" spans="2:34" x14ac:dyDescent="0.2">
      <c r="B3891" s="2">
        <f ca="1"/>
        <v>0.87607830510183371</v>
      </c>
      <c r="O3891" s="2">
        <f ca="1"/>
        <v>1.9891285606979174</v>
      </c>
      <c r="X3891" s="2">
        <f ca="1"/>
        <v>38.786125038384597</v>
      </c>
      <c r="AG3891" s="2">
        <f ca="1"/>
        <v>0.45621324196979129</v>
      </c>
      <c r="AH3891" s="2" t="str">
        <f ca="1"/>
        <v>Bad</v>
      </c>
    </row>
    <row r="3892" spans="2:34" x14ac:dyDescent="0.2">
      <c r="B3892" s="2">
        <f ca="1"/>
        <v>0.28406916047302233</v>
      </c>
      <c r="O3892" s="2">
        <f ca="1"/>
        <v>0.48438149925661589</v>
      </c>
      <c r="X3892" s="2">
        <f ca="1"/>
        <v>47.372828522116308</v>
      </c>
      <c r="AG3892" s="2">
        <f ca="1"/>
        <v>0.32647974754304077</v>
      </c>
      <c r="AH3892" s="2" t="str">
        <f ca="1"/>
        <v>OK</v>
      </c>
    </row>
    <row r="3893" spans="2:34" x14ac:dyDescent="0.2">
      <c r="B3893" s="2">
        <f ca="1"/>
        <v>0.49711595602605207</v>
      </c>
      <c r="O3893" s="2">
        <f ca="1"/>
        <v>-0.40489542146385854</v>
      </c>
      <c r="X3893" s="2">
        <f ca="1"/>
        <v>51.285579285299356</v>
      </c>
      <c r="AG3893" s="2">
        <f ca="1"/>
        <v>0.66569510321907388</v>
      </c>
      <c r="AH3893" s="2" t="str">
        <f ca="1"/>
        <v>Bad</v>
      </c>
    </row>
    <row r="3894" spans="2:34" x14ac:dyDescent="0.2">
      <c r="B3894" s="2">
        <f ca="1"/>
        <v>0.51828282408018334</v>
      </c>
      <c r="O3894" s="2">
        <f ca="1"/>
        <v>0.75907208180119712</v>
      </c>
      <c r="X3894" s="2">
        <f ca="1"/>
        <v>64.339256410375924</v>
      </c>
      <c r="AG3894" s="2">
        <f ca="1"/>
        <v>0.43096840348241749</v>
      </c>
      <c r="AH3894" s="2" t="str">
        <f ca="1"/>
        <v>Bad</v>
      </c>
    </row>
    <row r="3895" spans="2:34" x14ac:dyDescent="0.2">
      <c r="B3895" s="2">
        <f ca="1"/>
        <v>0.63884436107293929</v>
      </c>
      <c r="O3895" s="2">
        <f ca="1"/>
        <v>-0.38402854245189449</v>
      </c>
      <c r="X3895" s="2">
        <f ca="1"/>
        <v>56.733572962004651</v>
      </c>
      <c r="AG3895" s="2">
        <f ca="1"/>
        <v>0.4680564915094183</v>
      </c>
      <c r="AH3895" s="2" t="str">
        <f ca="1"/>
        <v>Bad</v>
      </c>
    </row>
    <row r="3896" spans="2:34" x14ac:dyDescent="0.2">
      <c r="B3896" s="2">
        <f ca="1"/>
        <v>2.2037046139767869E-2</v>
      </c>
      <c r="O3896" s="2">
        <f ca="1"/>
        <v>4.9602769837893732E-2</v>
      </c>
      <c r="X3896" s="2">
        <f ca="1"/>
        <v>13.836200898025368</v>
      </c>
      <c r="AG3896" s="2">
        <f ca="1"/>
        <v>0.39597320695748062</v>
      </c>
      <c r="AH3896" s="2" t="str">
        <f ca="1"/>
        <v>OK</v>
      </c>
    </row>
    <row r="3897" spans="2:34" x14ac:dyDescent="0.2">
      <c r="B3897" s="2">
        <f ca="1"/>
        <v>0.45059038221677916</v>
      </c>
      <c r="O3897" s="2">
        <f ca="1"/>
        <v>0.98226640498172824</v>
      </c>
      <c r="X3897" s="2">
        <f ca="1"/>
        <v>63.020088266389784</v>
      </c>
      <c r="AG3897" s="2">
        <f ca="1"/>
        <v>0.56282106375571672</v>
      </c>
      <c r="AH3897" s="2" t="str">
        <f ca="1"/>
        <v>Bad</v>
      </c>
    </row>
    <row r="3898" spans="2:34" x14ac:dyDescent="0.2">
      <c r="B3898" s="2">
        <f ca="1"/>
        <v>0.39630875957111833</v>
      </c>
      <c r="O3898" s="2">
        <f ca="1"/>
        <v>-0.99154413963525267</v>
      </c>
      <c r="X3898" s="2">
        <f ca="1"/>
        <v>47.12501265010318</v>
      </c>
      <c r="AG3898" s="2">
        <f ca="1"/>
        <v>4.265560999228124E-2</v>
      </c>
      <c r="AH3898" s="2" t="str">
        <f ca="1"/>
        <v>Good</v>
      </c>
    </row>
    <row r="3899" spans="2:34" x14ac:dyDescent="0.2">
      <c r="B3899" s="2">
        <f ca="1"/>
        <v>0.5338018226814556</v>
      </c>
      <c r="O3899" s="2">
        <f ca="1"/>
        <v>2.4329725734690166</v>
      </c>
      <c r="X3899" s="2">
        <f ca="1"/>
        <v>62.101018884366795</v>
      </c>
      <c r="AG3899" s="2">
        <f ca="1"/>
        <v>0.4691700090717148</v>
      </c>
      <c r="AH3899" s="2" t="str">
        <f ca="1"/>
        <v>Bad</v>
      </c>
    </row>
    <row r="3900" spans="2:34" x14ac:dyDescent="0.2">
      <c r="B3900" s="2">
        <f ca="1"/>
        <v>0.64416414561175528</v>
      </c>
      <c r="O3900" s="2">
        <f ca="1"/>
        <v>-0.60144084604855996</v>
      </c>
      <c r="X3900" s="2">
        <f ca="1"/>
        <v>54.88991879824988</v>
      </c>
      <c r="AG3900" s="2">
        <f ca="1"/>
        <v>5.7020999272854977E-2</v>
      </c>
      <c r="AH3900" s="2" t="str">
        <f ca="1"/>
        <v>OK</v>
      </c>
    </row>
    <row r="3901" spans="2:34" x14ac:dyDescent="0.2">
      <c r="B3901" s="2">
        <f ca="1"/>
        <v>0.56410702700904691</v>
      </c>
      <c r="O3901" s="2">
        <f ca="1"/>
        <v>1.7507172266111499</v>
      </c>
      <c r="X3901" s="2">
        <f ca="1"/>
        <v>34.74594913176238</v>
      </c>
      <c r="AG3901" s="2">
        <f ca="1"/>
        <v>6.4149797188225E-2</v>
      </c>
      <c r="AH3901" s="2" t="str">
        <f ca="1"/>
        <v>OK</v>
      </c>
    </row>
    <row r="3902" spans="2:34" x14ac:dyDescent="0.2">
      <c r="B3902" s="2">
        <f ca="1"/>
        <v>0.26659836742978293</v>
      </c>
      <c r="O3902" s="2">
        <f ca="1"/>
        <v>-0.99255464254415859</v>
      </c>
      <c r="X3902" s="2">
        <f ca="1"/>
        <v>49.883518854356801</v>
      </c>
      <c r="AG3902" s="2">
        <f ca="1"/>
        <v>0.70866676258118333</v>
      </c>
      <c r="AH3902" s="2" t="str">
        <f ca="1"/>
        <v>Bad</v>
      </c>
    </row>
    <row r="3903" spans="2:34" x14ac:dyDescent="0.2">
      <c r="B3903" s="2">
        <f ca="1"/>
        <v>0.22291372129770992</v>
      </c>
      <c r="O3903" s="2">
        <f ca="1"/>
        <v>-1.0137798453689104</v>
      </c>
      <c r="X3903" s="2">
        <f ca="1"/>
        <v>55.039927788534591</v>
      </c>
      <c r="AG3903" s="2">
        <f ca="1"/>
        <v>0.56085932476729972</v>
      </c>
      <c r="AH3903" s="2" t="str">
        <f ca="1"/>
        <v>Bad</v>
      </c>
    </row>
    <row r="3904" spans="2:34" x14ac:dyDescent="0.2">
      <c r="B3904" s="2">
        <f ca="1"/>
        <v>0.5765730520031811</v>
      </c>
      <c r="O3904" s="2">
        <f ca="1"/>
        <v>0.63237776392047007</v>
      </c>
      <c r="X3904" s="2">
        <f ca="1"/>
        <v>55.49365962170873</v>
      </c>
      <c r="AG3904" s="2">
        <f ca="1"/>
        <v>9.9383582339329646E-2</v>
      </c>
      <c r="AH3904" s="2" t="str">
        <f ca="1"/>
        <v>OK</v>
      </c>
    </row>
    <row r="3905" spans="2:34" x14ac:dyDescent="0.2">
      <c r="B3905" s="2">
        <f ca="1"/>
        <v>0.3035159891117527</v>
      </c>
      <c r="O3905" s="2">
        <f ca="1"/>
        <v>-1.6229649405539879</v>
      </c>
      <c r="X3905" s="2">
        <f ca="1"/>
        <v>52.915579598371274</v>
      </c>
      <c r="AG3905" s="2">
        <f ca="1"/>
        <v>0.64443359679575418</v>
      </c>
      <c r="AH3905" s="2" t="str">
        <f ca="1"/>
        <v>Bad</v>
      </c>
    </row>
    <row r="3906" spans="2:34" x14ac:dyDescent="0.2">
      <c r="B3906" s="2">
        <f ca="1"/>
        <v>0.36257758584191913</v>
      </c>
      <c r="O3906" s="2">
        <f ca="1"/>
        <v>-0.86293864551081712</v>
      </c>
      <c r="X3906" s="2">
        <f ca="1"/>
        <v>72.825945624657308</v>
      </c>
      <c r="AG3906" s="2">
        <f ca="1"/>
        <v>0.90478052703212031</v>
      </c>
      <c r="AH3906" s="2" t="str">
        <f ca="1"/>
        <v>Bad</v>
      </c>
    </row>
    <row r="3907" spans="2:34" x14ac:dyDescent="0.2">
      <c r="B3907" s="2">
        <f ca="1"/>
        <v>0.34536034569554963</v>
      </c>
      <c r="O3907" s="2">
        <f ca="1"/>
        <v>-0.46576671331723274</v>
      </c>
      <c r="X3907" s="2">
        <f ca="1"/>
        <v>48.141471855571197</v>
      </c>
      <c r="AG3907" s="2">
        <f ca="1"/>
        <v>0.32341054733846852</v>
      </c>
      <c r="AH3907" s="2" t="str">
        <f ca="1"/>
        <v>OK</v>
      </c>
    </row>
    <row r="3908" spans="2:34" x14ac:dyDescent="0.2">
      <c r="B3908" s="2">
        <f ca="1"/>
        <v>9.4778487992792648E-3</v>
      </c>
      <c r="O3908" s="2">
        <f ca="1"/>
        <v>1.7394286543205698E-2</v>
      </c>
      <c r="X3908" s="2">
        <f ca="1"/>
        <v>65.521349592759023</v>
      </c>
      <c r="AG3908" s="2">
        <f ca="1"/>
        <v>0.88661756264981717</v>
      </c>
      <c r="AH3908" s="2" t="str">
        <f ca="1"/>
        <v>Bad</v>
      </c>
    </row>
    <row r="3909" spans="2:34" x14ac:dyDescent="0.2">
      <c r="B3909" s="2">
        <f ca="1"/>
        <v>0.8770319253626877</v>
      </c>
      <c r="O3909" s="2">
        <f ca="1"/>
        <v>-1.5273846103359536</v>
      </c>
      <c r="X3909" s="2">
        <f ca="1"/>
        <v>40.227395802489042</v>
      </c>
      <c r="AG3909" s="2">
        <f ca="1"/>
        <v>0.4220345007042956</v>
      </c>
      <c r="AH3909" s="2" t="str">
        <f ca="1"/>
        <v>Bad</v>
      </c>
    </row>
    <row r="3910" spans="2:34" x14ac:dyDescent="0.2">
      <c r="B3910" s="2">
        <f ca="1"/>
        <v>0.17909067480016527</v>
      </c>
      <c r="O3910" s="2">
        <f ca="1"/>
        <v>-1.4202084594973705</v>
      </c>
      <c r="X3910" s="2">
        <f ca="1"/>
        <v>64.249738168324555</v>
      </c>
      <c r="AG3910" s="2">
        <f ca="1"/>
        <v>0.31106668295778861</v>
      </c>
      <c r="AH3910" s="2" t="str">
        <f ca="1"/>
        <v>OK</v>
      </c>
    </row>
    <row r="3911" spans="2:34" x14ac:dyDescent="0.2">
      <c r="B3911" s="2">
        <f ca="1"/>
        <v>0.28689129120987356</v>
      </c>
      <c r="O3911" s="2">
        <f ca="1"/>
        <v>-1.1050442728656387</v>
      </c>
      <c r="X3911" s="2">
        <f ca="1"/>
        <v>43.019772615559631</v>
      </c>
      <c r="AG3911" s="2">
        <f ca="1"/>
        <v>0.25039090163515776</v>
      </c>
      <c r="AH3911" s="2" t="str">
        <f ca="1"/>
        <v>OK</v>
      </c>
    </row>
    <row r="3912" spans="2:34" x14ac:dyDescent="0.2">
      <c r="B3912" s="2">
        <f ca="1"/>
        <v>0.294330409368595</v>
      </c>
      <c r="O3912" s="2">
        <f ca="1"/>
        <v>-0.49951512805052517</v>
      </c>
      <c r="X3912" s="2">
        <f ca="1"/>
        <v>52.461258478055122</v>
      </c>
      <c r="AG3912" s="2">
        <f ca="1"/>
        <v>0.98535142102790507</v>
      </c>
      <c r="AH3912" s="2" t="str">
        <f ca="1"/>
        <v>Bad</v>
      </c>
    </row>
    <row r="3913" spans="2:34" x14ac:dyDescent="0.2">
      <c r="B3913" s="2">
        <f ca="1"/>
        <v>0.21391708658283215</v>
      </c>
      <c r="O3913" s="2">
        <f ca="1"/>
        <v>-1.1034679963414071</v>
      </c>
      <c r="X3913" s="2">
        <f ca="1"/>
        <v>50.034313250395485</v>
      </c>
      <c r="AG3913" s="2">
        <f ca="1"/>
        <v>0.96540362229598475</v>
      </c>
      <c r="AH3913" s="2" t="str">
        <f ca="1"/>
        <v>Bad</v>
      </c>
    </row>
    <row r="3914" spans="2:34" x14ac:dyDescent="0.2">
      <c r="B3914" s="2">
        <f ca="1"/>
        <v>7.2920735641525791E-2</v>
      </c>
      <c r="O3914" s="2">
        <f ca="1"/>
        <v>0.25637503756724733</v>
      </c>
      <c r="X3914" s="2">
        <f ca="1"/>
        <v>45.912147685613206</v>
      </c>
      <c r="AG3914" s="2">
        <f ca="1"/>
        <v>0.62502290316956022</v>
      </c>
      <c r="AH3914" s="2" t="str">
        <f ca="1"/>
        <v>Bad</v>
      </c>
    </row>
    <row r="3915" spans="2:34" x14ac:dyDescent="0.2">
      <c r="B3915" s="2">
        <f ca="1"/>
        <v>0.52819139021457939</v>
      </c>
      <c r="O3915" s="2">
        <f ca="1"/>
        <v>0.14636170091317524</v>
      </c>
      <c r="X3915" s="2">
        <f ca="1"/>
        <v>30.434994636626183</v>
      </c>
      <c r="AG3915" s="2">
        <f ca="1"/>
        <v>0.45918735553278389</v>
      </c>
      <c r="AH3915" s="2" t="str">
        <f ca="1"/>
        <v>Bad</v>
      </c>
    </row>
    <row r="3916" spans="2:34" x14ac:dyDescent="0.2">
      <c r="B3916" s="2">
        <f ca="1"/>
        <v>0.7583432426717529</v>
      </c>
      <c r="O3916" s="2">
        <f ca="1"/>
        <v>-1.9466231774948963</v>
      </c>
      <c r="X3916" s="2">
        <f ca="1"/>
        <v>31.90758583827143</v>
      </c>
      <c r="AG3916" s="2">
        <f ca="1"/>
        <v>0.48002548312852156</v>
      </c>
      <c r="AH3916" s="2" t="str">
        <f ca="1"/>
        <v>Bad</v>
      </c>
    </row>
    <row r="3917" spans="2:34" x14ac:dyDescent="0.2">
      <c r="B3917" s="2">
        <f ca="1"/>
        <v>0.22269867048507286</v>
      </c>
      <c r="O3917" s="2">
        <f ca="1"/>
        <v>-0.73233703200942102</v>
      </c>
      <c r="X3917" s="2">
        <f ca="1"/>
        <v>45.644785284521269</v>
      </c>
      <c r="AG3917" s="2">
        <f ca="1"/>
        <v>0.10975426608926009</v>
      </c>
      <c r="AH3917" s="2" t="str">
        <f ca="1"/>
        <v>OK</v>
      </c>
    </row>
    <row r="3918" spans="2:34" x14ac:dyDescent="0.2">
      <c r="B3918" s="2">
        <f ca="1"/>
        <v>0.8759291111197931</v>
      </c>
      <c r="O3918" s="2">
        <f ca="1"/>
        <v>-0.37945972700822417</v>
      </c>
      <c r="X3918" s="2">
        <f ca="1"/>
        <v>55.339221099877271</v>
      </c>
      <c r="AG3918" s="2">
        <f ca="1"/>
        <v>0.61023647474149367</v>
      </c>
      <c r="AH3918" s="2" t="str">
        <f ca="1"/>
        <v>Bad</v>
      </c>
    </row>
    <row r="3919" spans="2:34" x14ac:dyDescent="0.2">
      <c r="B3919" s="2">
        <f ca="1"/>
        <v>0.37421943244999833</v>
      </c>
      <c r="O3919" s="2">
        <f ca="1"/>
        <v>-0.64282497002462013</v>
      </c>
      <c r="X3919" s="2">
        <f ca="1"/>
        <v>60.22545491169452</v>
      </c>
      <c r="AG3919" s="2">
        <f ca="1"/>
        <v>0.54234739777083774</v>
      </c>
      <c r="AH3919" s="2" t="str">
        <f ca="1"/>
        <v>Bad</v>
      </c>
    </row>
    <row r="3920" spans="2:34" x14ac:dyDescent="0.2">
      <c r="B3920" s="2">
        <f ca="1"/>
        <v>6.5819321560879551E-2</v>
      </c>
      <c r="O3920" s="2">
        <f ca="1"/>
        <v>-1.3464009305322806</v>
      </c>
      <c r="X3920" s="2">
        <f ca="1"/>
        <v>31.650461452068477</v>
      </c>
      <c r="AG3920" s="2">
        <f ca="1"/>
        <v>0.10154446460209443</v>
      </c>
      <c r="AH3920" s="2" t="str">
        <f ca="1"/>
        <v>OK</v>
      </c>
    </row>
    <row r="3921" spans="2:34" x14ac:dyDescent="0.2">
      <c r="B3921" s="2">
        <f ca="1"/>
        <v>0.34035580656663078</v>
      </c>
      <c r="O3921" s="2">
        <f ca="1"/>
        <v>-0.50342493817685374</v>
      </c>
      <c r="X3921" s="2">
        <f ca="1"/>
        <v>76.226035521626272</v>
      </c>
      <c r="AG3921" s="2">
        <f ca="1"/>
        <v>0.14306404256931504</v>
      </c>
      <c r="AH3921" s="2" t="str">
        <f ca="1"/>
        <v>OK</v>
      </c>
    </row>
    <row r="3922" spans="2:34" x14ac:dyDescent="0.2">
      <c r="B3922" s="2">
        <f ca="1"/>
        <v>0.61593479197609091</v>
      </c>
      <c r="O3922" s="2">
        <f ca="1"/>
        <v>0.22949100141479262</v>
      </c>
      <c r="X3922" s="2">
        <f ca="1"/>
        <v>42.271514893437939</v>
      </c>
      <c r="AG3922" s="2">
        <f ca="1"/>
        <v>0.10523806151696635</v>
      </c>
      <c r="AH3922" s="2" t="str">
        <f ca="1"/>
        <v>OK</v>
      </c>
    </row>
    <row r="3923" spans="2:34" x14ac:dyDescent="0.2">
      <c r="B3923" s="2">
        <f ca="1"/>
        <v>0.58093064093054392</v>
      </c>
      <c r="O3923" s="2">
        <f ca="1"/>
        <v>-1.9391443337726058</v>
      </c>
      <c r="X3923" s="2">
        <f ca="1"/>
        <v>72.761953048090149</v>
      </c>
      <c r="AG3923" s="2">
        <f ca="1"/>
        <v>7.4679175466949577E-3</v>
      </c>
      <c r="AH3923" s="2" t="str">
        <f ca="1"/>
        <v>Good</v>
      </c>
    </row>
    <row r="3924" spans="2:34" x14ac:dyDescent="0.2">
      <c r="B3924" s="2">
        <f ca="1"/>
        <v>0.66353821640767907</v>
      </c>
      <c r="O3924" s="2">
        <f ca="1"/>
        <v>-0.78565015687052631</v>
      </c>
      <c r="X3924" s="2">
        <f ca="1"/>
        <v>37.431742415867276</v>
      </c>
      <c r="AG3924" s="2">
        <f ca="1"/>
        <v>0.3161899603586571</v>
      </c>
      <c r="AH3924" s="2" t="str">
        <f ca="1"/>
        <v>OK</v>
      </c>
    </row>
    <row r="3925" spans="2:34" x14ac:dyDescent="0.2">
      <c r="B3925" s="2">
        <f ca="1"/>
        <v>0.66827933287648156</v>
      </c>
      <c r="O3925" s="2">
        <f ca="1"/>
        <v>-1.4608678347446329</v>
      </c>
      <c r="X3925" s="2">
        <f ca="1"/>
        <v>47.01546520356986</v>
      </c>
      <c r="AG3925" s="2">
        <f ca="1"/>
        <v>4.119554714314333E-2</v>
      </c>
      <c r="AH3925" s="2" t="str">
        <f ca="1"/>
        <v>Good</v>
      </c>
    </row>
    <row r="3926" spans="2:34" x14ac:dyDescent="0.2">
      <c r="B3926" s="2">
        <f ca="1"/>
        <v>0.95377988140445114</v>
      </c>
      <c r="O3926" s="2">
        <f ca="1"/>
        <v>1.2439146549264823</v>
      </c>
      <c r="X3926" s="2">
        <f ca="1"/>
        <v>51.853961399973514</v>
      </c>
      <c r="AG3926" s="2">
        <f ca="1"/>
        <v>0.51574886850934476</v>
      </c>
      <c r="AH3926" s="2" t="str">
        <f ca="1"/>
        <v>Bad</v>
      </c>
    </row>
    <row r="3927" spans="2:34" x14ac:dyDescent="0.2">
      <c r="B3927" s="2">
        <f ca="1"/>
        <v>0.4429628171127018</v>
      </c>
      <c r="O3927" s="2">
        <f ca="1"/>
        <v>-0.7344405878175907</v>
      </c>
      <c r="X3927" s="2">
        <f ca="1"/>
        <v>32.87997280110212</v>
      </c>
      <c r="AG3927" s="2">
        <f ca="1"/>
        <v>0.77692408610449171</v>
      </c>
      <c r="AH3927" s="2" t="str">
        <f ca="1"/>
        <v>Bad</v>
      </c>
    </row>
    <row r="3928" spans="2:34" x14ac:dyDescent="0.2">
      <c r="B3928" s="2">
        <f ca="1"/>
        <v>0.35044588013434397</v>
      </c>
      <c r="O3928" s="2">
        <f ca="1"/>
        <v>-1.1588227522031005</v>
      </c>
      <c r="X3928" s="2">
        <f ca="1"/>
        <v>53.521890013636792</v>
      </c>
      <c r="AG3928" s="2">
        <f ca="1"/>
        <v>0.79265546223497974</v>
      </c>
      <c r="AH3928" s="2" t="str">
        <f ca="1"/>
        <v>Bad</v>
      </c>
    </row>
    <row r="3929" spans="2:34" x14ac:dyDescent="0.2">
      <c r="B3929" s="2">
        <f ca="1"/>
        <v>9.1022542476685064E-2</v>
      </c>
      <c r="O3929" s="2">
        <f ca="1"/>
        <v>0.81546235041670356</v>
      </c>
      <c r="X3929" s="2">
        <f ca="1"/>
        <v>60.187938790674593</v>
      </c>
      <c r="AG3929" s="2">
        <f ca="1"/>
        <v>0.20271977300995947</v>
      </c>
      <c r="AH3929" s="2" t="str">
        <f ca="1"/>
        <v>OK</v>
      </c>
    </row>
    <row r="3930" spans="2:34" x14ac:dyDescent="0.2">
      <c r="B3930" s="2">
        <f ca="1"/>
        <v>0.77782131242282038</v>
      </c>
      <c r="O3930" s="2">
        <f ca="1"/>
        <v>-0.43140612693674629</v>
      </c>
      <c r="X3930" s="2">
        <f ca="1"/>
        <v>55.395222294580613</v>
      </c>
      <c r="AG3930" s="2">
        <f ca="1"/>
        <v>0.44091825722448719</v>
      </c>
      <c r="AH3930" s="2" t="str">
        <f ca="1"/>
        <v>Bad</v>
      </c>
    </row>
    <row r="3931" spans="2:34" x14ac:dyDescent="0.2">
      <c r="B3931" s="2">
        <f ca="1"/>
        <v>0.24098218304419405</v>
      </c>
      <c r="O3931" s="2">
        <f ca="1"/>
        <v>-9.7549588761653108E-2</v>
      </c>
      <c r="X3931" s="2">
        <f ca="1"/>
        <v>25.982002864417066</v>
      </c>
      <c r="AG3931" s="2">
        <f ca="1"/>
        <v>0.59150402178188388</v>
      </c>
      <c r="AH3931" s="2" t="str">
        <f ca="1"/>
        <v>Bad</v>
      </c>
    </row>
    <row r="3932" spans="2:34" x14ac:dyDescent="0.2">
      <c r="B3932" s="2">
        <f ca="1"/>
        <v>0.39831911505056206</v>
      </c>
      <c r="O3932" s="2">
        <f ca="1"/>
        <v>-0.53030704608795476</v>
      </c>
      <c r="X3932" s="2">
        <f ca="1"/>
        <v>60.220738402398169</v>
      </c>
      <c r="AG3932" s="2">
        <f ca="1"/>
        <v>0.65097139118061653</v>
      </c>
      <c r="AH3932" s="2" t="str">
        <f ca="1"/>
        <v>Bad</v>
      </c>
    </row>
    <row r="3933" spans="2:34" x14ac:dyDescent="0.2">
      <c r="B3933" s="2">
        <f ca="1"/>
        <v>0.51815459240158357</v>
      </c>
      <c r="O3933" s="2">
        <f ca="1"/>
        <v>0.46102692523799244</v>
      </c>
      <c r="X3933" s="2">
        <f ca="1"/>
        <v>21.052079068944725</v>
      </c>
      <c r="AG3933" s="2">
        <f ca="1"/>
        <v>0.31547499615091112</v>
      </c>
      <c r="AH3933" s="2" t="str">
        <f ca="1"/>
        <v>OK</v>
      </c>
    </row>
    <row r="3934" spans="2:34" x14ac:dyDescent="0.2">
      <c r="B3934" s="2">
        <f ca="1"/>
        <v>0.25601800518458462</v>
      </c>
      <c r="O3934" s="2">
        <f ca="1"/>
        <v>-0.13105024772866566</v>
      </c>
      <c r="X3934" s="2">
        <f ca="1"/>
        <v>48.324012807631824</v>
      </c>
      <c r="AG3934" s="2">
        <f ca="1"/>
        <v>0.52262642428482819</v>
      </c>
      <c r="AH3934" s="2" t="str">
        <f ca="1"/>
        <v>Bad</v>
      </c>
    </row>
    <row r="3935" spans="2:34" x14ac:dyDescent="0.2">
      <c r="B3935" s="2">
        <f ca="1"/>
        <v>0.2440421802426207</v>
      </c>
      <c r="O3935" s="2">
        <f ca="1"/>
        <v>0.37617072865780737</v>
      </c>
      <c r="X3935" s="2">
        <f ca="1"/>
        <v>32.341824794905556</v>
      </c>
      <c r="AG3935" s="2">
        <f ca="1"/>
        <v>0.45558470997555833</v>
      </c>
      <c r="AH3935" s="2" t="str">
        <f ca="1"/>
        <v>Bad</v>
      </c>
    </row>
    <row r="3936" spans="2:34" x14ac:dyDescent="0.2">
      <c r="B3936" s="2">
        <f ca="1"/>
        <v>0.22308230037287569</v>
      </c>
      <c r="O3936" s="2">
        <f ca="1"/>
        <v>-1.0055515738907577</v>
      </c>
      <c r="X3936" s="2">
        <f ca="1"/>
        <v>28.655098100621728</v>
      </c>
      <c r="AG3936" s="2">
        <f ca="1"/>
        <v>0.74940581700515474</v>
      </c>
      <c r="AH3936" s="2" t="str">
        <f ca="1"/>
        <v>Bad</v>
      </c>
    </row>
    <row r="3937" spans="2:34" x14ac:dyDescent="0.2">
      <c r="B3937" s="2">
        <f ca="1"/>
        <v>0.36401144311471456</v>
      </c>
      <c r="O3937" s="2">
        <f ca="1"/>
        <v>0.69708920231503191</v>
      </c>
      <c r="X3937" s="2">
        <f ca="1"/>
        <v>57.053098668889064</v>
      </c>
      <c r="AG3937" s="2">
        <f ca="1"/>
        <v>0.71204827449958241</v>
      </c>
      <c r="AH3937" s="2" t="str">
        <f ca="1"/>
        <v>Bad</v>
      </c>
    </row>
    <row r="3938" spans="2:34" x14ac:dyDescent="0.2">
      <c r="B3938" s="2">
        <f ca="1"/>
        <v>0.5286084179334849</v>
      </c>
      <c r="O3938" s="2">
        <f ca="1"/>
        <v>-4.5439532980004409E-2</v>
      </c>
      <c r="X3938" s="2">
        <f ca="1"/>
        <v>33.066836471351685</v>
      </c>
      <c r="AG3938" s="2">
        <f ca="1"/>
        <v>6.5883481075574624E-2</v>
      </c>
      <c r="AH3938" s="2" t="str">
        <f ca="1"/>
        <v>OK</v>
      </c>
    </row>
    <row r="3939" spans="2:34" x14ac:dyDescent="0.2">
      <c r="B3939" s="2">
        <f ca="1"/>
        <v>0.21304355584782031</v>
      </c>
      <c r="O3939" s="2">
        <f ca="1"/>
        <v>-0.29625785984235842</v>
      </c>
      <c r="X3939" s="2">
        <f ca="1"/>
        <v>43.576111782132273</v>
      </c>
      <c r="AG3939" s="2">
        <f ca="1"/>
        <v>0.45601428791617282</v>
      </c>
      <c r="AH3939" s="2" t="str">
        <f ca="1"/>
        <v>Bad</v>
      </c>
    </row>
    <row r="3940" spans="2:34" x14ac:dyDescent="0.2">
      <c r="B3940" s="2">
        <f ca="1"/>
        <v>0.1887313107438231</v>
      </c>
      <c r="O3940" s="2">
        <f ca="1"/>
        <v>1.4636299169296738</v>
      </c>
      <c r="X3940" s="2">
        <f ca="1"/>
        <v>53.952223516076288</v>
      </c>
      <c r="AG3940" s="2">
        <f ca="1"/>
        <v>0.63799385885662518</v>
      </c>
      <c r="AH3940" s="2" t="str">
        <f ca="1"/>
        <v>Bad</v>
      </c>
    </row>
    <row r="3941" spans="2:34" x14ac:dyDescent="0.2">
      <c r="B3941" s="2">
        <f ca="1"/>
        <v>8.3298621034690212E-2</v>
      </c>
      <c r="O3941" s="2">
        <f ca="1"/>
        <v>0.21239145745275156</v>
      </c>
      <c r="X3941" s="2">
        <f ca="1"/>
        <v>69.193131541544204</v>
      </c>
      <c r="AG3941" s="2">
        <f ca="1"/>
        <v>0.56973085001059709</v>
      </c>
      <c r="AH3941" s="2" t="str">
        <f ca="1"/>
        <v>Bad</v>
      </c>
    </row>
    <row r="3942" spans="2:34" x14ac:dyDescent="0.2">
      <c r="B3942" s="2">
        <f ca="1"/>
        <v>0.19820402711488794</v>
      </c>
      <c r="O3942" s="2">
        <f ca="1"/>
        <v>-0.96792529420242857</v>
      </c>
      <c r="X3942" s="2">
        <f ca="1"/>
        <v>58.344229215786697</v>
      </c>
      <c r="AG3942" s="2">
        <f ca="1"/>
        <v>5.2347525514227611E-2</v>
      </c>
      <c r="AH3942" s="2" t="str">
        <f ca="1"/>
        <v>OK</v>
      </c>
    </row>
    <row r="3943" spans="2:34" x14ac:dyDescent="0.2">
      <c r="B3943" s="2">
        <f ca="1"/>
        <v>0.87410506148924827</v>
      </c>
      <c r="O3943" s="2">
        <f ca="1"/>
        <v>-2.0560477587608865</v>
      </c>
      <c r="X3943" s="2">
        <f ca="1"/>
        <v>77.739357130043189</v>
      </c>
      <c r="AG3943" s="2">
        <f ca="1"/>
        <v>0.75828447199269533</v>
      </c>
      <c r="AH3943" s="2" t="str">
        <f ca="1"/>
        <v>Bad</v>
      </c>
    </row>
    <row r="3944" spans="2:34" x14ac:dyDescent="0.2">
      <c r="B3944" s="2">
        <f ca="1"/>
        <v>3.8023241878608394E-2</v>
      </c>
      <c r="O3944" s="2">
        <f ca="1"/>
        <v>0.16868965424235202</v>
      </c>
      <c r="X3944" s="2">
        <f ca="1"/>
        <v>39.033410286615187</v>
      </c>
      <c r="AG3944" s="2">
        <f ca="1"/>
        <v>0.40157610895483709</v>
      </c>
      <c r="AH3944" s="2" t="str">
        <f ca="1"/>
        <v>Bad</v>
      </c>
    </row>
    <row r="3945" spans="2:34" x14ac:dyDescent="0.2">
      <c r="B3945" s="2">
        <f ca="1"/>
        <v>0.73313963949178618</v>
      </c>
      <c r="O3945" s="2">
        <f ca="1"/>
        <v>1.6518142208681317</v>
      </c>
      <c r="X3945" s="2">
        <f ca="1"/>
        <v>49.798923719040964</v>
      </c>
      <c r="AG3945" s="2">
        <f ca="1"/>
        <v>0.29858176384968216</v>
      </c>
      <c r="AH3945" s="2" t="str">
        <f ca="1"/>
        <v>OK</v>
      </c>
    </row>
    <row r="3946" spans="2:34" x14ac:dyDescent="0.2">
      <c r="B3946" s="2">
        <f ca="1"/>
        <v>0.69432845040410918</v>
      </c>
      <c r="O3946" s="2">
        <f ca="1"/>
        <v>0.24717426941241541</v>
      </c>
      <c r="X3946" s="2">
        <f ca="1"/>
        <v>29.361573316892571</v>
      </c>
      <c r="AG3946" s="2">
        <f ca="1"/>
        <v>0.65024163994495598</v>
      </c>
      <c r="AH3946" s="2" t="str">
        <f ca="1"/>
        <v>Bad</v>
      </c>
    </row>
    <row r="3947" spans="2:34" x14ac:dyDescent="0.2">
      <c r="B3947" s="2">
        <f ca="1"/>
        <v>0.64267142519400355</v>
      </c>
      <c r="O3947" s="2">
        <f ca="1"/>
        <v>0.40494025658488003</v>
      </c>
      <c r="X3947" s="2">
        <f ca="1"/>
        <v>49.85758677468165</v>
      </c>
      <c r="AG3947" s="2">
        <f ca="1"/>
        <v>0.65224407835797305</v>
      </c>
      <c r="AH3947" s="2" t="str">
        <f ca="1"/>
        <v>Bad</v>
      </c>
    </row>
    <row r="3948" spans="2:34" x14ac:dyDescent="0.2">
      <c r="B3948" s="2">
        <f ca="1"/>
        <v>0.47031628082519261</v>
      </c>
      <c r="O3948" s="2">
        <f ca="1"/>
        <v>0.22186571436839156</v>
      </c>
      <c r="X3948" s="2">
        <f ca="1"/>
        <v>83.887512799064069</v>
      </c>
      <c r="AG3948" s="2">
        <f ca="1"/>
        <v>0.56903297170318834</v>
      </c>
      <c r="AH3948" s="2" t="str">
        <f ca="1"/>
        <v>Bad</v>
      </c>
    </row>
    <row r="3949" spans="2:34" x14ac:dyDescent="0.2">
      <c r="B3949" s="2">
        <f ca="1"/>
        <v>0.40904971895549891</v>
      </c>
      <c r="O3949" s="2">
        <f ca="1"/>
        <v>-1.2051978433330899</v>
      </c>
      <c r="X3949" s="2">
        <f ca="1"/>
        <v>57.671973501469537</v>
      </c>
      <c r="AG3949" s="2">
        <f ca="1"/>
        <v>0.22828979517180303</v>
      </c>
      <c r="AH3949" s="2" t="str">
        <f ca="1"/>
        <v>OK</v>
      </c>
    </row>
    <row r="3950" spans="2:34" x14ac:dyDescent="0.2">
      <c r="B3950" s="2">
        <f ca="1"/>
        <v>0.83020423532061227</v>
      </c>
      <c r="O3950" s="2">
        <f ca="1"/>
        <v>1.9554783194016703</v>
      </c>
      <c r="X3950" s="2">
        <f ca="1"/>
        <v>43.76604336666135</v>
      </c>
      <c r="AG3950" s="2">
        <f ca="1"/>
        <v>0.48097419220445303</v>
      </c>
      <c r="AH3950" s="2" t="str">
        <f ca="1"/>
        <v>Bad</v>
      </c>
    </row>
    <row r="3951" spans="2:34" x14ac:dyDescent="0.2">
      <c r="B3951" s="2">
        <f ca="1"/>
        <v>0.83207618996880361</v>
      </c>
      <c r="O3951" s="2">
        <f ca="1"/>
        <v>0.74606492631075472</v>
      </c>
      <c r="X3951" s="2">
        <f ca="1"/>
        <v>43.538067569951096</v>
      </c>
      <c r="AG3951" s="2">
        <f ca="1"/>
        <v>0.96316212472222595</v>
      </c>
      <c r="AH3951" s="2" t="str">
        <f ca="1"/>
        <v>Bad</v>
      </c>
    </row>
    <row r="3952" spans="2:34" x14ac:dyDescent="0.2">
      <c r="B3952" s="2">
        <f ca="1"/>
        <v>0.58935824292792338</v>
      </c>
      <c r="O3952" s="2">
        <f ca="1"/>
        <v>-0.49914782903090466</v>
      </c>
      <c r="X3952" s="2">
        <f ca="1"/>
        <v>45.277497489789596</v>
      </c>
      <c r="AG3952" s="2">
        <f ca="1"/>
        <v>0.90838064365849558</v>
      </c>
      <c r="AH3952" s="2" t="str">
        <f ca="1"/>
        <v>Bad</v>
      </c>
    </row>
    <row r="3953" spans="2:34" x14ac:dyDescent="0.2">
      <c r="B3953" s="2">
        <f ca="1"/>
        <v>0.83335622208358973</v>
      </c>
      <c r="O3953" s="2">
        <f ca="1"/>
        <v>0.35383804652567769</v>
      </c>
      <c r="X3953" s="2">
        <f ca="1"/>
        <v>48.540438325813454</v>
      </c>
      <c r="AG3953" s="2">
        <f ca="1"/>
        <v>0.72106328711326295</v>
      </c>
      <c r="AH3953" s="2" t="str">
        <f ca="1"/>
        <v>Bad</v>
      </c>
    </row>
    <row r="3954" spans="2:34" x14ac:dyDescent="0.2">
      <c r="B3954" s="2">
        <f ca="1"/>
        <v>0.40646717321879144</v>
      </c>
      <c r="O3954" s="2">
        <f ca="1"/>
        <v>-0.66068983685801153</v>
      </c>
      <c r="X3954" s="2">
        <f ca="1"/>
        <v>51.823438907371767</v>
      </c>
      <c r="AG3954" s="2">
        <f ca="1"/>
        <v>0.58621051295908777</v>
      </c>
      <c r="AH3954" s="2" t="str">
        <f ca="1"/>
        <v>Bad</v>
      </c>
    </row>
    <row r="3955" spans="2:34" x14ac:dyDescent="0.2">
      <c r="B3955" s="2">
        <f ca="1"/>
        <v>0.3936434882231663</v>
      </c>
      <c r="O3955" s="2">
        <f ca="1"/>
        <v>0.49146321529938308</v>
      </c>
      <c r="X3955" s="2">
        <f ca="1"/>
        <v>40.551744764438666</v>
      </c>
      <c r="AG3955" s="2">
        <f ca="1"/>
        <v>0.39511429774156226</v>
      </c>
      <c r="AH3955" s="2" t="str">
        <f ca="1"/>
        <v>OK</v>
      </c>
    </row>
    <row r="3956" spans="2:34" x14ac:dyDescent="0.2">
      <c r="B3956" s="2">
        <f ca="1"/>
        <v>0.14659422189768123</v>
      </c>
      <c r="O3956" s="2">
        <f ca="1"/>
        <v>0.21535109752807904</v>
      </c>
      <c r="X3956" s="2">
        <f ca="1"/>
        <v>65.745723584348411</v>
      </c>
      <c r="AG3956" s="2">
        <f ca="1"/>
        <v>0.7714786402941336</v>
      </c>
      <c r="AH3956" s="2" t="str">
        <f ca="1"/>
        <v>Bad</v>
      </c>
    </row>
    <row r="3957" spans="2:34" x14ac:dyDescent="0.2">
      <c r="B3957" s="2">
        <f ca="1"/>
        <v>0.21730255748331673</v>
      </c>
      <c r="O3957" s="2">
        <f ca="1"/>
        <v>0.51631012496579543</v>
      </c>
      <c r="X3957" s="2">
        <f ca="1"/>
        <v>32.91533526438598</v>
      </c>
      <c r="AG3957" s="2">
        <f ca="1"/>
        <v>0.90444015356270668</v>
      </c>
      <c r="AH3957" s="2" t="str">
        <f ca="1"/>
        <v>Bad</v>
      </c>
    </row>
    <row r="3958" spans="2:34" x14ac:dyDescent="0.2">
      <c r="B3958" s="2">
        <f ca="1"/>
        <v>2.1093093516207251E-2</v>
      </c>
      <c r="O3958" s="2">
        <f ca="1"/>
        <v>0.32174982365594867</v>
      </c>
      <c r="X3958" s="2">
        <f ca="1"/>
        <v>20.373509307012789</v>
      </c>
      <c r="AG3958" s="2">
        <f ca="1"/>
        <v>0.20366188845406663</v>
      </c>
      <c r="AH3958" s="2" t="str">
        <f ca="1"/>
        <v>OK</v>
      </c>
    </row>
    <row r="3959" spans="2:34" x14ac:dyDescent="0.2">
      <c r="B3959" s="2">
        <f ca="1"/>
        <v>0.75403529320311979</v>
      </c>
      <c r="O3959" s="2">
        <f ca="1"/>
        <v>-0.47237666567669678</v>
      </c>
      <c r="X3959" s="2">
        <f ca="1"/>
        <v>69.219941382435323</v>
      </c>
      <c r="AG3959" s="2">
        <f ca="1"/>
        <v>0.801225866377973</v>
      </c>
      <c r="AH3959" s="2" t="str">
        <f ca="1"/>
        <v>Bad</v>
      </c>
    </row>
    <row r="3960" spans="2:34" x14ac:dyDescent="0.2">
      <c r="B3960" s="2">
        <f ca="1"/>
        <v>0.65721803433051251</v>
      </c>
      <c r="O3960" s="2">
        <f ca="1"/>
        <v>-0.5995791343990311</v>
      </c>
      <c r="X3960" s="2">
        <f ca="1"/>
        <v>54.471725712805821</v>
      </c>
      <c r="AG3960" s="2">
        <f ca="1"/>
        <v>0.85746187582718636</v>
      </c>
      <c r="AH3960" s="2" t="str">
        <f ca="1"/>
        <v>Bad</v>
      </c>
    </row>
    <row r="3961" spans="2:34" x14ac:dyDescent="0.2">
      <c r="B3961" s="2">
        <f ca="1"/>
        <v>0.50125646505802957</v>
      </c>
      <c r="O3961" s="2">
        <f ca="1"/>
        <v>-0.31087127615041099</v>
      </c>
      <c r="X3961" s="2">
        <f ca="1"/>
        <v>57.765168962015807</v>
      </c>
      <c r="AG3961" s="2">
        <f ca="1"/>
        <v>0.71455239607896082</v>
      </c>
      <c r="AH3961" s="2" t="str">
        <f ca="1"/>
        <v>Bad</v>
      </c>
    </row>
    <row r="3962" spans="2:34" x14ac:dyDescent="0.2">
      <c r="B3962" s="2">
        <f ca="1"/>
        <v>0.33857388922423803</v>
      </c>
      <c r="O3962" s="2">
        <f ca="1"/>
        <v>0.72835228982817835</v>
      </c>
      <c r="X3962" s="2">
        <f ca="1"/>
        <v>47.933794339666072</v>
      </c>
      <c r="AG3962" s="2">
        <f ca="1"/>
        <v>0.53050488177253685</v>
      </c>
      <c r="AH3962" s="2" t="str">
        <f ca="1"/>
        <v>Bad</v>
      </c>
    </row>
    <row r="3963" spans="2:34" x14ac:dyDescent="0.2">
      <c r="B3963" s="2">
        <f ca="1"/>
        <v>0.90619971704262547</v>
      </c>
      <c r="O3963" s="2">
        <f ca="1"/>
        <v>0.45753337592323828</v>
      </c>
      <c r="X3963" s="2">
        <f ca="1"/>
        <v>50.964765929242553</v>
      </c>
      <c r="AG3963" s="2">
        <f ca="1"/>
        <v>0.97776746204598686</v>
      </c>
      <c r="AH3963" s="2" t="str">
        <f ca="1"/>
        <v>Bad</v>
      </c>
    </row>
    <row r="3964" spans="2:34" x14ac:dyDescent="0.2">
      <c r="B3964" s="2">
        <f ca="1"/>
        <v>0.99923074495690911</v>
      </c>
      <c r="O3964" s="2">
        <f ca="1"/>
        <v>-0.20935614630648663</v>
      </c>
      <c r="X3964" s="2">
        <f ca="1"/>
        <v>56.029799571219947</v>
      </c>
      <c r="AG3964" s="2">
        <f ca="1"/>
        <v>0.13663696243048196</v>
      </c>
      <c r="AH3964" s="2" t="str">
        <f ca="1"/>
        <v>OK</v>
      </c>
    </row>
    <row r="3965" spans="2:34" x14ac:dyDescent="0.2">
      <c r="B3965" s="2">
        <f ca="1"/>
        <v>0.60238905580919133</v>
      </c>
      <c r="O3965" s="2">
        <f ca="1"/>
        <v>0.69303736209279621</v>
      </c>
      <c r="X3965" s="2">
        <f ca="1"/>
        <v>65.58798166451065</v>
      </c>
      <c r="AG3965" s="2">
        <f ca="1"/>
        <v>0.72833754748935142</v>
      </c>
      <c r="AH3965" s="2" t="str">
        <f ca="1"/>
        <v>Bad</v>
      </c>
    </row>
    <row r="3966" spans="2:34" x14ac:dyDescent="0.2">
      <c r="B3966" s="2">
        <f ca="1"/>
        <v>0.30544977731987655</v>
      </c>
      <c r="O3966" s="2">
        <f ca="1"/>
        <v>-0.81830258087664443</v>
      </c>
      <c r="X3966" s="2">
        <f ca="1"/>
        <v>82.276037219287431</v>
      </c>
      <c r="AG3966" s="2">
        <f ca="1"/>
        <v>4.7994716059383657E-2</v>
      </c>
      <c r="AH3966" s="2" t="str">
        <f ca="1"/>
        <v>Good</v>
      </c>
    </row>
    <row r="3967" spans="2:34" x14ac:dyDescent="0.2">
      <c r="B3967" s="2">
        <f ca="1"/>
        <v>0.84385504118400245</v>
      </c>
      <c r="O3967" s="2">
        <f ca="1"/>
        <v>-0.41178359103443557</v>
      </c>
      <c r="X3967" s="2">
        <f ca="1"/>
        <v>27.653684225039786</v>
      </c>
      <c r="AG3967" s="2">
        <f ca="1"/>
        <v>0.95244489527810372</v>
      </c>
      <c r="AH3967" s="2" t="str">
        <f ca="1"/>
        <v>Bad</v>
      </c>
    </row>
    <row r="3968" spans="2:34" x14ac:dyDescent="0.2">
      <c r="B3968" s="2">
        <f ca="1"/>
        <v>0.64850067559133273</v>
      </c>
      <c r="O3968" s="2">
        <f ca="1"/>
        <v>0.61909549686001653</v>
      </c>
      <c r="X3968" s="2">
        <f ca="1"/>
        <v>71.217782032325147</v>
      </c>
      <c r="AG3968" s="2">
        <f ca="1"/>
        <v>0.38640168851602574</v>
      </c>
      <c r="AH3968" s="2" t="str">
        <f ca="1"/>
        <v>OK</v>
      </c>
    </row>
    <row r="3969" spans="2:34" x14ac:dyDescent="0.2">
      <c r="B3969" s="2">
        <f ca="1"/>
        <v>0.73172268531097884</v>
      </c>
      <c r="O3969" s="2">
        <f ca="1"/>
        <v>0.45081648764010457</v>
      </c>
      <c r="X3969" s="2">
        <f ca="1"/>
        <v>85.656585969312744</v>
      </c>
      <c r="AG3969" s="2">
        <f ca="1"/>
        <v>0.61660277986603185</v>
      </c>
      <c r="AH3969" s="2" t="str">
        <f ca="1"/>
        <v>Bad</v>
      </c>
    </row>
    <row r="3970" spans="2:34" x14ac:dyDescent="0.2">
      <c r="B3970" s="2">
        <f ca="1"/>
        <v>0.61769386686993411</v>
      </c>
      <c r="O3970" s="2">
        <f ca="1"/>
        <v>0.44468526188055124</v>
      </c>
      <c r="X3970" s="2">
        <f ca="1"/>
        <v>38.722941194454307</v>
      </c>
      <c r="AG3970" s="2">
        <f ca="1"/>
        <v>0.15865133804073994</v>
      </c>
      <c r="AH3970" s="2" t="str">
        <f ca="1"/>
        <v>OK</v>
      </c>
    </row>
    <row r="3971" spans="2:34" x14ac:dyDescent="0.2">
      <c r="B3971" s="2">
        <f ca="1"/>
        <v>0.14290537044922469</v>
      </c>
      <c r="O3971" s="2">
        <f ca="1"/>
        <v>-1.1111807975230932</v>
      </c>
      <c r="X3971" s="2">
        <f ca="1"/>
        <v>59.625658112875698</v>
      </c>
      <c r="AG3971" s="2">
        <f ca="1"/>
        <v>0.19899835538675981</v>
      </c>
      <c r="AH3971" s="2" t="str">
        <f ca="1"/>
        <v>OK</v>
      </c>
    </row>
    <row r="3972" spans="2:34" x14ac:dyDescent="0.2">
      <c r="B3972" s="2">
        <f ca="1"/>
        <v>0.59163438290671522</v>
      </c>
      <c r="O3972" s="2">
        <f ca="1"/>
        <v>-1.1743452162998398</v>
      </c>
      <c r="X3972" s="2">
        <f ca="1"/>
        <v>64.09157846134795</v>
      </c>
      <c r="AG3972" s="2">
        <f ca="1"/>
        <v>0.41623803453327235</v>
      </c>
      <c r="AH3972" s="2" t="str">
        <f ca="1"/>
        <v>Bad</v>
      </c>
    </row>
    <row r="3973" spans="2:34" x14ac:dyDescent="0.2">
      <c r="B3973" s="2">
        <f ca="1"/>
        <v>0.8125497208824306</v>
      </c>
      <c r="O3973" s="2">
        <f ca="1"/>
        <v>0.99265863312478453</v>
      </c>
      <c r="X3973" s="2">
        <f ca="1"/>
        <v>40.732640990181039</v>
      </c>
      <c r="AG3973" s="2">
        <f ca="1"/>
        <v>0.20057196832075341</v>
      </c>
      <c r="AH3973" s="2" t="str">
        <f ca="1"/>
        <v>OK</v>
      </c>
    </row>
    <row r="3974" spans="2:34" x14ac:dyDescent="0.2">
      <c r="B3974" s="2">
        <f ca="1"/>
        <v>8.0244254749406885E-2</v>
      </c>
      <c r="O3974" s="2">
        <f ca="1"/>
        <v>0.12832749474777858</v>
      </c>
      <c r="X3974" s="2">
        <f ca="1"/>
        <v>54.944257972551718</v>
      </c>
      <c r="AG3974" s="2">
        <f ca="1"/>
        <v>0.27596406015290897</v>
      </c>
      <c r="AH3974" s="2" t="str">
        <f ca="1"/>
        <v>OK</v>
      </c>
    </row>
    <row r="3975" spans="2:34" x14ac:dyDescent="0.2">
      <c r="B3975" s="2">
        <f ca="1"/>
        <v>9.0269423013183747E-2</v>
      </c>
      <c r="O3975" s="2">
        <f ca="1"/>
        <v>0.66943539014443842</v>
      </c>
      <c r="X3975" s="2">
        <f ca="1"/>
        <v>45.36039652116245</v>
      </c>
      <c r="AG3975" s="2">
        <f ca="1"/>
        <v>0.45548153027966998</v>
      </c>
      <c r="AH3975" s="2" t="str">
        <f ca="1"/>
        <v>Bad</v>
      </c>
    </row>
    <row r="3976" spans="2:34" x14ac:dyDescent="0.2">
      <c r="B3976" s="2">
        <f ca="1"/>
        <v>0.58063792649812251</v>
      </c>
      <c r="O3976" s="2">
        <f ca="1"/>
        <v>0.63130956140406969</v>
      </c>
      <c r="X3976" s="2">
        <f ca="1"/>
        <v>22.606257711562808</v>
      </c>
      <c r="AG3976" s="2">
        <f ca="1"/>
        <v>0.33774464285288874</v>
      </c>
      <c r="AH3976" s="2" t="str">
        <f ca="1"/>
        <v>OK</v>
      </c>
    </row>
    <row r="3977" spans="2:34" x14ac:dyDescent="0.2">
      <c r="B3977" s="2">
        <f ca="1"/>
        <v>0.57062607494589024</v>
      </c>
      <c r="O3977" s="2">
        <f ca="1"/>
        <v>-0.70127904097095428</v>
      </c>
      <c r="X3977" s="2">
        <f ca="1"/>
        <v>33.159779536601</v>
      </c>
      <c r="AG3977" s="2">
        <f ca="1"/>
        <v>0.72447495968210029</v>
      </c>
      <c r="AH3977" s="2" t="str">
        <f ca="1"/>
        <v>Bad</v>
      </c>
    </row>
    <row r="3978" spans="2:34" x14ac:dyDescent="0.2">
      <c r="B3978" s="2">
        <f ca="1"/>
        <v>0.5620877822192607</v>
      </c>
      <c r="O3978" s="2">
        <f ca="1"/>
        <v>0.56017156607237717</v>
      </c>
      <c r="X3978" s="2">
        <f ca="1"/>
        <v>40.603179164563485</v>
      </c>
      <c r="AG3978" s="2">
        <f ca="1"/>
        <v>0.42274516179923305</v>
      </c>
      <c r="AH3978" s="2" t="str">
        <f ca="1"/>
        <v>Bad</v>
      </c>
    </row>
    <row r="3979" spans="2:34" x14ac:dyDescent="0.2">
      <c r="B3979" s="2">
        <f ca="1"/>
        <v>0.21032128521283155</v>
      </c>
      <c r="O3979" s="2">
        <f ca="1"/>
        <v>1.1812882233636688</v>
      </c>
      <c r="X3979" s="2">
        <f ca="1"/>
        <v>26.32893612684903</v>
      </c>
      <c r="AG3979" s="2">
        <f ca="1"/>
        <v>0.74775084003305126</v>
      </c>
      <c r="AH3979" s="2" t="str">
        <f ca="1"/>
        <v>Bad</v>
      </c>
    </row>
    <row r="3980" spans="2:34" x14ac:dyDescent="0.2">
      <c r="B3980" s="2">
        <f ca="1"/>
        <v>0.89462092481553812</v>
      </c>
      <c r="O3980" s="2">
        <f ca="1"/>
        <v>-0.43529446745858136</v>
      </c>
      <c r="X3980" s="2">
        <f ca="1"/>
        <v>42.489026117730361</v>
      </c>
      <c r="AG3980" s="2">
        <f ca="1"/>
        <v>0.55423372632224344</v>
      </c>
      <c r="AH3980" s="2" t="str">
        <f ca="1"/>
        <v>Bad</v>
      </c>
    </row>
    <row r="3981" spans="2:34" x14ac:dyDescent="0.2">
      <c r="B3981" s="2">
        <f ca="1"/>
        <v>0.44181288928627405</v>
      </c>
      <c r="O3981" s="2">
        <f ca="1"/>
        <v>0.16387816753683543</v>
      </c>
      <c r="X3981" s="2">
        <f ca="1"/>
        <v>54.250801122463841</v>
      </c>
      <c r="AG3981" s="2">
        <f ca="1"/>
        <v>0.3025184227721478</v>
      </c>
      <c r="AH3981" s="2" t="str">
        <f ca="1"/>
        <v>OK</v>
      </c>
    </row>
    <row r="3982" spans="2:34" x14ac:dyDescent="0.2">
      <c r="B3982" s="2">
        <f ca="1"/>
        <v>0.89081400986302461</v>
      </c>
      <c r="O3982" s="2">
        <f ca="1"/>
        <v>-1.0002692812846992</v>
      </c>
      <c r="X3982" s="2">
        <f ca="1"/>
        <v>53.326087658753607</v>
      </c>
      <c r="AG3982" s="2">
        <f ca="1"/>
        <v>0.33179382794135193</v>
      </c>
      <c r="AH3982" s="2" t="str">
        <f ca="1"/>
        <v>OK</v>
      </c>
    </row>
    <row r="3983" spans="2:34" x14ac:dyDescent="0.2">
      <c r="B3983" s="2">
        <f ca="1"/>
        <v>5.0233723411510223E-2</v>
      </c>
      <c r="O3983" s="2">
        <f ca="1"/>
        <v>1.3538261775096412</v>
      </c>
      <c r="X3983" s="2">
        <f ca="1"/>
        <v>50.587922515083157</v>
      </c>
      <c r="AG3983" s="2">
        <f ca="1"/>
        <v>0.70014618015897501</v>
      </c>
      <c r="AH3983" s="2" t="str">
        <f ca="1"/>
        <v>Bad</v>
      </c>
    </row>
    <row r="3984" spans="2:34" x14ac:dyDescent="0.2">
      <c r="B3984" s="2">
        <f ca="1"/>
        <v>0.51003728152078964</v>
      </c>
      <c r="O3984" s="2">
        <f ca="1"/>
        <v>-0.13466635084760467</v>
      </c>
      <c r="X3984" s="2">
        <f ca="1"/>
        <v>34.531135831440885</v>
      </c>
      <c r="AG3984" s="2">
        <f ca="1"/>
        <v>0.68455061054276722</v>
      </c>
      <c r="AH3984" s="2" t="str">
        <f ca="1"/>
        <v>Bad</v>
      </c>
    </row>
    <row r="3985" spans="2:34" x14ac:dyDescent="0.2">
      <c r="B3985" s="2">
        <f ca="1"/>
        <v>0.23543366184007342</v>
      </c>
      <c r="O3985" s="2">
        <f ca="1"/>
        <v>-0.94641777279400063</v>
      </c>
      <c r="X3985" s="2">
        <f ca="1"/>
        <v>38.339289693071528</v>
      </c>
      <c r="AG3985" s="2">
        <f ca="1"/>
        <v>0.2932977463525599</v>
      </c>
      <c r="AH3985" s="2" t="str">
        <f ca="1"/>
        <v>OK</v>
      </c>
    </row>
    <row r="3986" spans="2:34" x14ac:dyDescent="0.2">
      <c r="B3986" s="2">
        <f ca="1"/>
        <v>0.41818645918728015</v>
      </c>
      <c r="O3986" s="2">
        <f ca="1"/>
        <v>5.6196575950199175E-2</v>
      </c>
      <c r="X3986" s="2">
        <f ca="1"/>
        <v>86.438352840530655</v>
      </c>
      <c r="AG3986" s="2">
        <f ca="1"/>
        <v>0.95291147852339786</v>
      </c>
      <c r="AH3986" s="2" t="str">
        <f ca="1"/>
        <v>Bad</v>
      </c>
    </row>
    <row r="3987" spans="2:34" x14ac:dyDescent="0.2">
      <c r="B3987" s="2">
        <f ca="1"/>
        <v>0.8038850466789822</v>
      </c>
      <c r="O3987" s="2">
        <f ca="1"/>
        <v>0.85655484729813325</v>
      </c>
      <c r="X3987" s="2">
        <f ca="1"/>
        <v>93.023529757406465</v>
      </c>
      <c r="AG3987" s="2">
        <f ca="1"/>
        <v>0.3644803133772283</v>
      </c>
      <c r="AH3987" s="2" t="str">
        <f ca="1"/>
        <v>OK</v>
      </c>
    </row>
    <row r="3988" spans="2:34" x14ac:dyDescent="0.2">
      <c r="B3988" s="2">
        <f ca="1"/>
        <v>0.20250021678858521</v>
      </c>
      <c r="O3988" s="2">
        <f ca="1"/>
        <v>0.51840398234256135</v>
      </c>
      <c r="X3988" s="2">
        <f ca="1"/>
        <v>63.124770401674589</v>
      </c>
      <c r="AG3988" s="2">
        <f ca="1"/>
        <v>0.29782036554905122</v>
      </c>
      <c r="AH3988" s="2" t="str">
        <f ca="1"/>
        <v>OK</v>
      </c>
    </row>
    <row r="3989" spans="2:34" x14ac:dyDescent="0.2">
      <c r="B3989" s="2">
        <f ca="1"/>
        <v>0.41799597577232128</v>
      </c>
      <c r="O3989" s="2">
        <f ca="1"/>
        <v>1.2851426948476348</v>
      </c>
      <c r="X3989" s="2">
        <f ca="1"/>
        <v>54.95210646783444</v>
      </c>
      <c r="AG3989" s="2">
        <f ca="1"/>
        <v>0.47760229166752577</v>
      </c>
      <c r="AH3989" s="2" t="str">
        <f ca="1"/>
        <v>Bad</v>
      </c>
    </row>
    <row r="3990" spans="2:34" x14ac:dyDescent="0.2">
      <c r="B3990" s="2">
        <f ca="1"/>
        <v>5.818159597656436E-2</v>
      </c>
      <c r="O3990" s="2">
        <f ca="1"/>
        <v>-1.6204488740604892</v>
      </c>
      <c r="X3990" s="2">
        <f ca="1"/>
        <v>50.90077798405683</v>
      </c>
      <c r="AG3990" s="2">
        <f ca="1"/>
        <v>0.50220297275847314</v>
      </c>
      <c r="AH3990" s="2" t="str">
        <f ca="1"/>
        <v>Bad</v>
      </c>
    </row>
    <row r="3991" spans="2:34" x14ac:dyDescent="0.2">
      <c r="B3991" s="2">
        <f ca="1"/>
        <v>0.41617956447115145</v>
      </c>
      <c r="O3991" s="2">
        <f ca="1"/>
        <v>-0.27725544852544348</v>
      </c>
      <c r="X3991" s="2">
        <f ca="1"/>
        <v>70.780988915509425</v>
      </c>
      <c r="AG3991" s="2">
        <f ca="1"/>
        <v>0.27071606351430311</v>
      </c>
      <c r="AH3991" s="2" t="str">
        <f ca="1"/>
        <v>OK</v>
      </c>
    </row>
    <row r="3992" spans="2:34" x14ac:dyDescent="0.2">
      <c r="B3992" s="2">
        <f ca="1"/>
        <v>0.34098235627019169</v>
      </c>
      <c r="O3992" s="2">
        <f ca="1"/>
        <v>-0.153706995884832</v>
      </c>
      <c r="X3992" s="2">
        <f ca="1"/>
        <v>36.586748162214796</v>
      </c>
      <c r="AG3992" s="2">
        <f ca="1"/>
        <v>0.29082727873147207</v>
      </c>
      <c r="AH3992" s="2" t="str">
        <f ca="1"/>
        <v>OK</v>
      </c>
    </row>
    <row r="3993" spans="2:34" x14ac:dyDescent="0.2">
      <c r="B3993" s="2">
        <f ca="1"/>
        <v>0.32403365550047014</v>
      </c>
      <c r="O3993" s="2">
        <f ca="1"/>
        <v>0.87036367366945333</v>
      </c>
      <c r="X3993" s="2">
        <f ca="1"/>
        <v>42.772754432887474</v>
      </c>
      <c r="AG3993" s="2">
        <f ca="1"/>
        <v>0.68662218909771555</v>
      </c>
      <c r="AH3993" s="2" t="str">
        <f ca="1"/>
        <v>Bad</v>
      </c>
    </row>
    <row r="3994" spans="2:34" x14ac:dyDescent="0.2">
      <c r="B3994" s="2">
        <f ca="1"/>
        <v>0.20988080721745894</v>
      </c>
      <c r="O3994" s="2">
        <f ca="1"/>
        <v>0.20155420247046968</v>
      </c>
      <c r="X3994" s="2">
        <f ca="1"/>
        <v>45.845299581483488</v>
      </c>
      <c r="AG3994" s="2">
        <f ca="1"/>
        <v>0.79182046654541649</v>
      </c>
      <c r="AH3994" s="2" t="str">
        <f ca="1"/>
        <v>Bad</v>
      </c>
    </row>
    <row r="3995" spans="2:34" x14ac:dyDescent="0.2">
      <c r="B3995" s="2">
        <f ca="1"/>
        <v>0.61590543881464566</v>
      </c>
      <c r="O3995" s="2">
        <f ca="1"/>
        <v>1.6342508677964847</v>
      </c>
      <c r="X3995" s="2">
        <f ca="1"/>
        <v>29.936930948095423</v>
      </c>
      <c r="AG3995" s="2">
        <f ca="1"/>
        <v>0.33033307891796726</v>
      </c>
      <c r="AH3995" s="2" t="str">
        <f ca="1"/>
        <v>OK</v>
      </c>
    </row>
    <row r="3996" spans="2:34" x14ac:dyDescent="0.2">
      <c r="B3996" s="2">
        <f ca="1"/>
        <v>0.88261175224772948</v>
      </c>
      <c r="O3996" s="2">
        <f ca="1"/>
        <v>1.5621303806251758</v>
      </c>
      <c r="X3996" s="2">
        <f ca="1"/>
        <v>73.114704900502019</v>
      </c>
      <c r="AG3996" s="2">
        <f ca="1"/>
        <v>0.88692210478727618</v>
      </c>
      <c r="AH3996" s="2" t="str">
        <f ca="1"/>
        <v>Bad</v>
      </c>
    </row>
    <row r="3997" spans="2:34" x14ac:dyDescent="0.2">
      <c r="B3997" s="2">
        <f ca="1"/>
        <v>0.43173408996728657</v>
      </c>
      <c r="O3997" s="2">
        <f ca="1"/>
        <v>-0.51317124903209155</v>
      </c>
      <c r="X3997" s="2">
        <f ca="1"/>
        <v>61.221498491277693</v>
      </c>
      <c r="AG3997" s="2">
        <f ca="1"/>
        <v>0.10649003606872354</v>
      </c>
      <c r="AH3997" s="2" t="str">
        <f ca="1"/>
        <v>OK</v>
      </c>
    </row>
    <row r="3998" spans="2:34" x14ac:dyDescent="0.2">
      <c r="B3998" s="2">
        <f ca="1"/>
        <v>0.21411437990541082</v>
      </c>
      <c r="O3998" s="2">
        <f ca="1"/>
        <v>0.89734013724188977</v>
      </c>
      <c r="X3998" s="2">
        <f ca="1"/>
        <v>39.554282448585084</v>
      </c>
      <c r="AG3998" s="2">
        <f ca="1"/>
        <v>1.165947920414534E-2</v>
      </c>
      <c r="AH3998" s="2" t="str">
        <f ca="1"/>
        <v>Good</v>
      </c>
    </row>
    <row r="3999" spans="2:34" x14ac:dyDescent="0.2">
      <c r="B3999" s="2">
        <f ca="1"/>
        <v>0.26710148501399367</v>
      </c>
      <c r="O3999" s="2">
        <f ca="1"/>
        <v>-1.1672865989037307</v>
      </c>
      <c r="X3999" s="2">
        <f ca="1"/>
        <v>55.098658649878132</v>
      </c>
      <c r="AG3999" s="2">
        <f ca="1"/>
        <v>0.3048346825312489</v>
      </c>
      <c r="AH3999" s="2" t="str">
        <f ca="1"/>
        <v>OK</v>
      </c>
    </row>
    <row r="4000" spans="2:34" x14ac:dyDescent="0.2">
      <c r="B4000" s="2">
        <f ca="1"/>
        <v>0.59335508577360563</v>
      </c>
      <c r="O4000" s="2">
        <f ca="1"/>
        <v>-6.266385559269276E-2</v>
      </c>
      <c r="X4000" s="2">
        <f ca="1"/>
        <v>46.712481141933097</v>
      </c>
      <c r="AG4000" s="2">
        <f ca="1"/>
        <v>0.11887512771003106</v>
      </c>
      <c r="AH4000" s="2" t="str">
        <f ca="1"/>
        <v>OK</v>
      </c>
    </row>
    <row r="4001" spans="2:34" x14ac:dyDescent="0.2">
      <c r="B4001" s="2">
        <f ca="1"/>
        <v>0.87550001981484327</v>
      </c>
      <c r="O4001" s="2">
        <f ca="1"/>
        <v>-0.45629299080332575</v>
      </c>
      <c r="X4001" s="2">
        <f ca="1"/>
        <v>21.077197585930747</v>
      </c>
      <c r="AG4001" s="2">
        <f ca="1"/>
        <v>1.3555122792428875E-2</v>
      </c>
      <c r="AH4001" s="2" t="str">
        <f ca="1"/>
        <v>Good</v>
      </c>
    </row>
    <row r="4002" spans="2:34" x14ac:dyDescent="0.2">
      <c r="B4002" s="2">
        <f ca="1"/>
        <v>0.80656750189206328</v>
      </c>
      <c r="O4002" s="2">
        <f ca="1"/>
        <v>2.5507992752093576</v>
      </c>
      <c r="X4002" s="2">
        <f ca="1"/>
        <v>14.632769818585313</v>
      </c>
      <c r="AG4002" s="2">
        <f ca="1"/>
        <v>0.88925073711973179</v>
      </c>
      <c r="AH4002" s="2" t="str">
        <f ca="1"/>
        <v>Bad</v>
      </c>
    </row>
    <row r="4003" spans="2:34" x14ac:dyDescent="0.2">
      <c r="B4003" s="2">
        <f ca="1"/>
        <v>8.9047138797693215E-3</v>
      </c>
      <c r="O4003" s="2">
        <f ca="1"/>
        <v>0.66317201914310742</v>
      </c>
      <c r="X4003" s="2">
        <f ca="1"/>
        <v>58.779026797810985</v>
      </c>
      <c r="AG4003" s="2">
        <f ca="1"/>
        <v>0.55101702015230991</v>
      </c>
      <c r="AH4003" s="2" t="str">
        <f ca="1"/>
        <v>Bad</v>
      </c>
    </row>
    <row r="4004" spans="2:34" x14ac:dyDescent="0.2">
      <c r="B4004" s="2">
        <f ca="1"/>
        <v>4.5855533016888383E-2</v>
      </c>
      <c r="O4004" s="2">
        <f ca="1"/>
        <v>-0.2294054399189964</v>
      </c>
      <c r="X4004" s="2">
        <f ca="1"/>
        <v>26.775114188138037</v>
      </c>
      <c r="AG4004" s="2">
        <f ca="1"/>
        <v>0.52666897327268947</v>
      </c>
      <c r="AH4004" s="2" t="str">
        <f ca="1"/>
        <v>Bad</v>
      </c>
    </row>
    <row r="4005" spans="2:34" x14ac:dyDescent="0.2">
      <c r="B4005" s="2">
        <f ca="1"/>
        <v>0.37614726502862439</v>
      </c>
      <c r="O4005" s="2">
        <f ca="1"/>
        <v>-0.18363207994798608</v>
      </c>
      <c r="X4005" s="2">
        <f ca="1"/>
        <v>37.474707305961502</v>
      </c>
      <c r="AG4005" s="2">
        <f ca="1"/>
        <v>0.19474136191185853</v>
      </c>
      <c r="AH4005" s="2" t="str">
        <f ca="1"/>
        <v>OK</v>
      </c>
    </row>
    <row r="4006" spans="2:34" x14ac:dyDescent="0.2">
      <c r="B4006" s="2">
        <f ca="1"/>
        <v>0.49038235895630855</v>
      </c>
      <c r="O4006" s="2">
        <f ca="1"/>
        <v>1.7491856555319032</v>
      </c>
      <c r="X4006" s="2">
        <f ca="1"/>
        <v>55.984823889140117</v>
      </c>
      <c r="AG4006" s="2">
        <f ca="1"/>
        <v>0.74326567702592938</v>
      </c>
      <c r="AH4006" s="2" t="str">
        <f ca="1"/>
        <v>Bad</v>
      </c>
    </row>
    <row r="4007" spans="2:34" x14ac:dyDescent="0.2">
      <c r="B4007" s="2">
        <f ca="1"/>
        <v>0.3597257499117108</v>
      </c>
      <c r="O4007" s="2">
        <f ca="1"/>
        <v>-1.0074656744420949</v>
      </c>
      <c r="X4007" s="2">
        <f ca="1"/>
        <v>39.542741132468379</v>
      </c>
      <c r="AG4007" s="2">
        <f ca="1"/>
        <v>0.25552042196308755</v>
      </c>
      <c r="AH4007" s="2" t="str">
        <f ca="1"/>
        <v>OK</v>
      </c>
    </row>
    <row r="4008" spans="2:34" x14ac:dyDescent="0.2">
      <c r="B4008" s="2">
        <f ca="1"/>
        <v>0.41852132005507992</v>
      </c>
      <c r="O4008" s="2">
        <f ca="1"/>
        <v>0.16079585603047417</v>
      </c>
      <c r="X4008" s="2">
        <f ca="1"/>
        <v>68.731413291810526</v>
      </c>
      <c r="AG4008" s="2">
        <f ca="1"/>
        <v>0.53303571806323036</v>
      </c>
      <c r="AH4008" s="2" t="str">
        <f ca="1"/>
        <v>Bad</v>
      </c>
    </row>
    <row r="4009" spans="2:34" x14ac:dyDescent="0.2">
      <c r="B4009" s="2">
        <f ca="1"/>
        <v>0.28945262720559972</v>
      </c>
      <c r="O4009" s="2">
        <f ca="1"/>
        <v>0.70207726202771903</v>
      </c>
      <c r="X4009" s="2">
        <f ca="1"/>
        <v>45.949909909367435</v>
      </c>
      <c r="AG4009" s="2">
        <f ca="1"/>
        <v>0.16781427308489083</v>
      </c>
      <c r="AH4009" s="2" t="str">
        <f ca="1"/>
        <v>OK</v>
      </c>
    </row>
    <row r="4010" spans="2:34" x14ac:dyDescent="0.2">
      <c r="B4010" s="2">
        <f ca="1"/>
        <v>0.59104829735094677</v>
      </c>
      <c r="O4010" s="2">
        <f ca="1"/>
        <v>0.95545080492834655</v>
      </c>
      <c r="X4010" s="2">
        <f ca="1"/>
        <v>36.795769963733761</v>
      </c>
      <c r="AG4010" s="2">
        <f ca="1"/>
        <v>0.70808208148862883</v>
      </c>
      <c r="AH4010" s="2" t="str">
        <f ca="1"/>
        <v>Bad</v>
      </c>
    </row>
    <row r="4011" spans="2:34" x14ac:dyDescent="0.2">
      <c r="B4011" s="2">
        <f ca="1"/>
        <v>0.87321357739560801</v>
      </c>
      <c r="O4011" s="2">
        <f ca="1"/>
        <v>-1.8554116184185815E-2</v>
      </c>
      <c r="X4011" s="2">
        <f ca="1"/>
        <v>27.00694638759602</v>
      </c>
      <c r="AG4011" s="2">
        <f ca="1"/>
        <v>0.11680974369703234</v>
      </c>
      <c r="AH4011" s="2" t="str">
        <f ca="1"/>
        <v>OK</v>
      </c>
    </row>
    <row r="4012" spans="2:34" x14ac:dyDescent="0.2">
      <c r="B4012" s="2">
        <f ca="1"/>
        <v>0.58478120985516902</v>
      </c>
      <c r="O4012" s="2">
        <f ca="1"/>
        <v>-0.50714932430867299</v>
      </c>
      <c r="X4012" s="2">
        <f ca="1"/>
        <v>27.182875392121488</v>
      </c>
      <c r="AG4012" s="2">
        <f ca="1"/>
        <v>0.6671532646926146</v>
      </c>
      <c r="AH4012" s="2" t="str">
        <f ca="1"/>
        <v>Bad</v>
      </c>
    </row>
    <row r="4013" spans="2:34" x14ac:dyDescent="0.2">
      <c r="B4013" s="2">
        <f ca="1"/>
        <v>0.3626670032755599</v>
      </c>
      <c r="O4013" s="2">
        <f ca="1"/>
        <v>-0.21943282677262632</v>
      </c>
      <c r="X4013" s="2">
        <f ca="1"/>
        <v>42.534194646069977</v>
      </c>
      <c r="AG4013" s="2">
        <f ca="1"/>
        <v>0.74392454666183228</v>
      </c>
      <c r="AH4013" s="2" t="str">
        <f ca="1"/>
        <v>Bad</v>
      </c>
    </row>
    <row r="4014" spans="2:34" x14ac:dyDescent="0.2">
      <c r="B4014" s="2">
        <f ca="1"/>
        <v>0.58738714636709588</v>
      </c>
      <c r="O4014" s="2">
        <f ca="1"/>
        <v>-0.24941628156708329</v>
      </c>
      <c r="X4014" s="2">
        <f ca="1"/>
        <v>42.998662594437</v>
      </c>
      <c r="AG4014" s="2">
        <f ca="1"/>
        <v>0.81811596482795967</v>
      </c>
      <c r="AH4014" s="2" t="str">
        <f ca="1"/>
        <v>Bad</v>
      </c>
    </row>
    <row r="4015" spans="2:34" x14ac:dyDescent="0.2">
      <c r="B4015" s="2">
        <f ca="1"/>
        <v>0.25411590462162548</v>
      </c>
      <c r="O4015" s="2">
        <f ca="1"/>
        <v>0.41017682379516734</v>
      </c>
      <c r="X4015" s="2">
        <f ca="1"/>
        <v>74.69297930402341</v>
      </c>
      <c r="AG4015" s="2">
        <f ca="1"/>
        <v>0.70690327149935084</v>
      </c>
      <c r="AH4015" s="2" t="str">
        <f ca="1"/>
        <v>Bad</v>
      </c>
    </row>
    <row r="4016" spans="2:34" x14ac:dyDescent="0.2">
      <c r="B4016" s="2">
        <f ca="1"/>
        <v>0.22817412434545226</v>
      </c>
      <c r="O4016" s="2">
        <f ca="1"/>
        <v>0.95323191334154689</v>
      </c>
      <c r="X4016" s="2">
        <f ca="1"/>
        <v>39.360790310082237</v>
      </c>
      <c r="AG4016" s="2">
        <f ca="1"/>
        <v>0.76370656984854723</v>
      </c>
      <c r="AH4016" s="2" t="str">
        <f ca="1"/>
        <v>Bad</v>
      </c>
    </row>
    <row r="4017" spans="2:34" x14ac:dyDescent="0.2">
      <c r="B4017" s="2">
        <f ca="1"/>
        <v>0.9825852744852055</v>
      </c>
      <c r="O4017" s="2">
        <f ca="1"/>
        <v>-1.1691766179092027</v>
      </c>
      <c r="X4017" s="2">
        <f ca="1"/>
        <v>40.891891372960444</v>
      </c>
      <c r="AG4017" s="2">
        <f ca="1"/>
        <v>0.73999248255362948</v>
      </c>
      <c r="AH4017" s="2" t="str">
        <f ca="1"/>
        <v>Bad</v>
      </c>
    </row>
    <row r="4018" spans="2:34" x14ac:dyDescent="0.2">
      <c r="B4018" s="2">
        <f ca="1"/>
        <v>0.14409821081940266</v>
      </c>
      <c r="O4018" s="2">
        <f ca="1"/>
        <v>0.53466812225040183</v>
      </c>
      <c r="X4018" s="2">
        <f ca="1"/>
        <v>57.698726579452298</v>
      </c>
      <c r="AG4018" s="2">
        <f ca="1"/>
        <v>4.5398437823807702E-2</v>
      </c>
      <c r="AH4018" s="2" t="str">
        <f ca="1"/>
        <v>Good</v>
      </c>
    </row>
    <row r="4019" spans="2:34" x14ac:dyDescent="0.2">
      <c r="B4019" s="2">
        <f ca="1"/>
        <v>0.77024835526948587</v>
      </c>
      <c r="O4019" s="2">
        <f ca="1"/>
        <v>0.24446674076437402</v>
      </c>
      <c r="X4019" s="2">
        <f ca="1"/>
        <v>43.316179875963812</v>
      </c>
      <c r="AG4019" s="2">
        <f ca="1"/>
        <v>0.88479443763385257</v>
      </c>
      <c r="AH4019" s="2" t="str">
        <f ca="1"/>
        <v>Bad</v>
      </c>
    </row>
    <row r="4020" spans="2:34" x14ac:dyDescent="0.2">
      <c r="B4020" s="2">
        <f ca="1"/>
        <v>0.41354008939121423</v>
      </c>
      <c r="O4020" s="2">
        <f ca="1"/>
        <v>1.107470122977263</v>
      </c>
      <c r="X4020" s="2">
        <f ca="1"/>
        <v>38.441885942149526</v>
      </c>
      <c r="AG4020" s="2">
        <f ca="1"/>
        <v>0.96437349690612684</v>
      </c>
      <c r="AH4020" s="2" t="str">
        <f ca="1"/>
        <v>Bad</v>
      </c>
    </row>
    <row r="4021" spans="2:34" x14ac:dyDescent="0.2">
      <c r="B4021" s="2">
        <f ca="1"/>
        <v>5.8596548432139572E-2</v>
      </c>
      <c r="O4021" s="2">
        <f ca="1"/>
        <v>-1.842411954873314</v>
      </c>
      <c r="X4021" s="2">
        <f ca="1"/>
        <v>35.874518782266826</v>
      </c>
      <c r="AG4021" s="2">
        <f ca="1"/>
        <v>0.27246257996942447</v>
      </c>
      <c r="AH4021" s="2" t="str">
        <f ca="1"/>
        <v>OK</v>
      </c>
    </row>
    <row r="4022" spans="2:34" x14ac:dyDescent="0.2">
      <c r="B4022" s="2">
        <f ca="1"/>
        <v>0.66496617700726102</v>
      </c>
      <c r="O4022" s="2">
        <f ca="1"/>
        <v>1.7512598890603639</v>
      </c>
      <c r="X4022" s="2">
        <f ca="1"/>
        <v>29.592472626897642</v>
      </c>
      <c r="AG4022" s="2">
        <f ca="1"/>
        <v>0.62125258402681149</v>
      </c>
      <c r="AH4022" s="2" t="str">
        <f ca="1"/>
        <v>Bad</v>
      </c>
    </row>
    <row r="4023" spans="2:34" x14ac:dyDescent="0.2">
      <c r="B4023" s="2">
        <f ca="1"/>
        <v>0.32852791046964369</v>
      </c>
      <c r="O4023" s="2">
        <f ca="1"/>
        <v>0.88592917137819416</v>
      </c>
      <c r="X4023" s="2">
        <f ca="1"/>
        <v>60.9348489918806</v>
      </c>
      <c r="AG4023" s="2">
        <f ca="1"/>
        <v>0.45188234323925891</v>
      </c>
      <c r="AH4023" s="2" t="str">
        <f ca="1"/>
        <v>Bad</v>
      </c>
    </row>
    <row r="4024" spans="2:34" x14ac:dyDescent="0.2">
      <c r="B4024" s="2">
        <f ca="1"/>
        <v>0.1189574527327768</v>
      </c>
      <c r="O4024" s="2">
        <f ca="1"/>
        <v>-0.13594781628420466</v>
      </c>
      <c r="X4024" s="2">
        <f ca="1"/>
        <v>44.58702388448139</v>
      </c>
      <c r="AG4024" s="2">
        <f ca="1"/>
        <v>0.19697140743343344</v>
      </c>
      <c r="AH4024" s="2" t="str">
        <f ca="1"/>
        <v>OK</v>
      </c>
    </row>
    <row r="4025" spans="2:34" x14ac:dyDescent="0.2">
      <c r="B4025" s="2">
        <f ca="1"/>
        <v>0.82476039997693928</v>
      </c>
      <c r="O4025" s="2">
        <f ca="1"/>
        <v>-1.2623195269154788</v>
      </c>
      <c r="X4025" s="2">
        <f ca="1"/>
        <v>86.908466357287693</v>
      </c>
      <c r="AG4025" s="2">
        <f ca="1"/>
        <v>0.35628144332242195</v>
      </c>
      <c r="AH4025" s="2" t="str">
        <f ca="1"/>
        <v>OK</v>
      </c>
    </row>
    <row r="4026" spans="2:34" x14ac:dyDescent="0.2">
      <c r="B4026" s="2">
        <f ca="1"/>
        <v>0.40444836087000602</v>
      </c>
      <c r="O4026" s="2">
        <f ca="1"/>
        <v>1.0403971222357693</v>
      </c>
      <c r="X4026" s="2">
        <f ca="1"/>
        <v>60.520823340771919</v>
      </c>
      <c r="AG4026" s="2">
        <f ca="1"/>
        <v>0.65892703366665017</v>
      </c>
      <c r="AH4026" s="2" t="str">
        <f ca="1"/>
        <v>Bad</v>
      </c>
    </row>
    <row r="4027" spans="2:34" x14ac:dyDescent="0.2">
      <c r="B4027" s="2">
        <f ca="1"/>
        <v>0.31877561547618027</v>
      </c>
      <c r="O4027" s="2">
        <f ca="1"/>
        <v>-0.5935616897887267</v>
      </c>
      <c r="X4027" s="2">
        <f ca="1"/>
        <v>64.024514532425044</v>
      </c>
      <c r="AG4027" s="2">
        <f ca="1"/>
        <v>0.21269423793904219</v>
      </c>
      <c r="AH4027" s="2" t="str">
        <f ca="1"/>
        <v>OK</v>
      </c>
    </row>
    <row r="4028" spans="2:34" x14ac:dyDescent="0.2">
      <c r="B4028" s="2">
        <f ca="1"/>
        <v>0.9067268724483093</v>
      </c>
      <c r="O4028" s="2">
        <f ca="1"/>
        <v>-0.98051190720415937</v>
      </c>
      <c r="X4028" s="2">
        <f ca="1"/>
        <v>36.903668967297889</v>
      </c>
      <c r="AG4028" s="2">
        <f ca="1"/>
        <v>0.64505145890446425</v>
      </c>
      <c r="AH4028" s="2" t="str">
        <f ca="1"/>
        <v>Bad</v>
      </c>
    </row>
    <row r="4029" spans="2:34" x14ac:dyDescent="0.2">
      <c r="B4029" s="2">
        <f ca="1"/>
        <v>0.67407481814604164</v>
      </c>
      <c r="O4029" s="2">
        <f ca="1"/>
        <v>0.67677856828773386</v>
      </c>
      <c r="X4029" s="2">
        <f ca="1"/>
        <v>38.001239787742371</v>
      </c>
      <c r="AG4029" s="2">
        <f ca="1"/>
        <v>0.70857566092947777</v>
      </c>
      <c r="AH4029" s="2" t="str">
        <f ca="1"/>
        <v>Bad</v>
      </c>
    </row>
    <row r="4030" spans="2:34" x14ac:dyDescent="0.2">
      <c r="B4030" s="2">
        <f ca="1"/>
        <v>0.16551892114398203</v>
      </c>
      <c r="O4030" s="2">
        <f ca="1"/>
        <v>-3.9018965912265981E-2</v>
      </c>
      <c r="X4030" s="2">
        <f ca="1"/>
        <v>28.131069854132079</v>
      </c>
      <c r="AG4030" s="2">
        <f ca="1"/>
        <v>0.7344268298165546</v>
      </c>
      <c r="AH4030" s="2" t="str">
        <f ca="1"/>
        <v>Bad</v>
      </c>
    </row>
    <row r="4031" spans="2:34" x14ac:dyDescent="0.2">
      <c r="B4031" s="2">
        <f ca="1"/>
        <v>0.52726744004165593</v>
      </c>
      <c r="O4031" s="2">
        <f ca="1"/>
        <v>-0.16192455752365437</v>
      </c>
      <c r="X4031" s="2">
        <f ca="1"/>
        <v>29.23681156653614</v>
      </c>
      <c r="AG4031" s="2">
        <f ca="1"/>
        <v>0.25474880657464705</v>
      </c>
      <c r="AH4031" s="2" t="str">
        <f ca="1"/>
        <v>OK</v>
      </c>
    </row>
    <row r="4032" spans="2:34" x14ac:dyDescent="0.2">
      <c r="B4032" s="2">
        <f ca="1"/>
        <v>0.21225974491245614</v>
      </c>
      <c r="O4032" s="2">
        <f ca="1"/>
        <v>-0.58995460918026832</v>
      </c>
      <c r="X4032" s="2">
        <f ca="1"/>
        <v>38.585323821359239</v>
      </c>
      <c r="AG4032" s="2">
        <f ca="1"/>
        <v>0.27224298444592732</v>
      </c>
      <c r="AH4032" s="2" t="str">
        <f ca="1"/>
        <v>OK</v>
      </c>
    </row>
    <row r="4033" spans="2:34" x14ac:dyDescent="0.2">
      <c r="B4033" s="2">
        <f ca="1"/>
        <v>0.88955527685606262</v>
      </c>
      <c r="O4033" s="2">
        <f ca="1"/>
        <v>-1.5044999167653879</v>
      </c>
      <c r="X4033" s="2">
        <f ca="1"/>
        <v>43.255668710102206</v>
      </c>
      <c r="AG4033" s="2">
        <f ca="1"/>
        <v>0.12693362549631693</v>
      </c>
      <c r="AH4033" s="2" t="str">
        <f ca="1"/>
        <v>OK</v>
      </c>
    </row>
    <row r="4034" spans="2:34" x14ac:dyDescent="0.2">
      <c r="B4034" s="2">
        <f ca="1"/>
        <v>0.93710906632689372</v>
      </c>
      <c r="O4034" s="2">
        <f ca="1"/>
        <v>-0.10187628162385205</v>
      </c>
      <c r="X4034" s="2">
        <f ca="1"/>
        <v>30.862660739054569</v>
      </c>
      <c r="AG4034" s="2">
        <f ca="1"/>
        <v>0.16011716171771262</v>
      </c>
      <c r="AH4034" s="2" t="str">
        <f ca="1"/>
        <v>OK</v>
      </c>
    </row>
    <row r="4035" spans="2:34" x14ac:dyDescent="0.2">
      <c r="B4035" s="2">
        <f ca="1"/>
        <v>0.95200964562033574</v>
      </c>
      <c r="O4035" s="2">
        <f ca="1"/>
        <v>-1.271029181343283</v>
      </c>
      <c r="X4035" s="2">
        <f ca="1"/>
        <v>69.135827773512005</v>
      </c>
      <c r="AG4035" s="2">
        <f ca="1"/>
        <v>0.78966974757418362</v>
      </c>
      <c r="AH4035" s="2" t="str">
        <f ca="1"/>
        <v>Bad</v>
      </c>
    </row>
    <row r="4036" spans="2:34" x14ac:dyDescent="0.2">
      <c r="B4036" s="2">
        <f ca="1"/>
        <v>0.1418156452247632</v>
      </c>
      <c r="O4036" s="2">
        <f ca="1"/>
        <v>0.47102171820404803</v>
      </c>
      <c r="X4036" s="2">
        <f ca="1"/>
        <v>56.465144304517608</v>
      </c>
      <c r="AG4036" s="2">
        <f ca="1"/>
        <v>0.69292087673640035</v>
      </c>
      <c r="AH4036" s="2" t="str">
        <f ca="1"/>
        <v>Bad</v>
      </c>
    </row>
    <row r="4037" spans="2:34" x14ac:dyDescent="0.2">
      <c r="B4037" s="2">
        <f ca="1"/>
        <v>4.4763273895052746E-2</v>
      </c>
      <c r="O4037" s="2">
        <f ca="1"/>
        <v>-6.7066549558922203E-2</v>
      </c>
      <c r="X4037" s="2">
        <f ca="1"/>
        <v>39.714204243023673</v>
      </c>
      <c r="AG4037" s="2">
        <f ca="1"/>
        <v>0.68435922840371566</v>
      </c>
      <c r="AH4037" s="2" t="str">
        <f ca="1"/>
        <v>Bad</v>
      </c>
    </row>
    <row r="4038" spans="2:34" x14ac:dyDescent="0.2">
      <c r="B4038" s="2">
        <f ca="1"/>
        <v>0.205747625103472</v>
      </c>
      <c r="O4038" s="2">
        <f ca="1"/>
        <v>-0.5929596792738836</v>
      </c>
      <c r="X4038" s="2">
        <f ca="1"/>
        <v>53.160672152602302</v>
      </c>
      <c r="AG4038" s="2">
        <f ca="1"/>
        <v>0.84418616202093721</v>
      </c>
      <c r="AH4038" s="2" t="str">
        <f ca="1"/>
        <v>Bad</v>
      </c>
    </row>
    <row r="4039" spans="2:34" x14ac:dyDescent="0.2">
      <c r="B4039" s="2">
        <f ca="1"/>
        <v>0.20256344478329891</v>
      </c>
      <c r="O4039" s="2">
        <f ca="1"/>
        <v>-0.18808079050188578</v>
      </c>
      <c r="X4039" s="2">
        <f ca="1"/>
        <v>55.068442970577109</v>
      </c>
      <c r="AG4039" s="2">
        <f ca="1"/>
        <v>0.23597435059270655</v>
      </c>
      <c r="AH4039" s="2" t="str">
        <f ca="1"/>
        <v>OK</v>
      </c>
    </row>
    <row r="4040" spans="2:34" x14ac:dyDescent="0.2">
      <c r="B4040" s="2">
        <f ca="1"/>
        <v>0.92617516870979388</v>
      </c>
      <c r="O4040" s="2">
        <f ca="1"/>
        <v>0.28727151942843582</v>
      </c>
      <c r="X4040" s="2">
        <f ca="1"/>
        <v>53.186217869323798</v>
      </c>
      <c r="AG4040" s="2">
        <f ca="1"/>
        <v>0.11383560372578061</v>
      </c>
      <c r="AH4040" s="2" t="str">
        <f ca="1"/>
        <v>OK</v>
      </c>
    </row>
    <row r="4041" spans="2:34" x14ac:dyDescent="0.2">
      <c r="B4041" s="2">
        <f ca="1"/>
        <v>0.66026733308712204</v>
      </c>
      <c r="O4041" s="2">
        <f ca="1"/>
        <v>1.2461879132416589</v>
      </c>
      <c r="X4041" s="2">
        <f ca="1"/>
        <v>56.039892005853019</v>
      </c>
      <c r="AG4041" s="2">
        <f ca="1"/>
        <v>0.21206758912071599</v>
      </c>
      <c r="AH4041" s="2" t="str">
        <f ca="1"/>
        <v>OK</v>
      </c>
    </row>
    <row r="4042" spans="2:34" x14ac:dyDescent="0.2">
      <c r="B4042" s="2">
        <f ca="1"/>
        <v>0.54172435091877236</v>
      </c>
      <c r="O4042" s="2">
        <f ca="1"/>
        <v>0.89400879542930412</v>
      </c>
      <c r="X4042" s="2">
        <f ca="1"/>
        <v>43.728848449077411</v>
      </c>
      <c r="AG4042" s="2">
        <f ca="1"/>
        <v>0.25068160603715728</v>
      </c>
      <c r="AH4042" s="2" t="str">
        <f ca="1"/>
        <v>OK</v>
      </c>
    </row>
    <row r="4043" spans="2:34" x14ac:dyDescent="0.2">
      <c r="B4043" s="2">
        <f ca="1"/>
        <v>0.73414559101066956</v>
      </c>
      <c r="O4043" s="2">
        <f ca="1"/>
        <v>0.37393472067128952</v>
      </c>
      <c r="X4043" s="2">
        <f ca="1"/>
        <v>85.299981048620239</v>
      </c>
      <c r="AG4043" s="2">
        <f ca="1"/>
        <v>2.7491385035169236E-2</v>
      </c>
      <c r="AH4043" s="2" t="str">
        <f ca="1"/>
        <v>Good</v>
      </c>
    </row>
    <row r="4044" spans="2:34" x14ac:dyDescent="0.2">
      <c r="B4044" s="2">
        <f ca="1"/>
        <v>0.2736396319342258</v>
      </c>
      <c r="O4044" s="2">
        <f ca="1"/>
        <v>0.98825406272851379</v>
      </c>
      <c r="X4044" s="2">
        <f ca="1"/>
        <v>40.909088652948611</v>
      </c>
      <c r="AG4044" s="2">
        <f ca="1"/>
        <v>0.22602268653784874</v>
      </c>
      <c r="AH4044" s="2" t="str">
        <f ca="1"/>
        <v>OK</v>
      </c>
    </row>
    <row r="4045" spans="2:34" x14ac:dyDescent="0.2">
      <c r="B4045" s="2">
        <f ca="1"/>
        <v>0.88398532362189086</v>
      </c>
      <c r="O4045" s="2">
        <f ca="1"/>
        <v>1.6648652890336386</v>
      </c>
      <c r="X4045" s="2">
        <f ca="1"/>
        <v>66.124574469091314</v>
      </c>
      <c r="AG4045" s="2">
        <f ca="1"/>
        <v>0.48282461975730584</v>
      </c>
      <c r="AH4045" s="2" t="str">
        <f ca="1"/>
        <v>Bad</v>
      </c>
    </row>
    <row r="4046" spans="2:34" x14ac:dyDescent="0.2">
      <c r="B4046" s="2">
        <f ca="1"/>
        <v>8.430634078937338E-2</v>
      </c>
      <c r="O4046" s="2">
        <f ca="1"/>
        <v>-0.66350479884448132</v>
      </c>
      <c r="X4046" s="2">
        <f ca="1"/>
        <v>44.689887920840093</v>
      </c>
      <c r="AG4046" s="2">
        <f ca="1"/>
        <v>0.17799713949224327</v>
      </c>
      <c r="AH4046" s="2" t="str">
        <f ca="1"/>
        <v>OK</v>
      </c>
    </row>
    <row r="4047" spans="2:34" x14ac:dyDescent="0.2">
      <c r="B4047" s="2">
        <f ca="1"/>
        <v>5.957098944382011E-2</v>
      </c>
      <c r="O4047" s="2">
        <f ca="1"/>
        <v>1.6340420188735576</v>
      </c>
      <c r="X4047" s="2">
        <f ca="1"/>
        <v>49.344982581726228</v>
      </c>
      <c r="AG4047" s="2">
        <f ca="1"/>
        <v>0.52747802179549286</v>
      </c>
      <c r="AH4047" s="2" t="str">
        <f ca="1"/>
        <v>Bad</v>
      </c>
    </row>
    <row r="4048" spans="2:34" x14ac:dyDescent="0.2">
      <c r="B4048" s="2">
        <f ca="1"/>
        <v>8.5230645318936649E-3</v>
      </c>
      <c r="O4048" s="2">
        <f ca="1"/>
        <v>-1.1284134753645854</v>
      </c>
      <c r="X4048" s="2">
        <f ca="1"/>
        <v>39.420768171632886</v>
      </c>
      <c r="AG4048" s="2">
        <f ca="1"/>
        <v>5.4979523245766826E-2</v>
      </c>
      <c r="AH4048" s="2" t="str">
        <f ca="1"/>
        <v>OK</v>
      </c>
    </row>
    <row r="4049" spans="2:34" x14ac:dyDescent="0.2">
      <c r="B4049" s="2">
        <f ca="1"/>
        <v>0.61170008994482639</v>
      </c>
      <c r="O4049" s="2">
        <f ca="1"/>
        <v>1.5237007588616123E-2</v>
      </c>
      <c r="X4049" s="2">
        <f ca="1"/>
        <v>81.529473074952307</v>
      </c>
      <c r="AG4049" s="2">
        <f ca="1"/>
        <v>0.68356900119463915</v>
      </c>
      <c r="AH4049" s="2" t="str">
        <f ca="1"/>
        <v>Bad</v>
      </c>
    </row>
    <row r="4050" spans="2:34" x14ac:dyDescent="0.2">
      <c r="B4050" s="2">
        <f ca="1"/>
        <v>0.42203836304922149</v>
      </c>
      <c r="O4050" s="2">
        <f ca="1"/>
        <v>-2.3048495709848034</v>
      </c>
      <c r="X4050" s="2">
        <f ca="1"/>
        <v>87.29995672696775</v>
      </c>
      <c r="AG4050" s="2">
        <f ca="1"/>
        <v>0.99470671217811235</v>
      </c>
      <c r="AH4050" s="2" t="str">
        <f ca="1"/>
        <v>Bad</v>
      </c>
    </row>
    <row r="4051" spans="2:34" x14ac:dyDescent="0.2">
      <c r="B4051" s="2">
        <f ca="1"/>
        <v>0.48559075666475371</v>
      </c>
      <c r="O4051" s="2">
        <f ca="1"/>
        <v>0.13253942868566598</v>
      </c>
      <c r="X4051" s="2">
        <f ca="1"/>
        <v>44.214070213849688</v>
      </c>
      <c r="AG4051" s="2">
        <f ca="1"/>
        <v>0.83810948073272207</v>
      </c>
      <c r="AH4051" s="2" t="str">
        <f ca="1"/>
        <v>Bad</v>
      </c>
    </row>
    <row r="4052" spans="2:34" x14ac:dyDescent="0.2">
      <c r="B4052" s="2">
        <f ca="1"/>
        <v>0.72458829139346714</v>
      </c>
      <c r="O4052" s="2">
        <f ca="1"/>
        <v>1.9028724512602833</v>
      </c>
      <c r="X4052" s="2">
        <f ca="1"/>
        <v>39.351284186130826</v>
      </c>
      <c r="AG4052" s="2">
        <f ca="1"/>
        <v>0.6347726339685551</v>
      </c>
      <c r="AH4052" s="2" t="str">
        <f ca="1"/>
        <v>Bad</v>
      </c>
    </row>
    <row r="4053" spans="2:34" x14ac:dyDescent="0.2">
      <c r="B4053" s="2">
        <f ca="1"/>
        <v>0.43100745853538669</v>
      </c>
      <c r="O4053" s="2">
        <f ca="1"/>
        <v>1.3034438510314248</v>
      </c>
      <c r="X4053" s="2">
        <f ca="1"/>
        <v>33.872808360085536</v>
      </c>
      <c r="AG4053" s="2">
        <f ca="1"/>
        <v>0.18325474216581927</v>
      </c>
      <c r="AH4053" s="2" t="str">
        <f ca="1"/>
        <v>OK</v>
      </c>
    </row>
    <row r="4054" spans="2:34" x14ac:dyDescent="0.2">
      <c r="B4054" s="2">
        <f ca="1"/>
        <v>0.17935670904219192</v>
      </c>
      <c r="O4054" s="2">
        <f ca="1"/>
        <v>1.2691251992755708</v>
      </c>
      <c r="X4054" s="2">
        <f ca="1"/>
        <v>45.493578738876394</v>
      </c>
      <c r="AG4054" s="2">
        <f ca="1"/>
        <v>0.96445705831139383</v>
      </c>
      <c r="AH4054" s="2" t="str">
        <f ca="1"/>
        <v>Bad</v>
      </c>
    </row>
    <row r="4055" spans="2:34" x14ac:dyDescent="0.2">
      <c r="B4055" s="2">
        <f ca="1"/>
        <v>0.49106997252272633</v>
      </c>
      <c r="O4055" s="2">
        <f ca="1"/>
        <v>-1.091028423768293</v>
      </c>
      <c r="X4055" s="2">
        <f ca="1"/>
        <v>35.548037404524493</v>
      </c>
      <c r="AG4055" s="2">
        <f ca="1"/>
        <v>0.68988330598431946</v>
      </c>
      <c r="AH4055" s="2" t="str">
        <f ca="1"/>
        <v>Bad</v>
      </c>
    </row>
    <row r="4056" spans="2:34" x14ac:dyDescent="0.2">
      <c r="B4056" s="2">
        <f ca="1"/>
        <v>8.2407908468955071E-2</v>
      </c>
      <c r="O4056" s="2">
        <f ca="1"/>
        <v>-1.1675466667576841</v>
      </c>
      <c r="X4056" s="2">
        <f ca="1"/>
        <v>41.886672094807089</v>
      </c>
      <c r="AG4056" s="2">
        <f ca="1"/>
        <v>0.47166707645987049</v>
      </c>
      <c r="AH4056" s="2" t="str">
        <f ca="1"/>
        <v>Bad</v>
      </c>
    </row>
    <row r="4057" spans="2:34" x14ac:dyDescent="0.2">
      <c r="B4057" s="2">
        <f ca="1"/>
        <v>5.0654964546231085E-2</v>
      </c>
      <c r="O4057" s="2">
        <f ca="1"/>
        <v>-0.9086898160843303</v>
      </c>
      <c r="X4057" s="2">
        <f ca="1"/>
        <v>42.344295147210282</v>
      </c>
      <c r="AG4057" s="2">
        <f ca="1"/>
        <v>1.8303400105102563E-2</v>
      </c>
      <c r="AH4057" s="2" t="str">
        <f ca="1"/>
        <v>Good</v>
      </c>
    </row>
    <row r="4058" spans="2:34" x14ac:dyDescent="0.2">
      <c r="B4058" s="2">
        <f ca="1"/>
        <v>0.52735883897229474</v>
      </c>
      <c r="O4058" s="2">
        <f ca="1"/>
        <v>0.26226018491409753</v>
      </c>
      <c r="X4058" s="2">
        <f ca="1"/>
        <v>32.781896095282647</v>
      </c>
      <c r="AG4058" s="2">
        <f ca="1"/>
        <v>0.53395539552828364</v>
      </c>
      <c r="AH4058" s="2" t="str">
        <f ca="1"/>
        <v>Bad</v>
      </c>
    </row>
    <row r="4059" spans="2:34" x14ac:dyDescent="0.2">
      <c r="B4059" s="2">
        <f ca="1"/>
        <v>0.56774070052522818</v>
      </c>
      <c r="O4059" s="2">
        <f ca="1"/>
        <v>0.26578618201126764</v>
      </c>
      <c r="X4059" s="2">
        <f ca="1"/>
        <v>32.512110396246534</v>
      </c>
      <c r="AG4059" s="2">
        <f ca="1"/>
        <v>0.12651023311058984</v>
      </c>
      <c r="AH4059" s="2" t="str">
        <f ca="1"/>
        <v>OK</v>
      </c>
    </row>
    <row r="4060" spans="2:34" x14ac:dyDescent="0.2">
      <c r="B4060" s="2">
        <f ca="1"/>
        <v>0.95351903844296904</v>
      </c>
      <c r="O4060" s="2">
        <f ca="1"/>
        <v>3.2902645781589519</v>
      </c>
      <c r="X4060" s="2">
        <f ca="1"/>
        <v>49.645428925652062</v>
      </c>
      <c r="AG4060" s="2">
        <f ca="1"/>
        <v>0.26890180362008609</v>
      </c>
      <c r="AH4060" s="2" t="str">
        <f ca="1"/>
        <v>OK</v>
      </c>
    </row>
    <row r="4061" spans="2:34" x14ac:dyDescent="0.2">
      <c r="B4061" s="2">
        <f ca="1"/>
        <v>0.49774840507688212</v>
      </c>
      <c r="O4061" s="2">
        <f ca="1"/>
        <v>0.34049195892274364</v>
      </c>
      <c r="X4061" s="2">
        <f ca="1"/>
        <v>48.663760592787952</v>
      </c>
      <c r="AG4061" s="2">
        <f ca="1"/>
        <v>0.48244568450318792</v>
      </c>
      <c r="AH4061" s="2" t="str">
        <f ca="1"/>
        <v>Bad</v>
      </c>
    </row>
    <row r="4062" spans="2:34" x14ac:dyDescent="0.2">
      <c r="B4062" s="2">
        <f ca="1"/>
        <v>0.38849758334549223</v>
      </c>
      <c r="O4062" s="2">
        <f ca="1"/>
        <v>0.54269240654701367</v>
      </c>
      <c r="X4062" s="2">
        <f ca="1"/>
        <v>40.046456743588848</v>
      </c>
      <c r="AG4062" s="2">
        <f ca="1"/>
        <v>0.18744385037280642</v>
      </c>
      <c r="AH4062" s="2" t="str">
        <f ca="1"/>
        <v>OK</v>
      </c>
    </row>
    <row r="4063" spans="2:34" x14ac:dyDescent="0.2">
      <c r="B4063" s="2">
        <f ca="1"/>
        <v>0.83245473408785831</v>
      </c>
      <c r="O4063" s="2">
        <f ca="1"/>
        <v>0.46363687041993723</v>
      </c>
      <c r="X4063" s="2">
        <f ca="1"/>
        <v>69.703325824035062</v>
      </c>
      <c r="AG4063" s="2">
        <f ca="1"/>
        <v>0.51904190947877393</v>
      </c>
      <c r="AH4063" s="2" t="str">
        <f ca="1"/>
        <v>Bad</v>
      </c>
    </row>
    <row r="4064" spans="2:34" x14ac:dyDescent="0.2">
      <c r="B4064" s="2">
        <f ca="1"/>
        <v>0.48273732777324252</v>
      </c>
      <c r="O4064" s="2">
        <f ca="1"/>
        <v>1.4396836568331202</v>
      </c>
      <c r="X4064" s="2">
        <f ca="1"/>
        <v>52.16178939420039</v>
      </c>
      <c r="AG4064" s="2">
        <f ca="1"/>
        <v>0.3775946363106859</v>
      </c>
      <c r="AH4064" s="2" t="str">
        <f ca="1"/>
        <v>OK</v>
      </c>
    </row>
    <row r="4065" spans="2:34" x14ac:dyDescent="0.2">
      <c r="B4065" s="2">
        <f ca="1"/>
        <v>0.1257118617484847</v>
      </c>
      <c r="O4065" s="2">
        <f ca="1"/>
        <v>-0.25833412176355758</v>
      </c>
      <c r="X4065" s="2">
        <f ca="1"/>
        <v>33.948503918437467</v>
      </c>
      <c r="AG4065" s="2">
        <f ca="1"/>
        <v>0.61770277297083753</v>
      </c>
      <c r="AH4065" s="2" t="str">
        <f ca="1"/>
        <v>Bad</v>
      </c>
    </row>
    <row r="4066" spans="2:34" x14ac:dyDescent="0.2">
      <c r="B4066" s="2">
        <f ca="1"/>
        <v>7.6573838279668571E-2</v>
      </c>
      <c r="O4066" s="2">
        <f ca="1"/>
        <v>1.3085546047987062</v>
      </c>
      <c r="X4066" s="2">
        <f ca="1"/>
        <v>39.132772387450643</v>
      </c>
      <c r="AG4066" s="2">
        <f ca="1"/>
        <v>0.48091580424193592</v>
      </c>
      <c r="AH4066" s="2" t="str">
        <f ca="1"/>
        <v>Bad</v>
      </c>
    </row>
    <row r="4067" spans="2:34" x14ac:dyDescent="0.2">
      <c r="B4067" s="2">
        <f ca="1"/>
        <v>0.54399357431637085</v>
      </c>
      <c r="O4067" s="2">
        <f ca="1"/>
        <v>-0.63919050770713659</v>
      </c>
      <c r="X4067" s="2">
        <f ca="1"/>
        <v>57.62662549476417</v>
      </c>
      <c r="AG4067" s="2">
        <f ca="1"/>
        <v>0.11454265557971821</v>
      </c>
      <c r="AH4067" s="2" t="str">
        <f ca="1"/>
        <v>OK</v>
      </c>
    </row>
    <row r="4068" spans="2:34" x14ac:dyDescent="0.2">
      <c r="B4068" s="2">
        <f ca="1"/>
        <v>0.21252953869472901</v>
      </c>
      <c r="O4068" s="2">
        <f ca="1"/>
        <v>-1.2163313373960876</v>
      </c>
      <c r="X4068" s="2">
        <f ca="1"/>
        <v>44.415933949189359</v>
      </c>
      <c r="AG4068" s="2">
        <f ca="1"/>
        <v>0.24001444387902171</v>
      </c>
      <c r="AH4068" s="2" t="str">
        <f ca="1"/>
        <v>OK</v>
      </c>
    </row>
    <row r="4069" spans="2:34" x14ac:dyDescent="0.2">
      <c r="B4069" s="2">
        <f ca="1"/>
        <v>0.9103858447441362</v>
      </c>
      <c r="O4069" s="2">
        <f ca="1"/>
        <v>1.5381966282092072</v>
      </c>
      <c r="X4069" s="2">
        <f ca="1"/>
        <v>55.78312385582894</v>
      </c>
      <c r="AG4069" s="2">
        <f ca="1"/>
        <v>0.10618690879344239</v>
      </c>
      <c r="AH4069" s="2" t="str">
        <f ca="1"/>
        <v>OK</v>
      </c>
    </row>
    <row r="4070" spans="2:34" x14ac:dyDescent="0.2">
      <c r="B4070" s="2">
        <f ca="1"/>
        <v>0.22936641330473684</v>
      </c>
      <c r="O4070" s="2">
        <f ca="1"/>
        <v>-0.1714680011123389</v>
      </c>
      <c r="X4070" s="2">
        <f ca="1"/>
        <v>31.427209442477029</v>
      </c>
      <c r="AG4070" s="2">
        <f ca="1"/>
        <v>5.7969520165634725E-2</v>
      </c>
      <c r="AH4070" s="2" t="str">
        <f ca="1"/>
        <v>OK</v>
      </c>
    </row>
    <row r="4071" spans="2:34" x14ac:dyDescent="0.2">
      <c r="B4071" s="2">
        <f ca="1"/>
        <v>0.91433630606490301</v>
      </c>
      <c r="O4071" s="2">
        <f ca="1"/>
        <v>9.7141600028905303E-2</v>
      </c>
      <c r="X4071" s="2">
        <f ca="1"/>
        <v>41.609497167132005</v>
      </c>
      <c r="AG4071" s="2">
        <f ca="1"/>
        <v>0.32100864422858444</v>
      </c>
      <c r="AH4071" s="2" t="str">
        <f ca="1"/>
        <v>OK</v>
      </c>
    </row>
    <row r="4072" spans="2:34" x14ac:dyDescent="0.2">
      <c r="B4072" s="2">
        <f ca="1"/>
        <v>0.34620780860863065</v>
      </c>
      <c r="O4072" s="2">
        <f ca="1"/>
        <v>-1.8200178438018817</v>
      </c>
      <c r="X4072" s="2">
        <f ca="1"/>
        <v>55.268559915533196</v>
      </c>
      <c r="AG4072" s="2">
        <f ca="1"/>
        <v>7.3585120773278501E-2</v>
      </c>
      <c r="AH4072" s="2" t="str">
        <f ca="1"/>
        <v>OK</v>
      </c>
    </row>
    <row r="4073" spans="2:34" x14ac:dyDescent="0.2">
      <c r="B4073" s="2">
        <f ca="1"/>
        <v>0.17147126065836127</v>
      </c>
      <c r="O4073" s="2">
        <f ca="1"/>
        <v>-0.68127568872846711</v>
      </c>
      <c r="X4073" s="2">
        <f ca="1"/>
        <v>37.540420428156892</v>
      </c>
      <c r="AG4073" s="2">
        <f ca="1"/>
        <v>4.4631288918000056E-2</v>
      </c>
      <c r="AH4073" s="2" t="str">
        <f ca="1"/>
        <v>Good</v>
      </c>
    </row>
    <row r="4074" spans="2:34" x14ac:dyDescent="0.2">
      <c r="B4074" s="2">
        <f ca="1"/>
        <v>0.83988141903072333</v>
      </c>
      <c r="O4074" s="2">
        <f ca="1"/>
        <v>-1.8351995468410549</v>
      </c>
      <c r="X4074" s="2">
        <f ca="1"/>
        <v>46.266549890709911</v>
      </c>
      <c r="AG4074" s="2">
        <f ca="1"/>
        <v>1.4196560832926197E-2</v>
      </c>
      <c r="AH4074" s="2" t="str">
        <f ca="1"/>
        <v>Good</v>
      </c>
    </row>
    <row r="4075" spans="2:34" x14ac:dyDescent="0.2">
      <c r="B4075" s="2">
        <f ca="1"/>
        <v>0.37393695850033271</v>
      </c>
      <c r="O4075" s="2">
        <f ca="1"/>
        <v>0.956246630258061</v>
      </c>
      <c r="X4075" s="2">
        <f ca="1"/>
        <v>46.949058237198514</v>
      </c>
      <c r="AG4075" s="2">
        <f ca="1"/>
        <v>0.68202445310268023</v>
      </c>
      <c r="AH4075" s="2" t="str">
        <f ca="1"/>
        <v>Bad</v>
      </c>
    </row>
    <row r="4076" spans="2:34" x14ac:dyDescent="0.2">
      <c r="B4076" s="2">
        <f ca="1"/>
        <v>0.65864954041593227</v>
      </c>
      <c r="O4076" s="2">
        <f ca="1"/>
        <v>-0.68885211190912421</v>
      </c>
      <c r="X4076" s="2">
        <f ca="1"/>
        <v>53.970925554588483</v>
      </c>
      <c r="AG4076" s="2">
        <f ca="1"/>
        <v>0.94938404193836501</v>
      </c>
      <c r="AH4076" s="2" t="str">
        <f ca="1"/>
        <v>Bad</v>
      </c>
    </row>
    <row r="4077" spans="2:34" x14ac:dyDescent="0.2">
      <c r="B4077" s="2">
        <f ca="1"/>
        <v>0.83292936164189912</v>
      </c>
      <c r="O4077" s="2">
        <f ca="1"/>
        <v>0.96816469527002558</v>
      </c>
      <c r="X4077" s="2">
        <f ca="1"/>
        <v>51.306316911912205</v>
      </c>
      <c r="AG4077" s="2">
        <f ca="1"/>
        <v>0.66256903174225146</v>
      </c>
      <c r="AH4077" s="2" t="str">
        <f ca="1"/>
        <v>Bad</v>
      </c>
    </row>
    <row r="4078" spans="2:34" x14ac:dyDescent="0.2">
      <c r="B4078" s="2">
        <f ca="1"/>
        <v>0.14473438936195082</v>
      </c>
      <c r="O4078" s="2">
        <f ca="1"/>
        <v>-0.28312329573497508</v>
      </c>
      <c r="X4078" s="2">
        <f ca="1"/>
        <v>40.399058122713839</v>
      </c>
      <c r="AG4078" s="2">
        <f ca="1"/>
        <v>0.14372346136817304</v>
      </c>
      <c r="AH4078" s="2" t="str">
        <f ca="1"/>
        <v>OK</v>
      </c>
    </row>
    <row r="4079" spans="2:34" x14ac:dyDescent="0.2">
      <c r="B4079" s="2">
        <f ca="1"/>
        <v>0.88735756506993946</v>
      </c>
      <c r="O4079" s="2">
        <f ca="1"/>
        <v>0.68385088900815438</v>
      </c>
      <c r="X4079" s="2">
        <f ca="1"/>
        <v>31.494059437465665</v>
      </c>
      <c r="AG4079" s="2">
        <f ca="1"/>
        <v>0.44082421340886202</v>
      </c>
      <c r="AH4079" s="2" t="str">
        <f ca="1"/>
        <v>Bad</v>
      </c>
    </row>
    <row r="4080" spans="2:34" x14ac:dyDescent="0.2">
      <c r="B4080" s="2">
        <f ca="1"/>
        <v>0.72635986965864818</v>
      </c>
      <c r="O4080" s="2">
        <f ca="1"/>
        <v>-0.63599541204734</v>
      </c>
      <c r="X4080" s="2">
        <f ca="1"/>
        <v>60.450539029660575</v>
      </c>
      <c r="AG4080" s="2">
        <f ca="1"/>
        <v>0.1030476798974076</v>
      </c>
      <c r="AH4080" s="2" t="str">
        <f ca="1"/>
        <v>OK</v>
      </c>
    </row>
    <row r="4081" spans="2:34" x14ac:dyDescent="0.2">
      <c r="B4081" s="2">
        <f ca="1"/>
        <v>0.87806066239430014</v>
      </c>
      <c r="O4081" s="2">
        <f ca="1"/>
        <v>-0.34558381992902915</v>
      </c>
      <c r="X4081" s="2">
        <f ca="1"/>
        <v>26.492628326556684</v>
      </c>
      <c r="AG4081" s="2">
        <f ca="1"/>
        <v>0.47052871986274813</v>
      </c>
      <c r="AH4081" s="2" t="str">
        <f ca="1"/>
        <v>Bad</v>
      </c>
    </row>
    <row r="4082" spans="2:34" x14ac:dyDescent="0.2">
      <c r="B4082" s="2">
        <f ca="1"/>
        <v>4.8109315871272207E-2</v>
      </c>
      <c r="O4082" s="2">
        <f ca="1"/>
        <v>0.64507290742808165</v>
      </c>
      <c r="X4082" s="2">
        <f ca="1"/>
        <v>62.74447709291357</v>
      </c>
      <c r="AG4082" s="2">
        <f ca="1"/>
        <v>0.24237964751469221</v>
      </c>
      <c r="AH4082" s="2" t="str">
        <f ca="1"/>
        <v>OK</v>
      </c>
    </row>
    <row r="4083" spans="2:34" x14ac:dyDescent="0.2">
      <c r="B4083" s="2">
        <f ca="1"/>
        <v>7.6249026888414173E-2</v>
      </c>
      <c r="O4083" s="2">
        <f ca="1"/>
        <v>-1.9084664623216112</v>
      </c>
      <c r="X4083" s="2">
        <f ca="1"/>
        <v>57.033713817777112</v>
      </c>
      <c r="AG4083" s="2">
        <f ca="1"/>
        <v>0.29770203724328392</v>
      </c>
      <c r="AH4083" s="2" t="str">
        <f ca="1"/>
        <v>OK</v>
      </c>
    </row>
    <row r="4084" spans="2:34" x14ac:dyDescent="0.2">
      <c r="B4084" s="2">
        <f ca="1"/>
        <v>0.71315198257015711</v>
      </c>
      <c r="O4084" s="2">
        <f ca="1"/>
        <v>6.4842295194308093E-3</v>
      </c>
      <c r="X4084" s="2">
        <f ca="1"/>
        <v>90.622043536394088</v>
      </c>
      <c r="AG4084" s="2">
        <f ca="1"/>
        <v>0.96554521086893796</v>
      </c>
      <c r="AH4084" s="2" t="str">
        <f ca="1"/>
        <v>Bad</v>
      </c>
    </row>
    <row r="4085" spans="2:34" x14ac:dyDescent="0.2">
      <c r="B4085" s="2">
        <f ca="1"/>
        <v>0.81417277050083525</v>
      </c>
      <c r="O4085" s="2">
        <f ca="1"/>
        <v>-0.95228536828204768</v>
      </c>
      <c r="X4085" s="2">
        <f ca="1"/>
        <v>56.9557265880401</v>
      </c>
      <c r="AG4085" s="2">
        <f ca="1"/>
        <v>0.37565070407754209</v>
      </c>
      <c r="AH4085" s="2" t="str">
        <f ca="1"/>
        <v>OK</v>
      </c>
    </row>
    <row r="4086" spans="2:34" x14ac:dyDescent="0.2">
      <c r="B4086" s="2">
        <f ca="1"/>
        <v>9.3053869462963457E-2</v>
      </c>
      <c r="O4086" s="2">
        <f ca="1"/>
        <v>-0.19344581412531356</v>
      </c>
      <c r="X4086" s="2">
        <f ca="1"/>
        <v>40.675033790693718</v>
      </c>
      <c r="AG4086" s="2">
        <f ca="1"/>
        <v>6.0877187196769933E-2</v>
      </c>
      <c r="AH4086" s="2" t="str">
        <f ca="1"/>
        <v>OK</v>
      </c>
    </row>
    <row r="4087" spans="2:34" x14ac:dyDescent="0.2">
      <c r="B4087" s="2">
        <f ca="1"/>
        <v>0.51097743716172861</v>
      </c>
      <c r="O4087" s="2">
        <f ca="1"/>
        <v>-0.18992482234950814</v>
      </c>
      <c r="X4087" s="2">
        <f ca="1"/>
        <v>35.232018365141606</v>
      </c>
      <c r="AG4087" s="2">
        <f ca="1"/>
        <v>0.54237883676228638</v>
      </c>
      <c r="AH4087" s="2" t="str">
        <f ca="1"/>
        <v>Bad</v>
      </c>
    </row>
    <row r="4088" spans="2:34" x14ac:dyDescent="0.2">
      <c r="B4088" s="2">
        <f ca="1"/>
        <v>0.62261275799964877</v>
      </c>
      <c r="O4088" s="2">
        <f ca="1"/>
        <v>-0.11452000099607375</v>
      </c>
      <c r="X4088" s="2">
        <f ca="1"/>
        <v>40.911698728647245</v>
      </c>
      <c r="AG4088" s="2">
        <f ca="1"/>
        <v>0.46036851030700632</v>
      </c>
      <c r="AH4088" s="2" t="str">
        <f ca="1"/>
        <v>Bad</v>
      </c>
    </row>
    <row r="4089" spans="2:34" x14ac:dyDescent="0.2">
      <c r="B4089" s="2">
        <f ca="1"/>
        <v>0.83659765847931733</v>
      </c>
      <c r="O4089" s="2">
        <f ca="1"/>
        <v>-1.3533513912088653</v>
      </c>
      <c r="X4089" s="2">
        <f ca="1"/>
        <v>39.403892460260266</v>
      </c>
      <c r="AG4089" s="2">
        <f ca="1"/>
        <v>0.23305183521878003</v>
      </c>
      <c r="AH4089" s="2" t="str">
        <f ca="1"/>
        <v>OK</v>
      </c>
    </row>
    <row r="4090" spans="2:34" x14ac:dyDescent="0.2">
      <c r="B4090" s="2">
        <f ca="1"/>
        <v>0.46967351582006067</v>
      </c>
      <c r="O4090" s="2">
        <f ca="1"/>
        <v>3.117725716260512E-2</v>
      </c>
      <c r="X4090" s="2">
        <f ca="1"/>
        <v>27.053241536731711</v>
      </c>
      <c r="AG4090" s="2">
        <f ca="1"/>
        <v>0.87608641680830024</v>
      </c>
      <c r="AH4090" s="2" t="str">
        <f ca="1"/>
        <v>Bad</v>
      </c>
    </row>
    <row r="4091" spans="2:34" x14ac:dyDescent="0.2">
      <c r="B4091" s="2">
        <f ca="1"/>
        <v>0.99412816611787447</v>
      </c>
      <c r="O4091" s="2">
        <f ca="1"/>
        <v>1.4834125795294488</v>
      </c>
      <c r="X4091" s="2">
        <f ca="1"/>
        <v>36.018800130545699</v>
      </c>
      <c r="AG4091" s="2">
        <f ca="1"/>
        <v>0.90101486275122333</v>
      </c>
      <c r="AH4091" s="2" t="str">
        <f ca="1"/>
        <v>Bad</v>
      </c>
    </row>
    <row r="4092" spans="2:34" x14ac:dyDescent="0.2">
      <c r="B4092" s="2">
        <f ca="1"/>
        <v>0.28387199887113246</v>
      </c>
      <c r="O4092" s="2">
        <f ca="1"/>
        <v>-0.84785217714822758</v>
      </c>
      <c r="X4092" s="2">
        <f ca="1"/>
        <v>59.230612337857522</v>
      </c>
      <c r="AG4092" s="2">
        <f ca="1"/>
        <v>0.93866539041783281</v>
      </c>
      <c r="AH4092" s="2" t="str">
        <f ca="1"/>
        <v>Bad</v>
      </c>
    </row>
    <row r="4093" spans="2:34" x14ac:dyDescent="0.2">
      <c r="B4093" s="2">
        <f ca="1"/>
        <v>4.2433351553373688E-2</v>
      </c>
      <c r="O4093" s="2">
        <f ca="1"/>
        <v>-0.64745318137145569</v>
      </c>
      <c r="X4093" s="2">
        <f ca="1"/>
        <v>44.621438360342893</v>
      </c>
      <c r="AG4093" s="2">
        <f ca="1"/>
        <v>0.59725214793184822</v>
      </c>
      <c r="AH4093" s="2" t="str">
        <f ca="1"/>
        <v>Bad</v>
      </c>
    </row>
    <row r="4094" spans="2:34" x14ac:dyDescent="0.2">
      <c r="B4094" s="2">
        <f ca="1"/>
        <v>0.36114733958041612</v>
      </c>
      <c r="O4094" s="2">
        <f ca="1"/>
        <v>-0.49831228631718183</v>
      </c>
      <c r="X4094" s="2">
        <f ca="1"/>
        <v>62.766948965361181</v>
      </c>
      <c r="AG4094" s="2">
        <f ca="1"/>
        <v>0.56743583581713875</v>
      </c>
      <c r="AH4094" s="2" t="str">
        <f ca="1"/>
        <v>Bad</v>
      </c>
    </row>
    <row r="4095" spans="2:34" x14ac:dyDescent="0.2">
      <c r="B4095" s="2">
        <f ca="1"/>
        <v>0.37210037705034349</v>
      </c>
      <c r="O4095" s="2">
        <f ca="1"/>
        <v>0.66843031961375554</v>
      </c>
      <c r="X4095" s="2">
        <f ca="1"/>
        <v>37.329427937336177</v>
      </c>
      <c r="AG4095" s="2">
        <f ca="1"/>
        <v>0.1966895797426067</v>
      </c>
      <c r="AH4095" s="2" t="str">
        <f ca="1"/>
        <v>OK</v>
      </c>
    </row>
    <row r="4096" spans="2:34" x14ac:dyDescent="0.2">
      <c r="B4096" s="2">
        <f ca="1"/>
        <v>0.40959290308847529</v>
      </c>
      <c r="O4096" s="2">
        <f ca="1"/>
        <v>-0.74671760318433789</v>
      </c>
      <c r="X4096" s="2">
        <f ca="1"/>
        <v>74.478969969996314</v>
      </c>
      <c r="AG4096" s="2">
        <f ca="1"/>
        <v>0.36226831859750463</v>
      </c>
      <c r="AH4096" s="2" t="str">
        <f ca="1"/>
        <v>OK</v>
      </c>
    </row>
    <row r="4097" spans="2:34" x14ac:dyDescent="0.2">
      <c r="B4097" s="2">
        <f ca="1"/>
        <v>8.8794869559895462E-2</v>
      </c>
      <c r="O4097" s="2">
        <f ca="1"/>
        <v>1.0938707295082732</v>
      </c>
      <c r="X4097" s="2">
        <f ca="1"/>
        <v>64.190080939151898</v>
      </c>
      <c r="AG4097" s="2">
        <f ca="1"/>
        <v>0.77807380844606566</v>
      </c>
      <c r="AH4097" s="2" t="str">
        <f ca="1"/>
        <v>Bad</v>
      </c>
    </row>
    <row r="4098" spans="2:34" x14ac:dyDescent="0.2">
      <c r="B4098" s="2">
        <f ca="1"/>
        <v>0.73204926023693484</v>
      </c>
      <c r="O4098" s="2">
        <f ca="1"/>
        <v>-0.569555741645837</v>
      </c>
      <c r="X4098" s="2">
        <f ca="1"/>
        <v>19.318361582944515</v>
      </c>
      <c r="AG4098" s="2">
        <f ca="1"/>
        <v>0.27755719706537541</v>
      </c>
      <c r="AH4098" s="2" t="str">
        <f ca="1"/>
        <v>OK</v>
      </c>
    </row>
    <row r="4099" spans="2:34" x14ac:dyDescent="0.2">
      <c r="B4099" s="2">
        <f ca="1"/>
        <v>0.89955417276099747</v>
      </c>
      <c r="O4099" s="2">
        <f ca="1"/>
        <v>-1.620114689400536</v>
      </c>
      <c r="X4099" s="2">
        <f ca="1"/>
        <v>24.361769509356478</v>
      </c>
      <c r="AG4099" s="2">
        <f ca="1"/>
        <v>0.36329504414685454</v>
      </c>
      <c r="AH4099" s="2" t="str">
        <f ca="1"/>
        <v>OK</v>
      </c>
    </row>
    <row r="4100" spans="2:34" x14ac:dyDescent="0.2">
      <c r="B4100" s="2">
        <f ca="1"/>
        <v>0.55163235900740881</v>
      </c>
      <c r="O4100" s="2">
        <f ca="1"/>
        <v>-0.28584898141270937</v>
      </c>
      <c r="X4100" s="2">
        <f ca="1"/>
        <v>38.589662725986983</v>
      </c>
      <c r="AG4100" s="2">
        <f ca="1"/>
        <v>0.84559428905988865</v>
      </c>
      <c r="AH4100" s="2" t="str">
        <f ca="1"/>
        <v>Bad</v>
      </c>
    </row>
    <row r="4101" spans="2:34" x14ac:dyDescent="0.2">
      <c r="B4101" s="2">
        <f ca="1"/>
        <v>0.37274332110733122</v>
      </c>
      <c r="O4101" s="2">
        <f ca="1"/>
        <v>-1.0669361262597157</v>
      </c>
      <c r="X4101" s="2">
        <f ca="1"/>
        <v>70.30230871670345</v>
      </c>
      <c r="AG4101" s="2">
        <f ca="1"/>
        <v>0.45116184296262674</v>
      </c>
      <c r="AH4101" s="2" t="str">
        <f ca="1"/>
        <v>Bad</v>
      </c>
    </row>
    <row r="4102" spans="2:34" x14ac:dyDescent="0.2">
      <c r="B4102" s="2">
        <f ca="1"/>
        <v>0.70598035488011179</v>
      </c>
      <c r="O4102" s="2">
        <f ca="1"/>
        <v>0.24417860450484302</v>
      </c>
      <c r="X4102" s="2">
        <f ca="1"/>
        <v>51.167286278039164</v>
      </c>
      <c r="AG4102" s="2">
        <f ca="1"/>
        <v>0.16853850517300928</v>
      </c>
      <c r="AH4102" s="2" t="str">
        <f ca="1"/>
        <v>OK</v>
      </c>
    </row>
    <row r="4103" spans="2:34" x14ac:dyDescent="0.2">
      <c r="B4103" s="2">
        <f ca="1"/>
        <v>0.8222883213233414</v>
      </c>
      <c r="O4103" s="2">
        <f ca="1"/>
        <v>0.10340245052814433</v>
      </c>
      <c r="X4103" s="2">
        <f ca="1"/>
        <v>56.439429383325013</v>
      </c>
      <c r="AG4103" s="2">
        <f ca="1"/>
        <v>0.17259899510121435</v>
      </c>
      <c r="AH4103" s="2" t="str">
        <f ca="1"/>
        <v>OK</v>
      </c>
    </row>
    <row r="4104" spans="2:34" x14ac:dyDescent="0.2">
      <c r="B4104" s="2">
        <f ca="1"/>
        <v>0.74716815718872143</v>
      </c>
      <c r="O4104" s="2">
        <f ca="1"/>
        <v>0.63722316740259799</v>
      </c>
      <c r="X4104" s="2">
        <f ca="1"/>
        <v>63.748692701467213</v>
      </c>
      <c r="AG4104" s="2">
        <f ca="1"/>
        <v>0.4753821278956778</v>
      </c>
      <c r="AH4104" s="2" t="str">
        <f ca="1"/>
        <v>Bad</v>
      </c>
    </row>
    <row r="4105" spans="2:34" x14ac:dyDescent="0.2">
      <c r="B4105" s="2">
        <f ca="1"/>
        <v>0.51363552834147597</v>
      </c>
      <c r="O4105" s="2">
        <f ca="1"/>
        <v>0.55648617623501473</v>
      </c>
      <c r="X4105" s="2">
        <f ca="1"/>
        <v>53.250166576118126</v>
      </c>
      <c r="AG4105" s="2">
        <f ca="1"/>
        <v>0.21267075060653973</v>
      </c>
      <c r="AH4105" s="2" t="str">
        <f ca="1"/>
        <v>OK</v>
      </c>
    </row>
    <row r="4106" spans="2:34" x14ac:dyDescent="0.2">
      <c r="B4106" s="2">
        <f ca="1"/>
        <v>0.30711044757669059</v>
      </c>
      <c r="O4106" s="2">
        <f ca="1"/>
        <v>1.454955977520743</v>
      </c>
      <c r="X4106" s="2">
        <f ca="1"/>
        <v>60.760348903269502</v>
      </c>
      <c r="AG4106" s="2">
        <f ca="1"/>
        <v>0.89220507917515901</v>
      </c>
      <c r="AH4106" s="2" t="str">
        <f ca="1"/>
        <v>Bad</v>
      </c>
    </row>
    <row r="4107" spans="2:34" x14ac:dyDescent="0.2">
      <c r="B4107" s="2">
        <f ca="1"/>
        <v>6.9857977448559039E-2</v>
      </c>
      <c r="O4107" s="2">
        <f ca="1"/>
        <v>-0.24795734771857916</v>
      </c>
      <c r="X4107" s="2">
        <f ca="1"/>
        <v>54.449384984680982</v>
      </c>
      <c r="AG4107" s="2">
        <f ca="1"/>
        <v>0.13215121730551904</v>
      </c>
      <c r="AH4107" s="2" t="str">
        <f ca="1"/>
        <v>OK</v>
      </c>
    </row>
    <row r="4108" spans="2:34" x14ac:dyDescent="0.2">
      <c r="B4108" s="2">
        <f ca="1"/>
        <v>0.97920054371303333</v>
      </c>
      <c r="O4108" s="2">
        <f ca="1"/>
        <v>1.135352631440667</v>
      </c>
      <c r="X4108" s="2">
        <f ca="1"/>
        <v>39.316341414156589</v>
      </c>
      <c r="AG4108" s="2">
        <f ca="1"/>
        <v>0.44013730126639583</v>
      </c>
      <c r="AH4108" s="2" t="str">
        <f ca="1"/>
        <v>Bad</v>
      </c>
    </row>
    <row r="4109" spans="2:34" x14ac:dyDescent="0.2">
      <c r="B4109" s="2">
        <f ca="1"/>
        <v>0.25639964738774057</v>
      </c>
      <c r="O4109" s="2">
        <f ca="1"/>
        <v>0.48360266896259391</v>
      </c>
      <c r="X4109" s="2">
        <f ca="1"/>
        <v>60.296539201933285</v>
      </c>
      <c r="AG4109" s="2">
        <f ca="1"/>
        <v>0.21418658056630102</v>
      </c>
      <c r="AH4109" s="2" t="str">
        <f ca="1"/>
        <v>OK</v>
      </c>
    </row>
    <row r="4110" spans="2:34" x14ac:dyDescent="0.2">
      <c r="B4110" s="2">
        <f ca="1"/>
        <v>0.93887231953980987</v>
      </c>
      <c r="O4110" s="2">
        <f ca="1"/>
        <v>0.17983570245191696</v>
      </c>
      <c r="X4110" s="2">
        <f ca="1"/>
        <v>65.656423869788952</v>
      </c>
      <c r="AG4110" s="2">
        <f ca="1"/>
        <v>0.34942201452707522</v>
      </c>
      <c r="AH4110" s="2" t="str">
        <f ca="1"/>
        <v>OK</v>
      </c>
    </row>
    <row r="4111" spans="2:34" x14ac:dyDescent="0.2">
      <c r="B4111" s="2">
        <f ca="1"/>
        <v>0.77877103116230817</v>
      </c>
      <c r="O4111" s="2">
        <f ca="1"/>
        <v>1.447373636148142</v>
      </c>
      <c r="X4111" s="2">
        <f ca="1"/>
        <v>49.095990859912618</v>
      </c>
      <c r="AG4111" s="2">
        <f ca="1"/>
        <v>0.87782415145399995</v>
      </c>
      <c r="AH4111" s="2" t="str">
        <f ca="1"/>
        <v>Bad</v>
      </c>
    </row>
    <row r="4112" spans="2:34" x14ac:dyDescent="0.2">
      <c r="B4112" s="2">
        <f ca="1"/>
        <v>0.80481874041325763</v>
      </c>
      <c r="O4112" s="2">
        <f ca="1"/>
        <v>-0.64170018645677396</v>
      </c>
      <c r="X4112" s="2">
        <f ca="1"/>
        <v>54.308662748157026</v>
      </c>
      <c r="AG4112" s="2">
        <f ca="1"/>
        <v>0.5970995939885646</v>
      </c>
      <c r="AH4112" s="2" t="str">
        <f ca="1"/>
        <v>Bad</v>
      </c>
    </row>
    <row r="4113" spans="2:34" x14ac:dyDescent="0.2">
      <c r="B4113" s="2">
        <f ca="1"/>
        <v>0.67089057861290691</v>
      </c>
      <c r="O4113" s="2">
        <f ca="1"/>
        <v>0.43875418906834152</v>
      </c>
      <c r="X4113" s="2">
        <f ca="1"/>
        <v>72.083884762742372</v>
      </c>
      <c r="AG4113" s="2">
        <f ca="1"/>
        <v>0.29018905324276933</v>
      </c>
      <c r="AH4113" s="2" t="str">
        <f ca="1"/>
        <v>OK</v>
      </c>
    </row>
    <row r="4114" spans="2:34" x14ac:dyDescent="0.2">
      <c r="B4114" s="2">
        <f ca="1"/>
        <v>0.27882327038403143</v>
      </c>
      <c r="O4114" s="2">
        <f ca="1"/>
        <v>0.48223292493193087</v>
      </c>
      <c r="X4114" s="2">
        <f ca="1"/>
        <v>64.788159681492587</v>
      </c>
      <c r="AG4114" s="2">
        <f ca="1"/>
        <v>0.51668519540827451</v>
      </c>
      <c r="AH4114" s="2" t="str">
        <f ca="1"/>
        <v>Bad</v>
      </c>
    </row>
    <row r="4115" spans="2:34" x14ac:dyDescent="0.2">
      <c r="B4115" s="2">
        <f ca="1"/>
        <v>0.28338921021087793</v>
      </c>
      <c r="O4115" s="2">
        <f ca="1"/>
        <v>1.4218421041291969</v>
      </c>
      <c r="X4115" s="2">
        <f ca="1"/>
        <v>30.212757611862479</v>
      </c>
      <c r="AG4115" s="2">
        <f ca="1"/>
        <v>0.26647853387806908</v>
      </c>
      <c r="AH4115" s="2" t="str">
        <f ca="1"/>
        <v>OK</v>
      </c>
    </row>
    <row r="4116" spans="2:34" x14ac:dyDescent="0.2">
      <c r="B4116" s="2">
        <f ca="1"/>
        <v>0.85700112046942789</v>
      </c>
      <c r="O4116" s="2">
        <f ca="1"/>
        <v>-1.0412522695966966</v>
      </c>
      <c r="X4116" s="2">
        <f ca="1"/>
        <v>53.634598759675789</v>
      </c>
      <c r="AG4116" s="2">
        <f ca="1"/>
        <v>0.73969225699242869</v>
      </c>
      <c r="AH4116" s="2" t="str">
        <f ca="1"/>
        <v>Bad</v>
      </c>
    </row>
    <row r="4117" spans="2:34" x14ac:dyDescent="0.2">
      <c r="B4117" s="2">
        <f ca="1"/>
        <v>0.43996123999292314</v>
      </c>
      <c r="O4117" s="2">
        <f ca="1"/>
        <v>2.7287857740849936E-2</v>
      </c>
      <c r="X4117" s="2">
        <f ca="1"/>
        <v>60.894315648400806</v>
      </c>
      <c r="AG4117" s="2">
        <f ca="1"/>
        <v>0.41591859507387618</v>
      </c>
      <c r="AH4117" s="2" t="str">
        <f ca="1"/>
        <v>Bad</v>
      </c>
    </row>
    <row r="4118" spans="2:34" x14ac:dyDescent="0.2">
      <c r="B4118" s="2">
        <f ca="1"/>
        <v>0.24482051735328403</v>
      </c>
      <c r="O4118" s="2">
        <f ca="1"/>
        <v>-1.4485458360271624</v>
      </c>
      <c r="X4118" s="2">
        <f ca="1"/>
        <v>44.629116912114185</v>
      </c>
      <c r="AG4118" s="2">
        <f ca="1"/>
        <v>0.71950589699426604</v>
      </c>
      <c r="AH4118" s="2" t="str">
        <f ca="1"/>
        <v>Bad</v>
      </c>
    </row>
    <row r="4119" spans="2:34" x14ac:dyDescent="0.2">
      <c r="B4119" s="2">
        <f ca="1"/>
        <v>0.96664246859864145</v>
      </c>
      <c r="O4119" s="2">
        <f ca="1"/>
        <v>-0.8325279062887887</v>
      </c>
      <c r="X4119" s="2">
        <f ca="1"/>
        <v>50.89977789630673</v>
      </c>
      <c r="AG4119" s="2">
        <f ca="1"/>
        <v>0.5534896910210767</v>
      </c>
      <c r="AH4119" s="2" t="str">
        <f ca="1"/>
        <v>Bad</v>
      </c>
    </row>
    <row r="4120" spans="2:34" x14ac:dyDescent="0.2">
      <c r="B4120" s="2">
        <f ca="1"/>
        <v>0.65441059278624092</v>
      </c>
      <c r="O4120" s="2">
        <f ca="1"/>
        <v>0.79213132493611471</v>
      </c>
      <c r="X4120" s="2">
        <f ca="1"/>
        <v>64.986334119914886</v>
      </c>
      <c r="AG4120" s="2">
        <f ca="1"/>
        <v>0.59883144219366002</v>
      </c>
      <c r="AH4120" s="2" t="str">
        <f ca="1"/>
        <v>Bad</v>
      </c>
    </row>
    <row r="4121" spans="2:34" x14ac:dyDescent="0.2">
      <c r="B4121" s="2">
        <f ca="1"/>
        <v>0.47399988498793832</v>
      </c>
      <c r="O4121" s="2">
        <f ca="1"/>
        <v>3.0429206170055099</v>
      </c>
      <c r="X4121" s="2">
        <f ca="1"/>
        <v>49.618390229484859</v>
      </c>
      <c r="AG4121" s="2">
        <f ca="1"/>
        <v>0.95680486722167957</v>
      </c>
      <c r="AH4121" s="2" t="str">
        <f ca="1"/>
        <v>Bad</v>
      </c>
    </row>
    <row r="4122" spans="2:34" x14ac:dyDescent="0.2">
      <c r="B4122" s="2">
        <f ca="1"/>
        <v>0.67821007143543421</v>
      </c>
      <c r="O4122" s="2">
        <f ca="1"/>
        <v>-0.6918180741707084</v>
      </c>
      <c r="X4122" s="2">
        <f ca="1"/>
        <v>31.663126921710095</v>
      </c>
      <c r="AG4122" s="2">
        <f ca="1"/>
        <v>0.44418597291624784</v>
      </c>
      <c r="AH4122" s="2" t="str">
        <f ca="1"/>
        <v>Bad</v>
      </c>
    </row>
    <row r="4123" spans="2:34" x14ac:dyDescent="0.2">
      <c r="B4123" s="2">
        <f ca="1"/>
        <v>0.97557340590327701</v>
      </c>
      <c r="O4123" s="2">
        <f ca="1"/>
        <v>-1.0852098767428815</v>
      </c>
      <c r="X4123" s="2">
        <f ca="1"/>
        <v>46.877042767438518</v>
      </c>
      <c r="AG4123" s="2">
        <f ca="1"/>
        <v>0.19321229298114417</v>
      </c>
      <c r="AH4123" s="2" t="str">
        <f ca="1"/>
        <v>OK</v>
      </c>
    </row>
    <row r="4124" spans="2:34" x14ac:dyDescent="0.2">
      <c r="B4124" s="2">
        <f ca="1"/>
        <v>0.71385610927741427</v>
      </c>
      <c r="O4124" s="2">
        <f ca="1"/>
        <v>0.46383363193236915</v>
      </c>
      <c r="X4124" s="2">
        <f ca="1"/>
        <v>68.579009150970947</v>
      </c>
      <c r="AG4124" s="2">
        <f ca="1"/>
        <v>0.91622166772802927</v>
      </c>
      <c r="AH4124" s="2" t="str">
        <f ca="1"/>
        <v>Bad</v>
      </c>
    </row>
    <row r="4125" spans="2:34" x14ac:dyDescent="0.2">
      <c r="B4125" s="2">
        <f ca="1"/>
        <v>0.50166088326695868</v>
      </c>
      <c r="O4125" s="2">
        <f ca="1"/>
        <v>-0.37582724121896571</v>
      </c>
      <c r="X4125" s="2">
        <f ca="1"/>
        <v>84.892102977874217</v>
      </c>
      <c r="AG4125" s="2">
        <f ca="1"/>
        <v>0.59137437081651689</v>
      </c>
      <c r="AH4125" s="2" t="str">
        <f ca="1"/>
        <v>Bad</v>
      </c>
    </row>
    <row r="4126" spans="2:34" x14ac:dyDescent="0.2">
      <c r="B4126" s="2">
        <f ca="1"/>
        <v>0.27484402668584851</v>
      </c>
      <c r="O4126" s="2">
        <f ca="1"/>
        <v>-0.22696045890624708</v>
      </c>
      <c r="X4126" s="2">
        <f ca="1"/>
        <v>38.265208615769822</v>
      </c>
      <c r="AG4126" s="2">
        <f ca="1"/>
        <v>0.98202118735088351</v>
      </c>
      <c r="AH4126" s="2" t="str">
        <f ca="1"/>
        <v>Bad</v>
      </c>
    </row>
    <row r="4127" spans="2:34" x14ac:dyDescent="0.2">
      <c r="B4127" s="2">
        <f ca="1"/>
        <v>0.98267671608819174</v>
      </c>
      <c r="O4127" s="2">
        <f ca="1"/>
        <v>0.77733452510788348</v>
      </c>
      <c r="X4127" s="2">
        <f ca="1"/>
        <v>40.23270544013716</v>
      </c>
      <c r="AG4127" s="2">
        <f ca="1"/>
        <v>0.1898144463219531</v>
      </c>
      <c r="AH4127" s="2" t="str">
        <f ca="1"/>
        <v>OK</v>
      </c>
    </row>
    <row r="4128" spans="2:34" x14ac:dyDescent="0.2">
      <c r="B4128" s="2">
        <f ca="1"/>
        <v>0.28013975246857603</v>
      </c>
      <c r="O4128" s="2">
        <f ca="1"/>
        <v>-1.8516890363258012</v>
      </c>
      <c r="X4128" s="2">
        <f ca="1"/>
        <v>25.683967403342823</v>
      </c>
      <c r="AG4128" s="2">
        <f ca="1"/>
        <v>0.67255270239380072</v>
      </c>
      <c r="AH4128" s="2" t="str">
        <f ca="1"/>
        <v>Bad</v>
      </c>
    </row>
    <row r="4129" spans="2:34" x14ac:dyDescent="0.2">
      <c r="B4129" s="2">
        <f ca="1"/>
        <v>0.43815205420274306</v>
      </c>
      <c r="O4129" s="2">
        <f ca="1"/>
        <v>-1.068979278687253</v>
      </c>
      <c r="X4129" s="2">
        <f ca="1"/>
        <v>44.290101490182096</v>
      </c>
      <c r="AG4129" s="2">
        <f ca="1"/>
        <v>0.85629188057013006</v>
      </c>
      <c r="AH4129" s="2" t="str">
        <f ca="1"/>
        <v>Bad</v>
      </c>
    </row>
    <row r="4130" spans="2:34" x14ac:dyDescent="0.2">
      <c r="B4130" s="2">
        <f ca="1"/>
        <v>0.39975509959417499</v>
      </c>
      <c r="O4130" s="2">
        <f ca="1"/>
        <v>1.1621924993980479</v>
      </c>
      <c r="X4130" s="2">
        <f ca="1"/>
        <v>60.757966142628348</v>
      </c>
      <c r="AG4130" s="2">
        <f ca="1"/>
        <v>0.4598271673348997</v>
      </c>
      <c r="AH4130" s="2" t="str">
        <f ca="1"/>
        <v>Bad</v>
      </c>
    </row>
    <row r="4131" spans="2:34" x14ac:dyDescent="0.2">
      <c r="B4131" s="2">
        <f ca="1"/>
        <v>0.87033394708934009</v>
      </c>
      <c r="O4131" s="2">
        <f ca="1"/>
        <v>-6.0523889690641812E-2</v>
      </c>
      <c r="X4131" s="2">
        <f ca="1"/>
        <v>32.945608772340272</v>
      </c>
      <c r="AG4131" s="2">
        <f ca="1"/>
        <v>0.63016994517869995</v>
      </c>
      <c r="AH4131" s="2" t="str">
        <f ca="1"/>
        <v>Bad</v>
      </c>
    </row>
    <row r="4132" spans="2:34" x14ac:dyDescent="0.2">
      <c r="B4132" s="2">
        <f ca="1"/>
        <v>0.19057342437306324</v>
      </c>
      <c r="O4132" s="2">
        <f ca="1"/>
        <v>-0.94655084588555161</v>
      </c>
      <c r="X4132" s="2">
        <f ca="1"/>
        <v>38.320891802803061</v>
      </c>
      <c r="AG4132" s="2">
        <f ca="1"/>
        <v>0.33543157300244553</v>
      </c>
      <c r="AH4132" s="2" t="str">
        <f ca="1"/>
        <v>OK</v>
      </c>
    </row>
    <row r="4133" spans="2:34" x14ac:dyDescent="0.2">
      <c r="B4133" s="2">
        <f ca="1"/>
        <v>0.31084136117234706</v>
      </c>
      <c r="O4133" s="2">
        <f ca="1"/>
        <v>-0.55000557704739039</v>
      </c>
      <c r="X4133" s="2">
        <f ca="1"/>
        <v>56.443280339687703</v>
      </c>
      <c r="AG4133" s="2">
        <f ca="1"/>
        <v>0.65261659360710045</v>
      </c>
      <c r="AH4133" s="2" t="str">
        <f ca="1"/>
        <v>Bad</v>
      </c>
    </row>
    <row r="4134" spans="2:34" x14ac:dyDescent="0.2">
      <c r="B4134" s="2">
        <f ca="1"/>
        <v>0.37919452881315507</v>
      </c>
      <c r="O4134" s="2">
        <f ca="1"/>
        <v>1.0083556750642797</v>
      </c>
      <c r="X4134" s="2">
        <f ca="1"/>
        <v>47.837787503481451</v>
      </c>
      <c r="AG4134" s="2">
        <f ca="1"/>
        <v>0.59116926081238397</v>
      </c>
      <c r="AH4134" s="2" t="str">
        <f ca="1"/>
        <v>Bad</v>
      </c>
    </row>
    <row r="4135" spans="2:34" x14ac:dyDescent="0.2">
      <c r="B4135" s="2">
        <f ca="1"/>
        <v>0.62468612780064103</v>
      </c>
      <c r="O4135" s="2">
        <f ca="1"/>
        <v>1.3563824139985299</v>
      </c>
      <c r="X4135" s="2">
        <f ca="1"/>
        <v>46.2848217538155</v>
      </c>
      <c r="AG4135" s="2">
        <f ca="1"/>
        <v>0.80233536617364765</v>
      </c>
      <c r="AH4135" s="2" t="str">
        <f ca="1"/>
        <v>Bad</v>
      </c>
    </row>
    <row r="4136" spans="2:34" x14ac:dyDescent="0.2">
      <c r="B4136" s="2">
        <f ca="1"/>
        <v>0.64060810720602612</v>
      </c>
      <c r="O4136" s="2">
        <f ca="1"/>
        <v>-9.9310829249768764E-2</v>
      </c>
      <c r="X4136" s="2">
        <f ca="1"/>
        <v>58.17320513575168</v>
      </c>
      <c r="AG4136" s="2">
        <f ca="1"/>
        <v>0.29764619737203946</v>
      </c>
      <c r="AH4136" s="2" t="str">
        <f ca="1"/>
        <v>OK</v>
      </c>
    </row>
    <row r="4137" spans="2:34" x14ac:dyDescent="0.2">
      <c r="B4137" s="2">
        <f ca="1"/>
        <v>5.9811951243507355E-2</v>
      </c>
      <c r="O4137" s="2">
        <f ca="1"/>
        <v>2.7677852113926083E-2</v>
      </c>
      <c r="X4137" s="2">
        <f ca="1"/>
        <v>51.07785786614059</v>
      </c>
      <c r="AG4137" s="2">
        <f ca="1"/>
        <v>5.4562744174502908E-2</v>
      </c>
      <c r="AH4137" s="2" t="str">
        <f ca="1"/>
        <v>OK</v>
      </c>
    </row>
    <row r="4138" spans="2:34" x14ac:dyDescent="0.2">
      <c r="B4138" s="2">
        <f ca="1"/>
        <v>0.17080779933391987</v>
      </c>
      <c r="O4138" s="2">
        <f ca="1"/>
        <v>-0.94199943621993509</v>
      </c>
      <c r="X4138" s="2">
        <f ca="1"/>
        <v>53.191317690324198</v>
      </c>
      <c r="AG4138" s="2">
        <f ca="1"/>
        <v>0.22516978254337561</v>
      </c>
      <c r="AH4138" s="2" t="str">
        <f ca="1"/>
        <v>OK</v>
      </c>
    </row>
    <row r="4139" spans="2:34" x14ac:dyDescent="0.2">
      <c r="B4139" s="2">
        <f ca="1"/>
        <v>0.33561157184340917</v>
      </c>
      <c r="O4139" s="2">
        <f ca="1"/>
        <v>6.9029212285820776E-2</v>
      </c>
      <c r="X4139" s="2">
        <f ca="1"/>
        <v>83.964830668609821</v>
      </c>
      <c r="AG4139" s="2">
        <f ca="1"/>
        <v>0.80382020054262004</v>
      </c>
      <c r="AH4139" s="2" t="str">
        <f ca="1"/>
        <v>Bad</v>
      </c>
    </row>
    <row r="4140" spans="2:34" x14ac:dyDescent="0.2">
      <c r="B4140" s="2">
        <f ca="1"/>
        <v>0.50577324102003418</v>
      </c>
      <c r="O4140" s="2">
        <f ca="1"/>
        <v>-0.49201583244157659</v>
      </c>
      <c r="X4140" s="2">
        <f ca="1"/>
        <v>39.571203435435322</v>
      </c>
      <c r="AG4140" s="2">
        <f ca="1"/>
        <v>0.50708598469360222</v>
      </c>
      <c r="AH4140" s="2" t="str">
        <f ca="1"/>
        <v>Bad</v>
      </c>
    </row>
    <row r="4141" spans="2:34" x14ac:dyDescent="0.2">
      <c r="B4141" s="2">
        <f ca="1"/>
        <v>0.46544590304276978</v>
      </c>
      <c r="O4141" s="2">
        <f ca="1"/>
        <v>-1.6022978611024508</v>
      </c>
      <c r="X4141" s="2">
        <f ca="1"/>
        <v>66.614437204546306</v>
      </c>
      <c r="AG4141" s="2">
        <f ca="1"/>
        <v>0.41671376855603492</v>
      </c>
      <c r="AH4141" s="2" t="str">
        <f ca="1"/>
        <v>Bad</v>
      </c>
    </row>
    <row r="4142" spans="2:34" x14ac:dyDescent="0.2">
      <c r="B4142" s="2">
        <f ca="1"/>
        <v>0.75674048383538395</v>
      </c>
      <c r="O4142" s="2">
        <f ca="1"/>
        <v>-0.10801340384956669</v>
      </c>
      <c r="X4142" s="2">
        <f ca="1"/>
        <v>65.696574681937918</v>
      </c>
      <c r="AG4142" s="2">
        <f ca="1"/>
        <v>9.432958007305281E-2</v>
      </c>
      <c r="AH4142" s="2" t="str">
        <f ca="1"/>
        <v>OK</v>
      </c>
    </row>
    <row r="4143" spans="2:34" x14ac:dyDescent="0.2">
      <c r="B4143" s="2">
        <f ca="1"/>
        <v>0.67113432895176284</v>
      </c>
      <c r="O4143" s="2">
        <f ca="1"/>
        <v>-3.5735601435136426E-2</v>
      </c>
      <c r="X4143" s="2">
        <f ca="1"/>
        <v>51.764446634320834</v>
      </c>
      <c r="AG4143" s="2">
        <f ca="1"/>
        <v>0.89980109160846045</v>
      </c>
      <c r="AH4143" s="2" t="str">
        <f ca="1"/>
        <v>Bad</v>
      </c>
    </row>
    <row r="4144" spans="2:34" x14ac:dyDescent="0.2">
      <c r="B4144" s="2">
        <f ca="1"/>
        <v>0.36879629393167845</v>
      </c>
      <c r="O4144" s="2">
        <f ca="1"/>
        <v>0.4816859796887677</v>
      </c>
      <c r="X4144" s="2">
        <f ca="1"/>
        <v>66.714839737002549</v>
      </c>
      <c r="AG4144" s="2">
        <f ca="1"/>
        <v>0.99222156969477848</v>
      </c>
      <c r="AH4144" s="2" t="str">
        <f ca="1"/>
        <v>Bad</v>
      </c>
    </row>
    <row r="4145" spans="2:34" x14ac:dyDescent="0.2">
      <c r="B4145" s="2">
        <f ca="1"/>
        <v>9.5437465479430994E-3</v>
      </c>
      <c r="O4145" s="2">
        <f ca="1"/>
        <v>-0.59266398870885484</v>
      </c>
      <c r="X4145" s="2">
        <f ca="1"/>
        <v>51.951105871591359</v>
      </c>
      <c r="AG4145" s="2">
        <f ca="1"/>
        <v>0.91151794950822351</v>
      </c>
      <c r="AH4145" s="2" t="str">
        <f ca="1"/>
        <v>Bad</v>
      </c>
    </row>
    <row r="4146" spans="2:34" x14ac:dyDescent="0.2">
      <c r="B4146" s="2">
        <f ca="1"/>
        <v>8.9469279980014083E-2</v>
      </c>
      <c r="O4146" s="2">
        <f ca="1"/>
        <v>0.52764857355877282</v>
      </c>
      <c r="X4146" s="2">
        <f ca="1"/>
        <v>40.27894995827225</v>
      </c>
      <c r="AG4146" s="2">
        <f ca="1"/>
        <v>0.9658941370217442</v>
      </c>
      <c r="AH4146" s="2" t="str">
        <f ca="1"/>
        <v>Bad</v>
      </c>
    </row>
    <row r="4147" spans="2:34" x14ac:dyDescent="0.2">
      <c r="B4147" s="2">
        <f ca="1"/>
        <v>0.13155840948071806</v>
      </c>
      <c r="O4147" s="2">
        <f ca="1"/>
        <v>0.91846565978937589</v>
      </c>
      <c r="X4147" s="2">
        <f ca="1"/>
        <v>36.297489448243795</v>
      </c>
      <c r="AG4147" s="2">
        <f ca="1"/>
        <v>0.50680625662732992</v>
      </c>
      <c r="AH4147" s="2" t="str">
        <f ca="1"/>
        <v>Bad</v>
      </c>
    </row>
    <row r="4148" spans="2:34" x14ac:dyDescent="0.2">
      <c r="B4148" s="2">
        <f ca="1"/>
        <v>0.50254312379665977</v>
      </c>
      <c r="O4148" s="2">
        <f ca="1"/>
        <v>-1.2718634116929635</v>
      </c>
      <c r="X4148" s="2">
        <f ca="1"/>
        <v>41.039298413620244</v>
      </c>
      <c r="AG4148" s="2">
        <f ca="1"/>
        <v>8.6140944721733392E-2</v>
      </c>
      <c r="AH4148" s="2" t="str">
        <f ca="1"/>
        <v>OK</v>
      </c>
    </row>
    <row r="4149" spans="2:34" x14ac:dyDescent="0.2">
      <c r="B4149" s="2">
        <f ca="1"/>
        <v>0.69505935965028742</v>
      </c>
      <c r="O4149" s="2">
        <f ca="1"/>
        <v>-0.38850631381629536</v>
      </c>
      <c r="X4149" s="2">
        <f ca="1"/>
        <v>31.651405990085056</v>
      </c>
      <c r="AG4149" s="2">
        <f ca="1"/>
        <v>0.24115489083908836</v>
      </c>
      <c r="AH4149" s="2" t="str">
        <f ca="1"/>
        <v>OK</v>
      </c>
    </row>
    <row r="4150" spans="2:34" x14ac:dyDescent="0.2">
      <c r="B4150" s="2">
        <f ca="1"/>
        <v>0.45406944508519298</v>
      </c>
      <c r="O4150" s="2">
        <f ca="1"/>
        <v>-0.5022943194213596</v>
      </c>
      <c r="X4150" s="2">
        <f ca="1"/>
        <v>55.495360882761055</v>
      </c>
      <c r="AG4150" s="2">
        <f ca="1"/>
        <v>0.65637502298793948</v>
      </c>
      <c r="AH4150" s="2" t="str">
        <f ca="1"/>
        <v>Bad</v>
      </c>
    </row>
    <row r="4151" spans="2:34" x14ac:dyDescent="0.2">
      <c r="B4151" s="2">
        <f ca="1"/>
        <v>0.93472934791454554</v>
      </c>
      <c r="O4151" s="2">
        <f ca="1"/>
        <v>-0.43746979608102354</v>
      </c>
      <c r="X4151" s="2">
        <f ca="1"/>
        <v>45.107468888594482</v>
      </c>
      <c r="AG4151" s="2">
        <f ca="1"/>
        <v>0.57232288909536044</v>
      </c>
      <c r="AH4151" s="2" t="str">
        <f ca="1"/>
        <v>Bad</v>
      </c>
    </row>
    <row r="4152" spans="2:34" x14ac:dyDescent="0.2">
      <c r="B4152" s="2">
        <f ca="1"/>
        <v>0.53471275599381651</v>
      </c>
      <c r="O4152" s="2">
        <f ca="1"/>
        <v>-5.5092143594235227E-2</v>
      </c>
      <c r="X4152" s="2">
        <f ca="1"/>
        <v>50.08394187861829</v>
      </c>
      <c r="AG4152" s="2">
        <f ca="1"/>
        <v>0.38392905046711046</v>
      </c>
      <c r="AH4152" s="2" t="str">
        <f ca="1"/>
        <v>OK</v>
      </c>
    </row>
    <row r="4153" spans="2:34" x14ac:dyDescent="0.2">
      <c r="B4153" s="2">
        <f ca="1"/>
        <v>0.40758126794340166</v>
      </c>
      <c r="O4153" s="2">
        <f ca="1"/>
        <v>0.12340333958134431</v>
      </c>
      <c r="X4153" s="2">
        <f ca="1"/>
        <v>67.344457465605913</v>
      </c>
      <c r="AG4153" s="2">
        <f ca="1"/>
        <v>3.9900569935112706E-2</v>
      </c>
      <c r="AH4153" s="2" t="str">
        <f ca="1"/>
        <v>Good</v>
      </c>
    </row>
    <row r="4154" spans="2:34" x14ac:dyDescent="0.2">
      <c r="B4154" s="2">
        <f ca="1"/>
        <v>0.15724545243347743</v>
      </c>
      <c r="O4154" s="2">
        <f ca="1"/>
        <v>0.88186557820765044</v>
      </c>
      <c r="X4154" s="2">
        <f ca="1"/>
        <v>43.231806712944987</v>
      </c>
      <c r="AG4154" s="2">
        <f ca="1"/>
        <v>0.71892856695474894</v>
      </c>
      <c r="AH4154" s="2" t="str">
        <f ca="1"/>
        <v>Bad</v>
      </c>
    </row>
    <row r="4155" spans="2:34" x14ac:dyDescent="0.2">
      <c r="B4155" s="2">
        <f ca="1"/>
        <v>0.70730175865074796</v>
      </c>
      <c r="O4155" s="2">
        <f ca="1"/>
        <v>0.51807437933936928</v>
      </c>
      <c r="X4155" s="2">
        <f ca="1"/>
        <v>63.79705039886575</v>
      </c>
      <c r="AG4155" s="2">
        <f ca="1"/>
        <v>0.13104039336402251</v>
      </c>
      <c r="AH4155" s="2" t="str">
        <f ca="1"/>
        <v>OK</v>
      </c>
    </row>
    <row r="4156" spans="2:34" x14ac:dyDescent="0.2">
      <c r="B4156" s="2">
        <f ca="1"/>
        <v>6.4717505620335292E-2</v>
      </c>
      <c r="O4156" s="2">
        <f ca="1"/>
        <v>-9.5097677107521983E-2</v>
      </c>
      <c r="X4156" s="2">
        <f ca="1"/>
        <v>67.108067459684719</v>
      </c>
      <c r="AG4156" s="2">
        <f ca="1"/>
        <v>0.15966747984319518</v>
      </c>
      <c r="AH4156" s="2" t="str">
        <f ca="1"/>
        <v>OK</v>
      </c>
    </row>
    <row r="4157" spans="2:34" x14ac:dyDescent="0.2">
      <c r="B4157" s="2">
        <f ca="1"/>
        <v>0.3845554930258781</v>
      </c>
      <c r="O4157" s="2">
        <f ca="1"/>
        <v>0.65688533300733332</v>
      </c>
      <c r="X4157" s="2">
        <f ca="1"/>
        <v>46.107963221501052</v>
      </c>
      <c r="AG4157" s="2">
        <f ca="1"/>
        <v>0.68566351627877986</v>
      </c>
      <c r="AH4157" s="2" t="str">
        <f ca="1"/>
        <v>Bad</v>
      </c>
    </row>
    <row r="4158" spans="2:34" x14ac:dyDescent="0.2">
      <c r="B4158" s="2">
        <f ca="1"/>
        <v>0.9224353759940469</v>
      </c>
      <c r="O4158" s="2">
        <f ca="1"/>
        <v>0.59400798619821171</v>
      </c>
      <c r="X4158" s="2">
        <f ca="1"/>
        <v>64.79554642697741</v>
      </c>
      <c r="AG4158" s="2">
        <f ca="1"/>
        <v>0.60231675311555244</v>
      </c>
      <c r="AH4158" s="2" t="str">
        <f ca="1"/>
        <v>Bad</v>
      </c>
    </row>
    <row r="4159" spans="2:34" x14ac:dyDescent="0.2">
      <c r="B4159" s="2">
        <f ca="1"/>
        <v>0.44847901351627129</v>
      </c>
      <c r="O4159" s="2">
        <f ca="1"/>
        <v>-0.45042855721218245</v>
      </c>
      <c r="X4159" s="2">
        <f ca="1"/>
        <v>41.024356202768722</v>
      </c>
      <c r="AG4159" s="2">
        <f ca="1"/>
        <v>0.73076198852085783</v>
      </c>
      <c r="AH4159" s="2" t="str">
        <f ca="1"/>
        <v>Bad</v>
      </c>
    </row>
    <row r="4160" spans="2:34" x14ac:dyDescent="0.2">
      <c r="B4160" s="2">
        <f ca="1"/>
        <v>0.75618070904930512</v>
      </c>
      <c r="O4160" s="2">
        <f ca="1"/>
        <v>0.28815329962564878</v>
      </c>
      <c r="X4160" s="2">
        <f ca="1"/>
        <v>44.41576777678651</v>
      </c>
      <c r="AG4160" s="2">
        <f ca="1"/>
        <v>0.31583793881220679</v>
      </c>
      <c r="AH4160" s="2" t="str">
        <f ca="1"/>
        <v>OK</v>
      </c>
    </row>
    <row r="4161" spans="2:34" x14ac:dyDescent="0.2">
      <c r="B4161" s="2">
        <f ca="1"/>
        <v>0.77398541145851563</v>
      </c>
      <c r="O4161" s="2">
        <f ca="1"/>
        <v>-0.4936201755711021</v>
      </c>
      <c r="X4161" s="2">
        <f ca="1"/>
        <v>57.613605192185496</v>
      </c>
      <c r="AG4161" s="2">
        <f ca="1"/>
        <v>0.40573635884701598</v>
      </c>
      <c r="AH4161" s="2" t="str">
        <f ca="1"/>
        <v>Bad</v>
      </c>
    </row>
    <row r="4162" spans="2:34" x14ac:dyDescent="0.2">
      <c r="B4162" s="2">
        <f ca="1"/>
        <v>0.69793273885470253</v>
      </c>
      <c r="O4162" s="2">
        <f ca="1"/>
        <v>4.9421024027174951E-2</v>
      </c>
      <c r="X4162" s="2">
        <f ca="1"/>
        <v>43.65605000363626</v>
      </c>
      <c r="AG4162" s="2">
        <f ca="1"/>
        <v>0.51269565573613107</v>
      </c>
      <c r="AH4162" s="2" t="str">
        <f ca="1"/>
        <v>Bad</v>
      </c>
    </row>
    <row r="4163" spans="2:34" x14ac:dyDescent="0.2">
      <c r="B4163" s="2">
        <f ca="1"/>
        <v>0.89849345054261742</v>
      </c>
      <c r="O4163" s="2">
        <f ca="1"/>
        <v>-1.3269933357197756</v>
      </c>
      <c r="X4163" s="2">
        <f ca="1"/>
        <v>54.053305064345295</v>
      </c>
      <c r="AG4163" s="2">
        <f ca="1"/>
        <v>0.24417104384935318</v>
      </c>
      <c r="AH4163" s="2" t="str">
        <f ca="1"/>
        <v>OK</v>
      </c>
    </row>
    <row r="4164" spans="2:34" x14ac:dyDescent="0.2">
      <c r="B4164" s="2">
        <f ca="1"/>
        <v>0.96248181942200595</v>
      </c>
      <c r="O4164" s="2">
        <f ca="1"/>
        <v>-0.70427316725947164</v>
      </c>
      <c r="X4164" s="2">
        <f ca="1"/>
        <v>48.507570193111547</v>
      </c>
      <c r="AG4164" s="2">
        <f ca="1"/>
        <v>0.11427338231858575</v>
      </c>
      <c r="AH4164" s="2" t="str">
        <f ca="1"/>
        <v>OK</v>
      </c>
    </row>
    <row r="4165" spans="2:34" x14ac:dyDescent="0.2">
      <c r="B4165" s="2">
        <f ca="1"/>
        <v>0.28210136694603305</v>
      </c>
      <c r="O4165" s="2">
        <f ca="1"/>
        <v>1.2877722412162207</v>
      </c>
      <c r="X4165" s="2">
        <f ca="1"/>
        <v>67.412344764189342</v>
      </c>
      <c r="AG4165" s="2">
        <f ca="1"/>
        <v>0.51491268887057839</v>
      </c>
      <c r="AH4165" s="2" t="str">
        <f ca="1"/>
        <v>Bad</v>
      </c>
    </row>
    <row r="4166" spans="2:34" x14ac:dyDescent="0.2">
      <c r="B4166" s="2">
        <f ca="1"/>
        <v>0.90634404353284648</v>
      </c>
      <c r="O4166" s="2">
        <f ca="1"/>
        <v>0.1110640334634017</v>
      </c>
      <c r="X4166" s="2">
        <f ca="1"/>
        <v>56.85576229408391</v>
      </c>
      <c r="AG4166" s="2">
        <f ca="1"/>
        <v>0.81545739390863226</v>
      </c>
      <c r="AH4166" s="2" t="str">
        <f ca="1"/>
        <v>Bad</v>
      </c>
    </row>
    <row r="4167" spans="2:34" x14ac:dyDescent="0.2">
      <c r="B4167" s="2">
        <f ca="1"/>
        <v>0.45136850405692486</v>
      </c>
      <c r="O4167" s="2">
        <f ca="1"/>
        <v>1.8581470105895048</v>
      </c>
      <c r="X4167" s="2">
        <f ca="1"/>
        <v>39.465992526611664</v>
      </c>
      <c r="AG4167" s="2">
        <f ca="1"/>
        <v>0.97722521639151316</v>
      </c>
      <c r="AH4167" s="2" t="str">
        <f ca="1"/>
        <v>Bad</v>
      </c>
    </row>
    <row r="4168" spans="2:34" x14ac:dyDescent="0.2">
      <c r="B4168" s="2">
        <f ca="1"/>
        <v>0.905358431389089</v>
      </c>
      <c r="O4168" s="2">
        <f ca="1"/>
        <v>0.77867694415725131</v>
      </c>
      <c r="X4168" s="2">
        <f ca="1"/>
        <v>50.892411436271637</v>
      </c>
      <c r="AG4168" s="2">
        <f ca="1"/>
        <v>0.17824702203991372</v>
      </c>
      <c r="AH4168" s="2" t="str">
        <f ca="1"/>
        <v>OK</v>
      </c>
    </row>
    <row r="4169" spans="2:34" x14ac:dyDescent="0.2">
      <c r="B4169" s="2">
        <f ca="1"/>
        <v>0.94134698524467408</v>
      </c>
      <c r="O4169" s="2">
        <f ca="1"/>
        <v>-2.4762357096155996</v>
      </c>
      <c r="X4169" s="2">
        <f ca="1"/>
        <v>37.523963746607542</v>
      </c>
      <c r="AG4169" s="2">
        <f ca="1"/>
        <v>0.4084813801201379</v>
      </c>
      <c r="AH4169" s="2" t="str">
        <f ca="1"/>
        <v>Bad</v>
      </c>
    </row>
    <row r="4170" spans="2:34" x14ac:dyDescent="0.2">
      <c r="B4170" s="2">
        <f ca="1"/>
        <v>0.43074133683779303</v>
      </c>
      <c r="O4170" s="2">
        <f ca="1"/>
        <v>-1.7013889877477812</v>
      </c>
      <c r="X4170" s="2">
        <f ca="1"/>
        <v>37.045234902529096</v>
      </c>
      <c r="AG4170" s="2">
        <f ca="1"/>
        <v>0.12190120193031295</v>
      </c>
      <c r="AH4170" s="2" t="str">
        <f ca="1"/>
        <v>OK</v>
      </c>
    </row>
    <row r="4171" spans="2:34" x14ac:dyDescent="0.2">
      <c r="B4171" s="2">
        <f ca="1"/>
        <v>0.74551781907584069</v>
      </c>
      <c r="O4171" s="2">
        <f ca="1"/>
        <v>1.0899635911725929</v>
      </c>
      <c r="X4171" s="2">
        <f ca="1"/>
        <v>59.631058691615664</v>
      </c>
      <c r="AG4171" s="2">
        <f ca="1"/>
        <v>0.22902818206756304</v>
      </c>
      <c r="AH4171" s="2" t="str">
        <f ca="1"/>
        <v>OK</v>
      </c>
    </row>
    <row r="4172" spans="2:34" x14ac:dyDescent="0.2">
      <c r="B4172" s="2">
        <f ca="1"/>
        <v>0.79820313421982281</v>
      </c>
      <c r="O4172" s="2">
        <f ca="1"/>
        <v>0.43738103463172989</v>
      </c>
      <c r="X4172" s="2">
        <f ca="1"/>
        <v>39.854770048300978</v>
      </c>
      <c r="AG4172" s="2">
        <f ca="1"/>
        <v>0.54302860170395739</v>
      </c>
      <c r="AH4172" s="2" t="str">
        <f ca="1"/>
        <v>Bad</v>
      </c>
    </row>
    <row r="4173" spans="2:34" x14ac:dyDescent="0.2">
      <c r="B4173" s="2">
        <f ca="1"/>
        <v>0.58941694014375612</v>
      </c>
      <c r="O4173" s="2">
        <f ca="1"/>
        <v>0.84229381126750114</v>
      </c>
      <c r="X4173" s="2">
        <f ca="1"/>
        <v>20.438061533012096</v>
      </c>
      <c r="AG4173" s="2">
        <f ca="1"/>
        <v>0.57170815993598501</v>
      </c>
      <c r="AH4173" s="2" t="str">
        <f ca="1"/>
        <v>Bad</v>
      </c>
    </row>
    <row r="4174" spans="2:34" x14ac:dyDescent="0.2">
      <c r="B4174" s="2">
        <f ca="1"/>
        <v>0.6091615112273272</v>
      </c>
      <c r="O4174" s="2">
        <f ca="1"/>
        <v>-0.88578088613630834</v>
      </c>
      <c r="X4174" s="2">
        <f ca="1"/>
        <v>70.763401577584062</v>
      </c>
      <c r="AG4174" s="2">
        <f ca="1"/>
        <v>0.81857915510882484</v>
      </c>
      <c r="AH4174" s="2" t="str">
        <f ca="1"/>
        <v>Bad</v>
      </c>
    </row>
    <row r="4175" spans="2:34" x14ac:dyDescent="0.2">
      <c r="B4175" s="2">
        <f ca="1"/>
        <v>0.60893612759978799</v>
      </c>
      <c r="O4175" s="2">
        <f ca="1"/>
        <v>0.17721185711281842</v>
      </c>
      <c r="X4175" s="2">
        <f ca="1"/>
        <v>68.518767333474244</v>
      </c>
      <c r="AG4175" s="2">
        <f ca="1"/>
        <v>0.54266669157033887</v>
      </c>
      <c r="AH4175" s="2" t="str">
        <f ca="1"/>
        <v>Bad</v>
      </c>
    </row>
    <row r="4176" spans="2:34" x14ac:dyDescent="0.2">
      <c r="B4176" s="2">
        <f ca="1"/>
        <v>0.96532373163375507</v>
      </c>
      <c r="O4176" s="2">
        <f ca="1"/>
        <v>0.45896055072442532</v>
      </c>
      <c r="X4176" s="2">
        <f ca="1"/>
        <v>65.445305286695927</v>
      </c>
      <c r="AG4176" s="2">
        <f ca="1"/>
        <v>0.85637542671495859</v>
      </c>
      <c r="AH4176" s="2" t="str">
        <f ca="1"/>
        <v>Bad</v>
      </c>
    </row>
    <row r="4177" spans="2:34" x14ac:dyDescent="0.2">
      <c r="B4177" s="2">
        <f ca="1"/>
        <v>0.8045984052981181</v>
      </c>
      <c r="O4177" s="2">
        <f ca="1"/>
        <v>-0.22466478331886991</v>
      </c>
      <c r="X4177" s="2">
        <f ca="1"/>
        <v>61.144171741150245</v>
      </c>
      <c r="AG4177" s="2">
        <f ca="1"/>
        <v>0.50763687854886741</v>
      </c>
      <c r="AH4177" s="2" t="str">
        <f ca="1"/>
        <v>Bad</v>
      </c>
    </row>
    <row r="4178" spans="2:34" x14ac:dyDescent="0.2">
      <c r="B4178" s="2">
        <f ca="1"/>
        <v>0.19801039835593115</v>
      </c>
      <c r="O4178" s="2">
        <f ca="1"/>
        <v>0.71652046962210636</v>
      </c>
      <c r="X4178" s="2">
        <f ca="1"/>
        <v>34.152560655287452</v>
      </c>
      <c r="AG4178" s="2">
        <f ca="1"/>
        <v>0.84445536246669284</v>
      </c>
      <c r="AH4178" s="2" t="str">
        <f ca="1"/>
        <v>Bad</v>
      </c>
    </row>
    <row r="4179" spans="2:34" x14ac:dyDescent="0.2">
      <c r="B4179" s="2">
        <f ca="1"/>
        <v>1.631425674233733E-2</v>
      </c>
      <c r="O4179" s="2">
        <f ca="1"/>
        <v>0.55163498839423208</v>
      </c>
      <c r="X4179" s="2">
        <f ca="1"/>
        <v>38.448693204284098</v>
      </c>
      <c r="AG4179" s="2">
        <f ca="1"/>
        <v>0.4541333453672467</v>
      </c>
      <c r="AH4179" s="2" t="str">
        <f ca="1"/>
        <v>Bad</v>
      </c>
    </row>
    <row r="4180" spans="2:34" x14ac:dyDescent="0.2">
      <c r="B4180" s="2">
        <f ca="1"/>
        <v>0.53079624453438679</v>
      </c>
      <c r="O4180" s="2">
        <f ca="1"/>
        <v>1.3854035424666304</v>
      </c>
      <c r="X4180" s="2">
        <f ca="1"/>
        <v>40.734276443374384</v>
      </c>
      <c r="AG4180" s="2">
        <f ca="1"/>
        <v>0.87148922256015626</v>
      </c>
      <c r="AH4180" s="2" t="str">
        <f ca="1"/>
        <v>Bad</v>
      </c>
    </row>
    <row r="4181" spans="2:34" x14ac:dyDescent="0.2">
      <c r="B4181" s="2">
        <f ca="1"/>
        <v>0.17178664763616913</v>
      </c>
      <c r="O4181" s="2">
        <f ca="1"/>
        <v>-1.8675423830283489</v>
      </c>
      <c r="X4181" s="2">
        <f ca="1"/>
        <v>56.748176872095371</v>
      </c>
      <c r="AG4181" s="2">
        <f ca="1"/>
        <v>0.87233897019157047</v>
      </c>
      <c r="AH4181" s="2" t="str">
        <f ca="1"/>
        <v>Bad</v>
      </c>
    </row>
    <row r="4182" spans="2:34" x14ac:dyDescent="0.2">
      <c r="B4182" s="2">
        <f ca="1"/>
        <v>0.67299801730750364</v>
      </c>
      <c r="O4182" s="2">
        <f ca="1"/>
        <v>-0.46000874452901241</v>
      </c>
      <c r="X4182" s="2">
        <f ca="1"/>
        <v>30.443885777791305</v>
      </c>
      <c r="AG4182" s="2">
        <f ca="1"/>
        <v>0.73109358721908446</v>
      </c>
      <c r="AH4182" s="2" t="str">
        <f ca="1"/>
        <v>Bad</v>
      </c>
    </row>
    <row r="4183" spans="2:34" x14ac:dyDescent="0.2">
      <c r="B4183" s="2">
        <f ca="1"/>
        <v>0.4782142853453375</v>
      </c>
      <c r="O4183" s="2">
        <f ca="1"/>
        <v>-0.51260050617683628</v>
      </c>
      <c r="X4183" s="2">
        <f ca="1"/>
        <v>76.469694043952828</v>
      </c>
      <c r="AG4183" s="2">
        <f ca="1"/>
        <v>0.44374525523300723</v>
      </c>
      <c r="AH4183" s="2" t="str">
        <f ca="1"/>
        <v>Bad</v>
      </c>
    </row>
    <row r="4184" spans="2:34" x14ac:dyDescent="0.2">
      <c r="B4184" s="2">
        <f ca="1"/>
        <v>0.72107904041372328</v>
      </c>
      <c r="O4184" s="2">
        <f ca="1"/>
        <v>-0.1829088859292799</v>
      </c>
      <c r="X4184" s="2">
        <f ca="1"/>
        <v>53.57864835585972</v>
      </c>
      <c r="AG4184" s="2">
        <f ca="1"/>
        <v>0.38803204532175273</v>
      </c>
      <c r="AH4184" s="2" t="str">
        <f ca="1"/>
        <v>OK</v>
      </c>
    </row>
    <row r="4185" spans="2:34" x14ac:dyDescent="0.2">
      <c r="B4185" s="2">
        <f ca="1"/>
        <v>0.73008021417999158</v>
      </c>
      <c r="O4185" s="2">
        <f ca="1"/>
        <v>-0.59491137928154203</v>
      </c>
      <c r="X4185" s="2">
        <f ca="1"/>
        <v>56.266483632990685</v>
      </c>
      <c r="AG4185" s="2">
        <f ca="1"/>
        <v>0.18638224486296373</v>
      </c>
      <c r="AH4185" s="2" t="str">
        <f ca="1"/>
        <v>OK</v>
      </c>
    </row>
    <row r="4186" spans="2:34" x14ac:dyDescent="0.2">
      <c r="B4186" s="2">
        <f ca="1"/>
        <v>0.94677916487931246</v>
      </c>
      <c r="O4186" s="2">
        <f ca="1"/>
        <v>0.22390061222420096</v>
      </c>
      <c r="X4186" s="2">
        <f ca="1"/>
        <v>47.671721830906606</v>
      </c>
      <c r="AG4186" s="2">
        <f ca="1"/>
        <v>0.22205622458042784</v>
      </c>
      <c r="AH4186" s="2" t="str">
        <f ca="1"/>
        <v>OK</v>
      </c>
    </row>
    <row r="4187" spans="2:34" x14ac:dyDescent="0.2">
      <c r="B4187" s="2">
        <f ca="1"/>
        <v>0.71314773335376902</v>
      </c>
      <c r="O4187" s="2">
        <f ca="1"/>
        <v>-1.2834042674131949</v>
      </c>
      <c r="X4187" s="2">
        <f ca="1"/>
        <v>54.405948473526578</v>
      </c>
      <c r="AG4187" s="2">
        <f ca="1"/>
        <v>0.42995481234143162</v>
      </c>
      <c r="AH4187" s="2" t="str">
        <f ca="1"/>
        <v>Bad</v>
      </c>
    </row>
    <row r="4188" spans="2:34" x14ac:dyDescent="0.2">
      <c r="B4188" s="2">
        <f ca="1"/>
        <v>0.11255936396302957</v>
      </c>
      <c r="O4188" s="2">
        <f ca="1"/>
        <v>0.20869317934403531</v>
      </c>
      <c r="X4188" s="2">
        <f ca="1"/>
        <v>47.245704934788833</v>
      </c>
      <c r="AG4188" s="2">
        <f ca="1"/>
        <v>0.71592027518941848</v>
      </c>
      <c r="AH4188" s="2" t="str">
        <f ca="1"/>
        <v>Bad</v>
      </c>
    </row>
    <row r="4189" spans="2:34" x14ac:dyDescent="0.2">
      <c r="B4189" s="2">
        <f ca="1"/>
        <v>0.78489460091764252</v>
      </c>
      <c r="O4189" s="2">
        <f ca="1"/>
        <v>-5.757337949357004E-2</v>
      </c>
      <c r="X4189" s="2">
        <f ca="1"/>
        <v>30.652094014558436</v>
      </c>
      <c r="AG4189" s="2">
        <f ca="1"/>
        <v>0.25337097821898347</v>
      </c>
      <c r="AH4189" s="2" t="str">
        <f ca="1"/>
        <v>OK</v>
      </c>
    </row>
    <row r="4190" spans="2:34" x14ac:dyDescent="0.2">
      <c r="B4190" s="2">
        <f ca="1"/>
        <v>0.17059950165316495</v>
      </c>
      <c r="O4190" s="2">
        <f ca="1"/>
        <v>-2.5178548696460967</v>
      </c>
      <c r="X4190" s="2">
        <f ca="1"/>
        <v>85.494919917405952</v>
      </c>
      <c r="AG4190" s="2">
        <f ca="1"/>
        <v>0.59948631848234735</v>
      </c>
      <c r="AH4190" s="2" t="str">
        <f ca="1"/>
        <v>Bad</v>
      </c>
    </row>
    <row r="4191" spans="2:34" x14ac:dyDescent="0.2">
      <c r="B4191" s="2">
        <f ca="1"/>
        <v>0.47918755148505032</v>
      </c>
      <c r="O4191" s="2">
        <f ca="1"/>
        <v>-0.23795505621429913</v>
      </c>
      <c r="X4191" s="2">
        <f ca="1"/>
        <v>60.241657972357501</v>
      </c>
      <c r="AG4191" s="2">
        <f ca="1"/>
        <v>0.24493649585562727</v>
      </c>
      <c r="AH4191" s="2" t="str">
        <f ca="1"/>
        <v>OK</v>
      </c>
    </row>
    <row r="4192" spans="2:34" x14ac:dyDescent="0.2">
      <c r="B4192" s="2">
        <f ca="1"/>
        <v>0.73726058329717659</v>
      </c>
      <c r="O4192" s="2">
        <f ca="1"/>
        <v>0.92995348171667425</v>
      </c>
      <c r="X4192" s="2">
        <f ca="1"/>
        <v>67.361658916198422</v>
      </c>
      <c r="AG4192" s="2">
        <f ca="1"/>
        <v>6.706388483647574E-3</v>
      </c>
      <c r="AH4192" s="2" t="str">
        <f ca="1"/>
        <v>Good</v>
      </c>
    </row>
    <row r="4193" spans="2:34" x14ac:dyDescent="0.2">
      <c r="B4193" s="2">
        <f ca="1"/>
        <v>0.79816415383453498</v>
      </c>
      <c r="O4193" s="2">
        <f ca="1"/>
        <v>-0.77594803396550838</v>
      </c>
      <c r="X4193" s="2">
        <f ca="1"/>
        <v>58.925359701234868</v>
      </c>
      <c r="AG4193" s="2">
        <f ca="1"/>
        <v>0.64601408962975038</v>
      </c>
      <c r="AH4193" s="2" t="str">
        <f ca="1"/>
        <v>Bad</v>
      </c>
    </row>
    <row r="4194" spans="2:34" x14ac:dyDescent="0.2">
      <c r="B4194" s="2">
        <f ca="1"/>
        <v>0.51945367366546669</v>
      </c>
      <c r="O4194" s="2">
        <f ca="1"/>
        <v>-1.8963015578430586</v>
      </c>
      <c r="X4194" s="2">
        <f ca="1"/>
        <v>61.126269720376357</v>
      </c>
      <c r="AG4194" s="2">
        <f ca="1"/>
        <v>0.42397306476897123</v>
      </c>
      <c r="AH4194" s="2" t="str">
        <f ca="1"/>
        <v>Bad</v>
      </c>
    </row>
    <row r="4195" spans="2:34" x14ac:dyDescent="0.2">
      <c r="B4195" s="2">
        <f ca="1"/>
        <v>0.46496794315870082</v>
      </c>
      <c r="O4195" s="2">
        <f ca="1"/>
        <v>-2.3014450731633658</v>
      </c>
      <c r="X4195" s="2">
        <f ca="1"/>
        <v>28.881602486148473</v>
      </c>
      <c r="AG4195" s="2">
        <f ca="1"/>
        <v>0.25002226881101786</v>
      </c>
      <c r="AH4195" s="2" t="str">
        <f ca="1"/>
        <v>OK</v>
      </c>
    </row>
    <row r="4196" spans="2:34" x14ac:dyDescent="0.2">
      <c r="B4196" s="2">
        <f ca="1"/>
        <v>0.51142172416813292</v>
      </c>
      <c r="O4196" s="2">
        <f ca="1"/>
        <v>-1.9601198201032175</v>
      </c>
      <c r="X4196" s="2">
        <f ca="1"/>
        <v>25.111233742859401</v>
      </c>
      <c r="AG4196" s="2">
        <f ca="1"/>
        <v>0.40275538136622813</v>
      </c>
      <c r="AH4196" s="2" t="str">
        <f ca="1"/>
        <v>Bad</v>
      </c>
    </row>
    <row r="4197" spans="2:34" x14ac:dyDescent="0.2">
      <c r="B4197" s="2">
        <f ca="1"/>
        <v>0.82180701427288727</v>
      </c>
      <c r="O4197" s="2">
        <f ca="1"/>
        <v>-0.98419661929100266</v>
      </c>
      <c r="X4197" s="2">
        <f ca="1"/>
        <v>36.957221495037992</v>
      </c>
      <c r="AG4197" s="2">
        <f ca="1"/>
        <v>0.30117968162719233</v>
      </c>
      <c r="AH4197" s="2" t="str">
        <f ca="1"/>
        <v>OK</v>
      </c>
    </row>
    <row r="4198" spans="2:34" x14ac:dyDescent="0.2">
      <c r="B4198" s="2">
        <f ca="1"/>
        <v>0.13531710859759172</v>
      </c>
      <c r="O4198" s="2">
        <f ca="1"/>
        <v>-0.23096525989205335</v>
      </c>
      <c r="X4198" s="2">
        <f ca="1"/>
        <v>56.652096075401992</v>
      </c>
      <c r="AG4198" s="2">
        <f ca="1"/>
        <v>0.12046104803930735</v>
      </c>
      <c r="AH4198" s="2" t="str">
        <f ca="1"/>
        <v>OK</v>
      </c>
    </row>
    <row r="4199" spans="2:34" x14ac:dyDescent="0.2">
      <c r="B4199" s="2">
        <f ca="1"/>
        <v>0.43034863722394201</v>
      </c>
      <c r="O4199" s="2">
        <f ca="1"/>
        <v>3.9581481108884355E-2</v>
      </c>
      <c r="X4199" s="2">
        <f ca="1"/>
        <v>50.095565557804079</v>
      </c>
      <c r="AG4199" s="2">
        <f ca="1"/>
        <v>0.45288004112373126</v>
      </c>
      <c r="AH4199" s="2" t="str">
        <f ca="1"/>
        <v>Bad</v>
      </c>
    </row>
    <row r="4200" spans="2:34" x14ac:dyDescent="0.2">
      <c r="B4200" s="2">
        <f ca="1"/>
        <v>0.16550329797640173</v>
      </c>
      <c r="O4200" s="2">
        <f ca="1"/>
        <v>-0.89594161269715866</v>
      </c>
      <c r="X4200" s="2">
        <f ca="1"/>
        <v>33.888575253407524</v>
      </c>
      <c r="AG4200" s="2">
        <f ca="1"/>
        <v>0.23967541933376602</v>
      </c>
      <c r="AH4200" s="2" t="str">
        <f ca="1"/>
        <v>OK</v>
      </c>
    </row>
    <row r="4201" spans="2:34" x14ac:dyDescent="0.2">
      <c r="B4201" s="2">
        <f ca="1"/>
        <v>0.95732300500455958</v>
      </c>
      <c r="O4201" s="2">
        <f ca="1"/>
        <v>2.3470267800964217</v>
      </c>
      <c r="X4201" s="2">
        <f ca="1"/>
        <v>44.321205841506028</v>
      </c>
      <c r="AG4201" s="2">
        <f ca="1"/>
        <v>0.52678076740279689</v>
      </c>
      <c r="AH4201" s="2" t="str">
        <f ca="1"/>
        <v>Bad</v>
      </c>
    </row>
    <row r="4202" spans="2:34" x14ac:dyDescent="0.2">
      <c r="B4202" s="2">
        <f ca="1"/>
        <v>6.6776935424435635E-2</v>
      </c>
      <c r="O4202" s="2">
        <f ca="1"/>
        <v>-0.78692785836048262</v>
      </c>
      <c r="X4202" s="2">
        <f ca="1"/>
        <v>82.273633993751943</v>
      </c>
      <c r="AG4202" s="2">
        <f ca="1"/>
        <v>0.98049359224231414</v>
      </c>
      <c r="AH4202" s="2" t="str">
        <f ca="1"/>
        <v>Bad</v>
      </c>
    </row>
    <row r="4203" spans="2:34" x14ac:dyDescent="0.2">
      <c r="B4203" s="2">
        <f ca="1"/>
        <v>0.1455476746194948</v>
      </c>
      <c r="O4203" s="2">
        <f ca="1"/>
        <v>-0.20690011132093364</v>
      </c>
      <c r="X4203" s="2">
        <f ca="1"/>
        <v>21.333345451271036</v>
      </c>
      <c r="AG4203" s="2">
        <f ca="1"/>
        <v>0.38013442045126156</v>
      </c>
      <c r="AH4203" s="2" t="str">
        <f ca="1"/>
        <v>OK</v>
      </c>
    </row>
    <row r="4204" spans="2:34" x14ac:dyDescent="0.2">
      <c r="B4204" s="2">
        <f ca="1"/>
        <v>0.19481234533640945</v>
      </c>
      <c r="O4204" s="2">
        <f ca="1"/>
        <v>0.31653506109521379</v>
      </c>
      <c r="X4204" s="2">
        <f ca="1"/>
        <v>62.631020199658337</v>
      </c>
      <c r="AG4204" s="2">
        <f ca="1"/>
        <v>0.87948862172326248</v>
      </c>
      <c r="AH4204" s="2" t="str">
        <f ca="1"/>
        <v>Bad</v>
      </c>
    </row>
    <row r="4205" spans="2:34" x14ac:dyDescent="0.2">
      <c r="B4205" s="2">
        <f ca="1"/>
        <v>0.71515257983960878</v>
      </c>
      <c r="O4205" s="2">
        <f ca="1"/>
        <v>0.74872871656505013</v>
      </c>
      <c r="X4205" s="2">
        <f ca="1"/>
        <v>50.516370383694408</v>
      </c>
      <c r="AG4205" s="2">
        <f ca="1"/>
        <v>0.92847861869431192</v>
      </c>
      <c r="AH4205" s="2" t="str">
        <f ca="1"/>
        <v>Bad</v>
      </c>
    </row>
    <row r="4206" spans="2:34" x14ac:dyDescent="0.2">
      <c r="B4206" s="2">
        <f ca="1"/>
        <v>4.2689374498708466E-2</v>
      </c>
      <c r="O4206" s="2">
        <f ca="1"/>
        <v>1.0718079462888952</v>
      </c>
      <c r="X4206" s="2">
        <f ca="1"/>
        <v>64.401363273040602</v>
      </c>
      <c r="AG4206" s="2">
        <f ca="1"/>
        <v>0.33936648657021595</v>
      </c>
      <c r="AH4206" s="2" t="str">
        <f ca="1"/>
        <v>OK</v>
      </c>
    </row>
    <row r="4207" spans="2:34" x14ac:dyDescent="0.2">
      <c r="B4207" s="2">
        <f ca="1"/>
        <v>0.49731467105550697</v>
      </c>
      <c r="O4207" s="2">
        <f ca="1"/>
        <v>0.98409306638414984</v>
      </c>
      <c r="X4207" s="2">
        <f ca="1"/>
        <v>53.440226201715156</v>
      </c>
      <c r="AG4207" s="2">
        <f ca="1"/>
        <v>0.600715823006293</v>
      </c>
      <c r="AH4207" s="2" t="str">
        <f ca="1"/>
        <v>Bad</v>
      </c>
    </row>
    <row r="4208" spans="2:34" x14ac:dyDescent="0.2">
      <c r="B4208" s="2">
        <f ca="1"/>
        <v>0.17602871182225166</v>
      </c>
      <c r="O4208" s="2">
        <f ca="1"/>
        <v>-0.73678526791054189</v>
      </c>
      <c r="X4208" s="2">
        <f ca="1"/>
        <v>49.729645402940143</v>
      </c>
      <c r="AG4208" s="2">
        <f ca="1"/>
        <v>0.12819654901740329</v>
      </c>
      <c r="AH4208" s="2" t="str">
        <f ca="1"/>
        <v>OK</v>
      </c>
    </row>
    <row r="4209" spans="2:34" x14ac:dyDescent="0.2">
      <c r="B4209" s="2">
        <f ca="1"/>
        <v>0.73600070061905964</v>
      </c>
      <c r="O4209" s="2">
        <f ca="1"/>
        <v>-0.16776585578198361</v>
      </c>
      <c r="X4209" s="2">
        <f ca="1"/>
        <v>49.507335351627418</v>
      </c>
      <c r="AG4209" s="2">
        <f ca="1"/>
        <v>0.50868793983006544</v>
      </c>
      <c r="AH4209" s="2" t="str">
        <f ca="1"/>
        <v>Bad</v>
      </c>
    </row>
    <row r="4210" spans="2:34" x14ac:dyDescent="0.2">
      <c r="B4210" s="2">
        <f ca="1"/>
        <v>0.13151601359481324</v>
      </c>
      <c r="O4210" s="2">
        <f ca="1"/>
        <v>-0.30420853160832911</v>
      </c>
      <c r="X4210" s="2">
        <f ca="1"/>
        <v>82.46880100892696</v>
      </c>
      <c r="AG4210" s="2">
        <f ca="1"/>
        <v>5.9623159210855148E-2</v>
      </c>
      <c r="AH4210" s="2" t="str">
        <f ca="1"/>
        <v>OK</v>
      </c>
    </row>
    <row r="4211" spans="2:34" x14ac:dyDescent="0.2">
      <c r="B4211" s="2">
        <f ca="1"/>
        <v>0.13758709386992773</v>
      </c>
      <c r="O4211" s="2">
        <f ca="1"/>
        <v>-0.44690118742710716</v>
      </c>
      <c r="X4211" s="2">
        <f ca="1"/>
        <v>48.320383408709013</v>
      </c>
      <c r="AG4211" s="2">
        <f ca="1"/>
        <v>0.61856638931531482</v>
      </c>
      <c r="AH4211" s="2" t="str">
        <f ca="1"/>
        <v>Bad</v>
      </c>
    </row>
    <row r="4212" spans="2:34" x14ac:dyDescent="0.2">
      <c r="B4212" s="2">
        <f ca="1"/>
        <v>0.46270952226956474</v>
      </c>
      <c r="O4212" s="2">
        <f ca="1"/>
        <v>0.47406455086034832</v>
      </c>
      <c r="X4212" s="2">
        <f ca="1"/>
        <v>62.905417422100065</v>
      </c>
      <c r="AG4212" s="2">
        <f ca="1"/>
        <v>0.99485303872384745</v>
      </c>
      <c r="AH4212" s="2" t="str">
        <f ca="1"/>
        <v>Bad</v>
      </c>
    </row>
    <row r="4213" spans="2:34" x14ac:dyDescent="0.2">
      <c r="B4213" s="2">
        <f ca="1"/>
        <v>0.19510287173178398</v>
      </c>
      <c r="O4213" s="2">
        <f ca="1"/>
        <v>1.9016090416900442</v>
      </c>
      <c r="X4213" s="2">
        <f ca="1"/>
        <v>35.223943259348125</v>
      </c>
      <c r="AG4213" s="2">
        <f ca="1"/>
        <v>0.5065638542797708</v>
      </c>
      <c r="AH4213" s="2" t="str">
        <f ca="1"/>
        <v>Bad</v>
      </c>
    </row>
    <row r="4214" spans="2:34" x14ac:dyDescent="0.2">
      <c r="B4214" s="2">
        <f ca="1"/>
        <v>0.81660457875021852</v>
      </c>
      <c r="O4214" s="2">
        <f ca="1"/>
        <v>-0.36940775382103591</v>
      </c>
      <c r="X4214" s="2">
        <f ca="1"/>
        <v>46.198052377345689</v>
      </c>
      <c r="AG4214" s="2">
        <f ca="1"/>
        <v>0.39840968108601227</v>
      </c>
      <c r="AH4214" s="2" t="str">
        <f ca="1"/>
        <v>OK</v>
      </c>
    </row>
    <row r="4215" spans="2:34" x14ac:dyDescent="0.2">
      <c r="B4215" s="2">
        <f ca="1"/>
        <v>0.54377852036851348</v>
      </c>
      <c r="O4215" s="2">
        <f ca="1"/>
        <v>6.7874176359640173E-2</v>
      </c>
      <c r="X4215" s="2">
        <f ca="1"/>
        <v>91.183279041685097</v>
      </c>
      <c r="AG4215" s="2">
        <f ca="1"/>
        <v>2.3672146636418034E-2</v>
      </c>
      <c r="AH4215" s="2" t="str">
        <f ca="1"/>
        <v>Good</v>
      </c>
    </row>
    <row r="4216" spans="2:34" x14ac:dyDescent="0.2">
      <c r="B4216" s="2">
        <f ca="1"/>
        <v>0.29483483367457008</v>
      </c>
      <c r="O4216" s="2">
        <f ca="1"/>
        <v>4.9714508322897942E-2</v>
      </c>
      <c r="X4216" s="2">
        <f ca="1"/>
        <v>27.3195002192545</v>
      </c>
      <c r="AG4216" s="2">
        <f ca="1"/>
        <v>0.39210382602540106</v>
      </c>
      <c r="AH4216" s="2" t="str">
        <f ca="1"/>
        <v>OK</v>
      </c>
    </row>
    <row r="4217" spans="2:34" x14ac:dyDescent="0.2">
      <c r="B4217" s="2">
        <f ca="1"/>
        <v>0.70311811453906259</v>
      </c>
      <c r="O4217" s="2">
        <f ca="1"/>
        <v>1.3068124097065783</v>
      </c>
      <c r="X4217" s="2">
        <f ca="1"/>
        <v>21.975347567637947</v>
      </c>
      <c r="AG4217" s="2">
        <f ca="1"/>
        <v>0.44562118348838697</v>
      </c>
      <c r="AH4217" s="2" t="str">
        <f ca="1"/>
        <v>Bad</v>
      </c>
    </row>
    <row r="4218" spans="2:34" x14ac:dyDescent="0.2">
      <c r="B4218" s="2">
        <f ca="1"/>
        <v>0.19061395691213479</v>
      </c>
      <c r="O4218" s="2">
        <f ca="1"/>
        <v>0.13851954048185344</v>
      </c>
      <c r="X4218" s="2">
        <f ca="1"/>
        <v>25.739690216238557</v>
      </c>
      <c r="AG4218" s="2">
        <f ca="1"/>
        <v>0.77391403239773338</v>
      </c>
      <c r="AH4218" s="2" t="str">
        <f ca="1"/>
        <v>Bad</v>
      </c>
    </row>
    <row r="4219" spans="2:34" x14ac:dyDescent="0.2">
      <c r="B4219" s="2">
        <f ca="1"/>
        <v>0.51788024583571723</v>
      </c>
      <c r="O4219" s="2">
        <f ca="1"/>
        <v>-0.1365078711158994</v>
      </c>
      <c r="X4219" s="2">
        <f ca="1"/>
        <v>32.217877693413875</v>
      </c>
      <c r="AG4219" s="2">
        <f ca="1"/>
        <v>0.95689442241801093</v>
      </c>
      <c r="AH4219" s="2" t="str">
        <f ca="1"/>
        <v>Bad</v>
      </c>
    </row>
    <row r="4220" spans="2:34" x14ac:dyDescent="0.2">
      <c r="B4220" s="2">
        <f ca="1"/>
        <v>0.43861675156070601</v>
      </c>
      <c r="O4220" s="2">
        <f ca="1"/>
        <v>-2.308242119923253</v>
      </c>
      <c r="X4220" s="2">
        <f ca="1"/>
        <v>42.144935732009387</v>
      </c>
      <c r="AG4220" s="2">
        <f ca="1"/>
        <v>0.39910411205572016</v>
      </c>
      <c r="AH4220" s="2" t="str">
        <f ca="1"/>
        <v>OK</v>
      </c>
    </row>
    <row r="4221" spans="2:34" x14ac:dyDescent="0.2">
      <c r="B4221" s="2">
        <f ca="1"/>
        <v>0.15866725445977203</v>
      </c>
      <c r="O4221" s="2">
        <f ca="1"/>
        <v>1.274449778302853</v>
      </c>
      <c r="X4221" s="2">
        <f ca="1"/>
        <v>32.475483678310738</v>
      </c>
      <c r="AG4221" s="2">
        <f ca="1"/>
        <v>0.23626667962096892</v>
      </c>
      <c r="AH4221" s="2" t="str">
        <f ca="1"/>
        <v>OK</v>
      </c>
    </row>
    <row r="4222" spans="2:34" x14ac:dyDescent="0.2">
      <c r="B4222" s="2">
        <f ca="1"/>
        <v>7.1622056704980341E-2</v>
      </c>
      <c r="O4222" s="2">
        <f ca="1"/>
        <v>3.3538036571983377E-3</v>
      </c>
      <c r="X4222" s="2">
        <f ca="1"/>
        <v>35.092712200347165</v>
      </c>
      <c r="AG4222" s="2">
        <f ca="1"/>
        <v>0.58948973537470217</v>
      </c>
      <c r="AH4222" s="2" t="str">
        <f ca="1"/>
        <v>Bad</v>
      </c>
    </row>
    <row r="4223" spans="2:34" x14ac:dyDescent="0.2">
      <c r="B4223" s="2">
        <f ca="1"/>
        <v>0.82560825613313304</v>
      </c>
      <c r="O4223" s="2">
        <f ca="1"/>
        <v>-0.61720706576023732</v>
      </c>
      <c r="X4223" s="2">
        <f ca="1"/>
        <v>32.496114284142699</v>
      </c>
      <c r="AG4223" s="2">
        <f ca="1"/>
        <v>0.14448188639966308</v>
      </c>
      <c r="AH4223" s="2" t="str">
        <f ca="1"/>
        <v>OK</v>
      </c>
    </row>
    <row r="4224" spans="2:34" x14ac:dyDescent="0.2">
      <c r="B4224" s="2">
        <f ca="1"/>
        <v>0.76215008775485749</v>
      </c>
      <c r="O4224" s="2">
        <f ca="1"/>
        <v>0.2490356850015201</v>
      </c>
      <c r="X4224" s="2">
        <f ca="1"/>
        <v>55.386692380623053</v>
      </c>
      <c r="AG4224" s="2">
        <f ca="1"/>
        <v>0.1443840464751831</v>
      </c>
      <c r="AH4224" s="2" t="str">
        <f ca="1"/>
        <v>OK</v>
      </c>
    </row>
    <row r="4225" spans="2:34" x14ac:dyDescent="0.2">
      <c r="B4225" s="2">
        <f ca="1"/>
        <v>0.52746869599983714</v>
      </c>
      <c r="O4225" s="2">
        <f ca="1"/>
        <v>-0.20533738654840131</v>
      </c>
      <c r="X4225" s="2">
        <f ca="1"/>
        <v>44.159659872171481</v>
      </c>
      <c r="AG4225" s="2">
        <f ca="1"/>
        <v>0.93849086502921963</v>
      </c>
      <c r="AH4225" s="2" t="str">
        <f ca="1"/>
        <v>Bad</v>
      </c>
    </row>
    <row r="4226" spans="2:34" x14ac:dyDescent="0.2">
      <c r="B4226" s="2">
        <f ca="1"/>
        <v>0.92883969863312221</v>
      </c>
      <c r="O4226" s="2">
        <f ca="1"/>
        <v>-1.4060733653471902</v>
      </c>
      <c r="X4226" s="2">
        <f ca="1"/>
        <v>45.928061504024591</v>
      </c>
      <c r="AG4226" s="2">
        <f ca="1"/>
        <v>0.29818492289276</v>
      </c>
      <c r="AH4226" s="2" t="str">
        <f ca="1"/>
        <v>OK</v>
      </c>
    </row>
    <row r="4227" spans="2:34" x14ac:dyDescent="0.2">
      <c r="B4227" s="2">
        <f ca="1"/>
        <v>6.1533419567574299E-3</v>
      </c>
      <c r="O4227" s="2">
        <f ca="1"/>
        <v>0.43878308294186669</v>
      </c>
      <c r="X4227" s="2">
        <f ca="1"/>
        <v>26.037210113801411</v>
      </c>
      <c r="AG4227" s="2">
        <f ca="1"/>
        <v>0.41584835186026781</v>
      </c>
      <c r="AH4227" s="2" t="str">
        <f ca="1"/>
        <v>Bad</v>
      </c>
    </row>
    <row r="4228" spans="2:34" x14ac:dyDescent="0.2">
      <c r="B4228" s="2">
        <f ca="1"/>
        <v>0.4970985166160915</v>
      </c>
      <c r="O4228" s="2">
        <f ca="1"/>
        <v>-0.6587779610785951</v>
      </c>
      <c r="X4228" s="2">
        <f ca="1"/>
        <v>41.511715966157254</v>
      </c>
      <c r="AG4228" s="2">
        <f ca="1"/>
        <v>0.11011043625234751</v>
      </c>
      <c r="AH4228" s="2" t="str">
        <f ca="1"/>
        <v>OK</v>
      </c>
    </row>
    <row r="4229" spans="2:34" x14ac:dyDescent="0.2">
      <c r="B4229" s="2">
        <f ca="1"/>
        <v>0.60971651722705622</v>
      </c>
      <c r="O4229" s="2">
        <f ca="1"/>
        <v>0.14204350191701884</v>
      </c>
      <c r="X4229" s="2">
        <f ca="1"/>
        <v>74.846553160257827</v>
      </c>
      <c r="AG4229" s="2">
        <f ca="1"/>
        <v>0.28292870962942041</v>
      </c>
      <c r="AH4229" s="2" t="str">
        <f ca="1"/>
        <v>OK</v>
      </c>
    </row>
    <row r="4230" spans="2:34" x14ac:dyDescent="0.2">
      <c r="B4230" s="2">
        <f ca="1"/>
        <v>0.73117340501664319</v>
      </c>
      <c r="O4230" s="2">
        <f ca="1"/>
        <v>0.39240979594643771</v>
      </c>
      <c r="X4230" s="2">
        <f ca="1"/>
        <v>45.991233007460337</v>
      </c>
      <c r="AG4230" s="2">
        <f ca="1"/>
        <v>0.93183449169118449</v>
      </c>
      <c r="AH4230" s="2" t="str">
        <f ca="1"/>
        <v>Bad</v>
      </c>
    </row>
    <row r="4231" spans="2:34" x14ac:dyDescent="0.2">
      <c r="B4231" s="2">
        <f ca="1"/>
        <v>0.31095457831327544</v>
      </c>
      <c r="O4231" s="2">
        <f ca="1"/>
        <v>1.915526918629868</v>
      </c>
      <c r="X4231" s="2">
        <f ca="1"/>
        <v>52.250696150914457</v>
      </c>
      <c r="AG4231" s="2">
        <f ca="1"/>
        <v>0.39048171773922569</v>
      </c>
      <c r="AH4231" s="2" t="str">
        <f ca="1"/>
        <v>OK</v>
      </c>
    </row>
    <row r="4232" spans="2:34" x14ac:dyDescent="0.2">
      <c r="B4232" s="2">
        <f ca="1"/>
        <v>0.85149863978325979</v>
      </c>
      <c r="O4232" s="2">
        <f ca="1"/>
        <v>0.27484992335378078</v>
      </c>
      <c r="X4232" s="2">
        <f ca="1"/>
        <v>36.030567965995729</v>
      </c>
      <c r="AG4232" s="2">
        <f ca="1"/>
        <v>0.63794176845129447</v>
      </c>
      <c r="AH4232" s="2" t="str">
        <f ca="1"/>
        <v>Bad</v>
      </c>
    </row>
    <row r="4233" spans="2:34" x14ac:dyDescent="0.2">
      <c r="B4233" s="2">
        <f ca="1"/>
        <v>0.99256592811917632</v>
      </c>
      <c r="O4233" s="2">
        <f ca="1"/>
        <v>-1.4556612804511095</v>
      </c>
      <c r="X4233" s="2">
        <f ca="1"/>
        <v>26.59512144944479</v>
      </c>
      <c r="AG4233" s="2">
        <f ca="1"/>
        <v>0.59360058284002726</v>
      </c>
      <c r="AH4233" s="2" t="str">
        <f ca="1"/>
        <v>Bad</v>
      </c>
    </row>
    <row r="4234" spans="2:34" x14ac:dyDescent="0.2">
      <c r="B4234" s="2">
        <f ca="1"/>
        <v>0.86780955034865159</v>
      </c>
      <c r="O4234" s="2">
        <f ca="1"/>
        <v>-0.54542030923726581</v>
      </c>
      <c r="X4234" s="2">
        <f ca="1"/>
        <v>31.684431013048176</v>
      </c>
      <c r="AG4234" s="2">
        <f ca="1"/>
        <v>0.88719727980662166</v>
      </c>
      <c r="AH4234" s="2" t="str">
        <f ca="1"/>
        <v>Bad</v>
      </c>
    </row>
    <row r="4235" spans="2:34" x14ac:dyDescent="0.2">
      <c r="B4235" s="2">
        <f ca="1"/>
        <v>0.50696684337994258</v>
      </c>
      <c r="O4235" s="2">
        <f ca="1"/>
        <v>1.8735959965750011</v>
      </c>
      <c r="X4235" s="2">
        <f ca="1"/>
        <v>71.019955926662902</v>
      </c>
      <c r="AG4235" s="2">
        <f ca="1"/>
        <v>0.84164557222089886</v>
      </c>
      <c r="AH4235" s="2" t="str">
        <f ca="1"/>
        <v>Bad</v>
      </c>
    </row>
    <row r="4236" spans="2:34" x14ac:dyDescent="0.2">
      <c r="B4236" s="2">
        <f ca="1"/>
        <v>0.9454831903732297</v>
      </c>
      <c r="O4236" s="2">
        <f ca="1"/>
        <v>1.2205310726793444</v>
      </c>
      <c r="X4236" s="2">
        <f ca="1"/>
        <v>80.683118669372803</v>
      </c>
      <c r="AG4236" s="2">
        <f ca="1"/>
        <v>0.61157453610461232</v>
      </c>
      <c r="AH4236" s="2" t="str">
        <f ca="1"/>
        <v>Bad</v>
      </c>
    </row>
    <row r="4237" spans="2:34" x14ac:dyDescent="0.2">
      <c r="B4237" s="2">
        <f ca="1"/>
        <v>0.121124013186932</v>
      </c>
      <c r="O4237" s="2">
        <f ca="1"/>
        <v>-1.2908298665417122</v>
      </c>
      <c r="X4237" s="2">
        <f ca="1"/>
        <v>38.547155802903795</v>
      </c>
      <c r="AG4237" s="2">
        <f ca="1"/>
        <v>0.65918034233118727</v>
      </c>
      <c r="AH4237" s="2" t="str">
        <f ca="1"/>
        <v>Bad</v>
      </c>
    </row>
    <row r="4238" spans="2:34" x14ac:dyDescent="0.2">
      <c r="B4238" s="2">
        <f ca="1"/>
        <v>8.5448077663976774E-2</v>
      </c>
      <c r="O4238" s="2">
        <f ca="1"/>
        <v>-0.75907999705656992</v>
      </c>
      <c r="X4238" s="2">
        <f ca="1"/>
        <v>25.782325560227761</v>
      </c>
      <c r="AG4238" s="2">
        <f ca="1"/>
        <v>0.80800229088404274</v>
      </c>
      <c r="AH4238" s="2" t="str">
        <f ca="1"/>
        <v>Bad</v>
      </c>
    </row>
    <row r="4239" spans="2:34" x14ac:dyDescent="0.2">
      <c r="B4239" s="2">
        <f ca="1"/>
        <v>0.33293631502298182</v>
      </c>
      <c r="O4239" s="2">
        <f ca="1"/>
        <v>1.127336149963156</v>
      </c>
      <c r="X4239" s="2">
        <f ca="1"/>
        <v>27.448785469631712</v>
      </c>
      <c r="AG4239" s="2">
        <f ca="1"/>
        <v>0.58952728053157033</v>
      </c>
      <c r="AH4239" s="2" t="str">
        <f ca="1"/>
        <v>Bad</v>
      </c>
    </row>
    <row r="4240" spans="2:34" x14ac:dyDescent="0.2">
      <c r="B4240" s="2">
        <f ca="1"/>
        <v>0.26294862944324349</v>
      </c>
      <c r="O4240" s="2">
        <f ca="1"/>
        <v>-0.15739881127074229</v>
      </c>
      <c r="X4240" s="2">
        <f ca="1"/>
        <v>35.570688095609974</v>
      </c>
      <c r="AG4240" s="2">
        <f ca="1"/>
        <v>0.44739623730752354</v>
      </c>
      <c r="AH4240" s="2" t="str">
        <f ca="1"/>
        <v>Bad</v>
      </c>
    </row>
    <row r="4241" spans="2:34" x14ac:dyDescent="0.2">
      <c r="B4241" s="2">
        <f ca="1"/>
        <v>0.84485559065164173</v>
      </c>
      <c r="O4241" s="2">
        <f ca="1"/>
        <v>1.0203204382774687E-2</v>
      </c>
      <c r="X4241" s="2">
        <f ca="1"/>
        <v>40.37807262051291</v>
      </c>
      <c r="AG4241" s="2">
        <f ca="1"/>
        <v>0.89608952421713983</v>
      </c>
      <c r="AH4241" s="2" t="str">
        <f ca="1"/>
        <v>Bad</v>
      </c>
    </row>
    <row r="4242" spans="2:34" x14ac:dyDescent="0.2">
      <c r="B4242" s="2">
        <f ca="1"/>
        <v>0.36349509954405224</v>
      </c>
      <c r="O4242" s="2">
        <f ca="1"/>
        <v>0.18950505521306502</v>
      </c>
      <c r="X4242" s="2">
        <f ca="1"/>
        <v>36.664814143604069</v>
      </c>
      <c r="AG4242" s="2">
        <f ca="1"/>
        <v>0.17022187939386701</v>
      </c>
      <c r="AH4242" s="2" t="str">
        <f ca="1"/>
        <v>OK</v>
      </c>
    </row>
    <row r="4243" spans="2:34" x14ac:dyDescent="0.2">
      <c r="B4243" s="2">
        <f ca="1"/>
        <v>0.55140454949863482</v>
      </c>
      <c r="O4243" s="2">
        <f ca="1"/>
        <v>1.4382103683506196E-2</v>
      </c>
      <c r="X4243" s="2">
        <f ca="1"/>
        <v>64.663946476832407</v>
      </c>
      <c r="AG4243" s="2">
        <f ca="1"/>
        <v>0.36137366090189738</v>
      </c>
      <c r="AH4243" s="2" t="str">
        <f ca="1"/>
        <v>OK</v>
      </c>
    </row>
    <row r="4244" spans="2:34" x14ac:dyDescent="0.2">
      <c r="B4244" s="2">
        <f ca="1"/>
        <v>0.31512917011267327</v>
      </c>
      <c r="O4244" s="2">
        <f ca="1"/>
        <v>-0.26429913988095688</v>
      </c>
      <c r="X4244" s="2">
        <f ca="1"/>
        <v>65.098447472878533</v>
      </c>
      <c r="AG4244" s="2">
        <f ca="1"/>
        <v>0.93004062531492115</v>
      </c>
      <c r="AH4244" s="2" t="str">
        <f ca="1"/>
        <v>Bad</v>
      </c>
    </row>
    <row r="4245" spans="2:34" x14ac:dyDescent="0.2">
      <c r="B4245" s="2">
        <f ca="1"/>
        <v>0.49558391392103651</v>
      </c>
      <c r="O4245" s="2">
        <f ca="1"/>
        <v>-0.93587566202933414</v>
      </c>
      <c r="X4245" s="2">
        <f ca="1"/>
        <v>34.544583390996458</v>
      </c>
      <c r="AG4245" s="2">
        <f ca="1"/>
        <v>0.91155807121892862</v>
      </c>
      <c r="AH4245" s="2" t="str">
        <f ca="1"/>
        <v>Bad</v>
      </c>
    </row>
    <row r="4246" spans="2:34" x14ac:dyDescent="0.2">
      <c r="B4246" s="2">
        <f ca="1"/>
        <v>0.28826830749189392</v>
      </c>
      <c r="O4246" s="2">
        <f ca="1"/>
        <v>-0.63265056588761226</v>
      </c>
      <c r="X4246" s="2">
        <f ca="1"/>
        <v>11.774704392709591</v>
      </c>
      <c r="AG4246" s="2">
        <f ca="1"/>
        <v>0.45741272028181745</v>
      </c>
      <c r="AH4246" s="2" t="str">
        <f ca="1"/>
        <v>Bad</v>
      </c>
    </row>
    <row r="4247" spans="2:34" x14ac:dyDescent="0.2">
      <c r="B4247" s="2">
        <f ca="1"/>
        <v>0.28619993500259033</v>
      </c>
      <c r="O4247" s="2">
        <f ca="1"/>
        <v>0.82707554396575522</v>
      </c>
      <c r="X4247" s="2">
        <f ca="1"/>
        <v>67.511528800240853</v>
      </c>
      <c r="AG4247" s="2">
        <f ca="1"/>
        <v>0.38976757969162201</v>
      </c>
      <c r="AH4247" s="2" t="str">
        <f ca="1"/>
        <v>OK</v>
      </c>
    </row>
    <row r="4248" spans="2:34" x14ac:dyDescent="0.2">
      <c r="B4248" s="2">
        <f ca="1"/>
        <v>0.36440649265903002</v>
      </c>
      <c r="O4248" s="2">
        <f ca="1"/>
        <v>0.14695179879309669</v>
      </c>
      <c r="X4248" s="2">
        <f ca="1"/>
        <v>46.973905513441522</v>
      </c>
      <c r="AG4248" s="2">
        <f ca="1"/>
        <v>0.23564334240970686</v>
      </c>
      <c r="AH4248" s="2" t="str">
        <f ca="1"/>
        <v>OK</v>
      </c>
    </row>
    <row r="4249" spans="2:34" x14ac:dyDescent="0.2">
      <c r="B4249" s="2">
        <f ca="1"/>
        <v>0.28739493469790167</v>
      </c>
      <c r="O4249" s="2">
        <f ca="1"/>
        <v>-0.10663133955903409</v>
      </c>
      <c r="X4249" s="2">
        <f ca="1"/>
        <v>23.744823252399073</v>
      </c>
      <c r="AG4249" s="2">
        <f ca="1"/>
        <v>0.27303466254267117</v>
      </c>
      <c r="AH4249" s="2" t="str">
        <f ca="1"/>
        <v>OK</v>
      </c>
    </row>
    <row r="4250" spans="2:34" x14ac:dyDescent="0.2">
      <c r="B4250" s="2">
        <f ca="1"/>
        <v>0.5178020712367839</v>
      </c>
      <c r="O4250" s="2">
        <f ca="1"/>
        <v>6.2240807256111357E-2</v>
      </c>
      <c r="X4250" s="2">
        <f ca="1"/>
        <v>82.132852338989181</v>
      </c>
      <c r="AG4250" s="2">
        <f ca="1"/>
        <v>0.34368008730991706</v>
      </c>
      <c r="AH4250" s="2" t="str">
        <f ca="1"/>
        <v>OK</v>
      </c>
    </row>
    <row r="4251" spans="2:34" x14ac:dyDescent="0.2">
      <c r="B4251" s="2">
        <f ca="1"/>
        <v>0.83427182275999545</v>
      </c>
      <c r="O4251" s="2">
        <f ca="1"/>
        <v>-1.212923823770943</v>
      </c>
      <c r="X4251" s="2">
        <f ca="1"/>
        <v>68.979539138591207</v>
      </c>
      <c r="AG4251" s="2">
        <f ca="1"/>
        <v>0.11453133616279043</v>
      </c>
      <c r="AH4251" s="2" t="str">
        <f ca="1"/>
        <v>OK</v>
      </c>
    </row>
    <row r="4252" spans="2:34" x14ac:dyDescent="0.2">
      <c r="B4252" s="2">
        <f ca="1"/>
        <v>0.3949462815875191</v>
      </c>
      <c r="O4252" s="2">
        <f ca="1"/>
        <v>-2.7494004910996669E-3</v>
      </c>
      <c r="X4252" s="2">
        <f ca="1"/>
        <v>27.42643796551922</v>
      </c>
      <c r="AG4252" s="2">
        <f ca="1"/>
        <v>0.63011769739191714</v>
      </c>
      <c r="AH4252" s="2" t="str">
        <f ca="1"/>
        <v>Bad</v>
      </c>
    </row>
    <row r="4253" spans="2:34" x14ac:dyDescent="0.2">
      <c r="B4253" s="2">
        <f ca="1"/>
        <v>0.99385337982194111</v>
      </c>
      <c r="O4253" s="2">
        <f ca="1"/>
        <v>-1.0444775054204019</v>
      </c>
      <c r="X4253" s="2">
        <f ca="1"/>
        <v>68.807863143784857</v>
      </c>
      <c r="AG4253" s="2">
        <f ca="1"/>
        <v>0.937753180562658</v>
      </c>
      <c r="AH4253" s="2" t="str">
        <f ca="1"/>
        <v>Bad</v>
      </c>
    </row>
    <row r="4254" spans="2:34" x14ac:dyDescent="0.2">
      <c r="B4254" s="2">
        <f ca="1"/>
        <v>0.71610527568313254</v>
      </c>
      <c r="O4254" s="2">
        <f ca="1"/>
        <v>1.060853866244273</v>
      </c>
      <c r="X4254" s="2">
        <f ca="1"/>
        <v>44.205956475396874</v>
      </c>
      <c r="AG4254" s="2">
        <f ca="1"/>
        <v>0.12227332345442554</v>
      </c>
      <c r="AH4254" s="2" t="str">
        <f ca="1"/>
        <v>OK</v>
      </c>
    </row>
    <row r="4255" spans="2:34" x14ac:dyDescent="0.2">
      <c r="B4255" s="2">
        <f ca="1"/>
        <v>0.35992820625813282</v>
      </c>
      <c r="O4255" s="2">
        <f ca="1"/>
        <v>-0.51797594446749662</v>
      </c>
      <c r="X4255" s="2">
        <f ca="1"/>
        <v>33.308605003893717</v>
      </c>
      <c r="AG4255" s="2">
        <f ca="1"/>
        <v>1.820086730525361E-3</v>
      </c>
      <c r="AH4255" s="2" t="str">
        <f ca="1"/>
        <v>Good</v>
      </c>
    </row>
    <row r="4256" spans="2:34" x14ac:dyDescent="0.2">
      <c r="B4256" s="2">
        <f ca="1"/>
        <v>0.58818238230067954</v>
      </c>
      <c r="O4256" s="2">
        <f ca="1"/>
        <v>-0.21626974087913275</v>
      </c>
      <c r="X4256" s="2">
        <f ca="1"/>
        <v>56.954680965061286</v>
      </c>
      <c r="AG4256" s="2">
        <f ca="1"/>
        <v>0.25179242128492008</v>
      </c>
      <c r="AH4256" s="2" t="str">
        <f ca="1"/>
        <v>OK</v>
      </c>
    </row>
    <row r="4257" spans="2:34" x14ac:dyDescent="0.2">
      <c r="B4257" s="2">
        <f ca="1"/>
        <v>0.94684591395399798</v>
      </c>
      <c r="O4257" s="2">
        <f ca="1"/>
        <v>1.1198751268319507</v>
      </c>
      <c r="X4257" s="2">
        <f ca="1"/>
        <v>62.488506762894829</v>
      </c>
      <c r="AG4257" s="2">
        <f ca="1"/>
        <v>0.69520255018052679</v>
      </c>
      <c r="AH4257" s="2" t="str">
        <f ca="1"/>
        <v>Bad</v>
      </c>
    </row>
    <row r="4258" spans="2:34" x14ac:dyDescent="0.2">
      <c r="B4258" s="2">
        <f ca="1"/>
        <v>0.42342730252977145</v>
      </c>
      <c r="O4258" s="2">
        <f ca="1"/>
        <v>-1.1695387461837521</v>
      </c>
      <c r="X4258" s="2">
        <f ca="1"/>
        <v>42.354665925949334</v>
      </c>
      <c r="AG4258" s="2">
        <f ca="1"/>
        <v>0.35414301734999398</v>
      </c>
      <c r="AH4258" s="2" t="str">
        <f ca="1"/>
        <v>OK</v>
      </c>
    </row>
    <row r="4259" spans="2:34" x14ac:dyDescent="0.2">
      <c r="B4259" s="2">
        <f ca="1"/>
        <v>0.2388565248037986</v>
      </c>
      <c r="O4259" s="2">
        <f ca="1"/>
        <v>-0.73014042964081471</v>
      </c>
      <c r="X4259" s="2">
        <f ca="1"/>
        <v>33.717159507532557</v>
      </c>
      <c r="AG4259" s="2">
        <f ca="1"/>
        <v>0.83610025909356778</v>
      </c>
      <c r="AH4259" s="2" t="str">
        <f ca="1"/>
        <v>Bad</v>
      </c>
    </row>
    <row r="4260" spans="2:34" x14ac:dyDescent="0.2">
      <c r="B4260" s="2">
        <f ca="1"/>
        <v>0.29434271150651314</v>
      </c>
      <c r="O4260" s="2">
        <f ca="1"/>
        <v>-2.1376264569838868</v>
      </c>
      <c r="X4260" s="2">
        <f ca="1"/>
        <v>44.440499980924741</v>
      </c>
      <c r="AG4260" s="2">
        <f ca="1"/>
        <v>0.77014388546474355</v>
      </c>
      <c r="AH4260" s="2" t="str">
        <f ca="1"/>
        <v>Bad</v>
      </c>
    </row>
    <row r="4261" spans="2:34" x14ac:dyDescent="0.2">
      <c r="B4261" s="2">
        <f ca="1"/>
        <v>0.82990843596511588</v>
      </c>
      <c r="O4261" s="2">
        <f ca="1"/>
        <v>1.1945092063998839</v>
      </c>
      <c r="X4261" s="2">
        <f ca="1"/>
        <v>45.114395958044327</v>
      </c>
      <c r="AG4261" s="2">
        <f ca="1"/>
        <v>0.11184154251015332</v>
      </c>
      <c r="AH4261" s="2" t="str">
        <f ca="1"/>
        <v>OK</v>
      </c>
    </row>
    <row r="4262" spans="2:34" x14ac:dyDescent="0.2">
      <c r="B4262" s="2">
        <f ca="1"/>
        <v>0.39817638861022231</v>
      </c>
      <c r="O4262" s="2">
        <f ca="1"/>
        <v>0.33257459369326653</v>
      </c>
      <c r="X4262" s="2">
        <f ca="1"/>
        <v>20.598940764985802</v>
      </c>
      <c r="AG4262" s="2">
        <f ca="1"/>
        <v>0.64889712738486116</v>
      </c>
      <c r="AH4262" s="2" t="str">
        <f ca="1"/>
        <v>Bad</v>
      </c>
    </row>
    <row r="4263" spans="2:34" x14ac:dyDescent="0.2">
      <c r="B4263" s="2">
        <f ca="1"/>
        <v>0.26445027243215935</v>
      </c>
      <c r="O4263" s="2">
        <f ca="1"/>
        <v>-0.91655672695219992</v>
      </c>
      <c r="X4263" s="2">
        <f ca="1"/>
        <v>44.984169534970718</v>
      </c>
      <c r="AG4263" s="2">
        <f ca="1"/>
        <v>0.47521327759305421</v>
      </c>
      <c r="AH4263" s="2" t="str">
        <f ca="1"/>
        <v>Bad</v>
      </c>
    </row>
    <row r="4264" spans="2:34" x14ac:dyDescent="0.2">
      <c r="B4264" s="2">
        <f ca="1"/>
        <v>0.1777138512503369</v>
      </c>
      <c r="O4264" s="2">
        <f ca="1"/>
        <v>-0.48297613861302152</v>
      </c>
      <c r="X4264" s="2">
        <f ca="1"/>
        <v>36.774532169336688</v>
      </c>
      <c r="AG4264" s="2">
        <f ca="1"/>
        <v>0.15449199136053626</v>
      </c>
      <c r="AH4264" s="2" t="str">
        <f ca="1"/>
        <v>OK</v>
      </c>
    </row>
    <row r="4265" spans="2:34" x14ac:dyDescent="0.2">
      <c r="B4265" s="2">
        <f ca="1"/>
        <v>0.88295859314770064</v>
      </c>
      <c r="O4265" s="2">
        <f ca="1"/>
        <v>-0.13310522155626983</v>
      </c>
      <c r="X4265" s="2">
        <f ca="1"/>
        <v>85.52542466121912</v>
      </c>
      <c r="AG4265" s="2">
        <f ca="1"/>
        <v>0.65067600196577735</v>
      </c>
      <c r="AH4265" s="2" t="str">
        <f ca="1"/>
        <v>Bad</v>
      </c>
    </row>
    <row r="4266" spans="2:34" x14ac:dyDescent="0.2">
      <c r="B4266" s="2">
        <f ca="1"/>
        <v>0.52604814280514667</v>
      </c>
      <c r="O4266" s="2">
        <f ca="1"/>
        <v>2.5606535673488431E-2</v>
      </c>
      <c r="X4266" s="2">
        <f ca="1"/>
        <v>47.648225331608209</v>
      </c>
      <c r="AG4266" s="2">
        <f ca="1"/>
        <v>0.63107155300316542</v>
      </c>
      <c r="AH4266" s="2" t="str">
        <f ca="1"/>
        <v>Bad</v>
      </c>
    </row>
    <row r="4267" spans="2:34" x14ac:dyDescent="0.2">
      <c r="B4267" s="2">
        <f ca="1"/>
        <v>0.3368162953045355</v>
      </c>
      <c r="O4267" s="2">
        <f ca="1"/>
        <v>-1.2627365770290733</v>
      </c>
      <c r="X4267" s="2">
        <f ca="1"/>
        <v>50.911495573885247</v>
      </c>
      <c r="AG4267" s="2">
        <f ca="1"/>
        <v>3.6283214740907344E-2</v>
      </c>
      <c r="AH4267" s="2" t="str">
        <f ca="1"/>
        <v>Good</v>
      </c>
    </row>
    <row r="4268" spans="2:34" x14ac:dyDescent="0.2">
      <c r="B4268" s="2">
        <f ca="1"/>
        <v>0.63833605317140618</v>
      </c>
      <c r="O4268" s="2">
        <f ca="1"/>
        <v>1.0686139112979456</v>
      </c>
      <c r="X4268" s="2">
        <f ca="1"/>
        <v>74.876795314209261</v>
      </c>
      <c r="AG4268" s="2">
        <f ca="1"/>
        <v>0.91717761758130156</v>
      </c>
      <c r="AH4268" s="2" t="str">
        <f ca="1"/>
        <v>Bad</v>
      </c>
    </row>
    <row r="4269" spans="2:34" x14ac:dyDescent="0.2">
      <c r="B4269" s="2">
        <f ca="1"/>
        <v>0.45569179951584116</v>
      </c>
      <c r="O4269" s="2">
        <f ca="1"/>
        <v>-0.3776884119144186</v>
      </c>
      <c r="X4269" s="2">
        <f ca="1"/>
        <v>54.906660961621427</v>
      </c>
      <c r="AG4269" s="2">
        <f ca="1"/>
        <v>0.8970623810563283</v>
      </c>
      <c r="AH4269" s="2" t="str">
        <f ca="1"/>
        <v>Bad</v>
      </c>
    </row>
    <row r="4270" spans="2:34" x14ac:dyDescent="0.2">
      <c r="B4270" s="2">
        <f ca="1"/>
        <v>0.94026523670559325</v>
      </c>
      <c r="O4270" s="2">
        <f ca="1"/>
        <v>0.2522555923757786</v>
      </c>
      <c r="X4270" s="2">
        <f ca="1"/>
        <v>43.123411116804455</v>
      </c>
      <c r="AG4270" s="2">
        <f ca="1"/>
        <v>0.26311943037289987</v>
      </c>
      <c r="AH4270" s="2" t="str">
        <f ca="1"/>
        <v>OK</v>
      </c>
    </row>
    <row r="4271" spans="2:34" x14ac:dyDescent="0.2">
      <c r="B4271" s="2">
        <f ca="1"/>
        <v>0.60335740585696196</v>
      </c>
      <c r="O4271" s="2">
        <f ca="1"/>
        <v>1.27702874402623</v>
      </c>
      <c r="X4271" s="2">
        <f ca="1"/>
        <v>42.929705302270492</v>
      </c>
      <c r="AG4271" s="2">
        <f ca="1"/>
        <v>0.42784186175440686</v>
      </c>
      <c r="AH4271" s="2" t="str">
        <f ca="1"/>
        <v>Bad</v>
      </c>
    </row>
    <row r="4272" spans="2:34" x14ac:dyDescent="0.2">
      <c r="B4272" s="2">
        <f ca="1"/>
        <v>0.70359732766634098</v>
      </c>
      <c r="O4272" s="2">
        <f ca="1"/>
        <v>-0.79712127482557227</v>
      </c>
      <c r="X4272" s="2">
        <f ca="1"/>
        <v>35.544700795053423</v>
      </c>
      <c r="AG4272" s="2">
        <f ca="1"/>
        <v>0.41464822837096915</v>
      </c>
      <c r="AH4272" s="2" t="str">
        <f ca="1"/>
        <v>Bad</v>
      </c>
    </row>
    <row r="4273" spans="2:34" x14ac:dyDescent="0.2">
      <c r="B4273" s="2">
        <f ca="1"/>
        <v>0.55181144766897106</v>
      </c>
      <c r="O4273" s="2">
        <f ca="1"/>
        <v>-9.4764007110033582E-4</v>
      </c>
      <c r="X4273" s="2">
        <f ca="1"/>
        <v>76.984400060204138</v>
      </c>
      <c r="AG4273" s="2">
        <f ca="1"/>
        <v>7.6296617123162047E-2</v>
      </c>
      <c r="AH4273" s="2" t="str">
        <f ca="1"/>
        <v>OK</v>
      </c>
    </row>
    <row r="4274" spans="2:34" x14ac:dyDescent="0.2">
      <c r="B4274" s="2">
        <f ca="1"/>
        <v>0.99584044595473964</v>
      </c>
      <c r="O4274" s="2">
        <f ca="1"/>
        <v>0.82182317478699352</v>
      </c>
      <c r="X4274" s="2">
        <f ca="1"/>
        <v>73.018510650850303</v>
      </c>
      <c r="AG4274" s="2">
        <f ca="1"/>
        <v>0.93469165098153151</v>
      </c>
      <c r="AH4274" s="2" t="str">
        <f ca="1"/>
        <v>Bad</v>
      </c>
    </row>
    <row r="4275" spans="2:34" x14ac:dyDescent="0.2">
      <c r="B4275" s="2">
        <f ca="1"/>
        <v>0.62292192391991752</v>
      </c>
      <c r="O4275" s="2">
        <f ca="1"/>
        <v>0.67239437009538294</v>
      </c>
      <c r="X4275" s="2">
        <f ca="1"/>
        <v>71.807404558141187</v>
      </c>
      <c r="AG4275" s="2">
        <f ca="1"/>
        <v>0.30622735727854944</v>
      </c>
      <c r="AH4275" s="2" t="str">
        <f ca="1"/>
        <v>OK</v>
      </c>
    </row>
    <row r="4276" spans="2:34" x14ac:dyDescent="0.2">
      <c r="B4276" s="2">
        <f ca="1"/>
        <v>0.78189463429224415</v>
      </c>
      <c r="O4276" s="2">
        <f ca="1"/>
        <v>-1.2731731649939351</v>
      </c>
      <c r="X4276" s="2">
        <f ca="1"/>
        <v>67.669040798988306</v>
      </c>
      <c r="AG4276" s="2">
        <f ca="1"/>
        <v>0.22837417525841075</v>
      </c>
      <c r="AH4276" s="2" t="str">
        <f ca="1"/>
        <v>OK</v>
      </c>
    </row>
    <row r="4277" spans="2:34" x14ac:dyDescent="0.2">
      <c r="B4277" s="2">
        <f ca="1"/>
        <v>0.7105631239430279</v>
      </c>
      <c r="O4277" s="2">
        <f ca="1"/>
        <v>1.1349050738441129</v>
      </c>
      <c r="X4277" s="2">
        <f ca="1"/>
        <v>33.250644545429189</v>
      </c>
      <c r="AG4277" s="2">
        <f ca="1"/>
        <v>0.34564733262207503</v>
      </c>
      <c r="AH4277" s="2" t="str">
        <f ca="1"/>
        <v>OK</v>
      </c>
    </row>
    <row r="4278" spans="2:34" x14ac:dyDescent="0.2">
      <c r="B4278" s="2">
        <f ca="1"/>
        <v>0.51983958290805088</v>
      </c>
      <c r="O4278" s="2">
        <f ca="1"/>
        <v>0.16348780598652077</v>
      </c>
      <c r="X4278" s="2">
        <f ca="1"/>
        <v>62.238434924223213</v>
      </c>
      <c r="AG4278" s="2">
        <f ca="1"/>
        <v>0.66832631992213209</v>
      </c>
      <c r="AH4278" s="2" t="str">
        <f ca="1"/>
        <v>Bad</v>
      </c>
    </row>
    <row r="4279" spans="2:34" x14ac:dyDescent="0.2">
      <c r="B4279" s="2">
        <f ca="1"/>
        <v>0.38865072482873786</v>
      </c>
      <c r="O4279" s="2">
        <f ca="1"/>
        <v>0.37654922855087175</v>
      </c>
      <c r="X4279" s="2">
        <f ca="1"/>
        <v>55.259127430574466</v>
      </c>
      <c r="AG4279" s="2">
        <f ca="1"/>
        <v>0.70907313848545228</v>
      </c>
      <c r="AH4279" s="2" t="str">
        <f ca="1"/>
        <v>Bad</v>
      </c>
    </row>
    <row r="4280" spans="2:34" x14ac:dyDescent="0.2">
      <c r="B4280" s="2">
        <f ca="1"/>
        <v>0.9273472353532124</v>
      </c>
      <c r="O4280" s="2">
        <f ca="1"/>
        <v>-0.64289652884580417</v>
      </c>
      <c r="X4280" s="2">
        <f ca="1"/>
        <v>41.661366401180501</v>
      </c>
      <c r="AG4280" s="2">
        <f ca="1"/>
        <v>0.17252333501077066</v>
      </c>
      <c r="AH4280" s="2" t="str">
        <f ca="1"/>
        <v>OK</v>
      </c>
    </row>
    <row r="4281" spans="2:34" x14ac:dyDescent="0.2">
      <c r="B4281" s="2">
        <f ca="1"/>
        <v>0.81191145962980915</v>
      </c>
      <c r="O4281" s="2">
        <f ca="1"/>
        <v>-9.7398011653203026E-2</v>
      </c>
      <c r="X4281" s="2">
        <f ca="1"/>
        <v>81.827518536553043</v>
      </c>
      <c r="AG4281" s="2">
        <f ca="1"/>
        <v>0.80506834979637643</v>
      </c>
      <c r="AH4281" s="2" t="str">
        <f ca="1"/>
        <v>Bad</v>
      </c>
    </row>
    <row r="4282" spans="2:34" x14ac:dyDescent="0.2">
      <c r="B4282" s="2">
        <f ca="1"/>
        <v>0.4166729104636453</v>
      </c>
      <c r="O4282" s="2">
        <f ca="1"/>
        <v>0.25635111917370873</v>
      </c>
      <c r="X4282" s="2">
        <f ca="1"/>
        <v>25.548951280295281</v>
      </c>
      <c r="AG4282" s="2">
        <f ca="1"/>
        <v>0.68532504049195064</v>
      </c>
      <c r="AH4282" s="2" t="str">
        <f ca="1"/>
        <v>Bad</v>
      </c>
    </row>
    <row r="4283" spans="2:34" x14ac:dyDescent="0.2">
      <c r="B4283" s="2">
        <f ca="1"/>
        <v>0.7063903952468118</v>
      </c>
      <c r="O4283" s="2">
        <f ca="1"/>
        <v>-1.7823442604368929</v>
      </c>
      <c r="X4283" s="2">
        <f ca="1"/>
        <v>23.895403792631619</v>
      </c>
      <c r="AG4283" s="2">
        <f ca="1"/>
        <v>0.89691099892847892</v>
      </c>
      <c r="AH4283" s="2" t="str">
        <f ca="1"/>
        <v>Bad</v>
      </c>
    </row>
    <row r="4284" spans="2:34" x14ac:dyDescent="0.2">
      <c r="B4284" s="2">
        <f ca="1"/>
        <v>0.7499991872265519</v>
      </c>
      <c r="O4284" s="2">
        <f ca="1"/>
        <v>0.85622503021415164</v>
      </c>
      <c r="X4284" s="2">
        <f ca="1"/>
        <v>53.027613908818843</v>
      </c>
      <c r="AG4284" s="2">
        <f ca="1"/>
        <v>0.35102555342511654</v>
      </c>
      <c r="AH4284" s="2" t="str">
        <f ca="1"/>
        <v>OK</v>
      </c>
    </row>
    <row r="4285" spans="2:34" x14ac:dyDescent="0.2">
      <c r="B4285" s="2">
        <f ca="1"/>
        <v>0.96903903192262919</v>
      </c>
      <c r="O4285" s="2">
        <f ca="1"/>
        <v>-0.24406218539639379</v>
      </c>
      <c r="X4285" s="2">
        <f ca="1"/>
        <v>70.143964614613935</v>
      </c>
      <c r="AG4285" s="2">
        <f ca="1"/>
        <v>0.32229460360079099</v>
      </c>
      <c r="AH4285" s="2" t="str">
        <f ca="1"/>
        <v>OK</v>
      </c>
    </row>
    <row r="4286" spans="2:34" x14ac:dyDescent="0.2">
      <c r="B4286" s="2">
        <f ca="1"/>
        <v>0.17090690596900915</v>
      </c>
      <c r="O4286" s="2">
        <f ca="1"/>
        <v>-0.24761367191237033</v>
      </c>
      <c r="X4286" s="2">
        <f ca="1"/>
        <v>44.508740928269532</v>
      </c>
      <c r="AG4286" s="2">
        <f ca="1"/>
        <v>0.57522563632710999</v>
      </c>
      <c r="AH4286" s="2" t="str">
        <f ca="1"/>
        <v>Bad</v>
      </c>
    </row>
    <row r="4287" spans="2:34" x14ac:dyDescent="0.2">
      <c r="B4287" s="2">
        <f ca="1"/>
        <v>0.42214099920130543</v>
      </c>
      <c r="O4287" s="2">
        <f ca="1"/>
        <v>1.1856514565698633</v>
      </c>
      <c r="X4287" s="2">
        <f ca="1"/>
        <v>60.144470377560701</v>
      </c>
      <c r="AG4287" s="2">
        <f ca="1"/>
        <v>0.45304976103320582</v>
      </c>
      <c r="AH4287" s="2" t="str">
        <f ca="1"/>
        <v>Bad</v>
      </c>
    </row>
    <row r="4288" spans="2:34" x14ac:dyDescent="0.2">
      <c r="B4288" s="2">
        <f ca="1"/>
        <v>0.69028643365129772</v>
      </c>
      <c r="O4288" s="2">
        <f ca="1"/>
        <v>0.58619039667624651</v>
      </c>
      <c r="X4288" s="2">
        <f ca="1"/>
        <v>73.512436819664487</v>
      </c>
      <c r="AG4288" s="2">
        <f ca="1"/>
        <v>0.35835426958562611</v>
      </c>
      <c r="AH4288" s="2" t="str">
        <f ca="1"/>
        <v>OK</v>
      </c>
    </row>
    <row r="4289" spans="2:34" x14ac:dyDescent="0.2">
      <c r="B4289" s="2">
        <f ca="1"/>
        <v>0.73111286556131616</v>
      </c>
      <c r="O4289" s="2">
        <f ca="1"/>
        <v>-0.24564925173856894</v>
      </c>
      <c r="X4289" s="2">
        <f ca="1"/>
        <v>34.730829040547853</v>
      </c>
      <c r="AG4289" s="2">
        <f ca="1"/>
        <v>0.1904437439259592</v>
      </c>
      <c r="AH4289" s="2" t="str">
        <f ca="1"/>
        <v>OK</v>
      </c>
    </row>
    <row r="4290" spans="2:34" x14ac:dyDescent="0.2">
      <c r="B4290" s="2">
        <f ca="1"/>
        <v>0.665696764898283</v>
      </c>
      <c r="O4290" s="2">
        <f ca="1"/>
        <v>1.4753664746272008</v>
      </c>
      <c r="X4290" s="2">
        <f ca="1"/>
        <v>29.050189524982009</v>
      </c>
      <c r="AG4290" s="2">
        <f ca="1"/>
        <v>0.57508793716287454</v>
      </c>
      <c r="AH4290" s="2" t="str">
        <f ca="1"/>
        <v>Bad</v>
      </c>
    </row>
    <row r="4291" spans="2:34" x14ac:dyDescent="0.2">
      <c r="B4291" s="2">
        <f ca="1"/>
        <v>0.49813693375974233</v>
      </c>
      <c r="O4291" s="2">
        <f ca="1"/>
        <v>0.39648230785902988</v>
      </c>
      <c r="X4291" s="2">
        <f ca="1"/>
        <v>52.835830464857807</v>
      </c>
      <c r="AG4291" s="2">
        <f ca="1"/>
        <v>4.6894250061823683E-2</v>
      </c>
      <c r="AH4291" s="2" t="str">
        <f ca="1"/>
        <v>Good</v>
      </c>
    </row>
    <row r="4292" spans="2:34" x14ac:dyDescent="0.2">
      <c r="B4292" s="2">
        <f ca="1"/>
        <v>0.61075416118524894</v>
      </c>
      <c r="O4292" s="2">
        <f ca="1"/>
        <v>-0.43553895013057076</v>
      </c>
      <c r="X4292" s="2">
        <f ca="1"/>
        <v>46.83510229314922</v>
      </c>
      <c r="AG4292" s="2">
        <f ca="1"/>
        <v>0.72996497096557134</v>
      </c>
      <c r="AH4292" s="2" t="str">
        <f ca="1"/>
        <v>Bad</v>
      </c>
    </row>
    <row r="4293" spans="2:34" x14ac:dyDescent="0.2">
      <c r="B4293" s="2">
        <f ca="1"/>
        <v>0.41716300816484808</v>
      </c>
      <c r="O4293" s="2">
        <f ca="1"/>
        <v>1.757425890630681</v>
      </c>
      <c r="X4293" s="2">
        <f ca="1"/>
        <v>34.246954742265878</v>
      </c>
      <c r="AG4293" s="2">
        <f ca="1"/>
        <v>0.242022886896607</v>
      </c>
      <c r="AH4293" s="2" t="str">
        <f ca="1"/>
        <v>OK</v>
      </c>
    </row>
    <row r="4294" spans="2:34" x14ac:dyDescent="0.2">
      <c r="B4294" s="2">
        <f ca="1"/>
        <v>0.51530474113610003</v>
      </c>
      <c r="O4294" s="2">
        <f ca="1"/>
        <v>0.1204119237797802</v>
      </c>
      <c r="X4294" s="2">
        <f ca="1"/>
        <v>27.34113178720872</v>
      </c>
      <c r="AG4294" s="2">
        <f ca="1"/>
        <v>0.94587435069262815</v>
      </c>
      <c r="AH4294" s="2" t="str">
        <f ca="1"/>
        <v>Bad</v>
      </c>
    </row>
    <row r="4295" spans="2:34" x14ac:dyDescent="0.2">
      <c r="B4295" s="2">
        <f ca="1"/>
        <v>0.37905574920429208</v>
      </c>
      <c r="O4295" s="2">
        <f ca="1"/>
        <v>0.4351701030517976</v>
      </c>
      <c r="X4295" s="2">
        <f ca="1"/>
        <v>102.10539691982385</v>
      </c>
      <c r="AG4295" s="2">
        <f ca="1"/>
        <v>0.76155657413817868</v>
      </c>
      <c r="AH4295" s="2" t="str">
        <f ca="1"/>
        <v>Bad</v>
      </c>
    </row>
    <row r="4296" spans="2:34" x14ac:dyDescent="0.2">
      <c r="B4296" s="2">
        <f ca="1"/>
        <v>0.38340170069225477</v>
      </c>
      <c r="O4296" s="2">
        <f ca="1"/>
        <v>-1.0438385762044364</v>
      </c>
      <c r="X4296" s="2">
        <f ca="1"/>
        <v>42.637055424807599</v>
      </c>
      <c r="AG4296" s="2">
        <f ca="1"/>
        <v>0.82158045139044256</v>
      </c>
      <c r="AH4296" s="2" t="str">
        <f ca="1"/>
        <v>Bad</v>
      </c>
    </row>
    <row r="4297" spans="2:34" x14ac:dyDescent="0.2">
      <c r="B4297" s="2">
        <f ca="1"/>
        <v>0.36538204329706714</v>
      </c>
      <c r="O4297" s="2">
        <f ca="1"/>
        <v>-3.1226274099114195</v>
      </c>
      <c r="X4297" s="2">
        <f ca="1"/>
        <v>61.950588791519451</v>
      </c>
      <c r="AG4297" s="2">
        <f ca="1"/>
        <v>0.54692063711760031</v>
      </c>
      <c r="AH4297" s="2" t="str">
        <f ca="1"/>
        <v>Bad</v>
      </c>
    </row>
    <row r="4298" spans="2:34" x14ac:dyDescent="0.2">
      <c r="B4298" s="2">
        <f ca="1"/>
        <v>0.19844072693750414</v>
      </c>
      <c r="O4298" s="2">
        <f ca="1"/>
        <v>0.99804781772984996</v>
      </c>
      <c r="X4298" s="2">
        <f ca="1"/>
        <v>37.321116475393382</v>
      </c>
      <c r="AG4298" s="2">
        <f ca="1"/>
        <v>0.13240454247392974</v>
      </c>
      <c r="AH4298" s="2" t="str">
        <f ca="1"/>
        <v>OK</v>
      </c>
    </row>
    <row r="4299" spans="2:34" x14ac:dyDescent="0.2">
      <c r="B4299" s="2">
        <f ca="1"/>
        <v>0.65602387589485889</v>
      </c>
      <c r="O4299" s="2">
        <f ca="1"/>
        <v>2.0000843276611543E-2</v>
      </c>
      <c r="X4299" s="2">
        <f ca="1"/>
        <v>56.647471115947937</v>
      </c>
      <c r="AG4299" s="2">
        <f ca="1"/>
        <v>0.8044306960536467</v>
      </c>
      <c r="AH4299" s="2" t="str">
        <f ca="1"/>
        <v>Bad</v>
      </c>
    </row>
    <row r="4300" spans="2:34" x14ac:dyDescent="0.2">
      <c r="B4300" s="2">
        <f ca="1"/>
        <v>0.31084237685720773</v>
      </c>
      <c r="O4300" s="2">
        <f ca="1"/>
        <v>0.57084201348639152</v>
      </c>
      <c r="X4300" s="2">
        <f ca="1"/>
        <v>61.017905025440641</v>
      </c>
      <c r="AG4300" s="2">
        <f ca="1"/>
        <v>0.75565913005471419</v>
      </c>
      <c r="AH4300" s="2" t="str">
        <f ca="1"/>
        <v>Bad</v>
      </c>
    </row>
    <row r="4301" spans="2:34" x14ac:dyDescent="0.2">
      <c r="B4301" s="2">
        <f ca="1"/>
        <v>0.30495104418482577</v>
      </c>
      <c r="O4301" s="2">
        <f ca="1"/>
        <v>0.65805522504683012</v>
      </c>
      <c r="X4301" s="2">
        <f ca="1"/>
        <v>55.786872982391067</v>
      </c>
      <c r="AG4301" s="2">
        <f ca="1"/>
        <v>0.47848988982278473</v>
      </c>
      <c r="AH4301" s="2" t="str">
        <f ca="1"/>
        <v>Bad</v>
      </c>
    </row>
    <row r="4302" spans="2:34" x14ac:dyDescent="0.2">
      <c r="B4302" s="2">
        <f ca="1"/>
        <v>1.5321097216314028E-2</v>
      </c>
      <c r="O4302" s="2">
        <f ca="1"/>
        <v>2.5076980097575037E-2</v>
      </c>
      <c r="X4302" s="2">
        <f ca="1"/>
        <v>59.949812469392199</v>
      </c>
      <c r="AG4302" s="2">
        <f ca="1"/>
        <v>6.0230374382214569E-2</v>
      </c>
      <c r="AH4302" s="2" t="str">
        <f ca="1"/>
        <v>OK</v>
      </c>
    </row>
    <row r="4303" spans="2:34" x14ac:dyDescent="0.2">
      <c r="B4303" s="2">
        <f ca="1"/>
        <v>0.34614705448859251</v>
      </c>
      <c r="O4303" s="2">
        <f ca="1"/>
        <v>-0.41068895377482184</v>
      </c>
      <c r="X4303" s="2">
        <f ca="1"/>
        <v>37.053039665534925</v>
      </c>
      <c r="AG4303" s="2">
        <f ca="1"/>
        <v>0.90760463627430399</v>
      </c>
      <c r="AH4303" s="2" t="str">
        <f ca="1"/>
        <v>Bad</v>
      </c>
    </row>
    <row r="4304" spans="2:34" x14ac:dyDescent="0.2">
      <c r="B4304" s="2">
        <f ca="1"/>
        <v>0.50883899047129466</v>
      </c>
      <c r="O4304" s="2">
        <f ca="1"/>
        <v>2.3169997679707319E-2</v>
      </c>
      <c r="X4304" s="2">
        <f ca="1"/>
        <v>31.393474807903885</v>
      </c>
      <c r="AG4304" s="2">
        <f ca="1"/>
        <v>0.40340332142228585</v>
      </c>
      <c r="AH4304" s="2" t="str">
        <f ca="1"/>
        <v>Bad</v>
      </c>
    </row>
    <row r="4305" spans="2:34" x14ac:dyDescent="0.2">
      <c r="B4305" s="2">
        <f ca="1"/>
        <v>0.85864213231040454</v>
      </c>
      <c r="O4305" s="2">
        <f ca="1"/>
        <v>-1.2557666512955652</v>
      </c>
      <c r="X4305" s="2">
        <f ca="1"/>
        <v>28.301571473144019</v>
      </c>
      <c r="AG4305" s="2">
        <f ca="1"/>
        <v>0.42876347706341122</v>
      </c>
      <c r="AH4305" s="2" t="str">
        <f ca="1"/>
        <v>Bad</v>
      </c>
    </row>
    <row r="4306" spans="2:34" x14ac:dyDescent="0.2">
      <c r="B4306" s="2">
        <f ca="1"/>
        <v>3.7124796899998813E-3</v>
      </c>
      <c r="O4306" s="2">
        <f ca="1"/>
        <v>-0.13275800356825915</v>
      </c>
      <c r="X4306" s="2">
        <f ca="1"/>
        <v>38.513643185048117</v>
      </c>
      <c r="AG4306" s="2">
        <f ca="1"/>
        <v>0.90982788374218004</v>
      </c>
      <c r="AH4306" s="2" t="str">
        <f ca="1"/>
        <v>Bad</v>
      </c>
    </row>
    <row r="4307" spans="2:34" x14ac:dyDescent="0.2">
      <c r="B4307" s="2">
        <f ca="1"/>
        <v>0.25825571509960721</v>
      </c>
      <c r="O4307" s="2">
        <f ca="1"/>
        <v>0.93681682402554844</v>
      </c>
      <c r="X4307" s="2">
        <f ca="1"/>
        <v>52.84151920403847</v>
      </c>
      <c r="AG4307" s="2">
        <f ca="1"/>
        <v>0.64567758558547705</v>
      </c>
      <c r="AH4307" s="2" t="str">
        <f ca="1"/>
        <v>Bad</v>
      </c>
    </row>
    <row r="4308" spans="2:34" x14ac:dyDescent="0.2">
      <c r="B4308" s="2">
        <f ca="1"/>
        <v>0.15329195539364249</v>
      </c>
      <c r="O4308" s="2">
        <f ca="1"/>
        <v>-4.9543540930496718E-2</v>
      </c>
      <c r="X4308" s="2">
        <f ca="1"/>
        <v>42.09748832115713</v>
      </c>
      <c r="AG4308" s="2">
        <f ca="1"/>
        <v>0.8694695777357031</v>
      </c>
      <c r="AH4308" s="2" t="str">
        <f ca="1"/>
        <v>Bad</v>
      </c>
    </row>
    <row r="4309" spans="2:34" x14ac:dyDescent="0.2">
      <c r="B4309" s="2">
        <f ca="1"/>
        <v>0.18311733714029677</v>
      </c>
      <c r="O4309" s="2">
        <f ca="1"/>
        <v>0.2268473250034711</v>
      </c>
      <c r="X4309" s="2">
        <f ca="1"/>
        <v>34.567423938489469</v>
      </c>
      <c r="AG4309" s="2">
        <f ca="1"/>
        <v>0.63981554759850701</v>
      </c>
      <c r="AH4309" s="2" t="str">
        <f ca="1"/>
        <v>Bad</v>
      </c>
    </row>
    <row r="4310" spans="2:34" x14ac:dyDescent="0.2">
      <c r="B4310" s="2">
        <f ca="1"/>
        <v>0.13416067927847797</v>
      </c>
      <c r="O4310" s="2">
        <f ca="1"/>
        <v>-2.0764600772912125</v>
      </c>
      <c r="X4310" s="2">
        <f ca="1"/>
        <v>36.47020136131232</v>
      </c>
      <c r="AG4310" s="2">
        <f ca="1"/>
        <v>0.75557463821948789</v>
      </c>
      <c r="AH4310" s="2" t="str">
        <f ca="1"/>
        <v>Bad</v>
      </c>
    </row>
    <row r="4311" spans="2:34" x14ac:dyDescent="0.2">
      <c r="B4311" s="2">
        <f ca="1"/>
        <v>0.88761789273497094</v>
      </c>
      <c r="O4311" s="2">
        <f ca="1"/>
        <v>0.17284515965106328</v>
      </c>
      <c r="X4311" s="2">
        <f ca="1"/>
        <v>44.223023049028612</v>
      </c>
      <c r="AG4311" s="2">
        <f ca="1"/>
        <v>0.80646698704855058</v>
      </c>
      <c r="AH4311" s="2" t="str">
        <f ca="1"/>
        <v>Bad</v>
      </c>
    </row>
    <row r="4312" spans="2:34" x14ac:dyDescent="0.2">
      <c r="B4312" s="2">
        <f ca="1"/>
        <v>0.8436738531286283</v>
      </c>
      <c r="O4312" s="2">
        <f ca="1"/>
        <v>0.22674596211938897</v>
      </c>
      <c r="X4312" s="2">
        <f ca="1"/>
        <v>37.170352302304536</v>
      </c>
      <c r="AG4312" s="2">
        <f ca="1"/>
        <v>0.51104382131090409</v>
      </c>
      <c r="AH4312" s="2" t="str">
        <f ca="1"/>
        <v>Bad</v>
      </c>
    </row>
    <row r="4313" spans="2:34" x14ac:dyDescent="0.2">
      <c r="B4313" s="2">
        <f ca="1"/>
        <v>0.28008615543852611</v>
      </c>
      <c r="O4313" s="2">
        <f ca="1"/>
        <v>0.5763681308507006</v>
      </c>
      <c r="X4313" s="2">
        <f ca="1"/>
        <v>48.949881852562527</v>
      </c>
      <c r="AG4313" s="2">
        <f ca="1"/>
        <v>0.1932577779890241</v>
      </c>
      <c r="AH4313" s="2" t="str">
        <f ca="1"/>
        <v>OK</v>
      </c>
    </row>
    <row r="4314" spans="2:34" x14ac:dyDescent="0.2">
      <c r="B4314" s="2">
        <f ca="1"/>
        <v>0.61396572043883357</v>
      </c>
      <c r="O4314" s="2">
        <f ca="1"/>
        <v>0.79362263072590677</v>
      </c>
      <c r="X4314" s="2">
        <f ca="1"/>
        <v>41.61308289134864</v>
      </c>
      <c r="AG4314" s="2">
        <f ca="1"/>
        <v>0.20555007716262419</v>
      </c>
      <c r="AH4314" s="2" t="str">
        <f ca="1"/>
        <v>OK</v>
      </c>
    </row>
    <row r="4315" spans="2:34" x14ac:dyDescent="0.2">
      <c r="B4315" s="2">
        <f ca="1"/>
        <v>0.14745815974559795</v>
      </c>
      <c r="O4315" s="2">
        <f ca="1"/>
        <v>-1.0789044205479288</v>
      </c>
      <c r="X4315" s="2">
        <f ca="1"/>
        <v>38.751864813123511</v>
      </c>
      <c r="AG4315" s="2">
        <f ca="1"/>
        <v>0.56358285857280777</v>
      </c>
      <c r="AH4315" s="2" t="str">
        <f ca="1"/>
        <v>Bad</v>
      </c>
    </row>
    <row r="4316" spans="2:34" x14ac:dyDescent="0.2">
      <c r="B4316" s="2">
        <f ca="1"/>
        <v>0.92895397268649216</v>
      </c>
      <c r="O4316" s="2">
        <f ca="1"/>
        <v>0.5973699991749627</v>
      </c>
      <c r="X4316" s="2">
        <f ca="1"/>
        <v>32.227296788023686</v>
      </c>
      <c r="AG4316" s="2">
        <f ca="1"/>
        <v>0.30847722625855978</v>
      </c>
      <c r="AH4316" s="2" t="str">
        <f ca="1"/>
        <v>OK</v>
      </c>
    </row>
    <row r="4317" spans="2:34" x14ac:dyDescent="0.2">
      <c r="B4317" s="2">
        <f ca="1"/>
        <v>0.96785480033432458</v>
      </c>
      <c r="O4317" s="2">
        <f ca="1"/>
        <v>-0.98049021908579448</v>
      </c>
      <c r="X4317" s="2">
        <f ca="1"/>
        <v>61.063992582823019</v>
      </c>
      <c r="AG4317" s="2">
        <f ca="1"/>
        <v>0.18189183175642909</v>
      </c>
      <c r="AH4317" s="2" t="str">
        <f ca="1"/>
        <v>OK</v>
      </c>
    </row>
    <row r="4318" spans="2:34" x14ac:dyDescent="0.2">
      <c r="B4318" s="2">
        <f ca="1"/>
        <v>0.34246995846080663</v>
      </c>
      <c r="O4318" s="2">
        <f ca="1"/>
        <v>-0.26234374958904805</v>
      </c>
      <c r="X4318" s="2">
        <f ca="1"/>
        <v>60.37301580157088</v>
      </c>
      <c r="AG4318" s="2">
        <f ca="1"/>
        <v>0.51544998511275075</v>
      </c>
      <c r="AH4318" s="2" t="str">
        <f ca="1"/>
        <v>Bad</v>
      </c>
    </row>
    <row r="4319" spans="2:34" x14ac:dyDescent="0.2">
      <c r="B4319" s="2">
        <f ca="1"/>
        <v>0.78459722187881442</v>
      </c>
      <c r="O4319" s="2">
        <f ca="1"/>
        <v>1.2662228538014972</v>
      </c>
      <c r="X4319" s="2">
        <f ca="1"/>
        <v>62.486432503872848</v>
      </c>
      <c r="AG4319" s="2">
        <f ca="1"/>
        <v>0.39466710539379513</v>
      </c>
      <c r="AH4319" s="2" t="str">
        <f ca="1"/>
        <v>OK</v>
      </c>
    </row>
    <row r="4320" spans="2:34" x14ac:dyDescent="0.2">
      <c r="B4320" s="2">
        <f ca="1"/>
        <v>0.67479019351456837</v>
      </c>
      <c r="O4320" s="2">
        <f ca="1"/>
        <v>0.86737946053570891</v>
      </c>
      <c r="X4320" s="2">
        <f ca="1"/>
        <v>54.775167748935402</v>
      </c>
      <c r="AG4320" s="2">
        <f ca="1"/>
        <v>0.90716414419208546</v>
      </c>
      <c r="AH4320" s="2" t="str">
        <f ca="1"/>
        <v>Bad</v>
      </c>
    </row>
    <row r="4321" spans="2:34" x14ac:dyDescent="0.2">
      <c r="B4321" s="2">
        <f ca="1"/>
        <v>0.62426064812596294</v>
      </c>
      <c r="O4321" s="2">
        <f ca="1"/>
        <v>0.79754428769948094</v>
      </c>
      <c r="X4321" s="2">
        <f ca="1"/>
        <v>57.411556087940816</v>
      </c>
      <c r="AG4321" s="2">
        <f ca="1"/>
        <v>0.28399816802492861</v>
      </c>
      <c r="AH4321" s="2" t="str">
        <f ca="1"/>
        <v>OK</v>
      </c>
    </row>
    <row r="4322" spans="2:34" x14ac:dyDescent="0.2">
      <c r="B4322" s="2">
        <f ca="1"/>
        <v>0.66692818517158359</v>
      </c>
      <c r="O4322" s="2">
        <f ca="1"/>
        <v>0.60068286430549567</v>
      </c>
      <c r="X4322" s="2">
        <f ca="1"/>
        <v>24.717706881966119</v>
      </c>
      <c r="AG4322" s="2">
        <f ca="1"/>
        <v>0.18617431362326964</v>
      </c>
      <c r="AH4322" s="2" t="str">
        <f ca="1"/>
        <v>OK</v>
      </c>
    </row>
    <row r="4323" spans="2:34" x14ac:dyDescent="0.2">
      <c r="B4323" s="2">
        <f ca="1"/>
        <v>0.7330646161151555</v>
      </c>
      <c r="O4323" s="2">
        <f ca="1"/>
        <v>0.36358376572984591</v>
      </c>
      <c r="X4323" s="2">
        <f ca="1"/>
        <v>56.754580398773278</v>
      </c>
      <c r="AG4323" s="2">
        <f ca="1"/>
        <v>0.89527428622670757</v>
      </c>
      <c r="AH4323" s="2" t="str">
        <f ca="1"/>
        <v>Bad</v>
      </c>
    </row>
    <row r="4324" spans="2:34" x14ac:dyDescent="0.2">
      <c r="B4324" s="2">
        <f ca="1"/>
        <v>6.7996049598367359E-2</v>
      </c>
      <c r="O4324" s="2">
        <f ca="1"/>
        <v>1.1020837201905718</v>
      </c>
      <c r="X4324" s="2">
        <f ca="1"/>
        <v>64.037728854940752</v>
      </c>
      <c r="AG4324" s="2">
        <f ca="1"/>
        <v>0.95384647491899521</v>
      </c>
      <c r="AH4324" s="2" t="str">
        <f ca="1"/>
        <v>Bad</v>
      </c>
    </row>
    <row r="4325" spans="2:34" x14ac:dyDescent="0.2">
      <c r="B4325" s="2">
        <f ca="1"/>
        <v>0.12710215936594316</v>
      </c>
      <c r="O4325" s="2">
        <f ca="1"/>
        <v>-1.0096399368848867</v>
      </c>
      <c r="X4325" s="2">
        <f ca="1"/>
        <v>53.415392787446912</v>
      </c>
      <c r="AG4325" s="2">
        <f ca="1"/>
        <v>0.61242726727910624</v>
      </c>
      <c r="AH4325" s="2" t="str">
        <f ca="1"/>
        <v>Bad</v>
      </c>
    </row>
    <row r="4326" spans="2:34" x14ac:dyDescent="0.2">
      <c r="B4326" s="2">
        <f ca="1"/>
        <v>8.8116730168288138E-2</v>
      </c>
      <c r="O4326" s="2">
        <f ca="1"/>
        <v>-1.7916514782900517</v>
      </c>
      <c r="X4326" s="2">
        <f ca="1"/>
        <v>47.040197841393194</v>
      </c>
      <c r="AG4326" s="2">
        <f ca="1"/>
        <v>0.36862614632321278</v>
      </c>
      <c r="AH4326" s="2" t="str">
        <f ca="1"/>
        <v>OK</v>
      </c>
    </row>
    <row r="4327" spans="2:34" x14ac:dyDescent="0.2">
      <c r="B4327" s="2">
        <f ca="1"/>
        <v>0.86395814485167088</v>
      </c>
      <c r="O4327" s="2">
        <f ca="1"/>
        <v>-1.4190761100612463</v>
      </c>
      <c r="X4327" s="2">
        <f ca="1"/>
        <v>51.638565571572727</v>
      </c>
      <c r="AG4327" s="2">
        <f ca="1"/>
        <v>0.68069669612180284</v>
      </c>
      <c r="AH4327" s="2" t="str">
        <f ca="1"/>
        <v>Bad</v>
      </c>
    </row>
    <row r="4328" spans="2:34" x14ac:dyDescent="0.2">
      <c r="B4328" s="2">
        <f ca="1"/>
        <v>0.6530829003951224</v>
      </c>
      <c r="O4328" s="2">
        <f ca="1"/>
        <v>0.37048527643000384</v>
      </c>
      <c r="X4328" s="2">
        <f ca="1"/>
        <v>44.369246340805255</v>
      </c>
      <c r="AG4328" s="2">
        <f ca="1"/>
        <v>6.2663218222569927E-2</v>
      </c>
      <c r="AH4328" s="2" t="str">
        <f ca="1"/>
        <v>OK</v>
      </c>
    </row>
    <row r="4329" spans="2:34" x14ac:dyDescent="0.2">
      <c r="B4329" s="2">
        <f ca="1"/>
        <v>0.57186096173988954</v>
      </c>
      <c r="O4329" s="2">
        <f ca="1"/>
        <v>-1.9213690159347023</v>
      </c>
      <c r="X4329" s="2">
        <f ca="1"/>
        <v>36.613669877821366</v>
      </c>
      <c r="AG4329" s="2">
        <f ca="1"/>
        <v>0.82352519803054247</v>
      </c>
      <c r="AH4329" s="2" t="str">
        <f ca="1"/>
        <v>Bad</v>
      </c>
    </row>
    <row r="4330" spans="2:34" x14ac:dyDescent="0.2">
      <c r="B4330" s="2">
        <f ca="1"/>
        <v>0.80951091222005434</v>
      </c>
      <c r="O4330" s="2">
        <f ca="1"/>
        <v>0.35809613622966396</v>
      </c>
      <c r="X4330" s="2">
        <f ca="1"/>
        <v>47.384595563945823</v>
      </c>
      <c r="AG4330" s="2">
        <f ca="1"/>
        <v>0.48160672854525277</v>
      </c>
      <c r="AH4330" s="2" t="str">
        <f ca="1"/>
        <v>Bad</v>
      </c>
    </row>
    <row r="4331" spans="2:34" x14ac:dyDescent="0.2">
      <c r="B4331" s="2">
        <f ca="1"/>
        <v>0.67810271197084604</v>
      </c>
      <c r="O4331" s="2">
        <f ca="1"/>
        <v>-0.5195635739551584</v>
      </c>
      <c r="X4331" s="2">
        <f ca="1"/>
        <v>41.161006093330876</v>
      </c>
      <c r="AG4331" s="2">
        <f ca="1"/>
        <v>4.8040044852629249E-2</v>
      </c>
      <c r="AH4331" s="2" t="str">
        <f ca="1"/>
        <v>Good</v>
      </c>
    </row>
    <row r="4332" spans="2:34" x14ac:dyDescent="0.2">
      <c r="B4332" s="2">
        <f ca="1"/>
        <v>0.70543861816034648</v>
      </c>
      <c r="O4332" s="2">
        <f ca="1"/>
        <v>-0.34611325981947139</v>
      </c>
      <c r="X4332" s="2">
        <f ca="1"/>
        <v>71.090805529765206</v>
      </c>
      <c r="AG4332" s="2">
        <f ca="1"/>
        <v>3.5274969634341069E-2</v>
      </c>
      <c r="AH4332" s="2" t="str">
        <f ca="1"/>
        <v>Good</v>
      </c>
    </row>
    <row r="4333" spans="2:34" x14ac:dyDescent="0.2">
      <c r="B4333" s="2">
        <f ca="1"/>
        <v>0.80639488954430361</v>
      </c>
      <c r="O4333" s="2">
        <f ca="1"/>
        <v>-0.84750680222821162</v>
      </c>
      <c r="X4333" s="2">
        <f ca="1"/>
        <v>29.249379213851753</v>
      </c>
      <c r="AG4333" s="2">
        <f ca="1"/>
        <v>0.75937848558044663</v>
      </c>
      <c r="AH4333" s="2" t="str">
        <f ca="1"/>
        <v>Bad</v>
      </c>
    </row>
    <row r="4334" spans="2:34" x14ac:dyDescent="0.2">
      <c r="B4334" s="2">
        <f ca="1"/>
        <v>0.14981280806026986</v>
      </c>
      <c r="O4334" s="2">
        <f ca="1"/>
        <v>3.6955463345349914E-3</v>
      </c>
      <c r="X4334" s="2">
        <f ca="1"/>
        <v>52.279953970617527</v>
      </c>
      <c r="AG4334" s="2">
        <f ca="1"/>
        <v>0.75604723643839988</v>
      </c>
      <c r="AH4334" s="2" t="str">
        <f ca="1"/>
        <v>Bad</v>
      </c>
    </row>
    <row r="4335" spans="2:34" x14ac:dyDescent="0.2">
      <c r="B4335" s="2">
        <f ca="1"/>
        <v>0.3224790700322322</v>
      </c>
      <c r="O4335" s="2">
        <f ca="1"/>
        <v>0.50385774691390239</v>
      </c>
      <c r="X4335" s="2">
        <f ca="1"/>
        <v>63.049219436001501</v>
      </c>
      <c r="AG4335" s="2">
        <f ca="1"/>
        <v>0.4585107288612944</v>
      </c>
      <c r="AH4335" s="2" t="str">
        <f ca="1"/>
        <v>Bad</v>
      </c>
    </row>
    <row r="4336" spans="2:34" x14ac:dyDescent="0.2">
      <c r="B4336" s="2">
        <f ca="1"/>
        <v>0.49336348724020729</v>
      </c>
      <c r="O4336" s="2">
        <f ca="1"/>
        <v>-0.4267566582499509</v>
      </c>
      <c r="X4336" s="2">
        <f ca="1"/>
        <v>33.969736484701983</v>
      </c>
      <c r="AG4336" s="2">
        <f ca="1"/>
        <v>0.77059930637417962</v>
      </c>
      <c r="AH4336" s="2" t="str">
        <f ca="1"/>
        <v>Bad</v>
      </c>
    </row>
    <row r="4337" spans="2:34" x14ac:dyDescent="0.2">
      <c r="B4337" s="2">
        <f ca="1"/>
        <v>0.43068626694980816</v>
      </c>
      <c r="O4337" s="2">
        <f ca="1"/>
        <v>-0.52480104613257239</v>
      </c>
      <c r="X4337" s="2">
        <f ca="1"/>
        <v>44.637031719264243</v>
      </c>
      <c r="AG4337" s="2">
        <f ca="1"/>
        <v>0.5864473339135492</v>
      </c>
      <c r="AH4337" s="2" t="str">
        <f ca="1"/>
        <v>Bad</v>
      </c>
    </row>
    <row r="4338" spans="2:34" x14ac:dyDescent="0.2">
      <c r="B4338" s="2">
        <f ca="1"/>
        <v>0.38648585034987692</v>
      </c>
      <c r="O4338" s="2">
        <f ca="1"/>
        <v>1.5145287785331121</v>
      </c>
      <c r="X4338" s="2">
        <f ca="1"/>
        <v>57.583185650792636</v>
      </c>
      <c r="AG4338" s="2">
        <f ca="1"/>
        <v>0.66416909454344997</v>
      </c>
      <c r="AH4338" s="2" t="str">
        <f ca="1"/>
        <v>Bad</v>
      </c>
    </row>
    <row r="4339" spans="2:34" x14ac:dyDescent="0.2">
      <c r="B4339" s="2">
        <f ca="1"/>
        <v>0.79769313739664183</v>
      </c>
      <c r="O4339" s="2">
        <f ca="1"/>
        <v>-0.14277417780288412</v>
      </c>
      <c r="X4339" s="2">
        <f ca="1"/>
        <v>53.888477015657365</v>
      </c>
      <c r="AG4339" s="2">
        <f ca="1"/>
        <v>0.33576087134510213</v>
      </c>
      <c r="AH4339" s="2" t="str">
        <f ca="1"/>
        <v>OK</v>
      </c>
    </row>
    <row r="4340" spans="2:34" x14ac:dyDescent="0.2">
      <c r="B4340" s="2">
        <f ca="1"/>
        <v>0.89315828135968189</v>
      </c>
      <c r="O4340" s="2">
        <f ca="1"/>
        <v>-1.1386630667817115</v>
      </c>
      <c r="X4340" s="2">
        <f ca="1"/>
        <v>47.528772743581236</v>
      </c>
      <c r="AG4340" s="2">
        <f ca="1"/>
        <v>0.83895152094166203</v>
      </c>
      <c r="AH4340" s="2" t="str">
        <f ca="1"/>
        <v>Bad</v>
      </c>
    </row>
    <row r="4341" spans="2:34" x14ac:dyDescent="0.2">
      <c r="B4341" s="2">
        <f ca="1"/>
        <v>7.7719840849303612E-2</v>
      </c>
      <c r="O4341" s="2">
        <f ca="1"/>
        <v>-0.59866176742191846</v>
      </c>
      <c r="X4341" s="2">
        <f ca="1"/>
        <v>64.949866059984259</v>
      </c>
      <c r="AG4341" s="2">
        <f ca="1"/>
        <v>0.25819605663703826</v>
      </c>
      <c r="AH4341" s="2" t="str">
        <f ca="1"/>
        <v>OK</v>
      </c>
    </row>
    <row r="4342" spans="2:34" x14ac:dyDescent="0.2">
      <c r="B4342" s="2">
        <f ca="1"/>
        <v>0.40910642950428144</v>
      </c>
      <c r="O4342" s="2">
        <f ca="1"/>
        <v>-0.24157580472558995</v>
      </c>
      <c r="X4342" s="2">
        <f ca="1"/>
        <v>55.249104261250665</v>
      </c>
      <c r="AG4342" s="2">
        <f ca="1"/>
        <v>2.0429943912515736E-2</v>
      </c>
      <c r="AH4342" s="2" t="str">
        <f ca="1"/>
        <v>Good</v>
      </c>
    </row>
    <row r="4343" spans="2:34" x14ac:dyDescent="0.2">
      <c r="B4343" s="2">
        <f ca="1"/>
        <v>0.65096514666161864</v>
      </c>
      <c r="O4343" s="2">
        <f ca="1"/>
        <v>0.15937525600741476</v>
      </c>
      <c r="X4343" s="2">
        <f ca="1"/>
        <v>31.984997013099811</v>
      </c>
      <c r="AG4343" s="2">
        <f ca="1"/>
        <v>0.91218496331425492</v>
      </c>
      <c r="AH4343" s="2" t="str">
        <f ca="1"/>
        <v>Bad</v>
      </c>
    </row>
    <row r="4344" spans="2:34" x14ac:dyDescent="0.2">
      <c r="B4344" s="2">
        <f ca="1"/>
        <v>0.6550408367440641</v>
      </c>
      <c r="O4344" s="2">
        <f ca="1"/>
        <v>-1.1019033558629716</v>
      </c>
      <c r="X4344" s="2">
        <f ca="1"/>
        <v>56.54464391597471</v>
      </c>
      <c r="AG4344" s="2">
        <f ca="1"/>
        <v>5.2818015693351095E-2</v>
      </c>
      <c r="AH4344" s="2" t="str">
        <f ca="1"/>
        <v>OK</v>
      </c>
    </row>
    <row r="4345" spans="2:34" x14ac:dyDescent="0.2">
      <c r="B4345" s="2">
        <f ca="1"/>
        <v>0.22351852961886465</v>
      </c>
      <c r="O4345" s="2">
        <f ca="1"/>
        <v>0.63498355370208726</v>
      </c>
      <c r="X4345" s="2">
        <f ca="1"/>
        <v>72.310977333406825</v>
      </c>
      <c r="AG4345" s="2">
        <f ca="1"/>
        <v>0.65189113379914199</v>
      </c>
      <c r="AH4345" s="2" t="str">
        <f ca="1"/>
        <v>Bad</v>
      </c>
    </row>
    <row r="4346" spans="2:34" x14ac:dyDescent="0.2">
      <c r="B4346" s="2">
        <f ca="1"/>
        <v>0.94090536579931916</v>
      </c>
      <c r="O4346" s="2">
        <f ca="1"/>
        <v>1.684534508606583</v>
      </c>
      <c r="X4346" s="2">
        <f ca="1"/>
        <v>47.406747311502315</v>
      </c>
      <c r="AG4346" s="2">
        <f ca="1"/>
        <v>0.27788826816482071</v>
      </c>
      <c r="AH4346" s="2" t="str">
        <f ca="1"/>
        <v>OK</v>
      </c>
    </row>
    <row r="4347" spans="2:34" x14ac:dyDescent="0.2">
      <c r="B4347" s="2">
        <f ca="1"/>
        <v>0.30669567302280498</v>
      </c>
      <c r="O4347" s="2">
        <f ca="1"/>
        <v>1.0793275555769202</v>
      </c>
      <c r="X4347" s="2">
        <f ca="1"/>
        <v>33.668976090088954</v>
      </c>
      <c r="AG4347" s="2">
        <f ca="1"/>
        <v>9.3801495538886392E-2</v>
      </c>
      <c r="AH4347" s="2" t="str">
        <f ca="1"/>
        <v>OK</v>
      </c>
    </row>
    <row r="4348" spans="2:34" x14ac:dyDescent="0.2">
      <c r="B4348" s="2">
        <f ca="1"/>
        <v>7.47151662145078E-2</v>
      </c>
      <c r="O4348" s="2">
        <f ca="1"/>
        <v>1.6756161620524237</v>
      </c>
      <c r="X4348" s="2">
        <f ca="1"/>
        <v>46.970549904042578</v>
      </c>
      <c r="AG4348" s="2">
        <f ca="1"/>
        <v>0.30119466736836298</v>
      </c>
      <c r="AH4348" s="2" t="str">
        <f ca="1"/>
        <v>OK</v>
      </c>
    </row>
    <row r="4349" spans="2:34" x14ac:dyDescent="0.2">
      <c r="B4349" s="2">
        <f ca="1"/>
        <v>0.64321065732370042</v>
      </c>
      <c r="O4349" s="2">
        <f ca="1"/>
        <v>0.13119620192949416</v>
      </c>
      <c r="X4349" s="2">
        <f ca="1"/>
        <v>36.954176100927072</v>
      </c>
      <c r="AG4349" s="2">
        <f ca="1"/>
        <v>0.2111888818964256</v>
      </c>
      <c r="AH4349" s="2" t="str">
        <f ca="1"/>
        <v>OK</v>
      </c>
    </row>
    <row r="4350" spans="2:34" x14ac:dyDescent="0.2">
      <c r="B4350" s="2">
        <f ca="1"/>
        <v>8.0163919997814359E-2</v>
      </c>
      <c r="O4350" s="2">
        <f ca="1"/>
        <v>-0.81678184571399737</v>
      </c>
      <c r="X4350" s="2">
        <f ca="1"/>
        <v>62.483858048856462</v>
      </c>
      <c r="AG4350" s="2">
        <f ca="1"/>
        <v>0.69657007019898654</v>
      </c>
      <c r="AH4350" s="2" t="str">
        <f ca="1"/>
        <v>Bad</v>
      </c>
    </row>
    <row r="4351" spans="2:34" x14ac:dyDescent="0.2">
      <c r="B4351" s="2">
        <f ca="1"/>
        <v>0.12006138460514815</v>
      </c>
      <c r="O4351" s="2">
        <f ca="1"/>
        <v>-1.6137939471127691</v>
      </c>
      <c r="X4351" s="2">
        <f ca="1"/>
        <v>47.115313068312773</v>
      </c>
      <c r="AG4351" s="2">
        <f ca="1"/>
        <v>0.82309308017728977</v>
      </c>
      <c r="AH4351" s="2" t="str">
        <f ca="1"/>
        <v>Bad</v>
      </c>
    </row>
    <row r="4352" spans="2:34" x14ac:dyDescent="0.2">
      <c r="B4352" s="2">
        <f ca="1"/>
        <v>0.78779109990339702</v>
      </c>
      <c r="O4352" s="2">
        <f ca="1"/>
        <v>-2.2425663355020911</v>
      </c>
      <c r="X4352" s="2">
        <f ca="1"/>
        <v>60.531591165166233</v>
      </c>
      <c r="AG4352" s="2">
        <f ca="1"/>
        <v>0.74676612185468816</v>
      </c>
      <c r="AH4352" s="2" t="str">
        <f ca="1"/>
        <v>Bad</v>
      </c>
    </row>
    <row r="4353" spans="2:34" x14ac:dyDescent="0.2">
      <c r="B4353" s="2">
        <f ca="1"/>
        <v>0.32042478616612047</v>
      </c>
      <c r="O4353" s="2">
        <f ca="1"/>
        <v>-2.427313750271781</v>
      </c>
      <c r="X4353" s="2">
        <f ca="1"/>
        <v>34.55952762158222</v>
      </c>
      <c r="AG4353" s="2">
        <f ca="1"/>
        <v>0.95052225867633955</v>
      </c>
      <c r="AH4353" s="2" t="str">
        <f ca="1"/>
        <v>Bad</v>
      </c>
    </row>
    <row r="4354" spans="2:34" x14ac:dyDescent="0.2">
      <c r="B4354" s="2">
        <f ca="1"/>
        <v>0.16248956373739309</v>
      </c>
      <c r="O4354" s="2">
        <f ca="1"/>
        <v>2.6030889569545304</v>
      </c>
      <c r="X4354" s="2">
        <f ca="1"/>
        <v>33.587673001187298</v>
      </c>
      <c r="AG4354" s="2">
        <f ca="1"/>
        <v>0.73685187037682254</v>
      </c>
      <c r="AH4354" s="2" t="str">
        <f ca="1"/>
        <v>Bad</v>
      </c>
    </row>
    <row r="4355" spans="2:34" x14ac:dyDescent="0.2">
      <c r="B4355" s="2">
        <f ca="1"/>
        <v>0.66756785291461096</v>
      </c>
      <c r="O4355" s="2">
        <f ca="1"/>
        <v>0.99863335115960405</v>
      </c>
      <c r="X4355" s="2">
        <f ca="1"/>
        <v>62.055510253603401</v>
      </c>
      <c r="AG4355" s="2">
        <f ca="1"/>
        <v>0.19452995973963105</v>
      </c>
      <c r="AH4355" s="2" t="str">
        <f ca="1"/>
        <v>OK</v>
      </c>
    </row>
    <row r="4356" spans="2:34" x14ac:dyDescent="0.2">
      <c r="B4356" s="2">
        <f ca="1"/>
        <v>0.63271494928822536</v>
      </c>
      <c r="O4356" s="2">
        <f ca="1"/>
        <v>-1.8747201805696576</v>
      </c>
      <c r="X4356" s="2">
        <f ca="1"/>
        <v>38.21668393846479</v>
      </c>
      <c r="AG4356" s="2">
        <f ca="1"/>
        <v>0.78040119404980102</v>
      </c>
      <c r="AH4356" s="2" t="str">
        <f ca="1"/>
        <v>Bad</v>
      </c>
    </row>
    <row r="4357" spans="2:34" x14ac:dyDescent="0.2">
      <c r="B4357" s="2">
        <f ca="1"/>
        <v>0.13513779616562815</v>
      </c>
      <c r="O4357" s="2">
        <f ca="1"/>
        <v>0.34127920021761354</v>
      </c>
      <c r="X4357" s="2">
        <f ca="1"/>
        <v>50.662046913125835</v>
      </c>
      <c r="AG4357" s="2">
        <f ca="1"/>
        <v>0.7603072804453419</v>
      </c>
      <c r="AH4357" s="2" t="str">
        <f ca="1"/>
        <v>Bad</v>
      </c>
    </row>
    <row r="4358" spans="2:34" x14ac:dyDescent="0.2">
      <c r="B4358" s="2">
        <f ca="1"/>
        <v>0.61047603195215605</v>
      </c>
      <c r="O4358" s="2">
        <f ca="1"/>
        <v>-0.17089129692325175</v>
      </c>
      <c r="X4358" s="2">
        <f ca="1"/>
        <v>63.483019513959519</v>
      </c>
      <c r="AG4358" s="2">
        <f ca="1"/>
        <v>0.64470220896279362</v>
      </c>
      <c r="AH4358" s="2" t="str">
        <f ca="1"/>
        <v>Bad</v>
      </c>
    </row>
    <row r="4359" spans="2:34" x14ac:dyDescent="0.2">
      <c r="B4359" s="2">
        <f ca="1"/>
        <v>0.99447308447391092</v>
      </c>
      <c r="O4359" s="2">
        <f ca="1"/>
        <v>-0.50180417374657726</v>
      </c>
      <c r="X4359" s="2">
        <f ca="1"/>
        <v>76.945502635925692</v>
      </c>
      <c r="AG4359" s="2">
        <f ca="1"/>
        <v>0.61974071755597104</v>
      </c>
      <c r="AH4359" s="2" t="str">
        <f ca="1"/>
        <v>Bad</v>
      </c>
    </row>
    <row r="4360" spans="2:34" x14ac:dyDescent="0.2">
      <c r="B4360" s="2">
        <f ca="1"/>
        <v>0.11209099958876201</v>
      </c>
      <c r="O4360" s="2">
        <f ca="1"/>
        <v>-0.43746700762355262</v>
      </c>
      <c r="X4360" s="2">
        <f ca="1"/>
        <v>32.44743105442501</v>
      </c>
      <c r="AG4360" s="2">
        <f ca="1"/>
        <v>2.7311219047602586E-2</v>
      </c>
      <c r="AH4360" s="2" t="str">
        <f ca="1"/>
        <v>Good</v>
      </c>
    </row>
    <row r="4361" spans="2:34" x14ac:dyDescent="0.2">
      <c r="B4361" s="2">
        <f ca="1"/>
        <v>0.40723933409808843</v>
      </c>
      <c r="O4361" s="2">
        <f ca="1"/>
        <v>-0.73734186197689988</v>
      </c>
      <c r="X4361" s="2">
        <f ca="1"/>
        <v>39.28356405944988</v>
      </c>
      <c r="AG4361" s="2">
        <f ca="1"/>
        <v>0.97855883202072391</v>
      </c>
      <c r="AH4361" s="2" t="str">
        <f ca="1"/>
        <v>Bad</v>
      </c>
    </row>
    <row r="4362" spans="2:34" x14ac:dyDescent="0.2">
      <c r="B4362" s="2">
        <f ca="1"/>
        <v>0.85682949115292906</v>
      </c>
      <c r="O4362" s="2">
        <f ca="1"/>
        <v>-1.6688001489261148</v>
      </c>
      <c r="X4362" s="2">
        <f ca="1"/>
        <v>53.291501483476871</v>
      </c>
      <c r="AG4362" s="2">
        <f ca="1"/>
        <v>0.26709751431719497</v>
      </c>
      <c r="AH4362" s="2" t="str">
        <f ca="1"/>
        <v>OK</v>
      </c>
    </row>
    <row r="4363" spans="2:34" x14ac:dyDescent="0.2">
      <c r="B4363" s="2">
        <f ca="1"/>
        <v>0.56564636853696992</v>
      </c>
      <c r="O4363" s="2">
        <f ca="1"/>
        <v>1.291716548354271</v>
      </c>
      <c r="X4363" s="2">
        <f ca="1"/>
        <v>92.702303717137397</v>
      </c>
      <c r="AG4363" s="2">
        <f ca="1"/>
        <v>0.68385415990928444</v>
      </c>
      <c r="AH4363" s="2" t="str">
        <f ca="1"/>
        <v>Bad</v>
      </c>
    </row>
    <row r="4364" spans="2:34" x14ac:dyDescent="0.2">
      <c r="B4364" s="2">
        <f ca="1"/>
        <v>1.2802047434029573E-2</v>
      </c>
      <c r="O4364" s="2">
        <f ca="1"/>
        <v>-0.23825965925217105</v>
      </c>
      <c r="X4364" s="2">
        <f ca="1"/>
        <v>40.013740208818113</v>
      </c>
      <c r="AG4364" s="2">
        <f ca="1"/>
        <v>5.4192290213272987E-3</v>
      </c>
      <c r="AH4364" s="2" t="str">
        <f ca="1"/>
        <v>Good</v>
      </c>
    </row>
    <row r="4365" spans="2:34" x14ac:dyDescent="0.2">
      <c r="B4365" s="2">
        <f ca="1"/>
        <v>0.53379494924217519</v>
      </c>
      <c r="O4365" s="2">
        <f ca="1"/>
        <v>-0.90871813684631864</v>
      </c>
      <c r="X4365" s="2">
        <f ca="1"/>
        <v>53.841270963234919</v>
      </c>
      <c r="AG4365" s="2">
        <f ca="1"/>
        <v>0.78087731056958343</v>
      </c>
      <c r="AH4365" s="2" t="str">
        <f ca="1"/>
        <v>Bad</v>
      </c>
    </row>
    <row r="4366" spans="2:34" x14ac:dyDescent="0.2">
      <c r="B4366" s="2">
        <f ca="1"/>
        <v>0.57477941252951781</v>
      </c>
      <c r="O4366" s="2">
        <f ca="1"/>
        <v>-0.73830756149794841</v>
      </c>
      <c r="X4366" s="2">
        <f ca="1"/>
        <v>58.50327663739737</v>
      </c>
      <c r="AG4366" s="2">
        <f ca="1"/>
        <v>0.19985083372739609</v>
      </c>
      <c r="AH4366" s="2" t="str">
        <f ca="1"/>
        <v>OK</v>
      </c>
    </row>
    <row r="4367" spans="2:34" x14ac:dyDescent="0.2">
      <c r="B4367" s="2">
        <f ca="1"/>
        <v>0.14758943127174984</v>
      </c>
      <c r="O4367" s="2">
        <f ca="1"/>
        <v>3.2455256346998772E-2</v>
      </c>
      <c r="X4367" s="2">
        <f ca="1"/>
        <v>34.592173798751574</v>
      </c>
      <c r="AG4367" s="2">
        <f ca="1"/>
        <v>0.45706043786780537</v>
      </c>
      <c r="AH4367" s="2" t="str">
        <f ca="1"/>
        <v>Bad</v>
      </c>
    </row>
    <row r="4368" spans="2:34" x14ac:dyDescent="0.2">
      <c r="B4368" s="2">
        <f ca="1"/>
        <v>0.99716940422854239</v>
      </c>
      <c r="O4368" s="2">
        <f ca="1"/>
        <v>-0.88672287246866155</v>
      </c>
      <c r="X4368" s="2">
        <f ca="1"/>
        <v>81.008860283978265</v>
      </c>
      <c r="AG4368" s="2">
        <f ca="1"/>
        <v>0.33492192529476195</v>
      </c>
      <c r="AH4368" s="2" t="str">
        <f ca="1"/>
        <v>OK</v>
      </c>
    </row>
    <row r="4369" spans="2:34" x14ac:dyDescent="0.2">
      <c r="B4369" s="2">
        <f ca="1"/>
        <v>0.17008707660788835</v>
      </c>
      <c r="O4369" s="2">
        <f ca="1"/>
        <v>0.63479741892219177</v>
      </c>
      <c r="X4369" s="2">
        <f ca="1"/>
        <v>19.66567143840571</v>
      </c>
      <c r="AG4369" s="2">
        <f ca="1"/>
        <v>0.11750029251698235</v>
      </c>
      <c r="AH4369" s="2" t="str">
        <f ca="1"/>
        <v>OK</v>
      </c>
    </row>
    <row r="4370" spans="2:34" x14ac:dyDescent="0.2">
      <c r="B4370" s="2">
        <f ca="1"/>
        <v>0.30941639454447567</v>
      </c>
      <c r="O4370" s="2">
        <f ca="1"/>
        <v>0.29477217162061481</v>
      </c>
      <c r="X4370" s="2">
        <f ca="1"/>
        <v>55.316064883432212</v>
      </c>
      <c r="AG4370" s="2">
        <f ca="1"/>
        <v>0.32238653216740065</v>
      </c>
      <c r="AH4370" s="2" t="str">
        <f ca="1"/>
        <v>OK</v>
      </c>
    </row>
    <row r="4371" spans="2:34" x14ac:dyDescent="0.2">
      <c r="B4371" s="2">
        <f ca="1"/>
        <v>7.9885294905890358E-2</v>
      </c>
      <c r="O4371" s="2">
        <f ca="1"/>
        <v>7.5505912502202746E-2</v>
      </c>
      <c r="X4371" s="2">
        <f ca="1"/>
        <v>80.694844798712268</v>
      </c>
      <c r="AG4371" s="2">
        <f ca="1"/>
        <v>0.45547812875018301</v>
      </c>
      <c r="AH4371" s="2" t="str">
        <f ca="1"/>
        <v>Bad</v>
      </c>
    </row>
    <row r="4372" spans="2:34" x14ac:dyDescent="0.2">
      <c r="B4372" s="2">
        <f ca="1"/>
        <v>0.23097645259692312</v>
      </c>
      <c r="O4372" s="2">
        <f ca="1"/>
        <v>-2.2075672505364099E-2</v>
      </c>
      <c r="X4372" s="2">
        <f ca="1"/>
        <v>52.99428286295057</v>
      </c>
      <c r="AG4372" s="2">
        <f ca="1"/>
        <v>0.99203836841974158</v>
      </c>
      <c r="AH4372" s="2" t="str">
        <f ca="1"/>
        <v>Bad</v>
      </c>
    </row>
    <row r="4373" spans="2:34" x14ac:dyDescent="0.2">
      <c r="B4373" s="2">
        <f ca="1"/>
        <v>0.78674826700341938</v>
      </c>
      <c r="O4373" s="2">
        <f ca="1"/>
        <v>-0.7094087901354823</v>
      </c>
      <c r="X4373" s="2">
        <f ca="1"/>
        <v>40.163980906918894</v>
      </c>
      <c r="AG4373" s="2">
        <f ca="1"/>
        <v>0.83492471862476481</v>
      </c>
      <c r="AH4373" s="2" t="str">
        <f ca="1"/>
        <v>Bad</v>
      </c>
    </row>
    <row r="4374" spans="2:34" x14ac:dyDescent="0.2">
      <c r="B4374" s="2">
        <f ca="1"/>
        <v>4.1332801311925627E-2</v>
      </c>
      <c r="O4374" s="2">
        <f ca="1"/>
        <v>1.6614175184627549</v>
      </c>
      <c r="X4374" s="2">
        <f ca="1"/>
        <v>46.891445708688188</v>
      </c>
      <c r="AG4374" s="2">
        <f ca="1"/>
        <v>0.26683270597460185</v>
      </c>
      <c r="AH4374" s="2" t="str">
        <f ca="1"/>
        <v>OK</v>
      </c>
    </row>
    <row r="4375" spans="2:34" x14ac:dyDescent="0.2">
      <c r="B4375" s="2">
        <f ca="1"/>
        <v>0.44304885013930173</v>
      </c>
      <c r="O4375" s="2">
        <f ca="1"/>
        <v>0.52940060293411284</v>
      </c>
      <c r="X4375" s="2">
        <f ca="1"/>
        <v>55.414129089389242</v>
      </c>
      <c r="AG4375" s="2">
        <f ca="1"/>
        <v>0.58885239828463987</v>
      </c>
      <c r="AH4375" s="2" t="str">
        <f ca="1"/>
        <v>Bad</v>
      </c>
    </row>
    <row r="4376" spans="2:34" x14ac:dyDescent="0.2">
      <c r="B4376" s="2">
        <f ca="1"/>
        <v>0.11903962656552891</v>
      </c>
      <c r="O4376" s="2">
        <f ca="1"/>
        <v>0.17161636774095024</v>
      </c>
      <c r="X4376" s="2">
        <f ca="1"/>
        <v>62.134516796079708</v>
      </c>
      <c r="AG4376" s="2">
        <f ca="1"/>
        <v>3.5745064405476867E-3</v>
      </c>
      <c r="AH4376" s="2" t="str">
        <f ca="1"/>
        <v>Good</v>
      </c>
    </row>
    <row r="4377" spans="2:34" x14ac:dyDescent="0.2">
      <c r="B4377" s="2">
        <f ca="1"/>
        <v>7.6606513827619516E-3</v>
      </c>
      <c r="O4377" s="2">
        <f ca="1"/>
        <v>-1.5682879312519213</v>
      </c>
      <c r="X4377" s="2">
        <f ca="1"/>
        <v>61.232770959821622</v>
      </c>
      <c r="AG4377" s="2">
        <f ca="1"/>
        <v>3.6220934795006432E-2</v>
      </c>
      <c r="AH4377" s="2" t="str">
        <f ca="1"/>
        <v>Good</v>
      </c>
    </row>
    <row r="4378" spans="2:34" x14ac:dyDescent="0.2">
      <c r="B4378" s="2">
        <f ca="1"/>
        <v>0.48593826765565429</v>
      </c>
      <c r="O4378" s="2">
        <f ca="1"/>
        <v>-0.45793764840920803</v>
      </c>
      <c r="X4378" s="2">
        <f ca="1"/>
        <v>34.454810179211179</v>
      </c>
      <c r="AG4378" s="2">
        <f ca="1"/>
        <v>0.72017559746501747</v>
      </c>
      <c r="AH4378" s="2" t="str">
        <f ca="1"/>
        <v>Bad</v>
      </c>
    </row>
    <row r="4379" spans="2:34" x14ac:dyDescent="0.2">
      <c r="B4379" s="2">
        <f ca="1"/>
        <v>0.60779353529272262</v>
      </c>
      <c r="O4379" s="2">
        <f ca="1"/>
        <v>1.0530394987271279</v>
      </c>
      <c r="X4379" s="2">
        <f ca="1"/>
        <v>33.382423419562656</v>
      </c>
      <c r="AG4379" s="2">
        <f ca="1"/>
        <v>0.14411681596025328</v>
      </c>
      <c r="AH4379" s="2" t="str">
        <f ca="1"/>
        <v>OK</v>
      </c>
    </row>
    <row r="4380" spans="2:34" x14ac:dyDescent="0.2">
      <c r="B4380" s="2">
        <f ca="1"/>
        <v>0.19565183838406308</v>
      </c>
      <c r="O4380" s="2">
        <f ca="1"/>
        <v>-0.55308598373271967</v>
      </c>
      <c r="X4380" s="2">
        <f ca="1"/>
        <v>36.397511846785044</v>
      </c>
      <c r="AG4380" s="2">
        <f ca="1"/>
        <v>1.9408348519611707E-4</v>
      </c>
      <c r="AH4380" s="2" t="str">
        <f ca="1"/>
        <v>Good</v>
      </c>
    </row>
    <row r="4381" spans="2:34" x14ac:dyDescent="0.2">
      <c r="B4381" s="2">
        <f ca="1"/>
        <v>0.69037155032326281</v>
      </c>
      <c r="O4381" s="2">
        <f ca="1"/>
        <v>-0.63573355159592837</v>
      </c>
      <c r="X4381" s="2">
        <f ca="1"/>
        <v>56.951630095891737</v>
      </c>
      <c r="AG4381" s="2">
        <f ca="1"/>
        <v>0.71952051674301187</v>
      </c>
      <c r="AH4381" s="2" t="str">
        <f ca="1"/>
        <v>Bad</v>
      </c>
    </row>
    <row r="4382" spans="2:34" x14ac:dyDescent="0.2">
      <c r="B4382" s="2">
        <f ca="1"/>
        <v>0.37927736965870995</v>
      </c>
      <c r="O4382" s="2">
        <f ca="1"/>
        <v>-0.35775868076539702</v>
      </c>
      <c r="X4382" s="2">
        <f ca="1"/>
        <v>50.605164003549667</v>
      </c>
      <c r="AG4382" s="2">
        <f ca="1"/>
        <v>0.51447783652004331</v>
      </c>
      <c r="AH4382" s="2" t="str">
        <f ca="1"/>
        <v>Bad</v>
      </c>
    </row>
    <row r="4383" spans="2:34" x14ac:dyDescent="0.2">
      <c r="B4383" s="2">
        <f ca="1"/>
        <v>0.70400379873840691</v>
      </c>
      <c r="O4383" s="2">
        <f ca="1"/>
        <v>-0.44947779703312879</v>
      </c>
      <c r="X4383" s="2">
        <f ca="1"/>
        <v>48.20910146993829</v>
      </c>
      <c r="AG4383" s="2">
        <f ca="1"/>
        <v>0.14847569358172952</v>
      </c>
      <c r="AH4383" s="2" t="str">
        <f ca="1"/>
        <v>OK</v>
      </c>
    </row>
    <row r="4384" spans="2:34" x14ac:dyDescent="0.2">
      <c r="B4384" s="2">
        <f ca="1"/>
        <v>0.18884708011551199</v>
      </c>
      <c r="O4384" s="2">
        <f ca="1"/>
        <v>1.9140762406265752</v>
      </c>
      <c r="X4384" s="2">
        <f ca="1"/>
        <v>97.740913715410741</v>
      </c>
      <c r="AG4384" s="2">
        <f ca="1"/>
        <v>0.345777547073572</v>
      </c>
      <c r="AH4384" s="2" t="str">
        <f ca="1"/>
        <v>OK</v>
      </c>
    </row>
    <row r="4385" spans="2:34" x14ac:dyDescent="0.2">
      <c r="B4385" s="2">
        <f ca="1"/>
        <v>0.29359790268118435</v>
      </c>
      <c r="O4385" s="2">
        <f ca="1"/>
        <v>1.5185134030786113E-3</v>
      </c>
      <c r="X4385" s="2">
        <f ca="1"/>
        <v>40.081849595557379</v>
      </c>
      <c r="AG4385" s="2">
        <f ca="1"/>
        <v>0.75683773286349676</v>
      </c>
      <c r="AH4385" s="2" t="str">
        <f ca="1"/>
        <v>Bad</v>
      </c>
    </row>
    <row r="4386" spans="2:34" x14ac:dyDescent="0.2">
      <c r="B4386" s="2">
        <f ca="1"/>
        <v>0.64581684672152884</v>
      </c>
      <c r="O4386" s="2">
        <f ca="1"/>
        <v>-1.5516308810256828E-2</v>
      </c>
      <c r="X4386" s="2">
        <f ca="1"/>
        <v>28.264565900157269</v>
      </c>
      <c r="AG4386" s="2">
        <f ca="1"/>
        <v>0.24994484002468398</v>
      </c>
      <c r="AH4386" s="2" t="str">
        <f ca="1"/>
        <v>OK</v>
      </c>
    </row>
    <row r="4387" spans="2:34" x14ac:dyDescent="0.2">
      <c r="B4387" s="2">
        <f ca="1"/>
        <v>0.52708886602619187</v>
      </c>
      <c r="O4387" s="2">
        <f ca="1"/>
        <v>3.6783253765922432E-2</v>
      </c>
      <c r="X4387" s="2">
        <f ca="1"/>
        <v>35.968160932548244</v>
      </c>
      <c r="AG4387" s="2">
        <f ca="1"/>
        <v>0.20678361598038553</v>
      </c>
      <c r="AH4387" s="2" t="str">
        <f ca="1"/>
        <v>OK</v>
      </c>
    </row>
    <row r="4388" spans="2:34" x14ac:dyDescent="0.2">
      <c r="B4388" s="2">
        <f ca="1"/>
        <v>0.27361452180883905</v>
      </c>
      <c r="O4388" s="2">
        <f ca="1"/>
        <v>-0.86078275458741893</v>
      </c>
      <c r="X4388" s="2">
        <f ca="1"/>
        <v>35.108448066734191</v>
      </c>
      <c r="AG4388" s="2">
        <f ca="1"/>
        <v>0.96590663262631304</v>
      </c>
      <c r="AH4388" s="2" t="str">
        <f ca="1"/>
        <v>Bad</v>
      </c>
    </row>
    <row r="4389" spans="2:34" x14ac:dyDescent="0.2">
      <c r="B4389" s="2">
        <f ca="1"/>
        <v>0.84459659176923108</v>
      </c>
      <c r="O4389" s="2">
        <f ca="1"/>
        <v>1.3587968565487878</v>
      </c>
      <c r="X4389" s="2">
        <f ca="1"/>
        <v>74.959407497343207</v>
      </c>
      <c r="AG4389" s="2">
        <f ca="1"/>
        <v>5.5479560810305362E-2</v>
      </c>
      <c r="AH4389" s="2" t="str">
        <f ca="1"/>
        <v>OK</v>
      </c>
    </row>
    <row r="4390" spans="2:34" x14ac:dyDescent="0.2">
      <c r="B4390" s="2">
        <f ca="1"/>
        <v>0.81913386104590735</v>
      </c>
      <c r="O4390" s="2">
        <f ca="1"/>
        <v>8.3441564860232673E-2</v>
      </c>
      <c r="X4390" s="2">
        <f ca="1"/>
        <v>45.238707709556635</v>
      </c>
      <c r="AG4390" s="2">
        <f ca="1"/>
        <v>0.69369982780304307</v>
      </c>
      <c r="AH4390" s="2" t="str">
        <f ca="1"/>
        <v>Bad</v>
      </c>
    </row>
    <row r="4391" spans="2:34" x14ac:dyDescent="0.2">
      <c r="B4391" s="2">
        <f ca="1"/>
        <v>0.18502969401998359</v>
      </c>
      <c r="O4391" s="2">
        <f ca="1"/>
        <v>1.4652997810565633</v>
      </c>
      <c r="X4391" s="2">
        <f ca="1"/>
        <v>47.768305331757766</v>
      </c>
      <c r="AG4391" s="2">
        <f ca="1"/>
        <v>0.28301240035406194</v>
      </c>
      <c r="AH4391" s="2" t="str">
        <f ca="1"/>
        <v>OK</v>
      </c>
    </row>
    <row r="4392" spans="2:34" x14ac:dyDescent="0.2">
      <c r="B4392" s="2">
        <f ca="1"/>
        <v>0.91900886946647242</v>
      </c>
      <c r="O4392" s="2">
        <f ca="1"/>
        <v>-0.69071041410496081</v>
      </c>
      <c r="X4392" s="2">
        <f ca="1"/>
        <v>53.050069939606729</v>
      </c>
      <c r="AG4392" s="2">
        <f ca="1"/>
        <v>0.19960366430590071</v>
      </c>
      <c r="AH4392" s="2" t="str">
        <f ca="1"/>
        <v>OK</v>
      </c>
    </row>
    <row r="4393" spans="2:34" x14ac:dyDescent="0.2">
      <c r="B4393" s="2">
        <f ca="1"/>
        <v>0.30933290838412764</v>
      </c>
      <c r="O4393" s="2">
        <f ca="1"/>
        <v>-0.2985388710077882</v>
      </c>
      <c r="X4393" s="2">
        <f ca="1"/>
        <v>41.845030361372523</v>
      </c>
      <c r="AG4393" s="2">
        <f ca="1"/>
        <v>0.36680556604058179</v>
      </c>
      <c r="AH4393" s="2" t="str">
        <f ca="1"/>
        <v>OK</v>
      </c>
    </row>
    <row r="4394" spans="2:34" x14ac:dyDescent="0.2">
      <c r="B4394" s="2">
        <f ca="1"/>
        <v>0.83190096597169805</v>
      </c>
      <c r="O4394" s="2">
        <f ca="1"/>
        <v>0.49515247553856995</v>
      </c>
      <c r="X4394" s="2">
        <f ca="1"/>
        <v>41.921307455826941</v>
      </c>
      <c r="AG4394" s="2">
        <f ca="1"/>
        <v>0.55993349200574194</v>
      </c>
      <c r="AH4394" s="2" t="str">
        <f ca="1"/>
        <v>Bad</v>
      </c>
    </row>
    <row r="4395" spans="2:34" x14ac:dyDescent="0.2">
      <c r="B4395" s="2">
        <f ca="1"/>
        <v>0.79928738854844217</v>
      </c>
      <c r="O4395" s="2">
        <f ca="1"/>
        <v>-0.16475177427955817</v>
      </c>
      <c r="X4395" s="2">
        <f ca="1"/>
        <v>58.334875666739173</v>
      </c>
      <c r="AG4395" s="2">
        <f ca="1"/>
        <v>0.42231354780549468</v>
      </c>
      <c r="AH4395" s="2" t="str">
        <f ca="1"/>
        <v>Bad</v>
      </c>
    </row>
    <row r="4396" spans="2:34" x14ac:dyDescent="0.2">
      <c r="B4396" s="2">
        <f ca="1"/>
        <v>0.32222710684650879</v>
      </c>
      <c r="O4396" s="2">
        <f ca="1"/>
        <v>-0.3728045858635653</v>
      </c>
      <c r="X4396" s="2">
        <f ca="1"/>
        <v>67.02858673079534</v>
      </c>
      <c r="AG4396" s="2">
        <f ca="1"/>
        <v>0.78798087444061959</v>
      </c>
      <c r="AH4396" s="2" t="str">
        <f ca="1"/>
        <v>Bad</v>
      </c>
    </row>
    <row r="4397" spans="2:34" x14ac:dyDescent="0.2">
      <c r="B4397" s="2">
        <f ca="1"/>
        <v>0.40231619414172015</v>
      </c>
      <c r="O4397" s="2">
        <f ca="1"/>
        <v>-0.13116062925463434</v>
      </c>
      <c r="X4397" s="2">
        <f ca="1"/>
        <v>48.88114860675504</v>
      </c>
      <c r="AG4397" s="2">
        <f ca="1"/>
        <v>0.30538198010023976</v>
      </c>
      <c r="AH4397" s="2" t="str">
        <f ca="1"/>
        <v>OK</v>
      </c>
    </row>
    <row r="4398" spans="2:34" x14ac:dyDescent="0.2">
      <c r="B4398" s="2">
        <f ca="1"/>
        <v>0.81613006733962568</v>
      </c>
      <c r="O4398" s="2">
        <f ca="1"/>
        <v>-0.56294156475076762</v>
      </c>
      <c r="X4398" s="2">
        <f ca="1"/>
        <v>52.63111322519309</v>
      </c>
      <c r="AG4398" s="2">
        <f ca="1"/>
        <v>0.1686365873971778</v>
      </c>
      <c r="AH4398" s="2" t="str">
        <f ca="1"/>
        <v>OK</v>
      </c>
    </row>
    <row r="4399" spans="2:34" x14ac:dyDescent="0.2">
      <c r="B4399" s="2">
        <f ca="1"/>
        <v>0.89604913636541172</v>
      </c>
      <c r="O4399" s="2">
        <f ca="1"/>
        <v>-1.5958307767557267</v>
      </c>
      <c r="X4399" s="2">
        <f ca="1"/>
        <v>64.697971823535568</v>
      </c>
      <c r="AG4399" s="2">
        <f ca="1"/>
        <v>0.9731884446942809</v>
      </c>
      <c r="AH4399" s="2" t="str">
        <f ca="1"/>
        <v>Bad</v>
      </c>
    </row>
    <row r="4400" spans="2:34" x14ac:dyDescent="0.2">
      <c r="B4400" s="2">
        <f ca="1"/>
        <v>0.39298747890939256</v>
      </c>
      <c r="O4400" s="2">
        <f ca="1"/>
        <v>0.86141088271991617</v>
      </c>
      <c r="X4400" s="2">
        <f ca="1"/>
        <v>24.637772932114068</v>
      </c>
      <c r="AG4400" s="2">
        <f ca="1"/>
        <v>0.68070155098331475</v>
      </c>
      <c r="AH4400" s="2" t="str">
        <f ca="1"/>
        <v>Bad</v>
      </c>
    </row>
    <row r="4401" spans="2:34" x14ac:dyDescent="0.2">
      <c r="B4401" s="2">
        <f ca="1"/>
        <v>4.990594922573699E-3</v>
      </c>
      <c r="O4401" s="2">
        <f ca="1"/>
        <v>0.27206653145133086</v>
      </c>
      <c r="X4401" s="2">
        <f ca="1"/>
        <v>17.92453977744352</v>
      </c>
      <c r="AG4401" s="2">
        <f ca="1"/>
        <v>0.38098008909295733</v>
      </c>
      <c r="AH4401" s="2" t="str">
        <f ca="1"/>
        <v>OK</v>
      </c>
    </row>
    <row r="4402" spans="2:34" x14ac:dyDescent="0.2">
      <c r="B4402" s="2">
        <f ca="1"/>
        <v>9.9723812496471442E-2</v>
      </c>
      <c r="O4402" s="2">
        <f ca="1"/>
        <v>-0.13354079906185018</v>
      </c>
      <c r="X4402" s="2">
        <f ca="1"/>
        <v>39.590200186826422</v>
      </c>
      <c r="AG4402" s="2">
        <f ca="1"/>
        <v>0.86720396644590036</v>
      </c>
      <c r="AH4402" s="2" t="str">
        <f ca="1"/>
        <v>Bad</v>
      </c>
    </row>
    <row r="4403" spans="2:34" x14ac:dyDescent="0.2">
      <c r="B4403" s="2">
        <f ca="1"/>
        <v>0.65153884725214017</v>
      </c>
      <c r="O4403" s="2">
        <f ca="1"/>
        <v>0.50142133573052039</v>
      </c>
      <c r="X4403" s="2">
        <f ca="1"/>
        <v>76.594633656070826</v>
      </c>
      <c r="AG4403" s="2">
        <f ca="1"/>
        <v>0.17668648944894882</v>
      </c>
      <c r="AH4403" s="2" t="str">
        <f ca="1"/>
        <v>OK</v>
      </c>
    </row>
    <row r="4404" spans="2:34" x14ac:dyDescent="0.2">
      <c r="B4404" s="2">
        <f ca="1"/>
        <v>3.0526994709296762E-3</v>
      </c>
      <c r="O4404" s="2">
        <f ca="1"/>
        <v>-1.258084855767617</v>
      </c>
      <c r="X4404" s="2">
        <f ca="1"/>
        <v>56.827566461968559</v>
      </c>
      <c r="AG4404" s="2">
        <f ca="1"/>
        <v>0.87508060936509358</v>
      </c>
      <c r="AH4404" s="2" t="str">
        <f ca="1"/>
        <v>Bad</v>
      </c>
    </row>
    <row r="4405" spans="2:34" x14ac:dyDescent="0.2">
      <c r="B4405" s="2">
        <f ca="1"/>
        <v>0.80095057417615201</v>
      </c>
      <c r="O4405" s="2">
        <f ca="1"/>
        <v>0.12438680421881797</v>
      </c>
      <c r="X4405" s="2">
        <f ca="1"/>
        <v>69.510263689999746</v>
      </c>
      <c r="AG4405" s="2">
        <f ca="1"/>
        <v>0.83564302187156936</v>
      </c>
      <c r="AH4405" s="2" t="str">
        <f ca="1"/>
        <v>Bad</v>
      </c>
    </row>
    <row r="4406" spans="2:34" x14ac:dyDescent="0.2">
      <c r="B4406" s="2">
        <f ca="1"/>
        <v>0.76084285055941292</v>
      </c>
      <c r="O4406" s="2">
        <f ca="1"/>
        <v>0.36557036492585143</v>
      </c>
      <c r="X4406" s="2">
        <f ca="1"/>
        <v>30.928636878712293</v>
      </c>
      <c r="AG4406" s="2">
        <f ca="1"/>
        <v>9.0404769079587055E-2</v>
      </c>
      <c r="AH4406" s="2" t="str">
        <f ca="1"/>
        <v>OK</v>
      </c>
    </row>
    <row r="4407" spans="2:34" x14ac:dyDescent="0.2">
      <c r="B4407" s="2">
        <f ca="1"/>
        <v>0.94129992084436775</v>
      </c>
      <c r="O4407" s="2">
        <f ca="1"/>
        <v>0.81385679244472175</v>
      </c>
      <c r="X4407" s="2">
        <f ca="1"/>
        <v>34.927664386582769</v>
      </c>
      <c r="AG4407" s="2">
        <f ca="1"/>
        <v>0.89105706688789477</v>
      </c>
      <c r="AH4407" s="2" t="str">
        <f ca="1"/>
        <v>Bad</v>
      </c>
    </row>
    <row r="4408" spans="2:34" x14ac:dyDescent="0.2">
      <c r="B4408" s="2">
        <f ca="1"/>
        <v>0.75955090643881373</v>
      </c>
      <c r="O4408" s="2">
        <f ca="1"/>
        <v>6.3114048910730108E-2</v>
      </c>
      <c r="X4408" s="2">
        <f ca="1"/>
        <v>37.334068381642204</v>
      </c>
      <c r="AG4408" s="2">
        <f ca="1"/>
        <v>0.17412416858497015</v>
      </c>
      <c r="AH4408" s="2" t="str">
        <f ca="1"/>
        <v>OK</v>
      </c>
    </row>
    <row r="4409" spans="2:34" x14ac:dyDescent="0.2">
      <c r="B4409" s="2">
        <f ca="1"/>
        <v>0.48985044891055507</v>
      </c>
      <c r="O4409" s="2">
        <f ca="1"/>
        <v>0.46231837846547036</v>
      </c>
      <c r="X4409" s="2">
        <f ca="1"/>
        <v>60.469133344331155</v>
      </c>
      <c r="AG4409" s="2">
        <f ca="1"/>
        <v>0.83234505972145434</v>
      </c>
      <c r="AH4409" s="2" t="str">
        <f ca="1"/>
        <v>Bad</v>
      </c>
    </row>
    <row r="4410" spans="2:34" x14ac:dyDescent="0.2">
      <c r="B4410" s="2">
        <f ca="1"/>
        <v>0.61447766500824019</v>
      </c>
      <c r="O4410" s="2">
        <f ca="1"/>
        <v>2.4054264513082875</v>
      </c>
      <c r="X4410" s="2">
        <f ca="1"/>
        <v>69.66200890622973</v>
      </c>
      <c r="AG4410" s="2">
        <f ca="1"/>
        <v>0.53778213833362698</v>
      </c>
      <c r="AH4410" s="2" t="str">
        <f ca="1"/>
        <v>Bad</v>
      </c>
    </row>
    <row r="4411" spans="2:34" x14ac:dyDescent="0.2">
      <c r="B4411" s="2">
        <f ca="1"/>
        <v>0.22829830493255043</v>
      </c>
      <c r="O4411" s="2">
        <f ca="1"/>
        <v>-0.70050256772421315</v>
      </c>
      <c r="X4411" s="2">
        <f ca="1"/>
        <v>26.102002623250865</v>
      </c>
      <c r="AG4411" s="2">
        <f ca="1"/>
        <v>0.7780531785921212</v>
      </c>
      <c r="AH4411" s="2" t="str">
        <f ca="1"/>
        <v>Bad</v>
      </c>
    </row>
    <row r="4412" spans="2:34" x14ac:dyDescent="0.2">
      <c r="B4412" s="2">
        <f ca="1"/>
        <v>0.67288587422882173</v>
      </c>
      <c r="O4412" s="2">
        <f ca="1"/>
        <v>0.63131949047675529</v>
      </c>
      <c r="X4412" s="2">
        <f ca="1"/>
        <v>47.666315697722005</v>
      </c>
      <c r="AG4412" s="2">
        <f ca="1"/>
        <v>4.7046731466822367E-2</v>
      </c>
      <c r="AH4412" s="2" t="str">
        <f ca="1"/>
        <v>Good</v>
      </c>
    </row>
    <row r="4413" spans="2:34" x14ac:dyDescent="0.2">
      <c r="B4413" s="2">
        <f ca="1"/>
        <v>0.90792360792415772</v>
      </c>
      <c r="O4413" s="2">
        <f ca="1"/>
        <v>0.17124961075335171</v>
      </c>
      <c r="X4413" s="2">
        <f ca="1"/>
        <v>33.605132352481945</v>
      </c>
      <c r="AG4413" s="2">
        <f ca="1"/>
        <v>0.9843468582028061</v>
      </c>
      <c r="AH4413" s="2" t="str">
        <f ca="1"/>
        <v>Bad</v>
      </c>
    </row>
    <row r="4414" spans="2:34" x14ac:dyDescent="0.2">
      <c r="B4414" s="2">
        <f ca="1"/>
        <v>0.3565273302767149</v>
      </c>
      <c r="O4414" s="2">
        <f ca="1"/>
        <v>-0.85657775539569003</v>
      </c>
      <c r="X4414" s="2">
        <f ca="1"/>
        <v>40.370585943137407</v>
      </c>
      <c r="AG4414" s="2">
        <f ca="1"/>
        <v>0.49050068426722659</v>
      </c>
      <c r="AH4414" s="2" t="str">
        <f ca="1"/>
        <v>Bad</v>
      </c>
    </row>
    <row r="4415" spans="2:34" x14ac:dyDescent="0.2">
      <c r="B4415" s="2">
        <f ca="1"/>
        <v>6.4434155682810079E-2</v>
      </c>
      <c r="O4415" s="2">
        <f ca="1"/>
        <v>-0.16079963061099445</v>
      </c>
      <c r="X4415" s="2">
        <f ca="1"/>
        <v>70.654695613958552</v>
      </c>
      <c r="AG4415" s="2">
        <f ca="1"/>
        <v>0.23959554395403315</v>
      </c>
      <c r="AH4415" s="2" t="str">
        <f ca="1"/>
        <v>OK</v>
      </c>
    </row>
    <row r="4416" spans="2:34" x14ac:dyDescent="0.2">
      <c r="B4416" s="2">
        <f ca="1"/>
        <v>5.2372070526813808E-2</v>
      </c>
      <c r="O4416" s="2">
        <f ca="1"/>
        <v>-0.67775077724147781</v>
      </c>
      <c r="X4416" s="2">
        <f ca="1"/>
        <v>32.043435721281234</v>
      </c>
      <c r="AG4416" s="2">
        <f ca="1"/>
        <v>0.17560856315743623</v>
      </c>
      <c r="AH4416" s="2" t="str">
        <f ca="1"/>
        <v>OK</v>
      </c>
    </row>
    <row r="4417" spans="2:34" x14ac:dyDescent="0.2">
      <c r="B4417" s="2">
        <f ca="1"/>
        <v>0.57188534544291669</v>
      </c>
      <c r="O4417" s="2">
        <f ca="1"/>
        <v>0.53067329280088038</v>
      </c>
      <c r="X4417" s="2">
        <f ca="1"/>
        <v>35.322705450585715</v>
      </c>
      <c r="AG4417" s="2">
        <f ca="1"/>
        <v>0.13935846414992881</v>
      </c>
      <c r="AH4417" s="2" t="str">
        <f ca="1"/>
        <v>OK</v>
      </c>
    </row>
    <row r="4418" spans="2:34" x14ac:dyDescent="0.2">
      <c r="B4418" s="2">
        <f ca="1"/>
        <v>1.3076046837669608E-2</v>
      </c>
      <c r="O4418" s="2">
        <f ca="1"/>
        <v>1.1636882628551435</v>
      </c>
      <c r="X4418" s="2">
        <f ca="1"/>
        <v>30.582099345092885</v>
      </c>
      <c r="AG4418" s="2">
        <f ca="1"/>
        <v>0.62129177385914036</v>
      </c>
      <c r="AH4418" s="2" t="str">
        <f ca="1"/>
        <v>Bad</v>
      </c>
    </row>
    <row r="4419" spans="2:34" x14ac:dyDescent="0.2">
      <c r="B4419" s="2">
        <f ca="1"/>
        <v>0.27820450606028913</v>
      </c>
      <c r="O4419" s="2">
        <f ca="1"/>
        <v>0.14955783908202122</v>
      </c>
      <c r="X4419" s="2">
        <f ca="1"/>
        <v>29.858561570447954</v>
      </c>
      <c r="AG4419" s="2">
        <f ca="1"/>
        <v>0.51856503071278159</v>
      </c>
      <c r="AH4419" s="2" t="str">
        <f ca="1"/>
        <v>Bad</v>
      </c>
    </row>
    <row r="4420" spans="2:34" x14ac:dyDescent="0.2">
      <c r="B4420" s="2">
        <f ca="1"/>
        <v>0.48089605305879868</v>
      </c>
      <c r="O4420" s="2">
        <f ca="1"/>
        <v>-0.4278189821458126</v>
      </c>
      <c r="X4420" s="2">
        <f ca="1"/>
        <v>50.751209066946963</v>
      </c>
      <c r="AG4420" s="2">
        <f ca="1"/>
        <v>0.86952623663263795</v>
      </c>
      <c r="AH4420" s="2" t="str">
        <f ca="1"/>
        <v>Bad</v>
      </c>
    </row>
    <row r="4421" spans="2:34" x14ac:dyDescent="0.2">
      <c r="B4421" s="2">
        <f ca="1"/>
        <v>0.57300379354159925</v>
      </c>
      <c r="O4421" s="2">
        <f ca="1"/>
        <v>1.6531533065659831</v>
      </c>
      <c r="X4421" s="2">
        <f ca="1"/>
        <v>41.563520156897518</v>
      </c>
      <c r="AG4421" s="2">
        <f ca="1"/>
        <v>0.18955210923348509</v>
      </c>
      <c r="AH4421" s="2" t="str">
        <f ca="1"/>
        <v>OK</v>
      </c>
    </row>
    <row r="4422" spans="2:34" x14ac:dyDescent="0.2">
      <c r="B4422" s="2">
        <f ca="1"/>
        <v>0.93251987601088082</v>
      </c>
      <c r="O4422" s="2">
        <f ca="1"/>
        <v>-0.65407774373483385</v>
      </c>
      <c r="X4422" s="2">
        <f ca="1"/>
        <v>66.612451930867223</v>
      </c>
      <c r="AG4422" s="2">
        <f ca="1"/>
        <v>0.24219841078477056</v>
      </c>
      <c r="AH4422" s="2" t="str">
        <f ca="1"/>
        <v>OK</v>
      </c>
    </row>
    <row r="4423" spans="2:34" x14ac:dyDescent="0.2">
      <c r="B4423" s="2">
        <f ca="1"/>
        <v>0.90070007899163707</v>
      </c>
      <c r="O4423" s="2">
        <f ca="1"/>
        <v>0.7930916785449128</v>
      </c>
      <c r="X4423" s="2">
        <f ca="1"/>
        <v>41.074348981498105</v>
      </c>
      <c r="AG4423" s="2">
        <f ca="1"/>
        <v>0.19076819004413759</v>
      </c>
      <c r="AH4423" s="2" t="str">
        <f ca="1"/>
        <v>OK</v>
      </c>
    </row>
    <row r="4424" spans="2:34" x14ac:dyDescent="0.2">
      <c r="B4424" s="2">
        <f ca="1"/>
        <v>0.18809432071190102</v>
      </c>
      <c r="O4424" s="2">
        <f ca="1"/>
        <v>-0.32155844184781818</v>
      </c>
      <c r="X4424" s="2">
        <f ca="1"/>
        <v>26.904870304517136</v>
      </c>
      <c r="AG4424" s="2">
        <f ca="1"/>
        <v>0.64676229974239541</v>
      </c>
      <c r="AH4424" s="2" t="str">
        <f ca="1"/>
        <v>Bad</v>
      </c>
    </row>
    <row r="4425" spans="2:34" x14ac:dyDescent="0.2">
      <c r="B4425" s="2">
        <f ca="1"/>
        <v>0.91081478562920393</v>
      </c>
      <c r="O4425" s="2">
        <f ca="1"/>
        <v>0.66890197643839289</v>
      </c>
      <c r="X4425" s="2">
        <f ca="1"/>
        <v>58.396850834920272</v>
      </c>
      <c r="AG4425" s="2">
        <f ca="1"/>
        <v>0.13807375226280527</v>
      </c>
      <c r="AH4425" s="2" t="str">
        <f ca="1"/>
        <v>OK</v>
      </c>
    </row>
    <row r="4426" spans="2:34" x14ac:dyDescent="0.2">
      <c r="B4426" s="2">
        <f ca="1"/>
        <v>0.46793838708911339</v>
      </c>
      <c r="O4426" s="2">
        <f ca="1"/>
        <v>-0.59147908170683705</v>
      </c>
      <c r="X4426" s="2">
        <f ca="1"/>
        <v>60.459714396495514</v>
      </c>
      <c r="AG4426" s="2">
        <f ca="1"/>
        <v>0.21515760392889893</v>
      </c>
      <c r="AH4426" s="2" t="str">
        <f ca="1"/>
        <v>OK</v>
      </c>
    </row>
    <row r="4427" spans="2:34" x14ac:dyDescent="0.2">
      <c r="B4427" s="2">
        <f ca="1"/>
        <v>0.6403917933796095</v>
      </c>
      <c r="O4427" s="2">
        <f ca="1"/>
        <v>-2.350292681080369</v>
      </c>
      <c r="X4427" s="2">
        <f ca="1"/>
        <v>36.106182935017898</v>
      </c>
      <c r="AG4427" s="2">
        <f ca="1"/>
        <v>0.73791462133234109</v>
      </c>
      <c r="AH4427" s="2" t="str">
        <f ca="1"/>
        <v>Bad</v>
      </c>
    </row>
    <row r="4428" spans="2:34" x14ac:dyDescent="0.2">
      <c r="B4428" s="2">
        <f ca="1"/>
        <v>0.88041544881931633</v>
      </c>
      <c r="O4428" s="2">
        <f ca="1"/>
        <v>1.3545276986278292</v>
      </c>
      <c r="X4428" s="2">
        <f ca="1"/>
        <v>48.55995777226898</v>
      </c>
      <c r="AG4428" s="2">
        <f ca="1"/>
        <v>0.68806912865846459</v>
      </c>
      <c r="AH4428" s="2" t="str">
        <f ca="1"/>
        <v>Bad</v>
      </c>
    </row>
    <row r="4429" spans="2:34" x14ac:dyDescent="0.2">
      <c r="B4429" s="2">
        <f ca="1"/>
        <v>0.25484225289679263</v>
      </c>
      <c r="O4429" s="2">
        <f ca="1"/>
        <v>-0.62967042951109597</v>
      </c>
      <c r="X4429" s="2">
        <f ca="1"/>
        <v>53.081843427547255</v>
      </c>
      <c r="AG4429" s="2">
        <f ca="1"/>
        <v>0.10021536751740423</v>
      </c>
      <c r="AH4429" s="2" t="str">
        <f ca="1"/>
        <v>OK</v>
      </c>
    </row>
    <row r="4430" spans="2:34" x14ac:dyDescent="0.2">
      <c r="B4430" s="2">
        <f ca="1"/>
        <v>0.60846509471622112</v>
      </c>
      <c r="O4430" s="2">
        <f ca="1"/>
        <v>-0.23238328427438942</v>
      </c>
      <c r="X4430" s="2">
        <f ca="1"/>
        <v>74.1265093943274</v>
      </c>
      <c r="AG4430" s="2">
        <f ca="1"/>
        <v>0.59651004801801055</v>
      </c>
      <c r="AH4430" s="2" t="str">
        <f ca="1"/>
        <v>Bad</v>
      </c>
    </row>
    <row r="4431" spans="2:34" x14ac:dyDescent="0.2">
      <c r="B4431" s="2">
        <f ca="1"/>
        <v>0.31470886587259361</v>
      </c>
      <c r="O4431" s="2">
        <f ca="1"/>
        <v>-0.11589040015731017</v>
      </c>
      <c r="X4431" s="2">
        <f ca="1"/>
        <v>45.904310325191453</v>
      </c>
      <c r="AG4431" s="2">
        <f ca="1"/>
        <v>0.91133952705374544</v>
      </c>
      <c r="AH4431" s="2" t="str">
        <f ca="1"/>
        <v>Bad</v>
      </c>
    </row>
    <row r="4432" spans="2:34" x14ac:dyDescent="0.2">
      <c r="B4432" s="2">
        <f ca="1"/>
        <v>0.34171795237251135</v>
      </c>
      <c r="O4432" s="2">
        <f ca="1"/>
        <v>0.36022001012747323</v>
      </c>
      <c r="X4432" s="2">
        <f ca="1"/>
        <v>27.350610463105937</v>
      </c>
      <c r="AG4432" s="2">
        <f ca="1"/>
        <v>0.1329993697924059</v>
      </c>
      <c r="AH4432" s="2" t="str">
        <f ca="1"/>
        <v>OK</v>
      </c>
    </row>
    <row r="4433" spans="2:34" x14ac:dyDescent="0.2">
      <c r="B4433" s="2">
        <f ca="1"/>
        <v>0.40568168183712805</v>
      </c>
      <c r="O4433" s="2">
        <f ca="1"/>
        <v>-2.0660055077530144</v>
      </c>
      <c r="X4433" s="2">
        <f ca="1"/>
        <v>66.963098742734402</v>
      </c>
      <c r="AG4433" s="2">
        <f ca="1"/>
        <v>0.90882515886264925</v>
      </c>
      <c r="AH4433" s="2" t="str">
        <f ca="1"/>
        <v>Bad</v>
      </c>
    </row>
    <row r="4434" spans="2:34" x14ac:dyDescent="0.2">
      <c r="B4434" s="2">
        <f ca="1"/>
        <v>0.64884540261940971</v>
      </c>
      <c r="O4434" s="2">
        <f ca="1"/>
        <v>1.2315224570164203</v>
      </c>
      <c r="X4434" s="2">
        <f ca="1"/>
        <v>49.591127233500458</v>
      </c>
      <c r="AG4434" s="2">
        <f ca="1"/>
        <v>0.35187644170929877</v>
      </c>
      <c r="AH4434" s="2" t="str">
        <f ca="1"/>
        <v>OK</v>
      </c>
    </row>
    <row r="4435" spans="2:34" x14ac:dyDescent="0.2">
      <c r="B4435" s="2">
        <f ca="1"/>
        <v>0.3254691258275102</v>
      </c>
      <c r="O4435" s="2">
        <f ca="1"/>
        <v>0.3393165404592639</v>
      </c>
      <c r="X4435" s="2">
        <f ca="1"/>
        <v>68.742591959651349</v>
      </c>
      <c r="AG4435" s="2">
        <f ca="1"/>
        <v>8.109844325954696E-2</v>
      </c>
      <c r="AH4435" s="2" t="str">
        <f ca="1"/>
        <v>OK</v>
      </c>
    </row>
    <row r="4436" spans="2:34" x14ac:dyDescent="0.2">
      <c r="B4436" s="2">
        <f ca="1"/>
        <v>0.49256469209003861</v>
      </c>
      <c r="O4436" s="2">
        <f ca="1"/>
        <v>-0.20413717907964418</v>
      </c>
      <c r="X4436" s="2">
        <f ca="1"/>
        <v>38.090171028824329</v>
      </c>
      <c r="AG4436" s="2">
        <f ca="1"/>
        <v>0.67256040458543254</v>
      </c>
      <c r="AH4436" s="2" t="str">
        <f ca="1"/>
        <v>Bad</v>
      </c>
    </row>
    <row r="4437" spans="2:34" x14ac:dyDescent="0.2">
      <c r="B4437" s="2">
        <f ca="1"/>
        <v>0.8768789848884746</v>
      </c>
      <c r="O4437" s="2">
        <f ca="1"/>
        <v>0.92702025383178077</v>
      </c>
      <c r="X4437" s="2">
        <f ca="1"/>
        <v>31.696068918697119</v>
      </c>
      <c r="AG4437" s="2">
        <f ca="1"/>
        <v>0.78613046716276269</v>
      </c>
      <c r="AH4437" s="2" t="str">
        <f ca="1"/>
        <v>Bad</v>
      </c>
    </row>
    <row r="4438" spans="2:34" x14ac:dyDescent="0.2">
      <c r="B4438" s="2">
        <f ca="1"/>
        <v>0.17548007708845104</v>
      </c>
      <c r="O4438" s="2">
        <f ca="1"/>
        <v>0.38680364299938608</v>
      </c>
      <c r="X4438" s="2">
        <f ca="1"/>
        <v>78.115550706139416</v>
      </c>
      <c r="AG4438" s="2">
        <f ca="1"/>
        <v>0.65017360539085423</v>
      </c>
      <c r="AH4438" s="2" t="str">
        <f ca="1"/>
        <v>Bad</v>
      </c>
    </row>
    <row r="4439" spans="2:34" x14ac:dyDescent="0.2">
      <c r="B4439" s="2">
        <f ca="1"/>
        <v>0.61638190801965842</v>
      </c>
      <c r="O4439" s="2">
        <f ca="1"/>
        <v>9.7077718467073512E-2</v>
      </c>
      <c r="X4439" s="2">
        <f ca="1"/>
        <v>40.90648417380222</v>
      </c>
      <c r="AG4439" s="2">
        <f ca="1"/>
        <v>0.36043294813077154</v>
      </c>
      <c r="AH4439" s="2" t="str">
        <f ca="1"/>
        <v>OK</v>
      </c>
    </row>
    <row r="4440" spans="2:34" x14ac:dyDescent="0.2">
      <c r="B4440" s="2">
        <f ca="1"/>
        <v>0.57826943138432796</v>
      </c>
      <c r="O4440" s="2">
        <f ca="1"/>
        <v>0.64083606612685562</v>
      </c>
      <c r="X4440" s="2">
        <f ca="1"/>
        <v>40.758305201250053</v>
      </c>
      <c r="AG4440" s="2">
        <f ca="1"/>
        <v>0.63120320962574761</v>
      </c>
      <c r="AH4440" s="2" t="str">
        <f ca="1"/>
        <v>Bad</v>
      </c>
    </row>
    <row r="4441" spans="2:34" x14ac:dyDescent="0.2">
      <c r="B4441" s="2">
        <f ca="1"/>
        <v>0.1893526711024156</v>
      </c>
      <c r="O4441" s="2">
        <f ca="1"/>
        <v>1.6046332067464038</v>
      </c>
      <c r="X4441" s="2">
        <f ca="1"/>
        <v>67.185659709915043</v>
      </c>
      <c r="AG4441" s="2">
        <f ca="1"/>
        <v>5.8159469612307335E-2</v>
      </c>
      <c r="AH4441" s="2" t="str">
        <f ca="1"/>
        <v>OK</v>
      </c>
    </row>
    <row r="4442" spans="2:34" x14ac:dyDescent="0.2">
      <c r="B4442" s="2">
        <f ca="1"/>
        <v>0.98173167419517116</v>
      </c>
      <c r="O4442" s="2">
        <f ca="1"/>
        <v>-0.63292588662098415</v>
      </c>
      <c r="X4442" s="2">
        <f ca="1"/>
        <v>46.611368069103129</v>
      </c>
      <c r="AG4442" s="2">
        <f ca="1"/>
        <v>0.86895933931104841</v>
      </c>
      <c r="AH4442" s="2" t="str">
        <f ca="1"/>
        <v>Bad</v>
      </c>
    </row>
    <row r="4443" spans="2:34" x14ac:dyDescent="0.2">
      <c r="B4443" s="2">
        <f ca="1"/>
        <v>0.28632525343636184</v>
      </c>
      <c r="O4443" s="2">
        <f ca="1"/>
        <v>-0.3612703965250586</v>
      </c>
      <c r="X4443" s="2">
        <f ca="1"/>
        <v>69.046700529936814</v>
      </c>
      <c r="AG4443" s="2">
        <f ca="1"/>
        <v>0.8051082918394048</v>
      </c>
      <c r="AH4443" s="2" t="str">
        <f ca="1"/>
        <v>Bad</v>
      </c>
    </row>
    <row r="4444" spans="2:34" x14ac:dyDescent="0.2">
      <c r="B4444" s="2">
        <f ca="1"/>
        <v>0.59426694408280967</v>
      </c>
      <c r="O4444" s="2">
        <f ca="1"/>
        <v>0.22116953356935781</v>
      </c>
      <c r="X4444" s="2">
        <f ca="1"/>
        <v>70.876055936578751</v>
      </c>
      <c r="AG4444" s="2">
        <f ca="1"/>
        <v>0.67321447681281454</v>
      </c>
      <c r="AH4444" s="2" t="str">
        <f ca="1"/>
        <v>Bad</v>
      </c>
    </row>
    <row r="4445" spans="2:34" x14ac:dyDescent="0.2">
      <c r="B4445" s="2">
        <f ca="1"/>
        <v>0.35225935808642794</v>
      </c>
      <c r="O4445" s="2">
        <f ca="1"/>
        <v>-1.8291587606227979</v>
      </c>
      <c r="X4445" s="2">
        <f ca="1"/>
        <v>50.966312963987676</v>
      </c>
      <c r="AG4445" s="2">
        <f ca="1"/>
        <v>8.8971866808009725E-2</v>
      </c>
      <c r="AH4445" s="2" t="str">
        <f ca="1"/>
        <v>OK</v>
      </c>
    </row>
    <row r="4446" spans="2:34" x14ac:dyDescent="0.2">
      <c r="B4446" s="2">
        <f ca="1"/>
        <v>0.2855795692996681</v>
      </c>
      <c r="O4446" s="2">
        <f ca="1"/>
        <v>0.99718978784423329</v>
      </c>
      <c r="X4446" s="2">
        <f ca="1"/>
        <v>42.686012596650073</v>
      </c>
      <c r="AG4446" s="2">
        <f ca="1"/>
        <v>7.6046296549873382E-2</v>
      </c>
      <c r="AH4446" s="2" t="str">
        <f ca="1"/>
        <v>OK</v>
      </c>
    </row>
    <row r="4447" spans="2:34" x14ac:dyDescent="0.2">
      <c r="B4447" s="2">
        <f ca="1"/>
        <v>0.48946594743567795</v>
      </c>
      <c r="O4447" s="2">
        <f ca="1"/>
        <v>0.44841385191990046</v>
      </c>
      <c r="X4447" s="2">
        <f ca="1"/>
        <v>47.041129386366734</v>
      </c>
      <c r="AG4447" s="2">
        <f ca="1"/>
        <v>0.57650813370313347</v>
      </c>
      <c r="AH4447" s="2" t="str">
        <f ca="1"/>
        <v>Bad</v>
      </c>
    </row>
    <row r="4448" spans="2:34" x14ac:dyDescent="0.2">
      <c r="B4448" s="2">
        <f ca="1"/>
        <v>3.976476155684372E-2</v>
      </c>
      <c r="O4448" s="2">
        <f ca="1"/>
        <v>-1.1917404591926075</v>
      </c>
      <c r="X4448" s="2">
        <f ca="1"/>
        <v>31.834464271495186</v>
      </c>
      <c r="AG4448" s="2">
        <f ca="1"/>
        <v>0.72920317239191035</v>
      </c>
      <c r="AH4448" s="2" t="str">
        <f ca="1"/>
        <v>Bad</v>
      </c>
    </row>
    <row r="4449" spans="2:34" x14ac:dyDescent="0.2">
      <c r="B4449" s="2">
        <f ca="1"/>
        <v>0.85250849098790304</v>
      </c>
      <c r="O4449" s="2">
        <f ca="1"/>
        <v>-1.030393299964403</v>
      </c>
      <c r="X4449" s="2">
        <f ca="1"/>
        <v>45.400466349324503</v>
      </c>
      <c r="AG4449" s="2">
        <f ca="1"/>
        <v>0.14042550917932206</v>
      </c>
      <c r="AH4449" s="2" t="str">
        <f ca="1"/>
        <v>OK</v>
      </c>
    </row>
    <row r="4450" spans="2:34" x14ac:dyDescent="0.2">
      <c r="B4450" s="2">
        <f ca="1"/>
        <v>0.10875317053658207</v>
      </c>
      <c r="O4450" s="2">
        <f ca="1"/>
        <v>-0.46945927478472088</v>
      </c>
      <c r="X4450" s="2">
        <f ca="1"/>
        <v>38.998023420302466</v>
      </c>
      <c r="AG4450" s="2">
        <f ca="1"/>
        <v>0.76337546873181839</v>
      </c>
      <c r="AH4450" s="2" t="str">
        <f ca="1"/>
        <v>Bad</v>
      </c>
    </row>
    <row r="4451" spans="2:34" x14ac:dyDescent="0.2">
      <c r="B4451" s="2">
        <f ca="1"/>
        <v>0.75447977607038985</v>
      </c>
      <c r="O4451" s="2">
        <f ca="1"/>
        <v>0.54180879325722398</v>
      </c>
      <c r="X4451" s="2">
        <f ca="1"/>
        <v>38.68093042546284</v>
      </c>
      <c r="AG4451" s="2">
        <f ca="1"/>
        <v>0.98372675139848664</v>
      </c>
      <c r="AH4451" s="2" t="str">
        <f ca="1"/>
        <v>Bad</v>
      </c>
    </row>
    <row r="4452" spans="2:34" x14ac:dyDescent="0.2">
      <c r="B4452" s="2">
        <f ca="1"/>
        <v>0.57186546246448278</v>
      </c>
      <c r="O4452" s="2">
        <f ca="1"/>
        <v>-1.2424438263726381</v>
      </c>
      <c r="X4452" s="2">
        <f ca="1"/>
        <v>46.324449145362607</v>
      </c>
      <c r="AG4452" s="2">
        <f ca="1"/>
        <v>0.6432958761123293</v>
      </c>
      <c r="AH4452" s="2" t="str">
        <f ca="1"/>
        <v>Bad</v>
      </c>
    </row>
    <row r="4453" spans="2:34" x14ac:dyDescent="0.2">
      <c r="B4453" s="2">
        <f ca="1"/>
        <v>0.73779770116677512</v>
      </c>
      <c r="O4453" s="2">
        <f ca="1"/>
        <v>0.85300189774855695</v>
      </c>
      <c r="X4453" s="2">
        <f ca="1"/>
        <v>42.894184581849359</v>
      </c>
      <c r="AG4453" s="2">
        <f ca="1"/>
        <v>0.21728090258652544</v>
      </c>
      <c r="AH4453" s="2" t="str">
        <f ca="1"/>
        <v>OK</v>
      </c>
    </row>
    <row r="4454" spans="2:34" x14ac:dyDescent="0.2">
      <c r="B4454" s="2">
        <f ca="1"/>
        <v>0.98879478852660707</v>
      </c>
      <c r="O4454" s="2">
        <f ca="1"/>
        <v>1.0265099888110059</v>
      </c>
      <c r="X4454" s="2">
        <f ca="1"/>
        <v>45.179652837445772</v>
      </c>
      <c r="AG4454" s="2">
        <f ca="1"/>
        <v>0.63034340191197291</v>
      </c>
      <c r="AH4454" s="2" t="str">
        <f ca="1"/>
        <v>Bad</v>
      </c>
    </row>
    <row r="4455" spans="2:34" x14ac:dyDescent="0.2">
      <c r="B4455" s="2">
        <f ca="1"/>
        <v>0.6112552809242715</v>
      </c>
      <c r="O4455" s="2">
        <f ca="1"/>
        <v>-1.0415569518122909</v>
      </c>
      <c r="X4455" s="2">
        <f ca="1"/>
        <v>64.464351333852449</v>
      </c>
      <c r="AG4455" s="2">
        <f ca="1"/>
        <v>7.8037155854107088E-3</v>
      </c>
      <c r="AH4455" s="2" t="str">
        <f ca="1"/>
        <v>Good</v>
      </c>
    </row>
    <row r="4456" spans="2:34" x14ac:dyDescent="0.2">
      <c r="B4456" s="2">
        <f ca="1"/>
        <v>0.30016531816423586</v>
      </c>
      <c r="O4456" s="2">
        <f ca="1"/>
        <v>0.37309206550562835</v>
      </c>
      <c r="X4456" s="2">
        <f ca="1"/>
        <v>49.975098476577074</v>
      </c>
      <c r="AG4456" s="2">
        <f ca="1"/>
        <v>0.13718433626196624</v>
      </c>
      <c r="AH4456" s="2" t="str">
        <f ca="1"/>
        <v>OK</v>
      </c>
    </row>
    <row r="4457" spans="2:34" x14ac:dyDescent="0.2">
      <c r="B4457" s="2">
        <f ca="1"/>
        <v>0.33582960500869241</v>
      </c>
      <c r="O4457" s="2">
        <f ca="1"/>
        <v>0.36285806107747054</v>
      </c>
      <c r="X4457" s="2">
        <f ca="1"/>
        <v>41.716578916698303</v>
      </c>
      <c r="AG4457" s="2">
        <f ca="1"/>
        <v>0.78818529696447448</v>
      </c>
      <c r="AH4457" s="2" t="str">
        <f ca="1"/>
        <v>Bad</v>
      </c>
    </row>
    <row r="4458" spans="2:34" x14ac:dyDescent="0.2">
      <c r="B4458" s="2">
        <f ca="1"/>
        <v>0.64453172570574768</v>
      </c>
      <c r="O4458" s="2">
        <f ca="1"/>
        <v>7.1930645468415932E-2</v>
      </c>
      <c r="X4458" s="2">
        <f ca="1"/>
        <v>58.483034578445661</v>
      </c>
      <c r="AG4458" s="2">
        <f ca="1"/>
        <v>0.83734305989402702</v>
      </c>
      <c r="AH4458" s="2" t="str">
        <f ca="1"/>
        <v>Bad</v>
      </c>
    </row>
    <row r="4459" spans="2:34" x14ac:dyDescent="0.2">
      <c r="B4459" s="2">
        <f ca="1"/>
        <v>4.340248764403154E-2</v>
      </c>
      <c r="O4459" s="2">
        <f ca="1"/>
        <v>-0.19729410385648893</v>
      </c>
      <c r="X4459" s="2">
        <f ca="1"/>
        <v>57.153496811919652</v>
      </c>
      <c r="AG4459" s="2">
        <f ca="1"/>
        <v>6.2755412198194138E-2</v>
      </c>
      <c r="AH4459" s="2" t="str">
        <f ca="1"/>
        <v>OK</v>
      </c>
    </row>
    <row r="4460" spans="2:34" x14ac:dyDescent="0.2">
      <c r="B4460" s="2">
        <f ca="1"/>
        <v>0.28665319979318094</v>
      </c>
      <c r="O4460" s="2">
        <f ca="1"/>
        <v>-1.1524448139108061</v>
      </c>
      <c r="X4460" s="2">
        <f ca="1"/>
        <v>27.094444113354438</v>
      </c>
      <c r="AG4460" s="2">
        <f ca="1"/>
        <v>0.73562087500959406</v>
      </c>
      <c r="AH4460" s="2" t="str">
        <f ca="1"/>
        <v>Bad</v>
      </c>
    </row>
    <row r="4461" spans="2:34" x14ac:dyDescent="0.2">
      <c r="B4461" s="2">
        <f ca="1"/>
        <v>0.92898569928033226</v>
      </c>
      <c r="O4461" s="2">
        <f ca="1"/>
        <v>9.5107471011917494E-2</v>
      </c>
      <c r="X4461" s="2">
        <f ca="1"/>
        <v>44.176377044938498</v>
      </c>
      <c r="AG4461" s="2">
        <f ca="1"/>
        <v>0.54650184000304258</v>
      </c>
      <c r="AH4461" s="2" t="str">
        <f ca="1"/>
        <v>Bad</v>
      </c>
    </row>
    <row r="4462" spans="2:34" x14ac:dyDescent="0.2">
      <c r="B4462" s="2">
        <f ca="1"/>
        <v>0.78266698557842806</v>
      </c>
      <c r="O4462" s="2">
        <f ca="1"/>
        <v>-1.2730670283824048</v>
      </c>
      <c r="X4462" s="2">
        <f ca="1"/>
        <v>67.282771164339238</v>
      </c>
      <c r="AG4462" s="2">
        <f ca="1"/>
        <v>0.33196120424689424</v>
      </c>
      <c r="AH4462" s="2" t="str">
        <f ca="1"/>
        <v>OK</v>
      </c>
    </row>
    <row r="4463" spans="2:34" x14ac:dyDescent="0.2">
      <c r="B4463" s="2">
        <f ca="1"/>
        <v>0.89622228516211844</v>
      </c>
      <c r="O4463" s="2">
        <f ca="1"/>
        <v>1.2513585080557534</v>
      </c>
      <c r="X4463" s="2">
        <f ca="1"/>
        <v>79.312046925967735</v>
      </c>
      <c r="AG4463" s="2">
        <f ca="1"/>
        <v>0.53397306093595143</v>
      </c>
      <c r="AH4463" s="2" t="str">
        <f ca="1"/>
        <v>Bad</v>
      </c>
    </row>
    <row r="4464" spans="2:34" x14ac:dyDescent="0.2">
      <c r="B4464" s="2">
        <f ca="1"/>
        <v>0.6002543946316421</v>
      </c>
      <c r="O4464" s="2">
        <f ca="1"/>
        <v>-0.25672571668808591</v>
      </c>
      <c r="X4464" s="2">
        <f ca="1"/>
        <v>26.709210257916155</v>
      </c>
      <c r="AG4464" s="2">
        <f ca="1"/>
        <v>0.88705795965753076</v>
      </c>
      <c r="AH4464" s="2" t="str">
        <f ca="1"/>
        <v>Bad</v>
      </c>
    </row>
    <row r="4465" spans="2:34" x14ac:dyDescent="0.2">
      <c r="B4465" s="2">
        <f ca="1"/>
        <v>0.54889756149311442</v>
      </c>
      <c r="O4465" s="2">
        <f ca="1"/>
        <v>0.28511046173597043</v>
      </c>
      <c r="X4465" s="2">
        <f ca="1"/>
        <v>41.612523478392262</v>
      </c>
      <c r="AG4465" s="2">
        <f ca="1"/>
        <v>0.13558316564712225</v>
      </c>
      <c r="AH4465" s="2" t="str">
        <f ca="1"/>
        <v>OK</v>
      </c>
    </row>
    <row r="4466" spans="2:34" x14ac:dyDescent="0.2">
      <c r="B4466" s="2">
        <f ca="1"/>
        <v>0.29151737868347904</v>
      </c>
      <c r="O4466" s="2">
        <f ca="1"/>
        <v>1.0680145868359396</v>
      </c>
      <c r="X4466" s="2">
        <f ca="1"/>
        <v>40.074549148232428</v>
      </c>
      <c r="AG4466" s="2">
        <f ca="1"/>
        <v>0.39788991575774157</v>
      </c>
      <c r="AH4466" s="2" t="str">
        <f ca="1"/>
        <v>OK</v>
      </c>
    </row>
    <row r="4467" spans="2:34" x14ac:dyDescent="0.2">
      <c r="B4467" s="2">
        <f ca="1"/>
        <v>0.65251983571795202</v>
      </c>
      <c r="O4467" s="2">
        <f ca="1"/>
        <v>1.1243898099179439</v>
      </c>
      <c r="X4467" s="2">
        <f ca="1"/>
        <v>11.94817955093507</v>
      </c>
      <c r="AG4467" s="2">
        <f ca="1"/>
        <v>0.30309487483496445</v>
      </c>
      <c r="AH4467" s="2" t="str">
        <f ca="1"/>
        <v>OK</v>
      </c>
    </row>
    <row r="4468" spans="2:34" x14ac:dyDescent="0.2">
      <c r="B4468" s="2">
        <f ca="1"/>
        <v>0.67570957663374354</v>
      </c>
      <c r="O4468" s="2">
        <f ca="1"/>
        <v>8.7472018717086236E-2</v>
      </c>
      <c r="X4468" s="2">
        <f ca="1"/>
        <v>69.671602222729916</v>
      </c>
      <c r="AG4468" s="2">
        <f ca="1"/>
        <v>0.5886403519961283</v>
      </c>
      <c r="AH4468" s="2" t="str">
        <f ca="1"/>
        <v>Bad</v>
      </c>
    </row>
    <row r="4469" spans="2:34" x14ac:dyDescent="0.2">
      <c r="B4469" s="2">
        <f ca="1"/>
        <v>0.66129528496402501</v>
      </c>
      <c r="O4469" s="2">
        <f ca="1"/>
        <v>1.9878416749066402E-2</v>
      </c>
      <c r="X4469" s="2">
        <f ca="1"/>
        <v>31.166021120954703</v>
      </c>
      <c r="AG4469" s="2">
        <f ca="1"/>
        <v>0.6881763939094423</v>
      </c>
      <c r="AH4469" s="2" t="str">
        <f ca="1"/>
        <v>Bad</v>
      </c>
    </row>
    <row r="4470" spans="2:34" x14ac:dyDescent="0.2">
      <c r="B4470" s="2">
        <f ca="1"/>
        <v>0.40314389450163146</v>
      </c>
      <c r="O4470" s="2">
        <f ca="1"/>
        <v>0.70450931852366638</v>
      </c>
      <c r="X4470" s="2">
        <f ca="1"/>
        <v>51.441520598644587</v>
      </c>
      <c r="AG4470" s="2">
        <f ca="1"/>
        <v>0.55771743338137125</v>
      </c>
      <c r="AH4470" s="2" t="str">
        <f ca="1"/>
        <v>Bad</v>
      </c>
    </row>
    <row r="4471" spans="2:34" x14ac:dyDescent="0.2">
      <c r="B4471" s="2">
        <f ca="1"/>
        <v>0.94492759660271708</v>
      </c>
      <c r="O4471" s="2">
        <f ca="1"/>
        <v>0.95721010753164315</v>
      </c>
      <c r="X4471" s="2">
        <f ca="1"/>
        <v>65.786843559964225</v>
      </c>
      <c r="AG4471" s="2">
        <f ca="1"/>
        <v>0.23933885266773181</v>
      </c>
      <c r="AH4471" s="2" t="str">
        <f ca="1"/>
        <v>OK</v>
      </c>
    </row>
    <row r="4472" spans="2:34" x14ac:dyDescent="0.2">
      <c r="B4472" s="2">
        <f ca="1"/>
        <v>0.73904993545441022</v>
      </c>
      <c r="O4472" s="2">
        <f ca="1"/>
        <v>0.1976587370053636</v>
      </c>
      <c r="X4472" s="2">
        <f ca="1"/>
        <v>24.422046821620498</v>
      </c>
      <c r="AG4472" s="2">
        <f ca="1"/>
        <v>0.38086015254885885</v>
      </c>
      <c r="AH4472" s="2" t="str">
        <f ca="1"/>
        <v>OK</v>
      </c>
    </row>
    <row r="4473" spans="2:34" x14ac:dyDescent="0.2">
      <c r="B4473" s="2">
        <f ca="1"/>
        <v>0.35737613430766024</v>
      </c>
      <c r="O4473" s="2">
        <f ca="1"/>
        <v>-1.8722970903853913</v>
      </c>
      <c r="X4473" s="2">
        <f ca="1"/>
        <v>43.526367938769198</v>
      </c>
      <c r="AG4473" s="2">
        <f ca="1"/>
        <v>0.48371428042316023</v>
      </c>
      <c r="AH4473" s="2" t="str">
        <f ca="1"/>
        <v>Bad</v>
      </c>
    </row>
    <row r="4474" spans="2:34" x14ac:dyDescent="0.2">
      <c r="B4474" s="2">
        <f ca="1"/>
        <v>0.80997457771615622</v>
      </c>
      <c r="O4474" s="2">
        <f ca="1"/>
        <v>1.3530902358978065</v>
      </c>
      <c r="X4474" s="2">
        <f ca="1"/>
        <v>37.097157689279385</v>
      </c>
      <c r="AG4474" s="2">
        <f ca="1"/>
        <v>0.77648190018279739</v>
      </c>
      <c r="AH4474" s="2" t="str">
        <f ca="1"/>
        <v>Bad</v>
      </c>
    </row>
    <row r="4475" spans="2:34" x14ac:dyDescent="0.2">
      <c r="B4475" s="2">
        <f ca="1"/>
        <v>0.95344749580402444</v>
      </c>
      <c r="O4475" s="2">
        <f ca="1"/>
        <v>1.1731339371194964</v>
      </c>
      <c r="X4475" s="2">
        <f ca="1"/>
        <v>31.2006274280117</v>
      </c>
      <c r="AG4475" s="2">
        <f ca="1"/>
        <v>0.38776746514549165</v>
      </c>
      <c r="AH4475" s="2" t="str">
        <f ca="1"/>
        <v>OK</v>
      </c>
    </row>
    <row r="4476" spans="2:34" x14ac:dyDescent="0.2">
      <c r="B4476" s="2">
        <f ca="1"/>
        <v>7.6518674383726948E-2</v>
      </c>
      <c r="O4476" s="2">
        <f ca="1"/>
        <v>0.52221761363985653</v>
      </c>
      <c r="X4476" s="2">
        <f ca="1"/>
        <v>39.627108555688679</v>
      </c>
      <c r="AG4476" s="2">
        <f ca="1"/>
        <v>0.27266688835771191</v>
      </c>
      <c r="AH4476" s="2" t="str">
        <f ca="1"/>
        <v>OK</v>
      </c>
    </row>
    <row r="4477" spans="2:34" x14ac:dyDescent="0.2">
      <c r="B4477" s="2">
        <f ca="1"/>
        <v>0.60873066179082169</v>
      </c>
      <c r="O4477" s="2">
        <f ca="1"/>
        <v>1.2645809593421644</v>
      </c>
      <c r="X4477" s="2">
        <f ca="1"/>
        <v>45.204713045525786</v>
      </c>
      <c r="AG4477" s="2">
        <f ca="1"/>
        <v>0.84563690518812584</v>
      </c>
      <c r="AH4477" s="2" t="str">
        <f ca="1"/>
        <v>Bad</v>
      </c>
    </row>
    <row r="4478" spans="2:34" x14ac:dyDescent="0.2">
      <c r="B4478" s="2">
        <f ca="1"/>
        <v>0.36081502028746781</v>
      </c>
      <c r="O4478" s="2">
        <f ca="1"/>
        <v>0.59832501865391896</v>
      </c>
      <c r="X4478" s="2">
        <f ca="1"/>
        <v>45.050063340630324</v>
      </c>
      <c r="AG4478" s="2">
        <f ca="1"/>
        <v>0.66997542621317319</v>
      </c>
      <c r="AH4478" s="2" t="str">
        <f ca="1"/>
        <v>Bad</v>
      </c>
    </row>
    <row r="4479" spans="2:34" x14ac:dyDescent="0.2">
      <c r="B4479" s="2">
        <f ca="1"/>
        <v>0.72628235751527082</v>
      </c>
      <c r="O4479" s="2">
        <f ca="1"/>
        <v>0.77323261817688371</v>
      </c>
      <c r="X4479" s="2">
        <f ca="1"/>
        <v>49.678481096512137</v>
      </c>
      <c r="AG4479" s="2">
        <f ca="1"/>
        <v>0.17511978774644943</v>
      </c>
      <c r="AH4479" s="2" t="str">
        <f ca="1"/>
        <v>OK</v>
      </c>
    </row>
    <row r="4480" spans="2:34" x14ac:dyDescent="0.2">
      <c r="B4480" s="2">
        <f ca="1"/>
        <v>0.40224044123767677</v>
      </c>
      <c r="O4480" s="2">
        <f ca="1"/>
        <v>-2.9693143094746217</v>
      </c>
      <c r="X4480" s="2">
        <f ca="1"/>
        <v>24.235683126222568</v>
      </c>
      <c r="AG4480" s="2">
        <f ca="1"/>
        <v>0.30957180064073864</v>
      </c>
      <c r="AH4480" s="2" t="str">
        <f ca="1"/>
        <v>OK</v>
      </c>
    </row>
    <row r="4481" spans="2:34" x14ac:dyDescent="0.2">
      <c r="B4481" s="2">
        <f ca="1"/>
        <v>0.48749634338944969</v>
      </c>
      <c r="O4481" s="2">
        <f ca="1"/>
        <v>-1.3009147893693909</v>
      </c>
      <c r="X4481" s="2">
        <f ca="1"/>
        <v>59.825327769912477</v>
      </c>
      <c r="AG4481" s="2">
        <f ca="1"/>
        <v>9.0538261161019706E-2</v>
      </c>
      <c r="AH4481" s="2" t="str">
        <f ca="1"/>
        <v>OK</v>
      </c>
    </row>
    <row r="4482" spans="2:34" x14ac:dyDescent="0.2">
      <c r="B4482" s="2">
        <f ca="1"/>
        <v>1.3893257468851061E-2</v>
      </c>
      <c r="O4482" s="2">
        <f ca="1"/>
        <v>-0.40355260829808054</v>
      </c>
      <c r="X4482" s="2">
        <f ca="1"/>
        <v>32.916014129741839</v>
      </c>
      <c r="AG4482" s="2">
        <f ca="1"/>
        <v>0.86364485304749206</v>
      </c>
      <c r="AH4482" s="2" t="str">
        <f ca="1"/>
        <v>Bad</v>
      </c>
    </row>
    <row r="4483" spans="2:34" x14ac:dyDescent="0.2">
      <c r="B4483" s="2">
        <f ca="1"/>
        <v>0.42965264260493807</v>
      </c>
      <c r="O4483" s="2">
        <f ca="1"/>
        <v>1.9466311921881965</v>
      </c>
      <c r="X4483" s="2">
        <f ca="1"/>
        <v>55.222269546213589</v>
      </c>
      <c r="AG4483" s="2">
        <f ca="1"/>
        <v>0.30744422583792108</v>
      </c>
      <c r="AH4483" s="2" t="str">
        <f ca="1"/>
        <v>OK</v>
      </c>
    </row>
    <row r="4484" spans="2:34" x14ac:dyDescent="0.2">
      <c r="B4484" s="2">
        <f ca="1"/>
        <v>0.760395585110065</v>
      </c>
      <c r="O4484" s="2">
        <f ca="1"/>
        <v>0.71451422093455008</v>
      </c>
      <c r="X4484" s="2">
        <f ca="1"/>
        <v>34.69234406129614</v>
      </c>
      <c r="AG4484" s="2">
        <f ca="1"/>
        <v>0.48371473006692334</v>
      </c>
      <c r="AH4484" s="2" t="str">
        <f ca="1"/>
        <v>Bad</v>
      </c>
    </row>
    <row r="4485" spans="2:34" x14ac:dyDescent="0.2">
      <c r="B4485" s="2">
        <f ca="1"/>
        <v>0.35987948048274676</v>
      </c>
      <c r="O4485" s="2">
        <f ca="1"/>
        <v>-0.49294877278212507</v>
      </c>
      <c r="X4485" s="2">
        <f ca="1"/>
        <v>48.933420375604577</v>
      </c>
      <c r="AG4485" s="2">
        <f ca="1"/>
        <v>0.49332737151129824</v>
      </c>
      <c r="AH4485" s="2" t="str">
        <f ca="1"/>
        <v>Bad</v>
      </c>
    </row>
    <row r="4486" spans="2:34" x14ac:dyDescent="0.2">
      <c r="B4486" s="2">
        <f ca="1"/>
        <v>0.14469654104651775</v>
      </c>
      <c r="O4486" s="2">
        <f ca="1"/>
        <v>0.83504570028979352</v>
      </c>
      <c r="X4486" s="2">
        <f ca="1"/>
        <v>91.357512782350838</v>
      </c>
      <c r="AG4486" s="2">
        <f ca="1"/>
        <v>0.97752191543206934</v>
      </c>
      <c r="AH4486" s="2" t="str">
        <f ca="1"/>
        <v>Bad</v>
      </c>
    </row>
    <row r="4487" spans="2:34" x14ac:dyDescent="0.2">
      <c r="B4487" s="2">
        <f ca="1"/>
        <v>0.82393255246900732</v>
      </c>
      <c r="O4487" s="2">
        <f ca="1"/>
        <v>1.6097747608538708</v>
      </c>
      <c r="X4487" s="2">
        <f ca="1"/>
        <v>27.335980024689896</v>
      </c>
      <c r="AG4487" s="2">
        <f ca="1"/>
        <v>0.47925727821933339</v>
      </c>
      <c r="AH4487" s="2" t="str">
        <f ca="1"/>
        <v>Bad</v>
      </c>
    </row>
    <row r="4488" spans="2:34" x14ac:dyDescent="0.2">
      <c r="B4488" s="2">
        <f ca="1"/>
        <v>0.29684239869953855</v>
      </c>
      <c r="O4488" s="2">
        <f ca="1"/>
        <v>0.40583602523545198</v>
      </c>
      <c r="X4488" s="2">
        <f ca="1"/>
        <v>43.934665161220181</v>
      </c>
      <c r="AG4488" s="2">
        <f ca="1"/>
        <v>0.82521109418974103</v>
      </c>
      <c r="AH4488" s="2" t="str">
        <f ca="1"/>
        <v>Bad</v>
      </c>
    </row>
    <row r="4489" spans="2:34" x14ac:dyDescent="0.2">
      <c r="B4489" s="2">
        <f ca="1"/>
        <v>0.86287066988686689</v>
      </c>
      <c r="O4489" s="2">
        <f ca="1"/>
        <v>-3.0227805967767189E-2</v>
      </c>
      <c r="X4489" s="2">
        <f ca="1"/>
        <v>65.241738560282187</v>
      </c>
      <c r="AG4489" s="2">
        <f ca="1"/>
        <v>0.20269609757279494</v>
      </c>
      <c r="AH4489" s="2" t="str">
        <f ca="1"/>
        <v>OK</v>
      </c>
    </row>
    <row r="4490" spans="2:34" x14ac:dyDescent="0.2">
      <c r="B4490" s="2">
        <f ca="1"/>
        <v>0.87047019119472613</v>
      </c>
      <c r="O4490" s="2">
        <f ca="1"/>
        <v>-2.6770708516791197</v>
      </c>
      <c r="X4490" s="2">
        <f ca="1"/>
        <v>69.218881151066398</v>
      </c>
      <c r="AG4490" s="2">
        <f ca="1"/>
        <v>0.34231017783216</v>
      </c>
      <c r="AH4490" s="2" t="str">
        <f ca="1"/>
        <v>OK</v>
      </c>
    </row>
    <row r="4491" spans="2:34" x14ac:dyDescent="0.2">
      <c r="B4491" s="2">
        <f ca="1"/>
        <v>0.54493111846315334</v>
      </c>
      <c r="O4491" s="2">
        <f ca="1"/>
        <v>1.9502309145886485</v>
      </c>
      <c r="X4491" s="2">
        <f ca="1"/>
        <v>56.586375714474798</v>
      </c>
      <c r="AG4491" s="2">
        <f ca="1"/>
        <v>0.92110448061301131</v>
      </c>
      <c r="AH4491" s="2" t="str">
        <f ca="1"/>
        <v>Bad</v>
      </c>
    </row>
    <row r="4492" spans="2:34" x14ac:dyDescent="0.2">
      <c r="B4492" s="2">
        <f ca="1"/>
        <v>0.18249296375595048</v>
      </c>
      <c r="O4492" s="2">
        <f ca="1"/>
        <v>9.3327384574285618E-2</v>
      </c>
      <c r="X4492" s="2">
        <f ca="1"/>
        <v>37.42249421273327</v>
      </c>
      <c r="AG4492" s="2">
        <f ca="1"/>
        <v>0.38339594677735955</v>
      </c>
      <c r="AH4492" s="2" t="str">
        <f ca="1"/>
        <v>OK</v>
      </c>
    </row>
    <row r="4493" spans="2:34" x14ac:dyDescent="0.2">
      <c r="B4493" s="2">
        <f ca="1"/>
        <v>0.49932512634228687</v>
      </c>
      <c r="O4493" s="2">
        <f ca="1"/>
        <v>0.48984206972938915</v>
      </c>
      <c r="X4493" s="2">
        <f ca="1"/>
        <v>53.039324816981654</v>
      </c>
      <c r="AG4493" s="2">
        <f ca="1"/>
        <v>0.45439935449171664</v>
      </c>
      <c r="AH4493" s="2" t="str">
        <f ca="1"/>
        <v>Bad</v>
      </c>
    </row>
    <row r="4494" spans="2:34" x14ac:dyDescent="0.2">
      <c r="B4494" s="2">
        <f ca="1"/>
        <v>0.46229131143820545</v>
      </c>
      <c r="O4494" s="2">
        <f ca="1"/>
        <v>0.57385215122527422</v>
      </c>
      <c r="X4494" s="2">
        <f ca="1"/>
        <v>58.543667207493087</v>
      </c>
      <c r="AG4494" s="2">
        <f ca="1"/>
        <v>0.3960004289526402</v>
      </c>
      <c r="AH4494" s="2" t="str">
        <f ca="1"/>
        <v>OK</v>
      </c>
    </row>
    <row r="4495" spans="2:34" x14ac:dyDescent="0.2">
      <c r="B4495" s="2">
        <f ca="1"/>
        <v>0.20770755193106871</v>
      </c>
      <c r="O4495" s="2">
        <f ca="1"/>
        <v>-0.7100193769704396</v>
      </c>
      <c r="X4495" s="2">
        <f ca="1"/>
        <v>57.968142650175992</v>
      </c>
      <c r="AG4495" s="2">
        <f ca="1"/>
        <v>0.2281367188972121</v>
      </c>
      <c r="AH4495" s="2" t="str">
        <f ca="1"/>
        <v>OK</v>
      </c>
    </row>
    <row r="4496" spans="2:34" x14ac:dyDescent="0.2">
      <c r="B4496" s="2">
        <f ca="1"/>
        <v>0.22547721594630699</v>
      </c>
      <c r="O4496" s="2">
        <f ca="1"/>
        <v>-0.36671098643785499</v>
      </c>
      <c r="X4496" s="2">
        <f ca="1"/>
        <v>45.045159451501256</v>
      </c>
      <c r="AG4496" s="2">
        <f ca="1"/>
        <v>0.46637733397422587</v>
      </c>
      <c r="AH4496" s="2" t="str">
        <f ca="1"/>
        <v>Bad</v>
      </c>
    </row>
    <row r="4497" spans="2:34" x14ac:dyDescent="0.2">
      <c r="B4497" s="2">
        <f ca="1"/>
        <v>0.40889277563325277</v>
      </c>
      <c r="O4497" s="2">
        <f ca="1"/>
        <v>0.60410079333557798</v>
      </c>
      <c r="X4497" s="2">
        <f ca="1"/>
        <v>85.240470715731448</v>
      </c>
      <c r="AG4497" s="2">
        <f ca="1"/>
        <v>0.63858205108163646</v>
      </c>
      <c r="AH4497" s="2" t="str">
        <f ca="1"/>
        <v>Bad</v>
      </c>
    </row>
    <row r="4498" spans="2:34" x14ac:dyDescent="0.2">
      <c r="B4498" s="2">
        <f ca="1"/>
        <v>0.58237423784500786</v>
      </c>
      <c r="O4498" s="2">
        <f ca="1"/>
        <v>0.69044894857010342</v>
      </c>
      <c r="X4498" s="2">
        <f ca="1"/>
        <v>32.22209981868771</v>
      </c>
      <c r="AG4498" s="2">
        <f ca="1"/>
        <v>0.73614210092899812</v>
      </c>
      <c r="AH4498" s="2" t="str">
        <f ca="1"/>
        <v>Bad</v>
      </c>
    </row>
    <row r="4499" spans="2:34" x14ac:dyDescent="0.2">
      <c r="B4499" s="2">
        <f ca="1"/>
        <v>0.24169821498462496</v>
      </c>
      <c r="O4499" s="2">
        <f ca="1"/>
        <v>-0.14027382869637808</v>
      </c>
      <c r="X4499" s="2">
        <f ca="1"/>
        <v>63.802478675523496</v>
      </c>
      <c r="AG4499" s="2">
        <f ca="1"/>
        <v>0.55549001477327842</v>
      </c>
      <c r="AH4499" s="2" t="str">
        <f ca="1"/>
        <v>Bad</v>
      </c>
    </row>
    <row r="4500" spans="2:34" x14ac:dyDescent="0.2">
      <c r="B4500" s="2">
        <f ca="1"/>
        <v>0.12942005994675831</v>
      </c>
      <c r="O4500" s="2">
        <f ca="1"/>
        <v>0.53484867617785958</v>
      </c>
      <c r="X4500" s="2">
        <f ca="1"/>
        <v>55.03268146001308</v>
      </c>
      <c r="AG4500" s="2">
        <f ca="1"/>
        <v>0.5389464456655102</v>
      </c>
      <c r="AH4500" s="2" t="str">
        <f ca="1"/>
        <v>Bad</v>
      </c>
    </row>
    <row r="4501" spans="2:34" x14ac:dyDescent="0.2">
      <c r="B4501" s="2">
        <f ca="1"/>
        <v>0.79798640218666428</v>
      </c>
      <c r="O4501" s="2">
        <f ca="1"/>
        <v>-0.26838267162861867</v>
      </c>
      <c r="X4501" s="2">
        <f ca="1"/>
        <v>38.486581015668207</v>
      </c>
      <c r="AG4501" s="2">
        <f ca="1"/>
        <v>0.25426476587054525</v>
      </c>
      <c r="AH4501" s="2" t="str">
        <f ca="1"/>
        <v>OK</v>
      </c>
    </row>
    <row r="4502" spans="2:34" x14ac:dyDescent="0.2">
      <c r="B4502" s="2">
        <f ca="1"/>
        <v>0.9879792196951136</v>
      </c>
      <c r="O4502" s="2">
        <f ca="1"/>
        <v>0.75638113034741983</v>
      </c>
      <c r="X4502" s="2">
        <f ca="1"/>
        <v>47.559824584611704</v>
      </c>
      <c r="AG4502" s="2">
        <f ca="1"/>
        <v>0.49666107544393179</v>
      </c>
      <c r="AH4502" s="2" t="str">
        <f ca="1"/>
        <v>Bad</v>
      </c>
    </row>
    <row r="4503" spans="2:34" x14ac:dyDescent="0.2">
      <c r="B4503" s="2">
        <f ca="1"/>
        <v>0.31220422604131448</v>
      </c>
      <c r="O4503" s="2">
        <f ca="1"/>
        <v>2.0544096720786302</v>
      </c>
      <c r="X4503" s="2">
        <f ca="1"/>
        <v>67.116151244777512</v>
      </c>
      <c r="AG4503" s="2">
        <f ca="1"/>
        <v>0.88484006971820484</v>
      </c>
      <c r="AH4503" s="2" t="str">
        <f ca="1"/>
        <v>Bad</v>
      </c>
    </row>
    <row r="4504" spans="2:34" x14ac:dyDescent="0.2">
      <c r="B4504" s="2">
        <f ca="1"/>
        <v>0.29984916707589493</v>
      </c>
      <c r="O4504" s="2">
        <f ca="1"/>
        <v>-4.5879173655863595E-2</v>
      </c>
      <c r="X4504" s="2">
        <f ca="1"/>
        <v>64.623038103760123</v>
      </c>
      <c r="AG4504" s="2">
        <f ca="1"/>
        <v>0.42420938751232562</v>
      </c>
      <c r="AH4504" s="2" t="str">
        <f ca="1"/>
        <v>Bad</v>
      </c>
    </row>
    <row r="4505" spans="2:34" x14ac:dyDescent="0.2">
      <c r="B4505" s="2">
        <f ca="1"/>
        <v>0.21592891327096742</v>
      </c>
      <c r="O4505" s="2">
        <f ca="1"/>
        <v>-0.69247298337710728</v>
      </c>
      <c r="X4505" s="2">
        <f ca="1"/>
        <v>42.399213609659007</v>
      </c>
      <c r="AG4505" s="2">
        <f ca="1"/>
        <v>0.13651963683460511</v>
      </c>
      <c r="AH4505" s="2" t="str">
        <f ca="1"/>
        <v>OK</v>
      </c>
    </row>
    <row r="4506" spans="2:34" x14ac:dyDescent="0.2">
      <c r="B4506" s="2">
        <f ca="1"/>
        <v>0.29598795801198174</v>
      </c>
      <c r="O4506" s="2">
        <f ca="1"/>
        <v>1.1891484168189563</v>
      </c>
      <c r="X4506" s="2">
        <f ca="1"/>
        <v>22.785450084189755</v>
      </c>
      <c r="AG4506" s="2">
        <f ca="1"/>
        <v>0.97199773756067231</v>
      </c>
      <c r="AH4506" s="2" t="str">
        <f ca="1"/>
        <v>Bad</v>
      </c>
    </row>
    <row r="4507" spans="2:34" x14ac:dyDescent="0.2">
      <c r="B4507" s="2">
        <f ca="1"/>
        <v>0.26242760160989165</v>
      </c>
      <c r="O4507" s="2">
        <f ca="1"/>
        <v>1.0514774214248757</v>
      </c>
      <c r="X4507" s="2">
        <f ca="1"/>
        <v>70.30022685838054</v>
      </c>
      <c r="AG4507" s="2">
        <f ca="1"/>
        <v>0.52887566254648011</v>
      </c>
      <c r="AH4507" s="2" t="str">
        <f ca="1"/>
        <v>Bad</v>
      </c>
    </row>
    <row r="4508" spans="2:34" x14ac:dyDescent="0.2">
      <c r="B4508" s="2">
        <f ca="1"/>
        <v>0.16922778377059022</v>
      </c>
      <c r="O4508" s="2">
        <f ca="1"/>
        <v>-0.92698235898930625</v>
      </c>
      <c r="X4508" s="2">
        <f ca="1"/>
        <v>56.269137864614798</v>
      </c>
      <c r="AG4508" s="2">
        <f ca="1"/>
        <v>0.34017621372154094</v>
      </c>
      <c r="AH4508" s="2" t="str">
        <f ca="1"/>
        <v>OK</v>
      </c>
    </row>
    <row r="4509" spans="2:34" x14ac:dyDescent="0.2">
      <c r="B4509" s="2">
        <f ca="1"/>
        <v>0.59600895218371641</v>
      </c>
      <c r="O4509" s="2">
        <f ca="1"/>
        <v>1.214587923194353</v>
      </c>
      <c r="X4509" s="2">
        <f ca="1"/>
        <v>43.373301761695366</v>
      </c>
      <c r="AG4509" s="2">
        <f ca="1"/>
        <v>1.9019032425188875E-2</v>
      </c>
      <c r="AH4509" s="2" t="str">
        <f ca="1"/>
        <v>Good</v>
      </c>
    </row>
    <row r="4510" spans="2:34" x14ac:dyDescent="0.2">
      <c r="B4510" s="2">
        <f ca="1"/>
        <v>0.63704048173789229</v>
      </c>
      <c r="O4510" s="2">
        <f ca="1"/>
        <v>-0.223558925436773</v>
      </c>
      <c r="X4510" s="2">
        <f ca="1"/>
        <v>42.145034117614486</v>
      </c>
      <c r="AG4510" s="2">
        <f ca="1"/>
        <v>0.29892302987316044</v>
      </c>
      <c r="AH4510" s="2" t="str">
        <f ca="1"/>
        <v>OK</v>
      </c>
    </row>
    <row r="4511" spans="2:34" x14ac:dyDescent="0.2">
      <c r="B4511" s="2">
        <f ca="1"/>
        <v>0.30105670222428538</v>
      </c>
      <c r="O4511" s="2">
        <f ca="1"/>
        <v>-1.9161049952706479</v>
      </c>
      <c r="X4511" s="2">
        <f ca="1"/>
        <v>68.426888152162007</v>
      </c>
      <c r="AG4511" s="2">
        <f ca="1"/>
        <v>0.19099022856563752</v>
      </c>
      <c r="AH4511" s="2" t="str">
        <f ca="1"/>
        <v>OK</v>
      </c>
    </row>
    <row r="4512" spans="2:34" x14ac:dyDescent="0.2">
      <c r="B4512" s="2">
        <f ca="1"/>
        <v>0.84250703069601052</v>
      </c>
      <c r="O4512" s="2">
        <f ca="1"/>
        <v>0.5287751882798426</v>
      </c>
      <c r="X4512" s="2">
        <f ca="1"/>
        <v>58.5064818816656</v>
      </c>
      <c r="AG4512" s="2">
        <f ca="1"/>
        <v>0.66995226503579186</v>
      </c>
      <c r="AH4512" s="2" t="str">
        <f ca="1"/>
        <v>Bad</v>
      </c>
    </row>
    <row r="4513" spans="2:34" x14ac:dyDescent="0.2">
      <c r="B4513" s="2">
        <f ca="1"/>
        <v>3.3061604827385516E-2</v>
      </c>
      <c r="O4513" s="2">
        <f ca="1"/>
        <v>0.1397332720710909</v>
      </c>
      <c r="X4513" s="2">
        <f ca="1"/>
        <v>30.258983951754288</v>
      </c>
      <c r="AG4513" s="2">
        <f ca="1"/>
        <v>7.9147155966242E-2</v>
      </c>
      <c r="AH4513" s="2" t="str">
        <f ca="1"/>
        <v>OK</v>
      </c>
    </row>
    <row r="4514" spans="2:34" x14ac:dyDescent="0.2">
      <c r="B4514" s="2">
        <f ca="1"/>
        <v>0.20297329269154152</v>
      </c>
      <c r="O4514" s="2">
        <f ca="1"/>
        <v>-1.4303258566747132</v>
      </c>
      <c r="X4514" s="2">
        <f ca="1"/>
        <v>42.730980974955905</v>
      </c>
      <c r="AG4514" s="2">
        <f ca="1"/>
        <v>0.96139676127100571</v>
      </c>
      <c r="AH4514" s="2" t="str">
        <f ca="1"/>
        <v>Bad</v>
      </c>
    </row>
    <row r="4515" spans="2:34" x14ac:dyDescent="0.2">
      <c r="B4515" s="2">
        <f ca="1"/>
        <v>0.65139795756678098</v>
      </c>
      <c r="O4515" s="2">
        <f ca="1"/>
        <v>-0.61042939939971919</v>
      </c>
      <c r="X4515" s="2">
        <f ca="1"/>
        <v>51.933672141513227</v>
      </c>
      <c r="AG4515" s="2">
        <f ca="1"/>
        <v>0.22571851951772048</v>
      </c>
      <c r="AH4515" s="2" t="str">
        <f ca="1"/>
        <v>OK</v>
      </c>
    </row>
    <row r="4516" spans="2:34" x14ac:dyDescent="0.2">
      <c r="B4516" s="2">
        <f ca="1"/>
        <v>0.29588549596952052</v>
      </c>
      <c r="O4516" s="2">
        <f ca="1"/>
        <v>-0.47785191917105241</v>
      </c>
      <c r="X4516" s="2">
        <f ca="1"/>
        <v>59.925670950204804</v>
      </c>
      <c r="AG4516" s="2">
        <f ca="1"/>
        <v>0.51675363979608702</v>
      </c>
      <c r="AH4516" s="2" t="str">
        <f ca="1"/>
        <v>Bad</v>
      </c>
    </row>
    <row r="4517" spans="2:34" x14ac:dyDescent="0.2">
      <c r="B4517" s="2">
        <f ca="1"/>
        <v>8.1051585823053829E-2</v>
      </c>
      <c r="O4517" s="2">
        <f ca="1"/>
        <v>-0.3348736365082593</v>
      </c>
      <c r="X4517" s="2">
        <f ca="1"/>
        <v>48.12080859536632</v>
      </c>
      <c r="AG4517" s="2">
        <f ca="1"/>
        <v>0.43737021663641795</v>
      </c>
      <c r="AH4517" s="2" t="str">
        <f ca="1"/>
        <v>Bad</v>
      </c>
    </row>
    <row r="4518" spans="2:34" x14ac:dyDescent="0.2">
      <c r="B4518" s="2">
        <f ca="1"/>
        <v>0.48741424705969605</v>
      </c>
      <c r="O4518" s="2">
        <f ca="1"/>
        <v>-1.1959599305102004</v>
      </c>
      <c r="X4518" s="2">
        <f ca="1"/>
        <v>63.429926091542825</v>
      </c>
      <c r="AG4518" s="2">
        <f ca="1"/>
        <v>0.40292849091517446</v>
      </c>
      <c r="AH4518" s="2" t="str">
        <f ca="1"/>
        <v>Bad</v>
      </c>
    </row>
    <row r="4519" spans="2:34" x14ac:dyDescent="0.2">
      <c r="B4519" s="2">
        <f ca="1"/>
        <v>0.49839190061376715</v>
      </c>
      <c r="O4519" s="2">
        <f ca="1"/>
        <v>1.3102363028134378</v>
      </c>
      <c r="X4519" s="2">
        <f ca="1"/>
        <v>61.517638714815405</v>
      </c>
      <c r="AG4519" s="2">
        <f ca="1"/>
        <v>0.78619219940244101</v>
      </c>
      <c r="AH4519" s="2" t="str">
        <f ca="1"/>
        <v>Bad</v>
      </c>
    </row>
    <row r="4520" spans="2:34" x14ac:dyDescent="0.2">
      <c r="B4520" s="2">
        <f ca="1"/>
        <v>0.83702331897114557</v>
      </c>
      <c r="O4520" s="2">
        <f ca="1"/>
        <v>0.34836624597088034</v>
      </c>
      <c r="X4520" s="2">
        <f ca="1"/>
        <v>56.381467343385125</v>
      </c>
      <c r="AG4520" s="2">
        <f ca="1"/>
        <v>0.86701392897970142</v>
      </c>
      <c r="AH4520" s="2" t="str">
        <f ca="1"/>
        <v>Bad</v>
      </c>
    </row>
    <row r="4521" spans="2:34" x14ac:dyDescent="0.2">
      <c r="B4521" s="2">
        <f ca="1"/>
        <v>0.92225442133210467</v>
      </c>
      <c r="O4521" s="2">
        <f ca="1"/>
        <v>1.4946867057280806</v>
      </c>
      <c r="X4521" s="2">
        <f ca="1"/>
        <v>61.102503548825581</v>
      </c>
      <c r="AG4521" s="2">
        <f ca="1"/>
        <v>0.81309518789067181</v>
      </c>
      <c r="AH4521" s="2" t="str">
        <f ca="1"/>
        <v>Bad</v>
      </c>
    </row>
    <row r="4522" spans="2:34" x14ac:dyDescent="0.2">
      <c r="B4522" s="2">
        <f ca="1"/>
        <v>0.28393347388233692</v>
      </c>
      <c r="O4522" s="2">
        <f ca="1"/>
        <v>0.18460021843807309</v>
      </c>
      <c r="X4522" s="2">
        <f ca="1"/>
        <v>90.40403263188638</v>
      </c>
      <c r="AG4522" s="2">
        <f ca="1"/>
        <v>0.70231882649899346</v>
      </c>
      <c r="AH4522" s="2" t="str">
        <f ca="1"/>
        <v>Bad</v>
      </c>
    </row>
    <row r="4523" spans="2:34" x14ac:dyDescent="0.2">
      <c r="B4523" s="2">
        <f ca="1"/>
        <v>0.60211160344105719</v>
      </c>
      <c r="O4523" s="2">
        <f ca="1"/>
        <v>-1.1867790305762511</v>
      </c>
      <c r="X4523" s="2">
        <f ca="1"/>
        <v>45.385244666427994</v>
      </c>
      <c r="AG4523" s="2">
        <f ca="1"/>
        <v>0.81731738582392266</v>
      </c>
      <c r="AH4523" s="2" t="str">
        <f ca="1"/>
        <v>Bad</v>
      </c>
    </row>
    <row r="4524" spans="2:34" x14ac:dyDescent="0.2">
      <c r="B4524" s="2">
        <f ca="1"/>
        <v>0.52738563930025473</v>
      </c>
      <c r="O4524" s="2">
        <f ca="1"/>
        <v>0.80106312527627244</v>
      </c>
      <c r="X4524" s="2">
        <f ca="1"/>
        <v>46.616717089588661</v>
      </c>
      <c r="AG4524" s="2">
        <f ca="1"/>
        <v>0.69322997839365752</v>
      </c>
      <c r="AH4524" s="2" t="str">
        <f ca="1"/>
        <v>Bad</v>
      </c>
    </row>
    <row r="4525" spans="2:34" x14ac:dyDescent="0.2">
      <c r="B4525" s="2">
        <f ca="1"/>
        <v>0.75551372616159562</v>
      </c>
      <c r="O4525" s="2">
        <f ca="1"/>
        <v>0.49265531141717089</v>
      </c>
      <c r="X4525" s="2">
        <f ca="1"/>
        <v>70.812114285305526</v>
      </c>
      <c r="AG4525" s="2">
        <f ca="1"/>
        <v>0.49454514934273264</v>
      </c>
      <c r="AH4525" s="2" t="str">
        <f ca="1"/>
        <v>Bad</v>
      </c>
    </row>
    <row r="4526" spans="2:34" x14ac:dyDescent="0.2">
      <c r="B4526" s="2">
        <f ca="1"/>
        <v>6.5186917007445722E-2</v>
      </c>
      <c r="O4526" s="2">
        <f ca="1"/>
        <v>0.36958454257156204</v>
      </c>
      <c r="X4526" s="2">
        <f ca="1"/>
        <v>71.016404154243858</v>
      </c>
      <c r="AG4526" s="2">
        <f ca="1"/>
        <v>0.35362307283284355</v>
      </c>
      <c r="AH4526" s="2" t="str">
        <f ca="1"/>
        <v>OK</v>
      </c>
    </row>
    <row r="4527" spans="2:34" x14ac:dyDescent="0.2">
      <c r="B4527" s="2">
        <f ca="1"/>
        <v>0.81789028741833203</v>
      </c>
      <c r="O4527" s="2">
        <f ca="1"/>
        <v>-0.97519326395900596</v>
      </c>
      <c r="X4527" s="2">
        <f ca="1"/>
        <v>45.512324920929473</v>
      </c>
      <c r="AG4527" s="2">
        <f ca="1"/>
        <v>0.74539537751842766</v>
      </c>
      <c r="AH4527" s="2" t="str">
        <f ca="1"/>
        <v>Bad</v>
      </c>
    </row>
    <row r="4528" spans="2:34" x14ac:dyDescent="0.2">
      <c r="B4528" s="2">
        <f ca="1"/>
        <v>2.4753054153159759E-2</v>
      </c>
      <c r="O4528" s="2">
        <f ca="1"/>
        <v>0.6478385830290917</v>
      </c>
      <c r="X4528" s="2">
        <f ca="1"/>
        <v>73.547015687699613</v>
      </c>
      <c r="AG4528" s="2">
        <f ca="1"/>
        <v>0.8478972921737864</v>
      </c>
      <c r="AH4528" s="2" t="str">
        <f ca="1"/>
        <v>Bad</v>
      </c>
    </row>
    <row r="4529" spans="2:34" x14ac:dyDescent="0.2">
      <c r="B4529" s="2">
        <f ca="1"/>
        <v>0.38239984537676741</v>
      </c>
      <c r="O4529" s="2">
        <f ca="1"/>
        <v>-1.4888537918258278</v>
      </c>
      <c r="X4529" s="2">
        <f ca="1"/>
        <v>89.684640170074573</v>
      </c>
      <c r="AG4529" s="2">
        <f ca="1"/>
        <v>0.26071200755238921</v>
      </c>
      <c r="AH4529" s="2" t="str">
        <f ca="1"/>
        <v>OK</v>
      </c>
    </row>
    <row r="4530" spans="2:34" x14ac:dyDescent="0.2">
      <c r="B4530" s="2">
        <f ca="1"/>
        <v>0.91069003145313165</v>
      </c>
      <c r="O4530" s="2">
        <f ca="1"/>
        <v>-1.4469475825919493</v>
      </c>
      <c r="X4530" s="2">
        <f ca="1"/>
        <v>21.828945166818727</v>
      </c>
      <c r="AG4530" s="2">
        <f ca="1"/>
        <v>0.74673365699830785</v>
      </c>
      <c r="AH4530" s="2" t="str">
        <f ca="1"/>
        <v>Bad</v>
      </c>
    </row>
    <row r="4531" spans="2:34" x14ac:dyDescent="0.2">
      <c r="B4531" s="2">
        <f ca="1"/>
        <v>0.32678590031576737</v>
      </c>
      <c r="O4531" s="2">
        <f ca="1"/>
        <v>-1.1736889471900804</v>
      </c>
      <c r="X4531" s="2">
        <f ca="1"/>
        <v>36.077664728349717</v>
      </c>
      <c r="AG4531" s="2">
        <f ca="1"/>
        <v>5.351181534163052E-2</v>
      </c>
      <c r="AH4531" s="2" t="str">
        <f ca="1"/>
        <v>OK</v>
      </c>
    </row>
    <row r="4532" spans="2:34" x14ac:dyDescent="0.2">
      <c r="B4532" s="2">
        <f ca="1"/>
        <v>0.94158994464241608</v>
      </c>
      <c r="O4532" s="2">
        <f ca="1"/>
        <v>-0.15643771525844111</v>
      </c>
      <c r="X4532" s="2">
        <f ca="1"/>
        <v>44.014491654239016</v>
      </c>
      <c r="AG4532" s="2">
        <f ca="1"/>
        <v>0.62085962635797909</v>
      </c>
      <c r="AH4532" s="2" t="str">
        <f ca="1"/>
        <v>Bad</v>
      </c>
    </row>
    <row r="4533" spans="2:34" x14ac:dyDescent="0.2">
      <c r="B4533" s="2">
        <f ca="1"/>
        <v>0.50735054883731889</v>
      </c>
      <c r="O4533" s="2">
        <f ca="1"/>
        <v>-1.1296543624544835</v>
      </c>
      <c r="X4533" s="2">
        <f ca="1"/>
        <v>34.076681136130375</v>
      </c>
      <c r="AG4533" s="2">
        <f ca="1"/>
        <v>0.76381307649759855</v>
      </c>
      <c r="AH4533" s="2" t="str">
        <f ca="1"/>
        <v>Bad</v>
      </c>
    </row>
    <row r="4534" spans="2:34" x14ac:dyDescent="0.2">
      <c r="B4534" s="2">
        <f ca="1"/>
        <v>0.46705665519794515</v>
      </c>
      <c r="O4534" s="2">
        <f ca="1"/>
        <v>-0.20375929523085443</v>
      </c>
      <c r="X4534" s="2">
        <f ca="1"/>
        <v>36.208615771372031</v>
      </c>
      <c r="AG4534" s="2">
        <f ca="1"/>
        <v>0.73692994469707518</v>
      </c>
      <c r="AH4534" s="2" t="str">
        <f ca="1"/>
        <v>Bad</v>
      </c>
    </row>
    <row r="4535" spans="2:34" x14ac:dyDescent="0.2">
      <c r="B4535" s="2">
        <f ca="1"/>
        <v>0.95894907385961026</v>
      </c>
      <c r="O4535" s="2">
        <f ca="1"/>
        <v>0.38296256037064003</v>
      </c>
      <c r="X4535" s="2">
        <f ca="1"/>
        <v>28.850563260402765</v>
      </c>
      <c r="AG4535" s="2">
        <f ca="1"/>
        <v>0.38903380747211158</v>
      </c>
      <c r="AH4535" s="2" t="str">
        <f ca="1"/>
        <v>OK</v>
      </c>
    </row>
    <row r="4536" spans="2:34" x14ac:dyDescent="0.2">
      <c r="B4536" s="2">
        <f ca="1"/>
        <v>0.70863627994988843</v>
      </c>
      <c r="O4536" s="2">
        <f ca="1"/>
        <v>0.50016414532462294</v>
      </c>
      <c r="X4536" s="2">
        <f ca="1"/>
        <v>33.447722200487171</v>
      </c>
      <c r="AG4536" s="2">
        <f ca="1"/>
        <v>0.4466847653223216</v>
      </c>
      <c r="AH4536" s="2" t="str">
        <f ca="1"/>
        <v>Bad</v>
      </c>
    </row>
    <row r="4537" spans="2:34" x14ac:dyDescent="0.2">
      <c r="B4537" s="2">
        <f ca="1"/>
        <v>0.98226559374203637</v>
      </c>
      <c r="O4537" s="2">
        <f ca="1"/>
        <v>-1.0323198771444935</v>
      </c>
      <c r="X4537" s="2">
        <f ca="1"/>
        <v>28.618407482115312</v>
      </c>
      <c r="AG4537" s="2">
        <f ca="1"/>
        <v>0.67473273079924523</v>
      </c>
      <c r="AH4537" s="2" t="str">
        <f ca="1"/>
        <v>Bad</v>
      </c>
    </row>
    <row r="4538" spans="2:34" x14ac:dyDescent="0.2">
      <c r="B4538" s="2">
        <f ca="1"/>
        <v>0.3748919430087625</v>
      </c>
      <c r="O4538" s="2">
        <f ca="1"/>
        <v>-1.4336971128620648</v>
      </c>
      <c r="X4538" s="2">
        <f ca="1"/>
        <v>59.117176824617339</v>
      </c>
      <c r="AG4538" s="2">
        <f ca="1"/>
        <v>2.9734594290171668E-2</v>
      </c>
      <c r="AH4538" s="2" t="str">
        <f ca="1"/>
        <v>Good</v>
      </c>
    </row>
    <row r="4539" spans="2:34" x14ac:dyDescent="0.2">
      <c r="B4539" s="2">
        <f ca="1"/>
        <v>0.48610864126551134</v>
      </c>
      <c r="O4539" s="2">
        <f ca="1"/>
        <v>-1.2713772490721571</v>
      </c>
      <c r="X4539" s="2">
        <f ca="1"/>
        <v>62.068019666940081</v>
      </c>
      <c r="AG4539" s="2">
        <f ca="1"/>
        <v>0.21678798665362975</v>
      </c>
      <c r="AH4539" s="2" t="str">
        <f ca="1"/>
        <v>OK</v>
      </c>
    </row>
    <row r="4540" spans="2:34" x14ac:dyDescent="0.2">
      <c r="B4540" s="2">
        <f ca="1"/>
        <v>0.38609000978630137</v>
      </c>
      <c r="O4540" s="2">
        <f ca="1"/>
        <v>-1.0698086346685076</v>
      </c>
      <c r="X4540" s="2">
        <f ca="1"/>
        <v>43.575109524631721</v>
      </c>
      <c r="AG4540" s="2">
        <f ca="1"/>
        <v>0.3782454650033924</v>
      </c>
      <c r="AH4540" s="2" t="str">
        <f ca="1"/>
        <v>OK</v>
      </c>
    </row>
    <row r="4541" spans="2:34" x14ac:dyDescent="0.2">
      <c r="B4541" s="2">
        <f ca="1"/>
        <v>0.83728909639081728</v>
      </c>
      <c r="O4541" s="2">
        <f ca="1"/>
        <v>-1.286001381284295</v>
      </c>
      <c r="X4541" s="2">
        <f ca="1"/>
        <v>43.298812771023506</v>
      </c>
      <c r="AG4541" s="2">
        <f ca="1"/>
        <v>0.3854089958465472</v>
      </c>
      <c r="AH4541" s="2" t="str">
        <f ca="1"/>
        <v>OK</v>
      </c>
    </row>
    <row r="4542" spans="2:34" x14ac:dyDescent="0.2">
      <c r="B4542" s="2">
        <f ca="1"/>
        <v>0.51961911046133213</v>
      </c>
      <c r="O4542" s="2">
        <f ca="1"/>
        <v>0.64997875387039383</v>
      </c>
      <c r="X4542" s="2">
        <f ca="1"/>
        <v>51.544325549833239</v>
      </c>
      <c r="AG4542" s="2">
        <f ca="1"/>
        <v>0.81878239426445676</v>
      </c>
      <c r="AH4542" s="2" t="str">
        <f ca="1"/>
        <v>Bad</v>
      </c>
    </row>
    <row r="4543" spans="2:34" x14ac:dyDescent="0.2">
      <c r="B4543" s="2">
        <f ca="1"/>
        <v>0.73094362598914486</v>
      </c>
      <c r="O4543" s="2">
        <f ca="1"/>
        <v>4.3483223890685013E-2</v>
      </c>
      <c r="X4543" s="2">
        <f ca="1"/>
        <v>67.574694972384648</v>
      </c>
      <c r="AG4543" s="2">
        <f ca="1"/>
        <v>0.42526747473962057</v>
      </c>
      <c r="AH4543" s="2" t="str">
        <f ca="1"/>
        <v>Bad</v>
      </c>
    </row>
    <row r="4544" spans="2:34" x14ac:dyDescent="0.2">
      <c r="B4544" s="2">
        <f ca="1"/>
        <v>0.2851689769950978</v>
      </c>
      <c r="O4544" s="2">
        <f ca="1"/>
        <v>1.0383031575139188</v>
      </c>
      <c r="X4544" s="2">
        <f ca="1"/>
        <v>60.428247651540673</v>
      </c>
      <c r="AG4544" s="2">
        <f ca="1"/>
        <v>0.18444450897071407</v>
      </c>
      <c r="AH4544" s="2" t="str">
        <f ca="1"/>
        <v>OK</v>
      </c>
    </row>
    <row r="4545" spans="2:34" x14ac:dyDescent="0.2">
      <c r="B4545" s="2">
        <f ca="1"/>
        <v>0.49767980016038815</v>
      </c>
      <c r="O4545" s="2">
        <f ca="1"/>
        <v>-1.4468058673738462</v>
      </c>
      <c r="X4545" s="2">
        <f ca="1"/>
        <v>30.64805665010099</v>
      </c>
      <c r="AG4545" s="2">
        <f ca="1"/>
        <v>0.7309342045234879</v>
      </c>
      <c r="AH4545" s="2" t="str">
        <f ca="1"/>
        <v>Bad</v>
      </c>
    </row>
    <row r="4546" spans="2:34" x14ac:dyDescent="0.2">
      <c r="B4546" s="2">
        <f ca="1"/>
        <v>0.56766590571538367</v>
      </c>
      <c r="O4546" s="2">
        <f ca="1"/>
        <v>1.1092465519944252</v>
      </c>
      <c r="X4546" s="2">
        <f ca="1"/>
        <v>32.023393880987726</v>
      </c>
      <c r="AG4546" s="2">
        <f ca="1"/>
        <v>0.88222510544855015</v>
      </c>
      <c r="AH4546" s="2" t="str">
        <f ca="1"/>
        <v>Bad</v>
      </c>
    </row>
    <row r="4547" spans="2:34" x14ac:dyDescent="0.2">
      <c r="B4547" s="2">
        <f ca="1"/>
        <v>0.91979740091777251</v>
      </c>
      <c r="O4547" s="2">
        <f ca="1"/>
        <v>0.60505404457544698</v>
      </c>
      <c r="X4547" s="2">
        <f ca="1"/>
        <v>66.45734624735563</v>
      </c>
      <c r="AG4547" s="2">
        <f ca="1"/>
        <v>0.84925396311360624</v>
      </c>
      <c r="AH4547" s="2" t="str">
        <f ca="1"/>
        <v>Bad</v>
      </c>
    </row>
    <row r="4548" spans="2:34" x14ac:dyDescent="0.2">
      <c r="B4548" s="2">
        <f ca="1"/>
        <v>3.0572723036369709E-2</v>
      </c>
      <c r="O4548" s="2">
        <f ca="1"/>
        <v>1.8999913280120848</v>
      </c>
      <c r="X4548" s="2">
        <f ca="1"/>
        <v>39.511722755761483</v>
      </c>
      <c r="AG4548" s="2">
        <f ca="1"/>
        <v>0.20313310848888699</v>
      </c>
      <c r="AH4548" s="2" t="str">
        <f ca="1"/>
        <v>OK</v>
      </c>
    </row>
    <row r="4549" spans="2:34" x14ac:dyDescent="0.2">
      <c r="B4549" s="2">
        <f ca="1"/>
        <v>0.54762910539907628</v>
      </c>
      <c r="O4549" s="2">
        <f ca="1"/>
        <v>3.9981803008351517E-2</v>
      </c>
      <c r="X4549" s="2">
        <f ca="1"/>
        <v>69.363948943888118</v>
      </c>
      <c r="AG4549" s="2">
        <f ca="1"/>
        <v>0.10300864049459779</v>
      </c>
      <c r="AH4549" s="2" t="str">
        <f ca="1"/>
        <v>OK</v>
      </c>
    </row>
    <row r="4550" spans="2:34" x14ac:dyDescent="0.2">
      <c r="B4550" s="2">
        <f ca="1"/>
        <v>0.52424941923023294</v>
      </c>
      <c r="O4550" s="2">
        <f ca="1"/>
        <v>0.218647687128325</v>
      </c>
      <c r="X4550" s="2">
        <f ca="1"/>
        <v>71.418883966926103</v>
      </c>
      <c r="AG4550" s="2">
        <f ca="1"/>
        <v>0.95906273754473648</v>
      </c>
      <c r="AH4550" s="2" t="str">
        <f ca="1"/>
        <v>Bad</v>
      </c>
    </row>
    <row r="4551" spans="2:34" x14ac:dyDescent="0.2">
      <c r="B4551" s="2">
        <f ca="1"/>
        <v>0.67975672818830235</v>
      </c>
      <c r="O4551" s="2">
        <f ca="1"/>
        <v>-0.71158367825665825</v>
      </c>
      <c r="X4551" s="2">
        <f ca="1"/>
        <v>40.207554245666223</v>
      </c>
      <c r="AG4551" s="2">
        <f ca="1"/>
        <v>8.4163755446237998E-2</v>
      </c>
      <c r="AH4551" s="2" t="str">
        <f ca="1"/>
        <v>OK</v>
      </c>
    </row>
    <row r="4552" spans="2:34" x14ac:dyDescent="0.2">
      <c r="B4552" s="2">
        <f ca="1"/>
        <v>0.57769836836455846</v>
      </c>
      <c r="O4552" s="2">
        <f ca="1"/>
        <v>-0.65298593672113969</v>
      </c>
      <c r="X4552" s="2">
        <f ca="1"/>
        <v>40.198831822867078</v>
      </c>
      <c r="AG4552" s="2">
        <f ca="1"/>
        <v>0.78959162935364402</v>
      </c>
      <c r="AH4552" s="2" t="str">
        <f ca="1"/>
        <v>Bad</v>
      </c>
    </row>
    <row r="4553" spans="2:34" x14ac:dyDescent="0.2">
      <c r="B4553" s="2">
        <f ca="1"/>
        <v>0.81987352962832993</v>
      </c>
      <c r="O4553" s="2">
        <f ca="1"/>
        <v>0.91478829846601528</v>
      </c>
      <c r="X4553" s="2">
        <f ca="1"/>
        <v>60.358894496246755</v>
      </c>
      <c r="AG4553" s="2">
        <f ca="1"/>
        <v>0.7778981501040898</v>
      </c>
      <c r="AH4553" s="2" t="str">
        <f ca="1"/>
        <v>Bad</v>
      </c>
    </row>
    <row r="4554" spans="2:34" x14ac:dyDescent="0.2">
      <c r="B4554" s="2">
        <f ca="1"/>
        <v>0.70361704388950441</v>
      </c>
      <c r="O4554" s="2">
        <f ca="1"/>
        <v>1.4264922903893611</v>
      </c>
      <c r="X4554" s="2">
        <f ca="1"/>
        <v>65.307374979534771</v>
      </c>
      <c r="AG4554" s="2">
        <f ca="1"/>
        <v>0.71925998262337054</v>
      </c>
      <c r="AH4554" s="2" t="str">
        <f ca="1"/>
        <v>Bad</v>
      </c>
    </row>
    <row r="4555" spans="2:34" x14ac:dyDescent="0.2">
      <c r="B4555" s="2">
        <f ca="1"/>
        <v>0.50784880971982593</v>
      </c>
      <c r="O4555" s="2">
        <f ca="1"/>
        <v>-0.97423858435440813</v>
      </c>
      <c r="X4555" s="2">
        <f ca="1"/>
        <v>27.011926161130969</v>
      </c>
      <c r="AG4555" s="2">
        <f ca="1"/>
        <v>0.42242567714307855</v>
      </c>
      <c r="AH4555" s="2" t="str">
        <f ca="1"/>
        <v>Bad</v>
      </c>
    </row>
    <row r="4556" spans="2:34" x14ac:dyDescent="0.2">
      <c r="B4556" s="2">
        <f ca="1"/>
        <v>0.85789377628099062</v>
      </c>
      <c r="O4556" s="2">
        <f ca="1"/>
        <v>-1.5844247255547899</v>
      </c>
      <c r="X4556" s="2">
        <f ca="1"/>
        <v>36.644737481131401</v>
      </c>
      <c r="AG4556" s="2">
        <f ca="1"/>
        <v>0.64475732479447312</v>
      </c>
      <c r="AH4556" s="2" t="str">
        <f ca="1"/>
        <v>Bad</v>
      </c>
    </row>
    <row r="4557" spans="2:34" x14ac:dyDescent="0.2">
      <c r="B4557" s="2">
        <f ca="1"/>
        <v>0.68508757273902132</v>
      </c>
      <c r="O4557" s="2">
        <f ca="1"/>
        <v>0.85645536151150836</v>
      </c>
      <c r="X4557" s="2">
        <f ca="1"/>
        <v>48.020162139842164</v>
      </c>
      <c r="AG4557" s="2">
        <f ca="1"/>
        <v>0.59840645332277043</v>
      </c>
      <c r="AH4557" s="2" t="str">
        <f ca="1"/>
        <v>Bad</v>
      </c>
    </row>
    <row r="4558" spans="2:34" x14ac:dyDescent="0.2">
      <c r="B4558" s="2">
        <f ca="1"/>
        <v>0.26033773481986899</v>
      </c>
      <c r="O4558" s="2">
        <f ca="1"/>
        <v>0.85032543108154024</v>
      </c>
      <c r="X4558" s="2">
        <f ca="1"/>
        <v>36.6030284148706</v>
      </c>
      <c r="AG4558" s="2">
        <f ca="1"/>
        <v>0.83601731265144852</v>
      </c>
      <c r="AH4558" s="2" t="str">
        <f ca="1"/>
        <v>Bad</v>
      </c>
    </row>
    <row r="4559" spans="2:34" x14ac:dyDescent="0.2">
      <c r="B4559" s="2">
        <f ca="1"/>
        <v>0.68554591947195753</v>
      </c>
      <c r="O4559" s="2">
        <f ca="1"/>
        <v>-1.537095539109848</v>
      </c>
      <c r="X4559" s="2">
        <f ca="1"/>
        <v>51.783628572762694</v>
      </c>
      <c r="AG4559" s="2">
        <f ca="1"/>
        <v>0.36072753550383885</v>
      </c>
      <c r="AH4559" s="2" t="str">
        <f ca="1"/>
        <v>OK</v>
      </c>
    </row>
    <row r="4560" spans="2:34" x14ac:dyDescent="0.2">
      <c r="B4560" s="2">
        <f ca="1"/>
        <v>0.42792570520899287</v>
      </c>
      <c r="O4560" s="2">
        <f ca="1"/>
        <v>-1.2937783613495331</v>
      </c>
      <c r="X4560" s="2">
        <f ca="1"/>
        <v>22.042576460227544</v>
      </c>
      <c r="AG4560" s="2">
        <f ca="1"/>
        <v>0.87491189775127509</v>
      </c>
      <c r="AH4560" s="2" t="str">
        <f ca="1"/>
        <v>Bad</v>
      </c>
    </row>
    <row r="4561" spans="2:34" x14ac:dyDescent="0.2">
      <c r="B4561" s="2">
        <f ca="1"/>
        <v>0.63459597620307173</v>
      </c>
      <c r="O4561" s="2">
        <f ca="1"/>
        <v>-1.3755491749508537</v>
      </c>
      <c r="X4561" s="2">
        <f ca="1"/>
        <v>46.220595990144766</v>
      </c>
      <c r="AG4561" s="2">
        <f ca="1"/>
        <v>0.49371185992409217</v>
      </c>
      <c r="AH4561" s="2" t="str">
        <f ca="1"/>
        <v>Bad</v>
      </c>
    </row>
    <row r="4562" spans="2:34" x14ac:dyDescent="0.2">
      <c r="B4562" s="2">
        <f ca="1"/>
        <v>0.69782692403917657</v>
      </c>
      <c r="O4562" s="2">
        <f ca="1"/>
        <v>0.2044554089891189</v>
      </c>
      <c r="X4562" s="2">
        <f ca="1"/>
        <v>74.29759421185409</v>
      </c>
      <c r="AG4562" s="2">
        <f ca="1"/>
        <v>0.22323163641831711</v>
      </c>
      <c r="AH4562" s="2" t="str">
        <f ca="1"/>
        <v>OK</v>
      </c>
    </row>
    <row r="4563" spans="2:34" x14ac:dyDescent="0.2">
      <c r="B4563" s="2">
        <f ca="1"/>
        <v>0.7003870759519577</v>
      </c>
      <c r="O4563" s="2">
        <f ca="1"/>
        <v>-1.4903810936401371E-2</v>
      </c>
      <c r="X4563" s="2">
        <f ca="1"/>
        <v>38.517271311843743</v>
      </c>
      <c r="AG4563" s="2">
        <f ca="1"/>
        <v>0.3285560708616837</v>
      </c>
      <c r="AH4563" s="2" t="str">
        <f ca="1"/>
        <v>OK</v>
      </c>
    </row>
    <row r="4564" spans="2:34" x14ac:dyDescent="0.2">
      <c r="B4564" s="2">
        <f ca="1"/>
        <v>0.91634890548637693</v>
      </c>
      <c r="O4564" s="2">
        <f ca="1"/>
        <v>-0.56757851827673234</v>
      </c>
      <c r="X4564" s="2">
        <f ca="1"/>
        <v>67.331057336165571</v>
      </c>
      <c r="AG4564" s="2">
        <f ca="1"/>
        <v>0.26315924399235424</v>
      </c>
      <c r="AH4564" s="2" t="str">
        <f ca="1"/>
        <v>OK</v>
      </c>
    </row>
    <row r="4565" spans="2:34" x14ac:dyDescent="0.2">
      <c r="B4565" s="2">
        <f ca="1"/>
        <v>0.58984296163685968</v>
      </c>
      <c r="O4565" s="2">
        <f ca="1"/>
        <v>0.75896153791257392</v>
      </c>
      <c r="X4565" s="2">
        <f ca="1"/>
        <v>56.080689367866185</v>
      </c>
      <c r="AG4565" s="2">
        <f ca="1"/>
        <v>0.64601459643704384</v>
      </c>
      <c r="AH4565" s="2" t="str">
        <f ca="1"/>
        <v>Bad</v>
      </c>
    </row>
    <row r="4566" spans="2:34" x14ac:dyDescent="0.2">
      <c r="B4566" s="2">
        <f ca="1"/>
        <v>6.1762544329681868E-2</v>
      </c>
      <c r="O4566" s="2">
        <f ca="1"/>
        <v>2.4454698407292437</v>
      </c>
      <c r="X4566" s="2">
        <f ca="1"/>
        <v>34.873466444898369</v>
      </c>
      <c r="AG4566" s="2">
        <f ca="1"/>
        <v>0.8758895211799258</v>
      </c>
      <c r="AH4566" s="2" t="str">
        <f ca="1"/>
        <v>Bad</v>
      </c>
    </row>
    <row r="4567" spans="2:34" x14ac:dyDescent="0.2">
      <c r="B4567" s="2">
        <f ca="1"/>
        <v>0.4573315883776492</v>
      </c>
      <c r="O4567" s="2">
        <f ca="1"/>
        <v>-1.4948534474682995</v>
      </c>
      <c r="X4567" s="2">
        <f ca="1"/>
        <v>30.650546365227036</v>
      </c>
      <c r="AG4567" s="2">
        <f ca="1"/>
        <v>0.16066129014313946</v>
      </c>
      <c r="AH4567" s="2" t="str">
        <f ca="1"/>
        <v>OK</v>
      </c>
    </row>
    <row r="4568" spans="2:34" x14ac:dyDescent="0.2">
      <c r="B4568" s="2">
        <f ca="1"/>
        <v>0.35370579573964256</v>
      </c>
      <c r="O4568" s="2">
        <f ca="1"/>
        <v>0.47115501075492977</v>
      </c>
      <c r="X4568" s="2">
        <f ca="1"/>
        <v>63.548476966580949</v>
      </c>
      <c r="AG4568" s="2">
        <f ca="1"/>
        <v>0.56591244618240077</v>
      </c>
      <c r="AH4568" s="2" t="str">
        <f ca="1"/>
        <v>Bad</v>
      </c>
    </row>
    <row r="4569" spans="2:34" x14ac:dyDescent="0.2">
      <c r="B4569" s="2">
        <f ca="1"/>
        <v>0.67810828917450228</v>
      </c>
      <c r="O4569" s="2">
        <f ca="1"/>
        <v>0.35279764637430444</v>
      </c>
      <c r="X4569" s="2">
        <f ca="1"/>
        <v>35.269773859231186</v>
      </c>
      <c r="AG4569" s="2">
        <f ca="1"/>
        <v>0.23268915057732897</v>
      </c>
      <c r="AH4569" s="2" t="str">
        <f ca="1"/>
        <v>OK</v>
      </c>
    </row>
    <row r="4570" spans="2:34" x14ac:dyDescent="0.2">
      <c r="B4570" s="2">
        <f ca="1"/>
        <v>0.89125709260982089</v>
      </c>
      <c r="O4570" s="2">
        <f ca="1"/>
        <v>0.11586815042871326</v>
      </c>
      <c r="X4570" s="2">
        <f ca="1"/>
        <v>44.81950682538443</v>
      </c>
      <c r="AG4570" s="2">
        <f ca="1"/>
        <v>0.28822525037103697</v>
      </c>
      <c r="AH4570" s="2" t="str">
        <f ca="1"/>
        <v>OK</v>
      </c>
    </row>
    <row r="4571" spans="2:34" x14ac:dyDescent="0.2">
      <c r="B4571" s="2">
        <f ca="1"/>
        <v>0.90694932337139034</v>
      </c>
      <c r="O4571" s="2">
        <f ca="1"/>
        <v>0.40383633659102319</v>
      </c>
      <c r="X4571" s="2">
        <f ca="1"/>
        <v>33.932086638855957</v>
      </c>
      <c r="AG4571" s="2">
        <f ca="1"/>
        <v>0.24071624569763994</v>
      </c>
      <c r="AH4571" s="2" t="str">
        <f ca="1"/>
        <v>OK</v>
      </c>
    </row>
    <row r="4572" spans="2:34" x14ac:dyDescent="0.2">
      <c r="B4572" s="2">
        <f ca="1"/>
        <v>7.1436147556472207E-2</v>
      </c>
      <c r="O4572" s="2">
        <f ca="1"/>
        <v>0.49730863058603536</v>
      </c>
      <c r="X4572" s="2">
        <f ca="1"/>
        <v>31.650175115919033</v>
      </c>
      <c r="AG4572" s="2">
        <f ca="1"/>
        <v>0.78055136935446545</v>
      </c>
      <c r="AH4572" s="2" t="str">
        <f ca="1"/>
        <v>Bad</v>
      </c>
    </row>
    <row r="4573" spans="2:34" x14ac:dyDescent="0.2">
      <c r="B4573" s="2">
        <f ca="1"/>
        <v>7.2123794436777633E-2</v>
      </c>
      <c r="O4573" s="2">
        <f ca="1"/>
        <v>1.2316846237906969</v>
      </c>
      <c r="X4573" s="2">
        <f ca="1"/>
        <v>61.012979553385151</v>
      </c>
      <c r="AG4573" s="2">
        <f ca="1"/>
        <v>0.42668309264880699</v>
      </c>
      <c r="AH4573" s="2" t="str">
        <f ca="1"/>
        <v>Bad</v>
      </c>
    </row>
    <row r="4574" spans="2:34" x14ac:dyDescent="0.2">
      <c r="B4574" s="2">
        <f ca="1"/>
        <v>0.8109765882986455</v>
      </c>
      <c r="O4574" s="2">
        <f ca="1"/>
        <v>-0.21416122696120629</v>
      </c>
      <c r="X4574" s="2">
        <f ca="1"/>
        <v>63.927790776075632</v>
      </c>
      <c r="AG4574" s="2">
        <f ca="1"/>
        <v>0.16141544305212552</v>
      </c>
      <c r="AH4574" s="2" t="str">
        <f ca="1"/>
        <v>OK</v>
      </c>
    </row>
    <row r="4575" spans="2:34" x14ac:dyDescent="0.2">
      <c r="B4575" s="2">
        <f ca="1"/>
        <v>0.54424399705691351</v>
      </c>
      <c r="O4575" s="2">
        <f ca="1"/>
        <v>-0.59198157130247675</v>
      </c>
      <c r="X4575" s="2">
        <f ca="1"/>
        <v>69.290153135080018</v>
      </c>
      <c r="AG4575" s="2">
        <f ca="1"/>
        <v>0.3472475733611522</v>
      </c>
      <c r="AH4575" s="2" t="str">
        <f ca="1"/>
        <v>OK</v>
      </c>
    </row>
    <row r="4576" spans="2:34" x14ac:dyDescent="0.2">
      <c r="B4576" s="2">
        <f ca="1"/>
        <v>0.49768679496323864</v>
      </c>
      <c r="O4576" s="2">
        <f ca="1"/>
        <v>-1.3011490409516118</v>
      </c>
      <c r="X4576" s="2">
        <f ca="1"/>
        <v>54.6528589978466</v>
      </c>
      <c r="AG4576" s="2">
        <f ca="1"/>
        <v>0.75895860976390717</v>
      </c>
      <c r="AH4576" s="2" t="str">
        <f ca="1"/>
        <v>Bad</v>
      </c>
    </row>
    <row r="4577" spans="2:34" x14ac:dyDescent="0.2">
      <c r="B4577" s="2">
        <f ca="1"/>
        <v>0.28667926109754371</v>
      </c>
      <c r="O4577" s="2">
        <f ca="1"/>
        <v>1.2471874025413205</v>
      </c>
      <c r="X4577" s="2">
        <f ca="1"/>
        <v>60.286691833420853</v>
      </c>
      <c r="AG4577" s="2">
        <f ca="1"/>
        <v>0.98976293450996566</v>
      </c>
      <c r="AH4577" s="2" t="str">
        <f ca="1"/>
        <v>Bad</v>
      </c>
    </row>
    <row r="4578" spans="2:34" x14ac:dyDescent="0.2">
      <c r="B4578" s="2">
        <f ca="1"/>
        <v>0.57090085142697289</v>
      </c>
      <c r="O4578" s="2">
        <f ca="1"/>
        <v>0.63722258334725745</v>
      </c>
      <c r="X4578" s="2">
        <f ca="1"/>
        <v>70.655887129274632</v>
      </c>
      <c r="AG4578" s="2">
        <f ca="1"/>
        <v>0.30850282910228843</v>
      </c>
      <c r="AH4578" s="2" t="str">
        <f ca="1"/>
        <v>OK</v>
      </c>
    </row>
    <row r="4579" spans="2:34" x14ac:dyDescent="0.2">
      <c r="B4579" s="2">
        <f ca="1"/>
        <v>0.83880999116517097</v>
      </c>
      <c r="O4579" s="2">
        <f ca="1"/>
        <v>-0.82760707210531348</v>
      </c>
      <c r="X4579" s="2">
        <f ca="1"/>
        <v>64.088460629716053</v>
      </c>
      <c r="AG4579" s="2">
        <f ca="1"/>
        <v>0.15753839187364793</v>
      </c>
      <c r="AH4579" s="2" t="str">
        <f ca="1"/>
        <v>OK</v>
      </c>
    </row>
    <row r="4580" spans="2:34" x14ac:dyDescent="0.2">
      <c r="B4580" s="2">
        <f ca="1"/>
        <v>0.86523212846040054</v>
      </c>
      <c r="O4580" s="2">
        <f ca="1"/>
        <v>0.84111647502061926</v>
      </c>
      <c r="X4580" s="2">
        <f ca="1"/>
        <v>46.182692878901683</v>
      </c>
      <c r="AG4580" s="2">
        <f ca="1"/>
        <v>0.26001957747173132</v>
      </c>
      <c r="AH4580" s="2" t="str">
        <f ca="1"/>
        <v>OK</v>
      </c>
    </row>
    <row r="4581" spans="2:34" x14ac:dyDescent="0.2">
      <c r="B4581" s="2">
        <f ca="1"/>
        <v>0.34417719965282223</v>
      </c>
      <c r="O4581" s="2">
        <f ca="1"/>
        <v>-0.4614958563647299</v>
      </c>
      <c r="X4581" s="2">
        <f ca="1"/>
        <v>33.235167164709154</v>
      </c>
      <c r="AG4581" s="2">
        <f ca="1"/>
        <v>0.87436803835270527</v>
      </c>
      <c r="AH4581" s="2" t="str">
        <f ca="1"/>
        <v>Bad</v>
      </c>
    </row>
    <row r="4582" spans="2:34" x14ac:dyDescent="0.2">
      <c r="B4582" s="2">
        <f ca="1"/>
        <v>0.77884266372876687</v>
      </c>
      <c r="O4582" s="2">
        <f ca="1"/>
        <v>1.6199024173491952</v>
      </c>
      <c r="X4582" s="2">
        <f ca="1"/>
        <v>59.687959960488264</v>
      </c>
      <c r="AG4582" s="2">
        <f ca="1"/>
        <v>0.49350860981211842</v>
      </c>
      <c r="AH4582" s="2" t="str">
        <f ca="1"/>
        <v>Bad</v>
      </c>
    </row>
    <row r="4583" spans="2:34" x14ac:dyDescent="0.2">
      <c r="B4583" s="2">
        <f ca="1"/>
        <v>0.5769990085205241</v>
      </c>
      <c r="O4583" s="2">
        <f ca="1"/>
        <v>-7.3064435930030897E-2</v>
      </c>
      <c r="X4583" s="2">
        <f ca="1"/>
        <v>51.298231006794055</v>
      </c>
      <c r="AG4583" s="2">
        <f ca="1"/>
        <v>0.75437490933511708</v>
      </c>
      <c r="AH4583" s="2" t="str">
        <f ca="1"/>
        <v>Bad</v>
      </c>
    </row>
    <row r="4584" spans="2:34" x14ac:dyDescent="0.2">
      <c r="B4584" s="2">
        <f ca="1"/>
        <v>0.95537455992101816</v>
      </c>
      <c r="O4584" s="2">
        <f ca="1"/>
        <v>-2.0279530066238834E-2</v>
      </c>
      <c r="X4584" s="2">
        <f ca="1"/>
        <v>27.310719457503513</v>
      </c>
      <c r="AG4584" s="2">
        <f ca="1"/>
        <v>0.56604311010116404</v>
      </c>
      <c r="AH4584" s="2" t="str">
        <f ca="1"/>
        <v>Bad</v>
      </c>
    </row>
    <row r="4585" spans="2:34" x14ac:dyDescent="0.2">
      <c r="B4585" s="2">
        <f ca="1"/>
        <v>1.9366673784307453E-2</v>
      </c>
      <c r="O4585" s="2">
        <f ca="1"/>
        <v>-0.17093519501580093</v>
      </c>
      <c r="X4585" s="2">
        <f ca="1"/>
        <v>67.712226315305742</v>
      </c>
      <c r="AG4585" s="2">
        <f ca="1"/>
        <v>0.55593097729894314</v>
      </c>
      <c r="AH4585" s="2" t="str">
        <f ca="1"/>
        <v>Bad</v>
      </c>
    </row>
    <row r="4586" spans="2:34" x14ac:dyDescent="0.2">
      <c r="B4586" s="2">
        <f ca="1"/>
        <v>0.62215477320209644</v>
      </c>
      <c r="O4586" s="2">
        <f ca="1"/>
        <v>0.30736416657242205</v>
      </c>
      <c r="X4586" s="2">
        <f ca="1"/>
        <v>55.85040392590458</v>
      </c>
      <c r="AG4586" s="2">
        <f ca="1"/>
        <v>0.76926197002194052</v>
      </c>
      <c r="AH4586" s="2" t="str">
        <f ca="1"/>
        <v>Bad</v>
      </c>
    </row>
    <row r="4587" spans="2:34" x14ac:dyDescent="0.2">
      <c r="B4587" s="2">
        <f ca="1"/>
        <v>0.50250275102518005</v>
      </c>
      <c r="O4587" s="2">
        <f ca="1"/>
        <v>-0.32105825277550337</v>
      </c>
      <c r="X4587" s="2">
        <f ca="1"/>
        <v>37.675507907638817</v>
      </c>
      <c r="AG4587" s="2">
        <f ca="1"/>
        <v>0.63641693284377099</v>
      </c>
      <c r="AH4587" s="2" t="str">
        <f ca="1"/>
        <v>Bad</v>
      </c>
    </row>
    <row r="4588" spans="2:34" x14ac:dyDescent="0.2">
      <c r="B4588" s="2">
        <f ca="1"/>
        <v>0.24043192450925188</v>
      </c>
      <c r="O4588" s="2">
        <f ca="1"/>
        <v>0.43063983206362472</v>
      </c>
      <c r="X4588" s="2">
        <f ca="1"/>
        <v>55.143472047494384</v>
      </c>
      <c r="AG4588" s="2">
        <f ca="1"/>
        <v>0.27228742712386733</v>
      </c>
      <c r="AH4588" s="2" t="str">
        <f ca="1"/>
        <v>OK</v>
      </c>
    </row>
    <row r="4589" spans="2:34" x14ac:dyDescent="0.2">
      <c r="B4589" s="2">
        <f ca="1"/>
        <v>0.51886252114093256</v>
      </c>
      <c r="O4589" s="2">
        <f ca="1"/>
        <v>-0.44102817786160148</v>
      </c>
      <c r="X4589" s="2">
        <f ca="1"/>
        <v>69.424029061288024</v>
      </c>
      <c r="AG4589" s="2">
        <f ca="1"/>
        <v>0.19031074077391019</v>
      </c>
      <c r="AH4589" s="2" t="str">
        <f ca="1"/>
        <v>OK</v>
      </c>
    </row>
    <row r="4590" spans="2:34" x14ac:dyDescent="0.2">
      <c r="B4590" s="2">
        <f ca="1"/>
        <v>0.94755006464678604</v>
      </c>
      <c r="O4590" s="2">
        <f ca="1"/>
        <v>-0.81852647857696037</v>
      </c>
      <c r="X4590" s="2">
        <f ca="1"/>
        <v>62.629364952490775</v>
      </c>
      <c r="AG4590" s="2">
        <f ca="1"/>
        <v>0.88988483115143602</v>
      </c>
      <c r="AH4590" s="2" t="str">
        <f ca="1"/>
        <v>Bad</v>
      </c>
    </row>
    <row r="4591" spans="2:34" x14ac:dyDescent="0.2">
      <c r="B4591" s="2">
        <f ca="1"/>
        <v>0.44136857390614792</v>
      </c>
      <c r="O4591" s="2">
        <f ca="1"/>
        <v>-9.967074161120755E-2</v>
      </c>
      <c r="X4591" s="2">
        <f ca="1"/>
        <v>66.617347117977587</v>
      </c>
      <c r="AG4591" s="2">
        <f ca="1"/>
        <v>0.84437261265949193</v>
      </c>
      <c r="AH4591" s="2" t="str">
        <f ca="1"/>
        <v>Bad</v>
      </c>
    </row>
    <row r="4592" spans="2:34" x14ac:dyDescent="0.2">
      <c r="B4592" s="2">
        <f ca="1"/>
        <v>0.33597700643077166</v>
      </c>
      <c r="O4592" s="2">
        <f ca="1"/>
        <v>-1.5533737504637861</v>
      </c>
      <c r="X4592" s="2">
        <f ca="1"/>
        <v>50.033063477026047</v>
      </c>
      <c r="AG4592" s="2">
        <f ca="1"/>
        <v>8.8229576464098125E-2</v>
      </c>
      <c r="AH4592" s="2" t="str">
        <f ca="1"/>
        <v>OK</v>
      </c>
    </row>
    <row r="4593" spans="2:34" x14ac:dyDescent="0.2">
      <c r="B4593" s="2">
        <f ca="1"/>
        <v>0.56420400905532242</v>
      </c>
      <c r="O4593" s="2">
        <f ca="1"/>
        <v>-1.2671526862813183</v>
      </c>
      <c r="X4593" s="2">
        <f ca="1"/>
        <v>42.197501215450508</v>
      </c>
      <c r="AG4593" s="2">
        <f ca="1"/>
        <v>0.4839278243899896</v>
      </c>
      <c r="AH4593" s="2" t="str">
        <f ca="1"/>
        <v>Bad</v>
      </c>
    </row>
    <row r="4594" spans="2:34" x14ac:dyDescent="0.2">
      <c r="B4594" s="2">
        <f ca="1"/>
        <v>0.63788651705165789</v>
      </c>
      <c r="O4594" s="2">
        <f ca="1"/>
        <v>0.35121563390306765</v>
      </c>
      <c r="X4594" s="2">
        <f ca="1"/>
        <v>71.236208497291273</v>
      </c>
      <c r="AG4594" s="2">
        <f ca="1"/>
        <v>0.56620448845941529</v>
      </c>
      <c r="AH4594" s="2" t="str">
        <f ca="1"/>
        <v>Bad</v>
      </c>
    </row>
    <row r="4595" spans="2:34" x14ac:dyDescent="0.2">
      <c r="B4595" s="2">
        <f ca="1"/>
        <v>9.1947675010409791E-2</v>
      </c>
      <c r="O4595" s="2">
        <f ca="1"/>
        <v>-0.40596874584128251</v>
      </c>
      <c r="X4595" s="2">
        <f ca="1"/>
        <v>25.270084599195606</v>
      </c>
      <c r="AG4595" s="2">
        <f ca="1"/>
        <v>0.74211243764545332</v>
      </c>
      <c r="AH4595" s="2" t="str">
        <f ca="1"/>
        <v>Bad</v>
      </c>
    </row>
    <row r="4596" spans="2:34" x14ac:dyDescent="0.2">
      <c r="B4596" s="2">
        <f ca="1"/>
        <v>0.90919878414949218</v>
      </c>
      <c r="O4596" s="2">
        <f ca="1"/>
        <v>-0.42643567925667802</v>
      </c>
      <c r="X4596" s="2">
        <f ca="1"/>
        <v>58.52465815897034</v>
      </c>
      <c r="AG4596" s="2">
        <f ca="1"/>
        <v>7.0609764969423727E-2</v>
      </c>
      <c r="AH4596" s="2" t="str">
        <f ca="1"/>
        <v>OK</v>
      </c>
    </row>
    <row r="4597" spans="2:34" x14ac:dyDescent="0.2">
      <c r="B4597" s="2">
        <f ca="1"/>
        <v>0.51646784231987874</v>
      </c>
      <c r="O4597" s="2">
        <f ca="1"/>
        <v>0.6428767424350833</v>
      </c>
      <c r="X4597" s="2">
        <f ca="1"/>
        <v>28.874183228788294</v>
      </c>
      <c r="AG4597" s="2">
        <f ca="1"/>
        <v>0.60308467207572303</v>
      </c>
      <c r="AH4597" s="2" t="str">
        <f ca="1"/>
        <v>Bad</v>
      </c>
    </row>
    <row r="4598" spans="2:34" x14ac:dyDescent="0.2">
      <c r="B4598" s="2">
        <f ca="1"/>
        <v>0.33046028326457666</v>
      </c>
      <c r="O4598" s="2">
        <f ca="1"/>
        <v>1.9372659192008832</v>
      </c>
      <c r="X4598" s="2">
        <f ca="1"/>
        <v>55.289237855190272</v>
      </c>
      <c r="AG4598" s="2">
        <f ca="1"/>
        <v>0.42924035481474809</v>
      </c>
      <c r="AH4598" s="2" t="str">
        <f ca="1"/>
        <v>Bad</v>
      </c>
    </row>
    <row r="4599" spans="2:34" x14ac:dyDescent="0.2">
      <c r="B4599" s="2">
        <f ca="1"/>
        <v>0.79708657813791728</v>
      </c>
      <c r="O4599" s="2">
        <f ca="1"/>
        <v>-0.63383945705649114</v>
      </c>
      <c r="X4599" s="2">
        <f ca="1"/>
        <v>74.607168208804282</v>
      </c>
      <c r="AG4599" s="2">
        <f ca="1"/>
        <v>0.41337263917134148</v>
      </c>
      <c r="AH4599" s="2" t="str">
        <f ca="1"/>
        <v>Bad</v>
      </c>
    </row>
    <row r="4600" spans="2:34" x14ac:dyDescent="0.2">
      <c r="B4600" s="2">
        <f ca="1"/>
        <v>0.69004027175565597</v>
      </c>
      <c r="O4600" s="2">
        <f ca="1"/>
        <v>-1.1108027283892441</v>
      </c>
      <c r="X4600" s="2">
        <f ca="1"/>
        <v>46.487218427959299</v>
      </c>
      <c r="AG4600" s="2">
        <f ca="1"/>
        <v>0.96179384530881462</v>
      </c>
      <c r="AH4600" s="2" t="str">
        <f ca="1"/>
        <v>Bad</v>
      </c>
    </row>
    <row r="4601" spans="2:34" x14ac:dyDescent="0.2">
      <c r="B4601" s="2">
        <f ca="1"/>
        <v>4.2729824849540465E-2</v>
      </c>
      <c r="O4601" s="2">
        <f ca="1"/>
        <v>1.7405718987424168</v>
      </c>
      <c r="X4601" s="2">
        <f ca="1"/>
        <v>43.366562454406257</v>
      </c>
      <c r="AG4601" s="2">
        <f ca="1"/>
        <v>0.12211685509422598</v>
      </c>
      <c r="AH4601" s="2" t="str">
        <f ca="1"/>
        <v>OK</v>
      </c>
    </row>
    <row r="4602" spans="2:34" x14ac:dyDescent="0.2">
      <c r="B4602" s="2">
        <f ca="1"/>
        <v>0.4602432905237972</v>
      </c>
      <c r="O4602" s="2">
        <f ca="1"/>
        <v>-2.5301639412703483</v>
      </c>
      <c r="X4602" s="2">
        <f ca="1"/>
        <v>23.828811925274252</v>
      </c>
      <c r="AG4602" s="2">
        <f ca="1"/>
        <v>0.67979411709649162</v>
      </c>
      <c r="AH4602" s="2" t="str">
        <f ca="1"/>
        <v>Bad</v>
      </c>
    </row>
    <row r="4603" spans="2:34" x14ac:dyDescent="0.2">
      <c r="B4603" s="2">
        <f ca="1"/>
        <v>0.98534342860810598</v>
      </c>
      <c r="O4603" s="2">
        <f ca="1"/>
        <v>-0.25880180534838837</v>
      </c>
      <c r="X4603" s="2">
        <f ca="1"/>
        <v>51.395372487255869</v>
      </c>
      <c r="AG4603" s="2">
        <f ca="1"/>
        <v>0.89054880443580076</v>
      </c>
      <c r="AH4603" s="2" t="str">
        <f ca="1"/>
        <v>Bad</v>
      </c>
    </row>
    <row r="4604" spans="2:34" x14ac:dyDescent="0.2">
      <c r="B4604" s="2">
        <f ca="1"/>
        <v>0.69181737932560927</v>
      </c>
      <c r="O4604" s="2">
        <f ca="1"/>
        <v>0.79268274646504921</v>
      </c>
      <c r="X4604" s="2">
        <f ca="1"/>
        <v>50.486698375708166</v>
      </c>
      <c r="AG4604" s="2">
        <f ca="1"/>
        <v>0.88890805767865877</v>
      </c>
      <c r="AH4604" s="2" t="str">
        <f ca="1"/>
        <v>Bad</v>
      </c>
    </row>
    <row r="4605" spans="2:34" x14ac:dyDescent="0.2">
      <c r="B4605" s="2">
        <f ca="1"/>
        <v>4.375374895441686E-2</v>
      </c>
      <c r="O4605" s="2">
        <f ca="1"/>
        <v>-0.51549770368622572</v>
      </c>
      <c r="X4605" s="2">
        <f ca="1"/>
        <v>54.738673124875035</v>
      </c>
      <c r="AG4605" s="2">
        <f ca="1"/>
        <v>0.92723122259686153</v>
      </c>
      <c r="AH4605" s="2" t="str">
        <f ca="1"/>
        <v>Bad</v>
      </c>
    </row>
    <row r="4606" spans="2:34" x14ac:dyDescent="0.2">
      <c r="B4606" s="2">
        <f ca="1"/>
        <v>0.47064716023259279</v>
      </c>
      <c r="O4606" s="2">
        <f ca="1"/>
        <v>0.7236655549711456</v>
      </c>
      <c r="X4606" s="2">
        <f ca="1"/>
        <v>42.369857111827102</v>
      </c>
      <c r="AG4606" s="2">
        <f ca="1"/>
        <v>0.49034405294096772</v>
      </c>
      <c r="AH4606" s="2" t="str">
        <f ca="1"/>
        <v>Bad</v>
      </c>
    </row>
    <row r="4607" spans="2:34" x14ac:dyDescent="0.2">
      <c r="B4607" s="2">
        <f ca="1"/>
        <v>0.7675415133420791</v>
      </c>
      <c r="O4607" s="2">
        <f ca="1"/>
        <v>-0.3814841976000336</v>
      </c>
      <c r="X4607" s="2">
        <f ca="1"/>
        <v>43.315414442717369</v>
      </c>
      <c r="AG4607" s="2">
        <f ca="1"/>
        <v>0.72370193426834128</v>
      </c>
      <c r="AH4607" s="2" t="str">
        <f ca="1"/>
        <v>Bad</v>
      </c>
    </row>
    <row r="4608" spans="2:34" x14ac:dyDescent="0.2">
      <c r="B4608" s="2">
        <f ca="1"/>
        <v>0.35232743951740186</v>
      </c>
      <c r="O4608" s="2">
        <f ca="1"/>
        <v>1.11824142264209</v>
      </c>
      <c r="X4608" s="2">
        <f ca="1"/>
        <v>41.492917140202181</v>
      </c>
      <c r="AG4608" s="2">
        <f ca="1"/>
        <v>0.44690415162684216</v>
      </c>
      <c r="AH4608" s="2" t="str">
        <f ca="1"/>
        <v>Bad</v>
      </c>
    </row>
    <row r="4609" spans="2:34" x14ac:dyDescent="0.2">
      <c r="B4609" s="2">
        <f ca="1"/>
        <v>0.6645618333857648</v>
      </c>
      <c r="O4609" s="2">
        <f ca="1"/>
        <v>0.39570045874776438</v>
      </c>
      <c r="X4609" s="2">
        <f ca="1"/>
        <v>58.522139328422909</v>
      </c>
      <c r="AG4609" s="2">
        <f ca="1"/>
        <v>0.22946953468002107</v>
      </c>
      <c r="AH4609" s="2" t="str">
        <f ca="1"/>
        <v>OK</v>
      </c>
    </row>
    <row r="4610" spans="2:34" x14ac:dyDescent="0.2">
      <c r="B4610" s="2">
        <f ca="1"/>
        <v>0.89625993278441851</v>
      </c>
      <c r="O4610" s="2">
        <f ca="1"/>
        <v>0.31167135270923479</v>
      </c>
      <c r="X4610" s="2">
        <f ca="1"/>
        <v>54.60240696712988</v>
      </c>
      <c r="AG4610" s="2">
        <f ca="1"/>
        <v>0.36155163558962755</v>
      </c>
      <c r="AH4610" s="2" t="str">
        <f ca="1"/>
        <v>OK</v>
      </c>
    </row>
    <row r="4611" spans="2:34" x14ac:dyDescent="0.2">
      <c r="B4611" s="2">
        <f ca="1"/>
        <v>0.23241988667480862</v>
      </c>
      <c r="O4611" s="2">
        <f ca="1"/>
        <v>-0.28699425708200216</v>
      </c>
      <c r="X4611" s="2">
        <f ca="1"/>
        <v>44.610955965794972</v>
      </c>
      <c r="AG4611" s="2">
        <f ca="1"/>
        <v>0.85108297153212198</v>
      </c>
      <c r="AH4611" s="2" t="str">
        <f ca="1"/>
        <v>Bad</v>
      </c>
    </row>
    <row r="4612" spans="2:34" x14ac:dyDescent="0.2">
      <c r="B4612" s="2">
        <f ca="1"/>
        <v>0.74530586689397138</v>
      </c>
      <c r="O4612" s="2">
        <f ca="1"/>
        <v>0.89987019596129181</v>
      </c>
      <c r="X4612" s="2">
        <f ca="1"/>
        <v>33.406438142463337</v>
      </c>
      <c r="AG4612" s="2">
        <f ca="1"/>
        <v>0.16438512090466206</v>
      </c>
      <c r="AH4612" s="2" t="str">
        <f ca="1"/>
        <v>OK</v>
      </c>
    </row>
    <row r="4613" spans="2:34" x14ac:dyDescent="0.2">
      <c r="B4613" s="2">
        <f ca="1"/>
        <v>0.6486991553709669</v>
      </c>
      <c r="O4613" s="2">
        <f ca="1"/>
        <v>1.0236269066328822</v>
      </c>
      <c r="X4613" s="2">
        <f ca="1"/>
        <v>27.208650866479005</v>
      </c>
      <c r="AG4613" s="2">
        <f ca="1"/>
        <v>0.64123700844921316</v>
      </c>
      <c r="AH4613" s="2" t="str">
        <f ca="1"/>
        <v>Bad</v>
      </c>
    </row>
    <row r="4614" spans="2:34" x14ac:dyDescent="0.2">
      <c r="B4614" s="2">
        <f ca="1"/>
        <v>0.95393504418426001</v>
      </c>
      <c r="O4614" s="2">
        <f ca="1"/>
        <v>4.9235663464699812E-2</v>
      </c>
      <c r="X4614" s="2">
        <f ca="1"/>
        <v>36.888543450703025</v>
      </c>
      <c r="AG4614" s="2">
        <f ca="1"/>
        <v>7.1988253627736531E-2</v>
      </c>
      <c r="AH4614" s="2" t="str">
        <f ca="1"/>
        <v>OK</v>
      </c>
    </row>
    <row r="4615" spans="2:34" x14ac:dyDescent="0.2">
      <c r="B4615" s="2">
        <f ca="1"/>
        <v>0.56777389069148421</v>
      </c>
      <c r="O4615" s="2">
        <f ca="1"/>
        <v>0.14573315022381542</v>
      </c>
      <c r="X4615" s="2">
        <f ca="1"/>
        <v>38.63011436999102</v>
      </c>
      <c r="AG4615" s="2">
        <f ca="1"/>
        <v>0.71429040525368825</v>
      </c>
      <c r="AH4615" s="2" t="str">
        <f ca="1"/>
        <v>Bad</v>
      </c>
    </row>
    <row r="4616" spans="2:34" x14ac:dyDescent="0.2">
      <c r="B4616" s="2">
        <f ca="1"/>
        <v>0.84251539679438525</v>
      </c>
      <c r="O4616" s="2">
        <f ca="1"/>
        <v>-1.2801521602429786</v>
      </c>
      <c r="X4616" s="2">
        <f ca="1"/>
        <v>73.924306158311623</v>
      </c>
      <c r="AG4616" s="2">
        <f ca="1"/>
        <v>0.80177102097836772</v>
      </c>
      <c r="AH4616" s="2" t="str">
        <f ca="1"/>
        <v>Bad</v>
      </c>
    </row>
    <row r="4617" spans="2:34" x14ac:dyDescent="0.2">
      <c r="B4617" s="2">
        <f ca="1"/>
        <v>0.98573063805733985</v>
      </c>
      <c r="O4617" s="2">
        <f ca="1"/>
        <v>0.11069302588529273</v>
      </c>
      <c r="X4617" s="2">
        <f ca="1"/>
        <v>64.81673784972935</v>
      </c>
      <c r="AG4617" s="2">
        <f ca="1"/>
        <v>0.11311923992509287</v>
      </c>
      <c r="AH4617" s="2" t="str">
        <f ca="1"/>
        <v>OK</v>
      </c>
    </row>
    <row r="4618" spans="2:34" x14ac:dyDescent="0.2">
      <c r="B4618" s="2">
        <f ca="1"/>
        <v>0.25572216777452694</v>
      </c>
      <c r="O4618" s="2">
        <f ca="1"/>
        <v>-0.54411221330038317</v>
      </c>
      <c r="X4618" s="2">
        <f ca="1"/>
        <v>75.460033515173734</v>
      </c>
      <c r="AG4618" s="2">
        <f ca="1"/>
        <v>0.22104196777347895</v>
      </c>
      <c r="AH4618" s="2" t="str">
        <f ca="1"/>
        <v>OK</v>
      </c>
    </row>
    <row r="4619" spans="2:34" x14ac:dyDescent="0.2">
      <c r="B4619" s="2">
        <f ca="1"/>
        <v>0.37153418667810878</v>
      </c>
      <c r="O4619" s="2">
        <f ca="1"/>
        <v>-1.3731169430400634</v>
      </c>
      <c r="X4619" s="2">
        <f ca="1"/>
        <v>61.456546770572643</v>
      </c>
      <c r="AG4619" s="2">
        <f ca="1"/>
        <v>8.2647078660895712E-3</v>
      </c>
      <c r="AH4619" s="2" t="str">
        <f ca="1"/>
        <v>Good</v>
      </c>
    </row>
    <row r="4620" spans="2:34" x14ac:dyDescent="0.2">
      <c r="B4620" s="2">
        <f ca="1"/>
        <v>0.3574174776078447</v>
      </c>
      <c r="O4620" s="2">
        <f ca="1"/>
        <v>0.61081543023913543</v>
      </c>
      <c r="X4620" s="2">
        <f ca="1"/>
        <v>22.390815965346977</v>
      </c>
      <c r="AG4620" s="2">
        <f ca="1"/>
        <v>0.19703588836038732</v>
      </c>
      <c r="AH4620" s="2" t="str">
        <f ca="1"/>
        <v>OK</v>
      </c>
    </row>
    <row r="4621" spans="2:34" x14ac:dyDescent="0.2">
      <c r="B4621" s="2">
        <f ca="1"/>
        <v>0.70409526798195832</v>
      </c>
      <c r="O4621" s="2">
        <f ca="1"/>
        <v>0.13923477067799817</v>
      </c>
      <c r="X4621" s="2">
        <f ca="1"/>
        <v>54.281818623948041</v>
      </c>
      <c r="AG4621" s="2">
        <f ca="1"/>
        <v>0.6452934989185819</v>
      </c>
      <c r="AH4621" s="2" t="str">
        <f ca="1"/>
        <v>Bad</v>
      </c>
    </row>
    <row r="4622" spans="2:34" x14ac:dyDescent="0.2">
      <c r="B4622" s="2">
        <f ca="1"/>
        <v>0.42479634665125632</v>
      </c>
      <c r="O4622" s="2">
        <f ca="1"/>
        <v>0.50679762225893532</v>
      </c>
      <c r="X4622" s="2">
        <f ca="1"/>
        <v>50.943113839867536</v>
      </c>
      <c r="AG4622" s="2">
        <f ca="1"/>
        <v>0.69905023466960103</v>
      </c>
      <c r="AH4622" s="2" t="str">
        <f ca="1"/>
        <v>Bad</v>
      </c>
    </row>
    <row r="4623" spans="2:34" x14ac:dyDescent="0.2">
      <c r="B4623" s="2">
        <f ca="1"/>
        <v>0.70536470644171279</v>
      </c>
      <c r="O4623" s="2">
        <f ca="1"/>
        <v>-0.68644865602535665</v>
      </c>
      <c r="X4623" s="2">
        <f ca="1"/>
        <v>60.453698033792705</v>
      </c>
      <c r="AG4623" s="2">
        <f ca="1"/>
        <v>0.73880296268060075</v>
      </c>
      <c r="AH4623" s="2" t="str">
        <f ca="1"/>
        <v>Bad</v>
      </c>
    </row>
    <row r="4624" spans="2:34" x14ac:dyDescent="0.2">
      <c r="B4624" s="2">
        <f ca="1"/>
        <v>0.50275609322738823</v>
      </c>
      <c r="O4624" s="2">
        <f ca="1"/>
        <v>1.0454889150686331</v>
      </c>
      <c r="X4624" s="2">
        <f ca="1"/>
        <v>70.008724967275384</v>
      </c>
      <c r="AG4624" s="2">
        <f ca="1"/>
        <v>0.74069820825048138</v>
      </c>
      <c r="AH4624" s="2" t="str">
        <f ca="1"/>
        <v>Bad</v>
      </c>
    </row>
    <row r="4625" spans="2:34" x14ac:dyDescent="0.2">
      <c r="B4625" s="2">
        <f ca="1"/>
        <v>0.39138014949951261</v>
      </c>
      <c r="O4625" s="2">
        <f ca="1"/>
        <v>0.54243215896768437</v>
      </c>
      <c r="X4625" s="2">
        <f ca="1"/>
        <v>43.50887281342402</v>
      </c>
      <c r="AG4625" s="2">
        <f ca="1"/>
        <v>0.91708757876776503</v>
      </c>
      <c r="AH4625" s="2" t="str">
        <f ca="1"/>
        <v>Bad</v>
      </c>
    </row>
    <row r="4626" spans="2:34" x14ac:dyDescent="0.2">
      <c r="B4626" s="2">
        <f ca="1"/>
        <v>0.81221596904218263</v>
      </c>
      <c r="O4626" s="2">
        <f ca="1"/>
        <v>-0.71004234574166769</v>
      </c>
      <c r="X4626" s="2">
        <f ca="1"/>
        <v>42.122086169797484</v>
      </c>
      <c r="AG4626" s="2">
        <f ca="1"/>
        <v>0.25646787134793358</v>
      </c>
      <c r="AH4626" s="2" t="str">
        <f ca="1"/>
        <v>OK</v>
      </c>
    </row>
    <row r="4627" spans="2:34" x14ac:dyDescent="0.2">
      <c r="B4627" s="2">
        <f ca="1"/>
        <v>0.80042805205838419</v>
      </c>
      <c r="O4627" s="2">
        <f ca="1"/>
        <v>6.1011172404856907E-2</v>
      </c>
      <c r="X4627" s="2">
        <f ca="1"/>
        <v>77.690119523666056</v>
      </c>
      <c r="AG4627" s="2">
        <f ca="1"/>
        <v>0.87989301631458905</v>
      </c>
      <c r="AH4627" s="2" t="str">
        <f ca="1"/>
        <v>Bad</v>
      </c>
    </row>
    <row r="4628" spans="2:34" x14ac:dyDescent="0.2">
      <c r="B4628" s="2">
        <f ca="1"/>
        <v>0.28916246774129717</v>
      </c>
      <c r="O4628" s="2">
        <f ca="1"/>
        <v>1.5515495764218181</v>
      </c>
      <c r="X4628" s="2">
        <f ca="1"/>
        <v>49.357641508260464</v>
      </c>
      <c r="AG4628" s="2">
        <f ca="1"/>
        <v>0.59582068537195476</v>
      </c>
      <c r="AH4628" s="2" t="str">
        <f ca="1"/>
        <v>Bad</v>
      </c>
    </row>
    <row r="4629" spans="2:34" x14ac:dyDescent="0.2">
      <c r="B4629" s="2">
        <f ca="1"/>
        <v>0.16112260959645752</v>
      </c>
      <c r="O4629" s="2">
        <f ca="1"/>
        <v>5.2249809182942385E-2</v>
      </c>
      <c r="X4629" s="2">
        <f ca="1"/>
        <v>48.6955063734787</v>
      </c>
      <c r="AG4629" s="2">
        <f ca="1"/>
        <v>0.72507834094600199</v>
      </c>
      <c r="AH4629" s="2" t="str">
        <f ca="1"/>
        <v>Bad</v>
      </c>
    </row>
    <row r="4630" spans="2:34" x14ac:dyDescent="0.2">
      <c r="B4630" s="2">
        <f ca="1"/>
        <v>0.52499283340686764</v>
      </c>
      <c r="O4630" s="2">
        <f ca="1"/>
        <v>-0.23161193614354417</v>
      </c>
      <c r="X4630" s="2">
        <f ca="1"/>
        <v>74.874782784198999</v>
      </c>
      <c r="AG4630" s="2">
        <f ca="1"/>
        <v>0.41720846861230365</v>
      </c>
      <c r="AH4630" s="2" t="str">
        <f ca="1"/>
        <v>Bad</v>
      </c>
    </row>
    <row r="4631" spans="2:34" x14ac:dyDescent="0.2">
      <c r="B4631" s="2">
        <f ca="1"/>
        <v>0.62457127264822887</v>
      </c>
      <c r="O4631" s="2">
        <f ca="1"/>
        <v>1.9304063523257378</v>
      </c>
      <c r="X4631" s="2">
        <f ca="1"/>
        <v>40.683250702584317</v>
      </c>
      <c r="AG4631" s="2">
        <f ca="1"/>
        <v>0.79302075455806453</v>
      </c>
      <c r="AH4631" s="2" t="str">
        <f ca="1"/>
        <v>Bad</v>
      </c>
    </row>
    <row r="4632" spans="2:34" x14ac:dyDescent="0.2">
      <c r="B4632" s="2">
        <f ca="1"/>
        <v>0.56888440205621071</v>
      </c>
      <c r="O4632" s="2">
        <f ca="1"/>
        <v>-0.71620748429503256</v>
      </c>
      <c r="X4632" s="2">
        <f ca="1"/>
        <v>16.690750688710491</v>
      </c>
      <c r="AG4632" s="2">
        <f ca="1"/>
        <v>0.68873002431302233</v>
      </c>
      <c r="AH4632" s="2" t="str">
        <f ca="1"/>
        <v>Bad</v>
      </c>
    </row>
    <row r="4633" spans="2:34" x14ac:dyDescent="0.2">
      <c r="B4633" s="2">
        <f ca="1"/>
        <v>0.20822171515922139</v>
      </c>
      <c r="O4633" s="2">
        <f ca="1"/>
        <v>2.3305890358340213</v>
      </c>
      <c r="X4633" s="2">
        <f ca="1"/>
        <v>53.673333490072174</v>
      </c>
      <c r="AG4633" s="2">
        <f ca="1"/>
        <v>0.58496439483324858</v>
      </c>
      <c r="AH4633" s="2" t="str">
        <f ca="1"/>
        <v>Bad</v>
      </c>
    </row>
    <row r="4634" spans="2:34" x14ac:dyDescent="0.2">
      <c r="B4634" s="2">
        <f ca="1"/>
        <v>8.8243242546331091E-2</v>
      </c>
      <c r="O4634" s="2">
        <f ca="1"/>
        <v>-0.33617924722380238</v>
      </c>
      <c r="X4634" s="2">
        <f ca="1"/>
        <v>50.315748245195067</v>
      </c>
      <c r="AG4634" s="2">
        <f ca="1"/>
        <v>0.47896062915185844</v>
      </c>
      <c r="AH4634" s="2" t="str">
        <f ca="1"/>
        <v>Bad</v>
      </c>
    </row>
    <row r="4635" spans="2:34" x14ac:dyDescent="0.2">
      <c r="B4635" s="2">
        <f ca="1"/>
        <v>0.39667384706737208</v>
      </c>
      <c r="O4635" s="2">
        <f ca="1"/>
        <v>-0.85287733492446482</v>
      </c>
      <c r="X4635" s="2">
        <f ca="1"/>
        <v>42.79556928130242</v>
      </c>
      <c r="AG4635" s="2">
        <f ca="1"/>
        <v>4.2714534954445993E-2</v>
      </c>
      <c r="AH4635" s="2" t="str">
        <f ca="1"/>
        <v>Good</v>
      </c>
    </row>
    <row r="4636" spans="2:34" x14ac:dyDescent="0.2">
      <c r="B4636" s="2">
        <f ca="1"/>
        <v>0.96060406043309321</v>
      </c>
      <c r="O4636" s="2">
        <f ca="1"/>
        <v>1.0740929712795553</v>
      </c>
      <c r="X4636" s="2">
        <f ca="1"/>
        <v>34.423901115795886</v>
      </c>
      <c r="AG4636" s="2">
        <f ca="1"/>
        <v>0.47030437889163057</v>
      </c>
      <c r="AH4636" s="2" t="str">
        <f ca="1"/>
        <v>Bad</v>
      </c>
    </row>
    <row r="4637" spans="2:34" x14ac:dyDescent="0.2">
      <c r="B4637" s="2">
        <f ca="1"/>
        <v>0.67566728395146192</v>
      </c>
      <c r="O4637" s="2">
        <f ca="1"/>
        <v>-0.73823635353928796</v>
      </c>
      <c r="X4637" s="2">
        <f ca="1"/>
        <v>26.814484408562297</v>
      </c>
      <c r="AG4637" s="2">
        <f ca="1"/>
        <v>0.36312397861703372</v>
      </c>
      <c r="AH4637" s="2" t="str">
        <f ca="1"/>
        <v>OK</v>
      </c>
    </row>
    <row r="4638" spans="2:34" x14ac:dyDescent="0.2">
      <c r="B4638" s="2">
        <f ca="1"/>
        <v>0.47902419617461733</v>
      </c>
      <c r="O4638" s="2">
        <f ca="1"/>
        <v>-0.62291110084257184</v>
      </c>
      <c r="X4638" s="2">
        <f ca="1"/>
        <v>75.18329416294408</v>
      </c>
      <c r="AG4638" s="2">
        <f ca="1"/>
        <v>0.91291330503356272</v>
      </c>
      <c r="AH4638" s="2" t="str">
        <f ca="1"/>
        <v>Bad</v>
      </c>
    </row>
    <row r="4639" spans="2:34" x14ac:dyDescent="0.2">
      <c r="B4639" s="2">
        <f ca="1"/>
        <v>0.63842632519655651</v>
      </c>
      <c r="O4639" s="2">
        <f ca="1"/>
        <v>1.1309320559481828</v>
      </c>
      <c r="X4639" s="2">
        <f ca="1"/>
        <v>31.849204894788944</v>
      </c>
      <c r="AG4639" s="2">
        <f ca="1"/>
        <v>0.39156337291352905</v>
      </c>
      <c r="AH4639" s="2" t="str">
        <f ca="1"/>
        <v>OK</v>
      </c>
    </row>
    <row r="4640" spans="2:34" x14ac:dyDescent="0.2">
      <c r="B4640" s="2">
        <f ca="1"/>
        <v>0.13568009139289483</v>
      </c>
      <c r="O4640" s="2">
        <f ca="1"/>
        <v>0.71640391087793764</v>
      </c>
      <c r="X4640" s="2">
        <f ca="1"/>
        <v>58.306678971558526</v>
      </c>
      <c r="AG4640" s="2">
        <f ca="1"/>
        <v>0.67454581977210326</v>
      </c>
      <c r="AH4640" s="2" t="str">
        <f ca="1"/>
        <v>Bad</v>
      </c>
    </row>
    <row r="4641" spans="2:34" x14ac:dyDescent="0.2">
      <c r="B4641" s="2">
        <f ca="1"/>
        <v>0.14200146421664561</v>
      </c>
      <c r="O4641" s="2">
        <f ca="1"/>
        <v>0.85793594397051898</v>
      </c>
      <c r="X4641" s="2">
        <f ca="1"/>
        <v>54.374768430359367</v>
      </c>
      <c r="AG4641" s="2">
        <f ca="1"/>
        <v>0.11475997620749068</v>
      </c>
      <c r="AH4641" s="2" t="str">
        <f ca="1"/>
        <v>OK</v>
      </c>
    </row>
    <row r="4642" spans="2:34" x14ac:dyDescent="0.2">
      <c r="B4642" s="2">
        <f ca="1"/>
        <v>0.68820153894767055</v>
      </c>
      <c r="O4642" s="2">
        <f ca="1"/>
        <v>0.12381177526408907</v>
      </c>
      <c r="X4642" s="2">
        <f ca="1"/>
        <v>33.154226778520723</v>
      </c>
      <c r="AG4642" s="2">
        <f ca="1"/>
        <v>0.82268338134752672</v>
      </c>
      <c r="AH4642" s="2" t="str">
        <f ca="1"/>
        <v>Bad</v>
      </c>
    </row>
    <row r="4643" spans="2:34" x14ac:dyDescent="0.2">
      <c r="B4643" s="2">
        <f ca="1"/>
        <v>0.520380931969463</v>
      </c>
      <c r="O4643" s="2">
        <f ca="1"/>
        <v>-1.8611885185276387</v>
      </c>
      <c r="X4643" s="2">
        <f ca="1"/>
        <v>42.308657264375434</v>
      </c>
      <c r="AG4643" s="2">
        <f ca="1"/>
        <v>0.18630114631514672</v>
      </c>
      <c r="AH4643" s="2" t="str">
        <f ca="1"/>
        <v>OK</v>
      </c>
    </row>
    <row r="4644" spans="2:34" x14ac:dyDescent="0.2">
      <c r="B4644" s="2">
        <f ca="1"/>
        <v>0.32134138097325016</v>
      </c>
      <c r="O4644" s="2">
        <f ca="1"/>
        <v>1.4258819108158292</v>
      </c>
      <c r="X4644" s="2">
        <f ca="1"/>
        <v>40.611281553835227</v>
      </c>
      <c r="AG4644" s="2">
        <f ca="1"/>
        <v>0.30234769915667181</v>
      </c>
      <c r="AH4644" s="2" t="str">
        <f ca="1"/>
        <v>OK</v>
      </c>
    </row>
    <row r="4645" spans="2:34" x14ac:dyDescent="0.2">
      <c r="B4645" s="2">
        <f ca="1"/>
        <v>0.82757323268200489</v>
      </c>
      <c r="O4645" s="2">
        <f ca="1"/>
        <v>-0.3194079534752185</v>
      </c>
      <c r="X4645" s="2">
        <f ca="1"/>
        <v>55.347011468454127</v>
      </c>
      <c r="AG4645" s="2">
        <f ca="1"/>
        <v>0.83325173097102079</v>
      </c>
      <c r="AH4645" s="2" t="str">
        <f ca="1"/>
        <v>Bad</v>
      </c>
    </row>
    <row r="4646" spans="2:34" x14ac:dyDescent="0.2">
      <c r="B4646" s="2">
        <f ca="1"/>
        <v>0.6250693441710895</v>
      </c>
      <c r="O4646" s="2">
        <f ca="1"/>
        <v>-0.24089033155625414</v>
      </c>
      <c r="X4646" s="2">
        <f ca="1"/>
        <v>40.482419484777992</v>
      </c>
      <c r="AG4646" s="2">
        <f ca="1"/>
        <v>0.97890971799949633</v>
      </c>
      <c r="AH4646" s="2" t="str">
        <f ca="1"/>
        <v>Bad</v>
      </c>
    </row>
    <row r="4647" spans="2:34" x14ac:dyDescent="0.2">
      <c r="B4647" s="2">
        <f ca="1"/>
        <v>0.35486061783248113</v>
      </c>
      <c r="O4647" s="2">
        <f ca="1"/>
        <v>-0.14335247406423918</v>
      </c>
      <c r="X4647" s="2">
        <f ca="1"/>
        <v>29.338469548455322</v>
      </c>
      <c r="AG4647" s="2">
        <f ca="1"/>
        <v>0.2009683044615278</v>
      </c>
      <c r="AH4647" s="2" t="str">
        <f ca="1"/>
        <v>OK</v>
      </c>
    </row>
    <row r="4648" spans="2:34" x14ac:dyDescent="0.2">
      <c r="B4648" s="2">
        <f ca="1"/>
        <v>0.99748350276878606</v>
      </c>
      <c r="O4648" s="2">
        <f ca="1"/>
        <v>0.27825414256152897</v>
      </c>
      <c r="X4648" s="2">
        <f ca="1"/>
        <v>47.231357996247013</v>
      </c>
      <c r="AG4648" s="2">
        <f ca="1"/>
        <v>5.5634017880660691E-2</v>
      </c>
      <c r="AH4648" s="2" t="str">
        <f ca="1"/>
        <v>OK</v>
      </c>
    </row>
    <row r="4649" spans="2:34" x14ac:dyDescent="0.2">
      <c r="B4649" s="2">
        <f ca="1"/>
        <v>0.62744684756085456</v>
      </c>
      <c r="O4649" s="2">
        <f ca="1"/>
        <v>0.47709767708253503</v>
      </c>
      <c r="X4649" s="2">
        <f ca="1"/>
        <v>58.599439708239203</v>
      </c>
      <c r="AG4649" s="2">
        <f ca="1"/>
        <v>0.51788877146742407</v>
      </c>
      <c r="AH4649" s="2" t="str">
        <f ca="1"/>
        <v>Bad</v>
      </c>
    </row>
    <row r="4650" spans="2:34" x14ac:dyDescent="0.2">
      <c r="B4650" s="2">
        <f ca="1"/>
        <v>0.94207399290879668</v>
      </c>
      <c r="O4650" s="2">
        <f ca="1"/>
        <v>0.80375576164291929</v>
      </c>
      <c r="X4650" s="2">
        <f ca="1"/>
        <v>31.668953870002838</v>
      </c>
      <c r="AG4650" s="2">
        <f ca="1"/>
        <v>0.60299985867709549</v>
      </c>
      <c r="AH4650" s="2" t="str">
        <f ca="1"/>
        <v>Bad</v>
      </c>
    </row>
    <row r="4651" spans="2:34" x14ac:dyDescent="0.2">
      <c r="B4651" s="2">
        <f ca="1"/>
        <v>0.94189837501201934</v>
      </c>
      <c r="O4651" s="2">
        <f ca="1"/>
        <v>-0.28341377827668995</v>
      </c>
      <c r="X4651" s="2">
        <f ca="1"/>
        <v>45.861881915677209</v>
      </c>
      <c r="AG4651" s="2">
        <f ca="1"/>
        <v>0.3952865170907689</v>
      </c>
      <c r="AH4651" s="2" t="str">
        <f ca="1"/>
        <v>OK</v>
      </c>
    </row>
    <row r="4652" spans="2:34" x14ac:dyDescent="0.2">
      <c r="B4652" s="2">
        <f ca="1"/>
        <v>0.15802440342964297</v>
      </c>
      <c r="O4652" s="2">
        <f ca="1"/>
        <v>-0.39874909961895372</v>
      </c>
      <c r="X4652" s="2">
        <f ca="1"/>
        <v>79.161064703936475</v>
      </c>
      <c r="AG4652" s="2">
        <f ca="1"/>
        <v>0.73194174160751224</v>
      </c>
      <c r="AH4652" s="2" t="str">
        <f ca="1"/>
        <v>Bad</v>
      </c>
    </row>
    <row r="4653" spans="2:34" x14ac:dyDescent="0.2">
      <c r="B4653" s="2">
        <f ca="1"/>
        <v>0.51651011386926049</v>
      </c>
      <c r="O4653" s="2">
        <f ca="1"/>
        <v>-1.9106376884107787</v>
      </c>
      <c r="X4653" s="2">
        <f ca="1"/>
        <v>51.999262871942911</v>
      </c>
      <c r="AG4653" s="2">
        <f ca="1"/>
        <v>0.75739200452380917</v>
      </c>
      <c r="AH4653" s="2" t="str">
        <f ca="1"/>
        <v>Bad</v>
      </c>
    </row>
    <row r="4654" spans="2:34" x14ac:dyDescent="0.2">
      <c r="B4654" s="2">
        <f ca="1"/>
        <v>0.28342617178036278</v>
      </c>
      <c r="O4654" s="2">
        <f ca="1"/>
        <v>7.891839421986073E-2</v>
      </c>
      <c r="X4654" s="2">
        <f ca="1"/>
        <v>64.725025072634025</v>
      </c>
      <c r="AG4654" s="2">
        <f ca="1"/>
        <v>9.1205021838707268E-3</v>
      </c>
      <c r="AH4654" s="2" t="str">
        <f ca="1"/>
        <v>Good</v>
      </c>
    </row>
    <row r="4655" spans="2:34" x14ac:dyDescent="0.2">
      <c r="B4655" s="2">
        <f ca="1"/>
        <v>3.6156314003633838E-2</v>
      </c>
      <c r="O4655" s="2">
        <f ca="1"/>
        <v>0.32081413168018391</v>
      </c>
      <c r="X4655" s="2">
        <f ca="1"/>
        <v>65.579300329661052</v>
      </c>
      <c r="AG4655" s="2">
        <f ca="1"/>
        <v>0.83300363243078879</v>
      </c>
      <c r="AH4655" s="2" t="str">
        <f ca="1"/>
        <v>Bad</v>
      </c>
    </row>
    <row r="4656" spans="2:34" x14ac:dyDescent="0.2">
      <c r="B4656" s="2">
        <f ca="1"/>
        <v>0.82500610303021271</v>
      </c>
      <c r="O4656" s="2">
        <f ca="1"/>
        <v>-0.98157952102269852</v>
      </c>
      <c r="X4656" s="2">
        <f ca="1"/>
        <v>46.891674601803558</v>
      </c>
      <c r="AG4656" s="2">
        <f ca="1"/>
        <v>4.7942302134574177E-2</v>
      </c>
      <c r="AH4656" s="2" t="str">
        <f ca="1"/>
        <v>Good</v>
      </c>
    </row>
    <row r="4657" spans="2:34" x14ac:dyDescent="0.2">
      <c r="B4657" s="2">
        <f ca="1"/>
        <v>0.59981795125963022</v>
      </c>
      <c r="O4657" s="2">
        <f ca="1"/>
        <v>-1.6230314198603717</v>
      </c>
      <c r="X4657" s="2">
        <f ca="1"/>
        <v>33.462628536993925</v>
      </c>
      <c r="AG4657" s="2">
        <f ca="1"/>
        <v>0.33081929322360737</v>
      </c>
      <c r="AH4657" s="2" t="str">
        <f ca="1"/>
        <v>OK</v>
      </c>
    </row>
    <row r="4658" spans="2:34" x14ac:dyDescent="0.2">
      <c r="B4658" s="2">
        <f ca="1"/>
        <v>9.7525821952242797E-2</v>
      </c>
      <c r="O4658" s="2">
        <f ca="1"/>
        <v>0.52467252907241557</v>
      </c>
      <c r="X4658" s="2">
        <f ca="1"/>
        <v>37.553907338139432</v>
      </c>
      <c r="AG4658" s="2">
        <f ca="1"/>
        <v>0.63601206114361419</v>
      </c>
      <c r="AH4658" s="2" t="str">
        <f ca="1"/>
        <v>Bad</v>
      </c>
    </row>
    <row r="4659" spans="2:34" x14ac:dyDescent="0.2">
      <c r="B4659" s="2">
        <f ca="1"/>
        <v>0.93177344910456128</v>
      </c>
      <c r="O4659" s="2">
        <f ca="1"/>
        <v>0.49269130719399956</v>
      </c>
      <c r="X4659" s="2">
        <f ca="1"/>
        <v>47.918069844802098</v>
      </c>
      <c r="AG4659" s="2">
        <f ca="1"/>
        <v>3.2916126784874322E-3</v>
      </c>
      <c r="AH4659" s="2" t="str">
        <f ca="1"/>
        <v>Good</v>
      </c>
    </row>
    <row r="4660" spans="2:34" x14ac:dyDescent="0.2">
      <c r="B4660" s="2">
        <f ca="1"/>
        <v>0.58236614061019076</v>
      </c>
      <c r="O4660" s="2">
        <f ca="1"/>
        <v>0.56996734125799065</v>
      </c>
      <c r="X4660" s="2">
        <f ca="1"/>
        <v>53.306803211162894</v>
      </c>
      <c r="AG4660" s="2">
        <f ca="1"/>
        <v>8.6545627715253426E-2</v>
      </c>
      <c r="AH4660" s="2" t="str">
        <f ca="1"/>
        <v>OK</v>
      </c>
    </row>
    <row r="4661" spans="2:34" x14ac:dyDescent="0.2">
      <c r="B4661" s="2">
        <f ca="1"/>
        <v>0.69070954667878826</v>
      </c>
      <c r="O4661" s="2">
        <f ca="1"/>
        <v>-2.2397161173279709</v>
      </c>
      <c r="X4661" s="2">
        <f ca="1"/>
        <v>62.829953426123012</v>
      </c>
      <c r="AG4661" s="2">
        <f ca="1"/>
        <v>0.82141138871210617</v>
      </c>
      <c r="AH4661" s="2" t="str">
        <f ca="1"/>
        <v>Bad</v>
      </c>
    </row>
    <row r="4662" spans="2:34" x14ac:dyDescent="0.2">
      <c r="B4662" s="2">
        <f ca="1"/>
        <v>0.84274740497413214</v>
      </c>
      <c r="O4662" s="2">
        <f ca="1"/>
        <v>6.0323284840538928E-2</v>
      </c>
      <c r="X4662" s="2">
        <f ca="1"/>
        <v>72.526872786506459</v>
      </c>
      <c r="AG4662" s="2">
        <f ca="1"/>
        <v>0.48594199127510285</v>
      </c>
      <c r="AH4662" s="2" t="str">
        <f ca="1"/>
        <v>Bad</v>
      </c>
    </row>
    <row r="4663" spans="2:34" x14ac:dyDescent="0.2">
      <c r="B4663" s="2">
        <f ca="1"/>
        <v>6.1935774538600663E-2</v>
      </c>
      <c r="O4663" s="2">
        <f ca="1"/>
        <v>-1.1159466665037137</v>
      </c>
      <c r="X4663" s="2">
        <f ca="1"/>
        <v>28.719611857215106</v>
      </c>
      <c r="AG4663" s="2">
        <f ca="1"/>
        <v>1.0587382923730182E-2</v>
      </c>
      <c r="AH4663" s="2" t="str">
        <f ca="1"/>
        <v>Good</v>
      </c>
    </row>
    <row r="4664" spans="2:34" x14ac:dyDescent="0.2">
      <c r="B4664" s="2">
        <f ca="1"/>
        <v>0.55324637763056206</v>
      </c>
      <c r="O4664" s="2">
        <f ca="1"/>
        <v>0.97630419153529668</v>
      </c>
      <c r="X4664" s="2">
        <f ca="1"/>
        <v>45.14294008474895</v>
      </c>
      <c r="AG4664" s="2">
        <f ca="1"/>
        <v>0.1629471854203659</v>
      </c>
      <c r="AH4664" s="2" t="str">
        <f ca="1"/>
        <v>OK</v>
      </c>
    </row>
    <row r="4665" spans="2:34" x14ac:dyDescent="0.2">
      <c r="B4665" s="2">
        <f ca="1"/>
        <v>0.36024010346996937</v>
      </c>
      <c r="O4665" s="2">
        <f ca="1"/>
        <v>0.73607724670300489</v>
      </c>
      <c r="X4665" s="2">
        <f ca="1"/>
        <v>68.919940695189297</v>
      </c>
      <c r="AG4665" s="2">
        <f ca="1"/>
        <v>0.12209685634288969</v>
      </c>
      <c r="AH4665" s="2" t="str">
        <f ca="1"/>
        <v>OK</v>
      </c>
    </row>
    <row r="4666" spans="2:34" x14ac:dyDescent="0.2">
      <c r="B4666" s="2">
        <f ca="1"/>
        <v>0.77801784807313723</v>
      </c>
      <c r="O4666" s="2">
        <f ca="1"/>
        <v>0.10325369540172193</v>
      </c>
      <c r="X4666" s="2">
        <f ca="1"/>
        <v>44.57479189260205</v>
      </c>
      <c r="AG4666" s="2">
        <f ca="1"/>
        <v>0.33123685050276253</v>
      </c>
      <c r="AH4666" s="2" t="str">
        <f ca="1"/>
        <v>OK</v>
      </c>
    </row>
    <row r="4667" spans="2:34" x14ac:dyDescent="0.2">
      <c r="B4667" s="2">
        <f ca="1"/>
        <v>0.22567715440495273</v>
      </c>
      <c r="O4667" s="2">
        <f ca="1"/>
        <v>-0.30726076365535843</v>
      </c>
      <c r="X4667" s="2">
        <f ca="1"/>
        <v>54.47610015355356</v>
      </c>
      <c r="AG4667" s="2">
        <f ca="1"/>
        <v>0.8854774349586072</v>
      </c>
      <c r="AH4667" s="2" t="str">
        <f ca="1"/>
        <v>Bad</v>
      </c>
    </row>
    <row r="4668" spans="2:34" x14ac:dyDescent="0.2">
      <c r="B4668" s="2">
        <f ca="1"/>
        <v>0.16753225670102823</v>
      </c>
      <c r="O4668" s="2">
        <f ca="1"/>
        <v>-0.27041360437452683</v>
      </c>
      <c r="X4668" s="2">
        <f ca="1"/>
        <v>45.027115649008522</v>
      </c>
      <c r="AG4668" s="2">
        <f ca="1"/>
        <v>0.32193426959808424</v>
      </c>
      <c r="AH4668" s="2" t="str">
        <f ca="1"/>
        <v>OK</v>
      </c>
    </row>
    <row r="4669" spans="2:34" x14ac:dyDescent="0.2">
      <c r="B4669" s="2">
        <f ca="1"/>
        <v>0.23735221811260243</v>
      </c>
      <c r="O4669" s="2">
        <f ca="1"/>
        <v>-0.13620282678658618</v>
      </c>
      <c r="X4669" s="2">
        <f ca="1"/>
        <v>64.214467092557626</v>
      </c>
      <c r="AG4669" s="2">
        <f ca="1"/>
        <v>0.95078129702100145</v>
      </c>
      <c r="AH4669" s="2" t="str">
        <f ca="1"/>
        <v>Bad</v>
      </c>
    </row>
    <row r="4670" spans="2:34" x14ac:dyDescent="0.2">
      <c r="B4670" s="2">
        <f ca="1"/>
        <v>0.67624842425646725</v>
      </c>
      <c r="O4670" s="2">
        <f ca="1"/>
        <v>0.63788324251921003</v>
      </c>
      <c r="X4670" s="2">
        <f ca="1"/>
        <v>40.114954634065931</v>
      </c>
      <c r="AG4670" s="2">
        <f ca="1"/>
        <v>0.51681024415412002</v>
      </c>
      <c r="AH4670" s="2" t="str">
        <f ca="1"/>
        <v>Bad</v>
      </c>
    </row>
    <row r="4671" spans="2:34" x14ac:dyDescent="0.2">
      <c r="B4671" s="2">
        <f ca="1"/>
        <v>0.22647728135206324</v>
      </c>
      <c r="O4671" s="2">
        <f ca="1"/>
        <v>-1.1848270869559363</v>
      </c>
      <c r="X4671" s="2">
        <f ca="1"/>
        <v>34.521086777896038</v>
      </c>
      <c r="AG4671" s="2">
        <f ca="1"/>
        <v>0.70091471636245384</v>
      </c>
      <c r="AH4671" s="2" t="str">
        <f ca="1"/>
        <v>Bad</v>
      </c>
    </row>
    <row r="4672" spans="2:34" x14ac:dyDescent="0.2">
      <c r="B4672" s="2">
        <f ca="1"/>
        <v>0.57932452242731691</v>
      </c>
      <c r="O4672" s="2">
        <f ca="1"/>
        <v>-0.14388626594664389</v>
      </c>
      <c r="X4672" s="2">
        <f ca="1"/>
        <v>68.497148960046758</v>
      </c>
      <c r="AG4672" s="2">
        <f ca="1"/>
        <v>0.50797592240227285</v>
      </c>
      <c r="AH4672" s="2" t="str">
        <f ca="1"/>
        <v>Bad</v>
      </c>
    </row>
    <row r="4673" spans="2:34" x14ac:dyDescent="0.2">
      <c r="B4673" s="2">
        <f ca="1"/>
        <v>0.79395673182985127</v>
      </c>
      <c r="O4673" s="2">
        <f ca="1"/>
        <v>1.4462210334597461</v>
      </c>
      <c r="X4673" s="2">
        <f ca="1"/>
        <v>32.183804274690189</v>
      </c>
      <c r="AG4673" s="2">
        <f ca="1"/>
        <v>0.95612800593250724</v>
      </c>
      <c r="AH4673" s="2" t="str">
        <f ca="1"/>
        <v>Bad</v>
      </c>
    </row>
    <row r="4674" spans="2:34" x14ac:dyDescent="0.2">
      <c r="B4674" s="2">
        <f ca="1"/>
        <v>0.21850374819546925</v>
      </c>
      <c r="O4674" s="2">
        <f ca="1"/>
        <v>-0.44193277306903017</v>
      </c>
      <c r="X4674" s="2">
        <f ca="1"/>
        <v>20.22234869676528</v>
      </c>
      <c r="AG4674" s="2">
        <f ca="1"/>
        <v>2.4082127811442255E-4</v>
      </c>
      <c r="AH4674" s="2" t="str">
        <f ca="1"/>
        <v>Good</v>
      </c>
    </row>
    <row r="4675" spans="2:34" x14ac:dyDescent="0.2">
      <c r="B4675" s="2">
        <f ca="1"/>
        <v>6.2493900698703753E-2</v>
      </c>
      <c r="O4675" s="2">
        <f ca="1"/>
        <v>0.12917176690602819</v>
      </c>
      <c r="X4675" s="2">
        <f ca="1"/>
        <v>35.312743791639456</v>
      </c>
      <c r="AG4675" s="2">
        <f ca="1"/>
        <v>0.17495732666818054</v>
      </c>
      <c r="AH4675" s="2" t="str">
        <f ca="1"/>
        <v>OK</v>
      </c>
    </row>
    <row r="4676" spans="2:34" x14ac:dyDescent="0.2">
      <c r="B4676" s="2">
        <f ca="1"/>
        <v>0.16610054944462882</v>
      </c>
      <c r="O4676" s="2">
        <f ca="1"/>
        <v>0.54968608723264167</v>
      </c>
      <c r="X4676" s="2">
        <f ca="1"/>
        <v>49.456601633121771</v>
      </c>
      <c r="AG4676" s="2">
        <f ca="1"/>
        <v>0.85013612583208342</v>
      </c>
      <c r="AH4676" s="2" t="str">
        <f ca="1"/>
        <v>Bad</v>
      </c>
    </row>
    <row r="4677" spans="2:34" x14ac:dyDescent="0.2">
      <c r="B4677" s="2">
        <f ca="1"/>
        <v>0.89899781815111091</v>
      </c>
      <c r="O4677" s="2">
        <f ca="1"/>
        <v>0.92785722095058654</v>
      </c>
      <c r="X4677" s="2">
        <f ca="1"/>
        <v>59.967139671956815</v>
      </c>
      <c r="AG4677" s="2">
        <f ca="1"/>
        <v>6.4154476306192976E-2</v>
      </c>
      <c r="AH4677" s="2" t="str">
        <f ca="1"/>
        <v>OK</v>
      </c>
    </row>
    <row r="4678" spans="2:34" x14ac:dyDescent="0.2">
      <c r="B4678" s="2">
        <f ca="1"/>
        <v>0.20287714741907048</v>
      </c>
      <c r="O4678" s="2">
        <f ca="1"/>
        <v>-0.27837825409838157</v>
      </c>
      <c r="X4678" s="2">
        <f ca="1"/>
        <v>22.621547041991661</v>
      </c>
      <c r="AG4678" s="2">
        <f ca="1"/>
        <v>0.48327852543727712</v>
      </c>
      <c r="AH4678" s="2" t="str">
        <f ca="1"/>
        <v>Bad</v>
      </c>
    </row>
    <row r="4679" spans="2:34" x14ac:dyDescent="0.2">
      <c r="B4679" s="2">
        <f ca="1"/>
        <v>0.94000051377841731</v>
      </c>
      <c r="O4679" s="2">
        <f ca="1"/>
        <v>0.22295652696227036</v>
      </c>
      <c r="X4679" s="2">
        <f ca="1"/>
        <v>67.579818283484784</v>
      </c>
      <c r="AG4679" s="2">
        <f ca="1"/>
        <v>0.98835055386584258</v>
      </c>
      <c r="AH4679" s="2" t="str">
        <f ca="1"/>
        <v>Bad</v>
      </c>
    </row>
    <row r="4680" spans="2:34" x14ac:dyDescent="0.2">
      <c r="B4680" s="2">
        <f ca="1"/>
        <v>0.48599334658308146</v>
      </c>
      <c r="O4680" s="2">
        <f ca="1"/>
        <v>-0.20555998857311944</v>
      </c>
      <c r="X4680" s="2">
        <f ca="1"/>
        <v>60.186825868686249</v>
      </c>
      <c r="AG4680" s="2">
        <f ca="1"/>
        <v>0.18759673790777964</v>
      </c>
      <c r="AH4680" s="2" t="str">
        <f ca="1"/>
        <v>OK</v>
      </c>
    </row>
    <row r="4681" spans="2:34" x14ac:dyDescent="0.2">
      <c r="B4681" s="2">
        <f ca="1"/>
        <v>0.32477029460058637</v>
      </c>
      <c r="O4681" s="2">
        <f ca="1"/>
        <v>1.132457821657048</v>
      </c>
      <c r="X4681" s="2">
        <f ca="1"/>
        <v>30.812418970445595</v>
      </c>
      <c r="AG4681" s="2">
        <f ca="1"/>
        <v>0.78020592733104155</v>
      </c>
      <c r="AH4681" s="2" t="str">
        <f ca="1"/>
        <v>Bad</v>
      </c>
    </row>
    <row r="4682" spans="2:34" x14ac:dyDescent="0.2">
      <c r="B4682" s="2">
        <f ca="1"/>
        <v>0.38350818255880603</v>
      </c>
      <c r="O4682" s="2">
        <f ca="1"/>
        <v>-2.9979317510877186</v>
      </c>
      <c r="X4682" s="2">
        <f ca="1"/>
        <v>49.751376208278025</v>
      </c>
      <c r="AG4682" s="2">
        <f ca="1"/>
        <v>0.98822551947040127</v>
      </c>
      <c r="AH4682" s="2" t="str">
        <f ca="1"/>
        <v>Bad</v>
      </c>
    </row>
    <row r="4683" spans="2:34" x14ac:dyDescent="0.2">
      <c r="B4683" s="2">
        <f ca="1"/>
        <v>0.9022803148425913</v>
      </c>
      <c r="O4683" s="2">
        <f ca="1"/>
        <v>0.87794261143627639</v>
      </c>
      <c r="X4683" s="2">
        <f ca="1"/>
        <v>91.251648125501688</v>
      </c>
      <c r="AG4683" s="2">
        <f ca="1"/>
        <v>0.45141370887679888</v>
      </c>
      <c r="AH4683" s="2" t="str">
        <f ca="1"/>
        <v>Bad</v>
      </c>
    </row>
    <row r="4684" spans="2:34" x14ac:dyDescent="0.2">
      <c r="B4684" s="2">
        <f ca="1"/>
        <v>3.4320347540093055E-2</v>
      </c>
      <c r="O4684" s="2">
        <f ca="1"/>
        <v>0.99376467047244288</v>
      </c>
      <c r="X4684" s="2">
        <f ca="1"/>
        <v>30.071588788367897</v>
      </c>
      <c r="AG4684" s="2">
        <f ca="1"/>
        <v>0.64630491606177598</v>
      </c>
      <c r="AH4684" s="2" t="str">
        <f ca="1"/>
        <v>Bad</v>
      </c>
    </row>
    <row r="4685" spans="2:34" x14ac:dyDescent="0.2">
      <c r="B4685" s="2">
        <f ca="1"/>
        <v>0.2910138055989957</v>
      </c>
      <c r="O4685" s="2">
        <f ca="1"/>
        <v>1.8113613046837762</v>
      </c>
      <c r="X4685" s="2">
        <f ca="1"/>
        <v>51.904145668668548</v>
      </c>
      <c r="AG4685" s="2">
        <f ca="1"/>
        <v>8.6964141837937436E-2</v>
      </c>
      <c r="AH4685" s="2" t="str">
        <f ca="1"/>
        <v>OK</v>
      </c>
    </row>
    <row r="4686" spans="2:34" x14ac:dyDescent="0.2">
      <c r="B4686" s="2">
        <f ca="1"/>
        <v>0.32730088962139603</v>
      </c>
      <c r="O4686" s="2">
        <f ca="1"/>
        <v>-0.44844659332104331</v>
      </c>
      <c r="X4686" s="2">
        <f ca="1"/>
        <v>85.447223343363149</v>
      </c>
      <c r="AG4686" s="2">
        <f ca="1"/>
        <v>0.85531776335616327</v>
      </c>
      <c r="AH4686" s="2" t="str">
        <f ca="1"/>
        <v>Bad</v>
      </c>
    </row>
    <row r="4687" spans="2:34" x14ac:dyDescent="0.2">
      <c r="B4687" s="2">
        <f ca="1"/>
        <v>0.19705122113589701</v>
      </c>
      <c r="O4687" s="2">
        <f ca="1"/>
        <v>-0.53723903945261053</v>
      </c>
      <c r="X4687" s="2">
        <f ca="1"/>
        <v>58.74146698821697</v>
      </c>
      <c r="AG4687" s="2">
        <f ca="1"/>
        <v>0.28670544402205778</v>
      </c>
      <c r="AH4687" s="2" t="str">
        <f ca="1"/>
        <v>OK</v>
      </c>
    </row>
    <row r="4688" spans="2:34" x14ac:dyDescent="0.2">
      <c r="B4688" s="2">
        <f ca="1"/>
        <v>0.31509055451747958</v>
      </c>
      <c r="O4688" s="2">
        <f ca="1"/>
        <v>1.1398608933807717</v>
      </c>
      <c r="X4688" s="2">
        <f ca="1"/>
        <v>40.053920818089495</v>
      </c>
      <c r="AG4688" s="2">
        <f ca="1"/>
        <v>0.34918585190800222</v>
      </c>
      <c r="AH4688" s="2" t="str">
        <f ca="1"/>
        <v>OK</v>
      </c>
    </row>
    <row r="4689" spans="2:34" x14ac:dyDescent="0.2">
      <c r="B4689" s="2">
        <f ca="1"/>
        <v>0.25387399973298996</v>
      </c>
      <c r="O4689" s="2">
        <f ca="1"/>
        <v>-0.43569344570847657</v>
      </c>
      <c r="X4689" s="2">
        <f ca="1"/>
        <v>64.58773024684325</v>
      </c>
      <c r="AG4689" s="2">
        <f ca="1"/>
        <v>0.95117177584113</v>
      </c>
      <c r="AH4689" s="2" t="str">
        <f ca="1"/>
        <v>Bad</v>
      </c>
    </row>
    <row r="4690" spans="2:34" x14ac:dyDescent="0.2">
      <c r="B4690" s="2">
        <f ca="1"/>
        <v>0.70383211536084866</v>
      </c>
      <c r="O4690" s="2">
        <f ca="1"/>
        <v>-0.86366847480067865</v>
      </c>
      <c r="X4690" s="2">
        <f ca="1"/>
        <v>47.567035798871267</v>
      </c>
      <c r="AG4690" s="2">
        <f ca="1"/>
        <v>0.38857239628893958</v>
      </c>
      <c r="AH4690" s="2" t="str">
        <f ca="1"/>
        <v>OK</v>
      </c>
    </row>
    <row r="4691" spans="2:34" x14ac:dyDescent="0.2">
      <c r="B4691" s="2">
        <f ca="1"/>
        <v>7.4685837464382177E-2</v>
      </c>
      <c r="O4691" s="2">
        <f ca="1"/>
        <v>9.8707366383628762E-3</v>
      </c>
      <c r="X4691" s="2">
        <f ca="1"/>
        <v>48.817122480811513</v>
      </c>
      <c r="AG4691" s="2">
        <f ca="1"/>
        <v>6.0444591950767679E-2</v>
      </c>
      <c r="AH4691" s="2" t="str">
        <f ca="1"/>
        <v>OK</v>
      </c>
    </row>
    <row r="4692" spans="2:34" x14ac:dyDescent="0.2">
      <c r="B4692" s="2">
        <f ca="1"/>
        <v>0.32723320273387202</v>
      </c>
      <c r="O4692" s="2">
        <f ca="1"/>
        <v>-0.22816436173166191</v>
      </c>
      <c r="X4692" s="2">
        <f ca="1"/>
        <v>52.850659917371871</v>
      </c>
      <c r="AG4692" s="2">
        <f ca="1"/>
        <v>0.14665722785461077</v>
      </c>
      <c r="AH4692" s="2" t="str">
        <f ca="1"/>
        <v>OK</v>
      </c>
    </row>
    <row r="4693" spans="2:34" x14ac:dyDescent="0.2">
      <c r="B4693" s="2">
        <f ca="1"/>
        <v>0.50059694137442556</v>
      </c>
      <c r="O4693" s="2">
        <f ca="1"/>
        <v>-0.76874636103368088</v>
      </c>
      <c r="X4693" s="2">
        <f ca="1"/>
        <v>68.772566387220706</v>
      </c>
      <c r="AG4693" s="2">
        <f ca="1"/>
        <v>0.3156501130524465</v>
      </c>
      <c r="AH4693" s="2" t="str">
        <f ca="1"/>
        <v>OK</v>
      </c>
    </row>
    <row r="4694" spans="2:34" x14ac:dyDescent="0.2">
      <c r="B4694" s="2">
        <f ca="1"/>
        <v>0.75453813054425822</v>
      </c>
      <c r="O4694" s="2">
        <f ca="1"/>
        <v>-0.66750472361270408</v>
      </c>
      <c r="X4694" s="2">
        <f ca="1"/>
        <v>40.620895034732705</v>
      </c>
      <c r="AG4694" s="2">
        <f ca="1"/>
        <v>0.37222300640666917</v>
      </c>
      <c r="AH4694" s="2" t="str">
        <f ca="1"/>
        <v>OK</v>
      </c>
    </row>
    <row r="4695" spans="2:34" x14ac:dyDescent="0.2">
      <c r="B4695" s="2">
        <f ca="1"/>
        <v>0.50091874380986923</v>
      </c>
      <c r="O4695" s="2">
        <f ca="1"/>
        <v>-0.65841638861388574</v>
      </c>
      <c r="X4695" s="2">
        <f ca="1"/>
        <v>69.776627724243795</v>
      </c>
      <c r="AG4695" s="2">
        <f ca="1"/>
        <v>0.5658417629241701</v>
      </c>
      <c r="AH4695" s="2" t="str">
        <f ca="1"/>
        <v>Bad</v>
      </c>
    </row>
    <row r="4696" spans="2:34" x14ac:dyDescent="0.2">
      <c r="B4696" s="2">
        <f ca="1"/>
        <v>0.88161660351097049</v>
      </c>
      <c r="O4696" s="2">
        <f ca="1"/>
        <v>0.10642100332723556</v>
      </c>
      <c r="X4696" s="2">
        <f ca="1"/>
        <v>43.893217919035415</v>
      </c>
      <c r="AG4696" s="2">
        <f ca="1"/>
        <v>0.40548280077156962</v>
      </c>
      <c r="AH4696" s="2" t="str">
        <f ca="1"/>
        <v>Bad</v>
      </c>
    </row>
    <row r="4697" spans="2:34" x14ac:dyDescent="0.2">
      <c r="B4697" s="2">
        <f ca="1"/>
        <v>0.6760649467534845</v>
      </c>
      <c r="O4697" s="2">
        <f ca="1"/>
        <v>-1.1139298678938738</v>
      </c>
      <c r="X4697" s="2">
        <f ca="1"/>
        <v>70.270296839997584</v>
      </c>
      <c r="AG4697" s="2">
        <f ca="1"/>
        <v>0.71700969066553322</v>
      </c>
      <c r="AH4697" s="2" t="str">
        <f ca="1"/>
        <v>Bad</v>
      </c>
    </row>
    <row r="4698" spans="2:34" x14ac:dyDescent="0.2">
      <c r="B4698" s="2">
        <f ca="1"/>
        <v>0.49502763940105177</v>
      </c>
      <c r="O4698" s="2">
        <f ca="1"/>
        <v>-1.4037441195931672</v>
      </c>
      <c r="X4698" s="2">
        <f ca="1"/>
        <v>93.068999829224708</v>
      </c>
      <c r="AG4698" s="2">
        <f ca="1"/>
        <v>0.67430394082026579</v>
      </c>
      <c r="AH4698" s="2" t="str">
        <f ca="1"/>
        <v>Bad</v>
      </c>
    </row>
    <row r="4699" spans="2:34" x14ac:dyDescent="0.2">
      <c r="B4699" s="2">
        <f ca="1"/>
        <v>0.67094316393881526</v>
      </c>
      <c r="O4699" s="2">
        <f ca="1"/>
        <v>0.72420828981839003</v>
      </c>
      <c r="X4699" s="2">
        <f ca="1"/>
        <v>57.329996827340779</v>
      </c>
      <c r="AG4699" s="2">
        <f ca="1"/>
        <v>0.59910861934492088</v>
      </c>
      <c r="AH4699" s="2" t="str">
        <f ca="1"/>
        <v>Bad</v>
      </c>
    </row>
    <row r="4700" spans="2:34" x14ac:dyDescent="0.2">
      <c r="B4700" s="2">
        <f ca="1"/>
        <v>0.83602869389005274</v>
      </c>
      <c r="O4700" s="2">
        <f ca="1"/>
        <v>1.8426403487325087</v>
      </c>
      <c r="X4700" s="2">
        <f ca="1"/>
        <v>30.46339418289007</v>
      </c>
      <c r="AG4700" s="2">
        <f ca="1"/>
        <v>0.22841841194688461</v>
      </c>
      <c r="AH4700" s="2" t="str">
        <f ca="1"/>
        <v>OK</v>
      </c>
    </row>
    <row r="4701" spans="2:34" x14ac:dyDescent="0.2">
      <c r="B4701" s="2">
        <f ca="1"/>
        <v>0.30579034904145108</v>
      </c>
      <c r="O4701" s="2">
        <f ca="1"/>
        <v>-9.8514219814008541E-2</v>
      </c>
      <c r="X4701" s="2">
        <f ca="1"/>
        <v>42.414822092450635</v>
      </c>
      <c r="AG4701" s="2">
        <f ca="1"/>
        <v>0.61991359698738124</v>
      </c>
      <c r="AH4701" s="2" t="str">
        <f ca="1"/>
        <v>Bad</v>
      </c>
    </row>
    <row r="4702" spans="2:34" x14ac:dyDescent="0.2">
      <c r="B4702" s="2">
        <f ca="1"/>
        <v>0.90014490473810183</v>
      </c>
      <c r="O4702" s="2">
        <f ca="1"/>
        <v>1.3380568342180217</v>
      </c>
      <c r="X4702" s="2">
        <f ca="1"/>
        <v>25.78394859909303</v>
      </c>
      <c r="AG4702" s="2">
        <f ca="1"/>
        <v>0.23405674478584038</v>
      </c>
      <c r="AH4702" s="2" t="str">
        <f ca="1"/>
        <v>OK</v>
      </c>
    </row>
    <row r="4703" spans="2:34" x14ac:dyDescent="0.2">
      <c r="B4703" s="2">
        <f ca="1"/>
        <v>0.39294256984018605</v>
      </c>
      <c r="O4703" s="2">
        <f ca="1"/>
        <v>-0.44009033428101668</v>
      </c>
      <c r="X4703" s="2">
        <f ca="1"/>
        <v>47.897232179486757</v>
      </c>
      <c r="AG4703" s="2">
        <f ca="1"/>
        <v>0.41754317810688923</v>
      </c>
      <c r="AH4703" s="2" t="str">
        <f ca="1"/>
        <v>Bad</v>
      </c>
    </row>
    <row r="4704" spans="2:34" x14ac:dyDescent="0.2">
      <c r="B4704" s="2">
        <f ca="1"/>
        <v>0.60852980493026454</v>
      </c>
      <c r="O4704" s="2">
        <f ca="1"/>
        <v>-0.76584067742989204</v>
      </c>
      <c r="X4704" s="2">
        <f ca="1"/>
        <v>62.755892347103938</v>
      </c>
      <c r="AG4704" s="2">
        <f ca="1"/>
        <v>0.84545229176623127</v>
      </c>
      <c r="AH4704" s="2" t="str">
        <f ca="1"/>
        <v>Bad</v>
      </c>
    </row>
    <row r="4705" spans="2:34" x14ac:dyDescent="0.2">
      <c r="B4705" s="2">
        <f ca="1"/>
        <v>0.82582160501702817</v>
      </c>
      <c r="O4705" s="2">
        <f ca="1"/>
        <v>-1.3275218973070879</v>
      </c>
      <c r="X4705" s="2">
        <f ca="1"/>
        <v>44.697039540872822</v>
      </c>
      <c r="AG4705" s="2">
        <f ca="1"/>
        <v>0.59734929390414648</v>
      </c>
      <c r="AH4705" s="2" t="str">
        <f ca="1"/>
        <v>Bad</v>
      </c>
    </row>
    <row r="4706" spans="2:34" x14ac:dyDescent="0.2">
      <c r="B4706" s="2">
        <f ca="1"/>
        <v>0.2737457743222349</v>
      </c>
      <c r="O4706" s="2">
        <f ca="1"/>
        <v>0.1521571486048659</v>
      </c>
      <c r="X4706" s="2">
        <f ca="1"/>
        <v>46.860162884398022</v>
      </c>
      <c r="AG4706" s="2">
        <f ca="1"/>
        <v>0.89358799553333057</v>
      </c>
      <c r="AH4706" s="2" t="str">
        <f ca="1"/>
        <v>Bad</v>
      </c>
    </row>
    <row r="4707" spans="2:34" x14ac:dyDescent="0.2">
      <c r="B4707" s="2">
        <f ca="1"/>
        <v>0.76110404898402217</v>
      </c>
      <c r="O4707" s="2">
        <f ca="1"/>
        <v>-0.41303117095351588</v>
      </c>
      <c r="X4707" s="2">
        <f ca="1"/>
        <v>35.161401165422099</v>
      </c>
      <c r="AG4707" s="2">
        <f ca="1"/>
        <v>0.87424571394892991</v>
      </c>
      <c r="AH4707" s="2" t="str">
        <f ca="1"/>
        <v>Bad</v>
      </c>
    </row>
    <row r="4708" spans="2:34" x14ac:dyDescent="0.2">
      <c r="B4708" s="2">
        <f ca="1"/>
        <v>0.1881396669347799</v>
      </c>
      <c r="O4708" s="2">
        <f ca="1"/>
        <v>0.96876422086712621</v>
      </c>
      <c r="X4708" s="2">
        <f ca="1"/>
        <v>68.342668747794789</v>
      </c>
      <c r="AG4708" s="2">
        <f ca="1"/>
        <v>0.49449122959221281</v>
      </c>
      <c r="AH4708" s="2" t="str">
        <f ca="1"/>
        <v>Bad</v>
      </c>
    </row>
    <row r="4709" spans="2:34" x14ac:dyDescent="0.2">
      <c r="B4709" s="2">
        <f ca="1"/>
        <v>0.66908791746312191</v>
      </c>
      <c r="O4709" s="2">
        <f ca="1"/>
        <v>-1.7118796569440049</v>
      </c>
      <c r="X4709" s="2">
        <f ca="1"/>
        <v>68.436665337116935</v>
      </c>
      <c r="AG4709" s="2">
        <f ca="1"/>
        <v>0.77438347098820981</v>
      </c>
      <c r="AH4709" s="2" t="str">
        <f ca="1"/>
        <v>Bad</v>
      </c>
    </row>
    <row r="4710" spans="2:34" x14ac:dyDescent="0.2">
      <c r="B4710" s="2">
        <f ca="1"/>
        <v>0.8246387697058557</v>
      </c>
      <c r="O4710" s="2">
        <f ca="1"/>
        <v>5.1353841101270323E-2</v>
      </c>
      <c r="X4710" s="2">
        <f ca="1"/>
        <v>61.438054983571007</v>
      </c>
      <c r="AG4710" s="2">
        <f ca="1"/>
        <v>0.6543208525182469</v>
      </c>
      <c r="AH4710" s="2" t="str">
        <f ca="1"/>
        <v>Bad</v>
      </c>
    </row>
    <row r="4711" spans="2:34" x14ac:dyDescent="0.2">
      <c r="B4711" s="2">
        <f ca="1"/>
        <v>0.85516130511381361</v>
      </c>
      <c r="O4711" s="2">
        <f ca="1"/>
        <v>-2.2803190427465139</v>
      </c>
      <c r="X4711" s="2">
        <f ca="1"/>
        <v>43.421424902869731</v>
      </c>
      <c r="AG4711" s="2">
        <f ca="1"/>
        <v>0.68374431168040894</v>
      </c>
      <c r="AH4711" s="2" t="str">
        <f ca="1"/>
        <v>Bad</v>
      </c>
    </row>
    <row r="4712" spans="2:34" x14ac:dyDescent="0.2">
      <c r="B4712" s="2">
        <f ca="1"/>
        <v>0.20814228428033532</v>
      </c>
      <c r="O4712" s="2">
        <f ca="1"/>
        <v>0.46497944804288271</v>
      </c>
      <c r="X4712" s="2">
        <f ca="1"/>
        <v>71.741466140464595</v>
      </c>
      <c r="AG4712" s="2">
        <f ca="1"/>
        <v>0.88203282404643302</v>
      </c>
      <c r="AH4712" s="2" t="str">
        <f ca="1"/>
        <v>Bad</v>
      </c>
    </row>
    <row r="4713" spans="2:34" x14ac:dyDescent="0.2">
      <c r="B4713" s="2">
        <f ca="1"/>
        <v>0.95188284032946058</v>
      </c>
      <c r="O4713" s="2">
        <f ca="1"/>
        <v>-1.2990687429829539</v>
      </c>
      <c r="X4713" s="2">
        <f ca="1"/>
        <v>85.727940558827186</v>
      </c>
      <c r="AG4713" s="2">
        <f ca="1"/>
        <v>0.76705412035358611</v>
      </c>
      <c r="AH4713" s="2" t="str">
        <f ca="1"/>
        <v>Bad</v>
      </c>
    </row>
    <row r="4714" spans="2:34" x14ac:dyDescent="0.2">
      <c r="B4714" s="2">
        <f ca="1"/>
        <v>0.16194242787799884</v>
      </c>
      <c r="O4714" s="2">
        <f ca="1"/>
        <v>1.138091682600554</v>
      </c>
      <c r="X4714" s="2">
        <f ca="1"/>
        <v>71.814336352612457</v>
      </c>
      <c r="AG4714" s="2">
        <f ca="1"/>
        <v>0.39777671732302489</v>
      </c>
      <c r="AH4714" s="2" t="str">
        <f ca="1"/>
        <v>OK</v>
      </c>
    </row>
    <row r="4715" spans="2:34" x14ac:dyDescent="0.2">
      <c r="B4715" s="2">
        <f ca="1"/>
        <v>0.33474150623054255</v>
      </c>
      <c r="O4715" s="2">
        <f ca="1"/>
        <v>0.10589950394356995</v>
      </c>
      <c r="X4715" s="2">
        <f ca="1"/>
        <v>36.367747824036691</v>
      </c>
      <c r="AG4715" s="2">
        <f ca="1"/>
        <v>0.57886271452744165</v>
      </c>
      <c r="AH4715" s="2" t="str">
        <f ca="1"/>
        <v>Bad</v>
      </c>
    </row>
    <row r="4716" spans="2:34" x14ac:dyDescent="0.2">
      <c r="B4716" s="2">
        <f ca="1"/>
        <v>0.44778146642321026</v>
      </c>
      <c r="O4716" s="2">
        <f ca="1"/>
        <v>0.4751628980989277</v>
      </c>
      <c r="X4716" s="2">
        <f ca="1"/>
        <v>48.437966465114144</v>
      </c>
      <c r="AG4716" s="2">
        <f ca="1"/>
        <v>0.48399612081392429</v>
      </c>
      <c r="AH4716" s="2" t="str">
        <f ca="1"/>
        <v>Bad</v>
      </c>
    </row>
    <row r="4717" spans="2:34" x14ac:dyDescent="0.2">
      <c r="B4717" s="2">
        <f ca="1"/>
        <v>0.92767288216269983</v>
      </c>
      <c r="O4717" s="2">
        <f ca="1"/>
        <v>0.23840358339137085</v>
      </c>
      <c r="X4717" s="2">
        <f ca="1"/>
        <v>71.390030926905027</v>
      </c>
      <c r="AG4717" s="2">
        <f ca="1"/>
        <v>0.65782533981270719</v>
      </c>
      <c r="AH4717" s="2" t="str">
        <f ca="1"/>
        <v>Bad</v>
      </c>
    </row>
    <row r="4718" spans="2:34" x14ac:dyDescent="0.2">
      <c r="B4718" s="2">
        <f ca="1"/>
        <v>0.45758540839725192</v>
      </c>
      <c r="O4718" s="2">
        <f ca="1"/>
        <v>-0.91869660273969789</v>
      </c>
      <c r="X4718" s="2">
        <f ca="1"/>
        <v>63.858731232064734</v>
      </c>
      <c r="AG4718" s="2">
        <f ca="1"/>
        <v>0.87020989155882678</v>
      </c>
      <c r="AH4718" s="2" t="str">
        <f ca="1"/>
        <v>Bad</v>
      </c>
    </row>
    <row r="4719" spans="2:34" x14ac:dyDescent="0.2">
      <c r="B4719" s="2">
        <f ca="1"/>
        <v>0.56505839105013211</v>
      </c>
      <c r="O4719" s="2">
        <f ca="1"/>
        <v>-5.1697936324242119E-2</v>
      </c>
      <c r="X4719" s="2">
        <f ca="1"/>
        <v>51.883009583410924</v>
      </c>
      <c r="AG4719" s="2">
        <f ca="1"/>
        <v>0.80546481713626372</v>
      </c>
      <c r="AH4719" s="2" t="str">
        <f ca="1"/>
        <v>Bad</v>
      </c>
    </row>
    <row r="4720" spans="2:34" x14ac:dyDescent="0.2">
      <c r="B4720" s="2">
        <f ca="1"/>
        <v>0.43710042445105635</v>
      </c>
      <c r="O4720" s="2">
        <f ca="1"/>
        <v>-0.75457032592304851</v>
      </c>
      <c r="X4720" s="2">
        <f ca="1"/>
        <v>66.769071306066792</v>
      </c>
      <c r="AG4720" s="2">
        <f ca="1"/>
        <v>0.53701725372250753</v>
      </c>
      <c r="AH4720" s="2" t="str">
        <f ca="1"/>
        <v>Bad</v>
      </c>
    </row>
    <row r="4721" spans="2:34" x14ac:dyDescent="0.2">
      <c r="B4721" s="2">
        <f ca="1"/>
        <v>3.7642876801317504E-2</v>
      </c>
      <c r="O4721" s="2">
        <f ca="1"/>
        <v>0.95881077521648017</v>
      </c>
      <c r="X4721" s="2">
        <f ca="1"/>
        <v>48.504606687668172</v>
      </c>
      <c r="AG4721" s="2">
        <f ca="1"/>
        <v>0.35700951265576353</v>
      </c>
      <c r="AH4721" s="2" t="str">
        <f ca="1"/>
        <v>OK</v>
      </c>
    </row>
    <row r="4722" spans="2:34" x14ac:dyDescent="0.2">
      <c r="B4722" s="2">
        <f ca="1"/>
        <v>0.63118068183846909</v>
      </c>
      <c r="O4722" s="2">
        <f ca="1"/>
        <v>-0.38605022762487923</v>
      </c>
      <c r="X4722" s="2">
        <f ca="1"/>
        <v>52.461479841978885</v>
      </c>
      <c r="AG4722" s="2">
        <f ca="1"/>
        <v>0.96851458442147509</v>
      </c>
      <c r="AH4722" s="2" t="str">
        <f ca="1"/>
        <v>Bad</v>
      </c>
    </row>
    <row r="4723" spans="2:34" x14ac:dyDescent="0.2">
      <c r="B4723" s="2">
        <f ca="1"/>
        <v>0.45933149314810207</v>
      </c>
      <c r="O4723" s="2">
        <f ca="1"/>
        <v>0.50027146027076597</v>
      </c>
      <c r="X4723" s="2">
        <f ca="1"/>
        <v>77.661660801946496</v>
      </c>
      <c r="AG4723" s="2">
        <f ca="1"/>
        <v>0.78384502529971845</v>
      </c>
      <c r="AH4723" s="2" t="str">
        <f ca="1"/>
        <v>Bad</v>
      </c>
    </row>
    <row r="4724" spans="2:34" x14ac:dyDescent="0.2">
      <c r="B4724" s="2">
        <f ca="1"/>
        <v>0.7373394523196386</v>
      </c>
      <c r="O4724" s="2">
        <f ca="1"/>
        <v>3.2547616895493001E-2</v>
      </c>
      <c r="X4724" s="2">
        <f ca="1"/>
        <v>70.44004296273728</v>
      </c>
      <c r="AG4724" s="2">
        <f ca="1"/>
        <v>0.38145618215139976</v>
      </c>
      <c r="AH4724" s="2" t="str">
        <f ca="1"/>
        <v>OK</v>
      </c>
    </row>
    <row r="4725" spans="2:34" x14ac:dyDescent="0.2">
      <c r="B4725" s="2">
        <f ca="1"/>
        <v>0.16199379556871629</v>
      </c>
      <c r="O4725" s="2">
        <f ca="1"/>
        <v>0.51049433391583343</v>
      </c>
      <c r="X4725" s="2">
        <f ca="1"/>
        <v>59.782543538923676</v>
      </c>
      <c r="AG4725" s="2">
        <f ca="1"/>
        <v>0.81169220792677277</v>
      </c>
      <c r="AH4725" s="2" t="str">
        <f ca="1"/>
        <v>Bad</v>
      </c>
    </row>
    <row r="4726" spans="2:34" x14ac:dyDescent="0.2">
      <c r="B4726" s="2">
        <f ca="1"/>
        <v>0.4452809981897301</v>
      </c>
      <c r="O4726" s="2">
        <f ca="1"/>
        <v>-1.5557435386025202</v>
      </c>
      <c r="X4726" s="2">
        <f ca="1"/>
        <v>36.174448213001696</v>
      </c>
      <c r="AG4726" s="2">
        <f ca="1"/>
        <v>0.50687346355952356</v>
      </c>
      <c r="AH4726" s="2" t="str">
        <f ca="1"/>
        <v>Bad</v>
      </c>
    </row>
    <row r="4727" spans="2:34" x14ac:dyDescent="0.2">
      <c r="B4727" s="2">
        <f ca="1"/>
        <v>0.64822660556203826</v>
      </c>
      <c r="O4727" s="2">
        <f ca="1"/>
        <v>7.2444867397758489E-2</v>
      </c>
      <c r="X4727" s="2">
        <f ca="1"/>
        <v>60.935619888724766</v>
      </c>
      <c r="AG4727" s="2">
        <f ca="1"/>
        <v>0.52839598389876397</v>
      </c>
      <c r="AH4727" s="2" t="str">
        <f ca="1"/>
        <v>Bad</v>
      </c>
    </row>
    <row r="4728" spans="2:34" x14ac:dyDescent="0.2">
      <c r="B4728" s="2">
        <f ca="1"/>
        <v>0.31090343415051058</v>
      </c>
      <c r="O4728" s="2">
        <f ca="1"/>
        <v>1.5626552003043959</v>
      </c>
      <c r="X4728" s="2">
        <f ca="1"/>
        <v>53.895437669511132</v>
      </c>
      <c r="AG4728" s="2">
        <f ca="1"/>
        <v>0.2342918007036825</v>
      </c>
      <c r="AH4728" s="2" t="str">
        <f ca="1"/>
        <v>OK</v>
      </c>
    </row>
    <row r="4729" spans="2:34" x14ac:dyDescent="0.2">
      <c r="B4729" s="2">
        <f ca="1"/>
        <v>7.3935785451871627E-2</v>
      </c>
      <c r="O4729" s="2">
        <f ca="1"/>
        <v>-0.1216954076801675</v>
      </c>
      <c r="X4729" s="2">
        <f ca="1"/>
        <v>82.754819581915484</v>
      </c>
      <c r="AG4729" s="2">
        <f ca="1"/>
        <v>0.33325143811491631</v>
      </c>
      <c r="AH4729" s="2" t="str">
        <f ca="1"/>
        <v>OK</v>
      </c>
    </row>
    <row r="4730" spans="2:34" x14ac:dyDescent="0.2">
      <c r="B4730" s="2">
        <f ca="1"/>
        <v>0.83465386622982884</v>
      </c>
      <c r="O4730" s="2">
        <f ca="1"/>
        <v>0.54494645517590545</v>
      </c>
      <c r="X4730" s="2">
        <f ca="1"/>
        <v>58.645202628966175</v>
      </c>
      <c r="AG4730" s="2">
        <f ca="1"/>
        <v>0.99172696337153421</v>
      </c>
      <c r="AH4730" s="2" t="str">
        <f ca="1"/>
        <v>Bad</v>
      </c>
    </row>
    <row r="4731" spans="2:34" x14ac:dyDescent="0.2">
      <c r="B4731" s="2">
        <f ca="1"/>
        <v>7.0603719184351377E-2</v>
      </c>
      <c r="O4731" s="2">
        <f ca="1"/>
        <v>0.18315371219769847</v>
      </c>
      <c r="X4731" s="2">
        <f ca="1"/>
        <v>35.006628801764379</v>
      </c>
      <c r="AG4731" s="2">
        <f ca="1"/>
        <v>0.47196335212938334</v>
      </c>
      <c r="AH4731" s="2" t="str">
        <f ca="1"/>
        <v>Bad</v>
      </c>
    </row>
    <row r="4732" spans="2:34" x14ac:dyDescent="0.2">
      <c r="B4732" s="2">
        <f ca="1"/>
        <v>0.55755933112472866</v>
      </c>
      <c r="O4732" s="2">
        <f ca="1"/>
        <v>1.8495703523035163</v>
      </c>
      <c r="X4732" s="2">
        <f ca="1"/>
        <v>52.26577284113965</v>
      </c>
      <c r="AG4732" s="2">
        <f ca="1"/>
        <v>0.96740117396365521</v>
      </c>
      <c r="AH4732" s="2" t="str">
        <f ca="1"/>
        <v>Bad</v>
      </c>
    </row>
    <row r="4733" spans="2:34" x14ac:dyDescent="0.2">
      <c r="B4733" s="2">
        <f ca="1"/>
        <v>0.67582592358111837</v>
      </c>
      <c r="O4733" s="2">
        <f ca="1"/>
        <v>-0.11621237866628482</v>
      </c>
      <c r="X4733" s="2">
        <f ca="1"/>
        <v>59.672088015251518</v>
      </c>
      <c r="AG4733" s="2">
        <f ca="1"/>
        <v>0.54431572620142465</v>
      </c>
      <c r="AH4733" s="2" t="str">
        <f ca="1"/>
        <v>Bad</v>
      </c>
    </row>
    <row r="4734" spans="2:34" x14ac:dyDescent="0.2">
      <c r="B4734" s="2">
        <f ca="1"/>
        <v>4.1062759080590094E-3</v>
      </c>
      <c r="O4734" s="2">
        <f ca="1"/>
        <v>1.3115364841717732</v>
      </c>
      <c r="X4734" s="2">
        <f ca="1"/>
        <v>42.036802252971498</v>
      </c>
      <c r="AG4734" s="2">
        <f ca="1"/>
        <v>0.45074074478071613</v>
      </c>
      <c r="AH4734" s="2" t="str">
        <f ca="1"/>
        <v>Bad</v>
      </c>
    </row>
    <row r="4735" spans="2:34" x14ac:dyDescent="0.2">
      <c r="B4735" s="2">
        <f ca="1"/>
        <v>0.53794533812318845</v>
      </c>
      <c r="O4735" s="2">
        <f ca="1"/>
        <v>1.4890563508964683</v>
      </c>
      <c r="X4735" s="2">
        <f ca="1"/>
        <v>44.843029309175435</v>
      </c>
      <c r="AG4735" s="2">
        <f ca="1"/>
        <v>8.4987425592960131E-2</v>
      </c>
      <c r="AH4735" s="2" t="str">
        <f ca="1"/>
        <v>OK</v>
      </c>
    </row>
    <row r="4736" spans="2:34" x14ac:dyDescent="0.2">
      <c r="B4736" s="2">
        <f ca="1"/>
        <v>0.65507030491758456</v>
      </c>
      <c r="O4736" s="2">
        <f ca="1"/>
        <v>-6.2127889281987148E-2</v>
      </c>
      <c r="X4736" s="2">
        <f ca="1"/>
        <v>53.988170935244391</v>
      </c>
      <c r="AG4736" s="2">
        <f ca="1"/>
        <v>0.94337148642234281</v>
      </c>
      <c r="AH4736" s="2" t="str">
        <f ca="1"/>
        <v>Bad</v>
      </c>
    </row>
    <row r="4737" spans="2:34" x14ac:dyDescent="0.2">
      <c r="B4737" s="2">
        <f ca="1"/>
        <v>0.24609263544301063</v>
      </c>
      <c r="O4737" s="2">
        <f ca="1"/>
        <v>-0.76620204452207019</v>
      </c>
      <c r="X4737" s="2">
        <f ca="1"/>
        <v>60.319846971954831</v>
      </c>
      <c r="AG4737" s="2">
        <f ca="1"/>
        <v>0.37350733965829708</v>
      </c>
      <c r="AH4737" s="2" t="str">
        <f ca="1"/>
        <v>OK</v>
      </c>
    </row>
    <row r="4738" spans="2:34" x14ac:dyDescent="0.2">
      <c r="B4738" s="2">
        <f ca="1"/>
        <v>0.13693812559437601</v>
      </c>
      <c r="O4738" s="2">
        <f ca="1"/>
        <v>-0.95658915047372162</v>
      </c>
      <c r="X4738" s="2">
        <f ca="1"/>
        <v>102.50352149590978</v>
      </c>
      <c r="AG4738" s="2">
        <f ca="1"/>
        <v>0.18187474808699022</v>
      </c>
      <c r="AH4738" s="2" t="str">
        <f ca="1"/>
        <v>OK</v>
      </c>
    </row>
    <row r="4739" spans="2:34" x14ac:dyDescent="0.2">
      <c r="B4739" s="2">
        <f ca="1"/>
        <v>0.13200928952035285</v>
      </c>
      <c r="O4739" s="2">
        <f ca="1"/>
        <v>1.4725872069386949</v>
      </c>
      <c r="X4739" s="2">
        <f ca="1"/>
        <v>55.464463309690302</v>
      </c>
      <c r="AG4739" s="2">
        <f ca="1"/>
        <v>0.94865290791863943</v>
      </c>
      <c r="AH4739" s="2" t="str">
        <f ca="1"/>
        <v>Bad</v>
      </c>
    </row>
    <row r="4740" spans="2:34" x14ac:dyDescent="0.2">
      <c r="B4740" s="2">
        <f ca="1"/>
        <v>0.44563622921404655</v>
      </c>
      <c r="O4740" s="2">
        <f ca="1"/>
        <v>-0.23008313899315253</v>
      </c>
      <c r="X4740" s="2">
        <f ca="1"/>
        <v>32.146929466186315</v>
      </c>
      <c r="AG4740" s="2">
        <f ca="1"/>
        <v>0.66152029966551296</v>
      </c>
      <c r="AH4740" s="2" t="str">
        <f ca="1"/>
        <v>Bad</v>
      </c>
    </row>
    <row r="4741" spans="2:34" x14ac:dyDescent="0.2">
      <c r="B4741" s="2">
        <f ca="1"/>
        <v>0.43079556199648517</v>
      </c>
      <c r="O4741" s="2">
        <f ca="1"/>
        <v>4.7853470850592529E-2</v>
      </c>
      <c r="X4741" s="2">
        <f ca="1"/>
        <v>60.1969961789938</v>
      </c>
      <c r="AG4741" s="2">
        <f ca="1"/>
        <v>0.20699153047796637</v>
      </c>
      <c r="AH4741" s="2" t="str">
        <f ca="1"/>
        <v>OK</v>
      </c>
    </row>
    <row r="4742" spans="2:34" x14ac:dyDescent="0.2">
      <c r="B4742" s="2">
        <f ca="1"/>
        <v>0.26428696956545994</v>
      </c>
      <c r="O4742" s="2">
        <f ca="1"/>
        <v>0.27973514235642599</v>
      </c>
      <c r="X4742" s="2">
        <f ca="1"/>
        <v>48.44754541671324</v>
      </c>
      <c r="AG4742" s="2">
        <f ca="1"/>
        <v>0.32363101737040867</v>
      </c>
      <c r="AH4742" s="2" t="str">
        <f ca="1"/>
        <v>OK</v>
      </c>
    </row>
    <row r="4743" spans="2:34" x14ac:dyDescent="0.2">
      <c r="B4743" s="2">
        <f ca="1"/>
        <v>0.64508011844111324</v>
      </c>
      <c r="O4743" s="2">
        <f ca="1"/>
        <v>0.12911050260103107</v>
      </c>
      <c r="X4743" s="2">
        <f ca="1"/>
        <v>93.797459350445962</v>
      </c>
      <c r="AG4743" s="2">
        <f ca="1"/>
        <v>0.12266082163581626</v>
      </c>
      <c r="AH4743" s="2" t="str">
        <f ca="1"/>
        <v>OK</v>
      </c>
    </row>
    <row r="4744" spans="2:34" x14ac:dyDescent="0.2">
      <c r="B4744" s="2">
        <f ca="1"/>
        <v>0.29999868554024856</v>
      </c>
      <c r="O4744" s="2">
        <f ca="1"/>
        <v>-2.2546384232737822</v>
      </c>
      <c r="X4744" s="2">
        <f ca="1"/>
        <v>44.813258022330203</v>
      </c>
      <c r="AG4744" s="2">
        <f ca="1"/>
        <v>0.1758871651468239</v>
      </c>
      <c r="AH4744" s="2" t="str">
        <f ca="1"/>
        <v>OK</v>
      </c>
    </row>
    <row r="4745" spans="2:34" x14ac:dyDescent="0.2">
      <c r="B4745" s="2">
        <f ca="1"/>
        <v>0.89291816153930759</v>
      </c>
      <c r="O4745" s="2">
        <f ca="1"/>
        <v>-1.024582126064745</v>
      </c>
      <c r="X4745" s="2">
        <f ca="1"/>
        <v>66.109719281621096</v>
      </c>
      <c r="AG4745" s="2">
        <f ca="1"/>
        <v>0.14578698272530111</v>
      </c>
      <c r="AH4745" s="2" t="str">
        <f ca="1"/>
        <v>OK</v>
      </c>
    </row>
    <row r="4746" spans="2:34" x14ac:dyDescent="0.2">
      <c r="B4746" s="2">
        <f ca="1"/>
        <v>0.14911938851749507</v>
      </c>
      <c r="O4746" s="2">
        <f ca="1"/>
        <v>-0.66471222371898364</v>
      </c>
      <c r="X4746" s="2">
        <f ca="1"/>
        <v>54.412669624204838</v>
      </c>
      <c r="AG4746" s="2">
        <f ca="1"/>
        <v>1.6367188115533393E-2</v>
      </c>
      <c r="AH4746" s="2" t="str">
        <f ca="1"/>
        <v>Good</v>
      </c>
    </row>
    <row r="4747" spans="2:34" x14ac:dyDescent="0.2">
      <c r="B4747" s="2">
        <f ca="1"/>
        <v>0.51067558461250662</v>
      </c>
      <c r="O4747" s="2">
        <f ca="1"/>
        <v>0.46803195842384915</v>
      </c>
      <c r="X4747" s="2">
        <f ca="1"/>
        <v>39.043822758425648</v>
      </c>
      <c r="AG4747" s="2">
        <f ca="1"/>
        <v>0.48137412459930351</v>
      </c>
      <c r="AH4747" s="2" t="str">
        <f ca="1"/>
        <v>Bad</v>
      </c>
    </row>
    <row r="4748" spans="2:34" x14ac:dyDescent="0.2">
      <c r="B4748" s="2">
        <f ca="1"/>
        <v>0.22141587095466675</v>
      </c>
      <c r="O4748" s="2">
        <f ca="1"/>
        <v>9.1115853570866816E-3</v>
      </c>
      <c r="X4748" s="2">
        <f ca="1"/>
        <v>50.606691923851116</v>
      </c>
      <c r="AG4748" s="2">
        <f ca="1"/>
        <v>0.30363753668698212</v>
      </c>
      <c r="AH4748" s="2" t="str">
        <f ca="1"/>
        <v>OK</v>
      </c>
    </row>
    <row r="4749" spans="2:34" x14ac:dyDescent="0.2">
      <c r="B4749" s="2">
        <f ca="1"/>
        <v>0.25543679266262576</v>
      </c>
      <c r="O4749" s="2">
        <f ca="1"/>
        <v>1.2743657649830602</v>
      </c>
      <c r="X4749" s="2">
        <f ca="1"/>
        <v>53.966057895414863</v>
      </c>
      <c r="AG4749" s="2">
        <f ca="1"/>
        <v>0.56810431973305886</v>
      </c>
      <c r="AH4749" s="2" t="str">
        <f ca="1"/>
        <v>Bad</v>
      </c>
    </row>
    <row r="4750" spans="2:34" x14ac:dyDescent="0.2">
      <c r="B4750" s="2">
        <f ca="1"/>
        <v>0.15673513963277297</v>
      </c>
      <c r="O4750" s="2">
        <f ca="1"/>
        <v>-0.6134308140360879</v>
      </c>
      <c r="X4750" s="2">
        <f ca="1"/>
        <v>55.709126057325065</v>
      </c>
      <c r="AG4750" s="2">
        <f ca="1"/>
        <v>0.99582315388512099</v>
      </c>
      <c r="AH4750" s="2" t="str">
        <f ca="1"/>
        <v>Bad</v>
      </c>
    </row>
    <row r="4751" spans="2:34" x14ac:dyDescent="0.2">
      <c r="B4751" s="2">
        <f ca="1"/>
        <v>0.75243961806861193</v>
      </c>
      <c r="O4751" s="2">
        <f ca="1"/>
        <v>-0.59631354561387229</v>
      </c>
      <c r="X4751" s="2">
        <f ca="1"/>
        <v>40.192380259688463</v>
      </c>
      <c r="AG4751" s="2">
        <f ca="1"/>
        <v>0.69987089172543571</v>
      </c>
      <c r="AH4751" s="2" t="str">
        <f ca="1"/>
        <v>Bad</v>
      </c>
    </row>
    <row r="4752" spans="2:34" x14ac:dyDescent="0.2">
      <c r="B4752" s="2">
        <f ca="1"/>
        <v>0.47101647017674875</v>
      </c>
      <c r="O4752" s="2">
        <f ca="1"/>
        <v>1.4025541255475287</v>
      </c>
      <c r="X4752" s="2">
        <f ca="1"/>
        <v>52.874660075118236</v>
      </c>
      <c r="AG4752" s="2">
        <f ca="1"/>
        <v>0.48185239362383925</v>
      </c>
      <c r="AH4752" s="2" t="str">
        <f ca="1"/>
        <v>Bad</v>
      </c>
    </row>
    <row r="4753" spans="2:34" x14ac:dyDescent="0.2">
      <c r="B4753" s="2">
        <f ca="1"/>
        <v>0.31772235053203945</v>
      </c>
      <c r="O4753" s="2">
        <f ca="1"/>
        <v>-0.25439919954875501</v>
      </c>
      <c r="X4753" s="2">
        <f ca="1"/>
        <v>41.851954803333058</v>
      </c>
      <c r="AG4753" s="2">
        <f ca="1"/>
        <v>1.3851628164220697E-2</v>
      </c>
      <c r="AH4753" s="2" t="str">
        <f ca="1"/>
        <v>Good</v>
      </c>
    </row>
    <row r="4754" spans="2:34" x14ac:dyDescent="0.2">
      <c r="B4754" s="2">
        <f ca="1"/>
        <v>0.12972517829631047</v>
      </c>
      <c r="O4754" s="2">
        <f ca="1"/>
        <v>-1.280863533920259</v>
      </c>
      <c r="X4754" s="2">
        <f ca="1"/>
        <v>39.086793588349501</v>
      </c>
      <c r="AG4754" s="2">
        <f ca="1"/>
        <v>0.34897924677723324</v>
      </c>
      <c r="AH4754" s="2" t="str">
        <f ca="1"/>
        <v>OK</v>
      </c>
    </row>
    <row r="4755" spans="2:34" x14ac:dyDescent="0.2">
      <c r="B4755" s="2">
        <f ca="1"/>
        <v>0.32716219380234457</v>
      </c>
      <c r="O4755" s="2">
        <f ca="1"/>
        <v>1.8853966576305961</v>
      </c>
      <c r="X4755" s="2">
        <f ca="1"/>
        <v>35.173547932378398</v>
      </c>
      <c r="AG4755" s="2">
        <f ca="1"/>
        <v>0.30982569793327031</v>
      </c>
      <c r="AH4755" s="2" t="str">
        <f ca="1"/>
        <v>OK</v>
      </c>
    </row>
    <row r="4756" spans="2:34" x14ac:dyDescent="0.2">
      <c r="B4756" s="2">
        <f ca="1"/>
        <v>0.96743072105875916</v>
      </c>
      <c r="O4756" s="2">
        <f ca="1"/>
        <v>0.53771171455587274</v>
      </c>
      <c r="X4756" s="2">
        <f ca="1"/>
        <v>43.282790435924682</v>
      </c>
      <c r="AG4756" s="2">
        <f ca="1"/>
        <v>0.23808322157843365</v>
      </c>
      <c r="AH4756" s="2" t="str">
        <f ca="1"/>
        <v>OK</v>
      </c>
    </row>
    <row r="4757" spans="2:34" x14ac:dyDescent="0.2">
      <c r="B4757" s="2">
        <f ca="1"/>
        <v>0.17956194211859033</v>
      </c>
      <c r="O4757" s="2">
        <f ca="1"/>
        <v>0.72911870375269705</v>
      </c>
      <c r="X4757" s="2">
        <f ca="1"/>
        <v>27.553317019287384</v>
      </c>
      <c r="AG4757" s="2">
        <f ca="1"/>
        <v>0.48762031157900831</v>
      </c>
      <c r="AH4757" s="2" t="str">
        <f ca="1"/>
        <v>Bad</v>
      </c>
    </row>
    <row r="4758" spans="2:34" x14ac:dyDescent="0.2">
      <c r="B4758" s="2">
        <f ca="1"/>
        <v>0.55944447571762268</v>
      </c>
      <c r="O4758" s="2">
        <f ca="1"/>
        <v>0.34986794073538324</v>
      </c>
      <c r="X4758" s="2">
        <f ca="1"/>
        <v>22.910039079051852</v>
      </c>
      <c r="AG4758" s="2">
        <f ca="1"/>
        <v>0.13204387575384868</v>
      </c>
      <c r="AH4758" s="2" t="str">
        <f ca="1"/>
        <v>OK</v>
      </c>
    </row>
    <row r="4759" spans="2:34" x14ac:dyDescent="0.2">
      <c r="B4759" s="2">
        <f ca="1"/>
        <v>0.84043953438784302</v>
      </c>
      <c r="O4759" s="2">
        <f ca="1"/>
        <v>1.036381778328634</v>
      </c>
      <c r="X4759" s="2">
        <f ca="1"/>
        <v>71.278009222364958</v>
      </c>
      <c r="AG4759" s="2">
        <f ca="1"/>
        <v>0.62527187290185204</v>
      </c>
      <c r="AH4759" s="2" t="str">
        <f ca="1"/>
        <v>Bad</v>
      </c>
    </row>
    <row r="4760" spans="2:34" x14ac:dyDescent="0.2">
      <c r="B4760" s="2">
        <f ca="1"/>
        <v>0.57639729740391843</v>
      </c>
      <c r="O4760" s="2">
        <f ca="1"/>
        <v>0.63745671795213388</v>
      </c>
      <c r="X4760" s="2">
        <f ca="1"/>
        <v>35.987079640423055</v>
      </c>
      <c r="AG4760" s="2">
        <f ca="1"/>
        <v>0.85620634270423635</v>
      </c>
      <c r="AH4760" s="2" t="str">
        <f ca="1"/>
        <v>Bad</v>
      </c>
    </row>
    <row r="4761" spans="2:34" x14ac:dyDescent="0.2">
      <c r="B4761" s="2">
        <f ca="1"/>
        <v>0.64114454526677034</v>
      </c>
      <c r="O4761" s="2">
        <f ca="1"/>
        <v>0.81210917351211631</v>
      </c>
      <c r="X4761" s="2">
        <f ca="1"/>
        <v>65.348665986759642</v>
      </c>
      <c r="AG4761" s="2">
        <f ca="1"/>
        <v>0.30056969649620413</v>
      </c>
      <c r="AH4761" s="2" t="str">
        <f ca="1"/>
        <v>OK</v>
      </c>
    </row>
    <row r="4762" spans="2:34" x14ac:dyDescent="0.2">
      <c r="B4762" s="2">
        <f ca="1"/>
        <v>0.48890469959061766</v>
      </c>
      <c r="O4762" s="2">
        <f ca="1"/>
        <v>-0.62375060923372105</v>
      </c>
      <c r="X4762" s="2">
        <f ca="1"/>
        <v>39.20060627112111</v>
      </c>
      <c r="AG4762" s="2">
        <f ca="1"/>
        <v>0.45442160138657584</v>
      </c>
      <c r="AH4762" s="2" t="str">
        <f ca="1"/>
        <v>Bad</v>
      </c>
    </row>
    <row r="4763" spans="2:34" x14ac:dyDescent="0.2">
      <c r="B4763" s="2">
        <f ca="1"/>
        <v>0.7332179868408677</v>
      </c>
      <c r="O4763" s="2">
        <f ca="1"/>
        <v>-1.0051473642305451</v>
      </c>
      <c r="X4763" s="2">
        <f ca="1"/>
        <v>59.25964237678491</v>
      </c>
      <c r="AG4763" s="2">
        <f ca="1"/>
        <v>0.645039949050221</v>
      </c>
      <c r="AH4763" s="2" t="str">
        <f ca="1"/>
        <v>Bad</v>
      </c>
    </row>
    <row r="4764" spans="2:34" x14ac:dyDescent="0.2">
      <c r="B4764" s="2">
        <f ca="1"/>
        <v>0.15673303589500498</v>
      </c>
      <c r="O4764" s="2">
        <f ca="1"/>
        <v>-0.92386300857913728</v>
      </c>
      <c r="X4764" s="2">
        <f ca="1"/>
        <v>68.263124445477274</v>
      </c>
      <c r="AG4764" s="2">
        <f ca="1"/>
        <v>1.8765101651243121E-2</v>
      </c>
      <c r="AH4764" s="2" t="str">
        <f ca="1"/>
        <v>Good</v>
      </c>
    </row>
    <row r="4765" spans="2:34" x14ac:dyDescent="0.2">
      <c r="B4765" s="2">
        <f ca="1"/>
        <v>0.2400309000702574</v>
      </c>
      <c r="O4765" s="2">
        <f ca="1"/>
        <v>0.4093040341871424</v>
      </c>
      <c r="X4765" s="2">
        <f ca="1"/>
        <v>114.74684572085448</v>
      </c>
      <c r="AG4765" s="2">
        <f ca="1"/>
        <v>0.25307484205654696</v>
      </c>
      <c r="AH4765" s="2" t="str">
        <f ca="1"/>
        <v>OK</v>
      </c>
    </row>
    <row r="4766" spans="2:34" x14ac:dyDescent="0.2">
      <c r="B4766" s="2">
        <f ca="1"/>
        <v>0.70691349068534071</v>
      </c>
      <c r="O4766" s="2">
        <f ca="1"/>
        <v>-0.23412283636223319</v>
      </c>
      <c r="X4766" s="2">
        <f ca="1"/>
        <v>49.440352032589402</v>
      </c>
      <c r="AG4766" s="2">
        <f ca="1"/>
        <v>0.37903716951335142</v>
      </c>
      <c r="AH4766" s="2" t="str">
        <f ca="1"/>
        <v>OK</v>
      </c>
    </row>
    <row r="4767" spans="2:34" x14ac:dyDescent="0.2">
      <c r="B4767" s="2">
        <f ca="1"/>
        <v>0.76274019084892997</v>
      </c>
      <c r="O4767" s="2">
        <f ca="1"/>
        <v>-0.25558994398126306</v>
      </c>
      <c r="X4767" s="2">
        <f ca="1"/>
        <v>61.647451811277335</v>
      </c>
      <c r="AG4767" s="2">
        <f ca="1"/>
        <v>0.52307545016800838</v>
      </c>
      <c r="AH4767" s="2" t="str">
        <f ca="1"/>
        <v>Bad</v>
      </c>
    </row>
    <row r="4768" spans="2:34" x14ac:dyDescent="0.2">
      <c r="B4768" s="2">
        <f ca="1"/>
        <v>3.8677956463454954E-2</v>
      </c>
      <c r="O4768" s="2">
        <f ca="1"/>
        <v>-0.35603403714721787</v>
      </c>
      <c r="X4768" s="2">
        <f ca="1"/>
        <v>75.214789450536131</v>
      </c>
      <c r="AG4768" s="2">
        <f ca="1"/>
        <v>0.41474328720638476</v>
      </c>
      <c r="AH4768" s="2" t="str">
        <f ca="1"/>
        <v>Bad</v>
      </c>
    </row>
    <row r="4769" spans="2:34" x14ac:dyDescent="0.2">
      <c r="B4769" s="2">
        <f ca="1"/>
        <v>0.70606520934088035</v>
      </c>
      <c r="O4769" s="2">
        <f ca="1"/>
        <v>1.7771529084328241</v>
      </c>
      <c r="X4769" s="2">
        <f ca="1"/>
        <v>29.585808834617737</v>
      </c>
      <c r="AG4769" s="2">
        <f ca="1"/>
        <v>0.2920624730537964</v>
      </c>
      <c r="AH4769" s="2" t="str">
        <f ca="1"/>
        <v>OK</v>
      </c>
    </row>
    <row r="4770" spans="2:34" x14ac:dyDescent="0.2">
      <c r="B4770" s="2">
        <f ca="1"/>
        <v>0.63546906332138398</v>
      </c>
      <c r="O4770" s="2">
        <f ca="1"/>
        <v>0.55920438070045442</v>
      </c>
      <c r="X4770" s="2">
        <f ca="1"/>
        <v>26.870871173278509</v>
      </c>
      <c r="AG4770" s="2">
        <f ca="1"/>
        <v>0.11696385781120244</v>
      </c>
      <c r="AH4770" s="2" t="str">
        <f ca="1"/>
        <v>OK</v>
      </c>
    </row>
    <row r="4771" spans="2:34" x14ac:dyDescent="0.2">
      <c r="B4771" s="2">
        <f ca="1"/>
        <v>0.74381102444064617</v>
      </c>
      <c r="O4771" s="2">
        <f ca="1"/>
        <v>0.86419481831086631</v>
      </c>
      <c r="X4771" s="2">
        <f ca="1"/>
        <v>60.888320990914401</v>
      </c>
      <c r="AG4771" s="2">
        <f ca="1"/>
        <v>0.10325298884058531</v>
      </c>
      <c r="AH4771" s="2" t="str">
        <f ca="1"/>
        <v>OK</v>
      </c>
    </row>
    <row r="4772" spans="2:34" x14ac:dyDescent="0.2">
      <c r="B4772" s="2">
        <f ca="1"/>
        <v>0.52013752781229594</v>
      </c>
      <c r="O4772" s="2">
        <f ca="1"/>
        <v>0.26771691558634997</v>
      </c>
      <c r="X4772" s="2">
        <f ca="1"/>
        <v>41.18817519277389</v>
      </c>
      <c r="AG4772" s="2">
        <f ca="1"/>
        <v>0.31558932479997082</v>
      </c>
      <c r="AH4772" s="2" t="str">
        <f ca="1"/>
        <v>OK</v>
      </c>
    </row>
    <row r="4773" spans="2:34" x14ac:dyDescent="0.2">
      <c r="B4773" s="2">
        <f ca="1"/>
        <v>0.10676943988349619</v>
      </c>
      <c r="O4773" s="2">
        <f ca="1"/>
        <v>0.3430697157994228</v>
      </c>
      <c r="X4773" s="2">
        <f ca="1"/>
        <v>63.826312629182304</v>
      </c>
      <c r="AG4773" s="2">
        <f ca="1"/>
        <v>0.35058593395271864</v>
      </c>
      <c r="AH4773" s="2" t="str">
        <f ca="1"/>
        <v>OK</v>
      </c>
    </row>
    <row r="4774" spans="2:34" x14ac:dyDescent="0.2">
      <c r="B4774" s="2">
        <f ca="1"/>
        <v>0.38419667907743627</v>
      </c>
      <c r="O4774" s="2">
        <f ca="1"/>
        <v>-0.58842616314891849</v>
      </c>
      <c r="X4774" s="2">
        <f ca="1"/>
        <v>72.763778113223694</v>
      </c>
      <c r="AG4774" s="2">
        <f ca="1"/>
        <v>0.31538792647557079</v>
      </c>
      <c r="AH4774" s="2" t="str">
        <f ca="1"/>
        <v>OK</v>
      </c>
    </row>
    <row r="4775" spans="2:34" x14ac:dyDescent="0.2">
      <c r="B4775" s="2">
        <f ca="1"/>
        <v>0.34330864630317226</v>
      </c>
      <c r="O4775" s="2">
        <f ca="1"/>
        <v>-1.1575597518387835</v>
      </c>
      <c r="X4775" s="2">
        <f ca="1"/>
        <v>50.943722738025343</v>
      </c>
      <c r="AG4775" s="2">
        <f ca="1"/>
        <v>0.53869308696356621</v>
      </c>
      <c r="AH4775" s="2" t="str">
        <f ca="1"/>
        <v>Bad</v>
      </c>
    </row>
    <row r="4776" spans="2:34" x14ac:dyDescent="0.2">
      <c r="B4776" s="2">
        <f ca="1"/>
        <v>0.48553571932717032</v>
      </c>
      <c r="O4776" s="2">
        <f ca="1"/>
        <v>0.71503822610525569</v>
      </c>
      <c r="X4776" s="2">
        <f ca="1"/>
        <v>45.396761633458041</v>
      </c>
      <c r="AG4776" s="2">
        <f ca="1"/>
        <v>0.28261501912556386</v>
      </c>
      <c r="AH4776" s="2" t="str">
        <f ca="1"/>
        <v>OK</v>
      </c>
    </row>
    <row r="4777" spans="2:34" x14ac:dyDescent="0.2">
      <c r="B4777" s="2">
        <f ca="1"/>
        <v>0.47154461563942562</v>
      </c>
      <c r="O4777" s="2">
        <f ca="1"/>
        <v>-1.6850032405718565</v>
      </c>
      <c r="X4777" s="2">
        <f ca="1"/>
        <v>55.742129598388637</v>
      </c>
      <c r="AG4777" s="2">
        <f ca="1"/>
        <v>0.51846183143822211</v>
      </c>
      <c r="AH4777" s="2" t="str">
        <f ca="1"/>
        <v>Bad</v>
      </c>
    </row>
    <row r="4778" spans="2:34" x14ac:dyDescent="0.2">
      <c r="B4778" s="2">
        <f ca="1"/>
        <v>0.29634391489806289</v>
      </c>
      <c r="O4778" s="2">
        <f ca="1"/>
        <v>-0.83014038105706878</v>
      </c>
      <c r="X4778" s="2">
        <f ca="1"/>
        <v>50.99776014538962</v>
      </c>
      <c r="AG4778" s="2">
        <f ca="1"/>
        <v>0.16122504296485962</v>
      </c>
      <c r="AH4778" s="2" t="str">
        <f ca="1"/>
        <v>OK</v>
      </c>
    </row>
    <row r="4779" spans="2:34" x14ac:dyDescent="0.2">
      <c r="B4779" s="2">
        <f ca="1"/>
        <v>0.37636808427719637</v>
      </c>
      <c r="O4779" s="2">
        <f ca="1"/>
        <v>-2.0833114121220655</v>
      </c>
      <c r="X4779" s="2">
        <f ca="1"/>
        <v>38.464604686269681</v>
      </c>
      <c r="AG4779" s="2">
        <f ca="1"/>
        <v>0.43247220739784287</v>
      </c>
      <c r="AH4779" s="2" t="str">
        <f ca="1"/>
        <v>Bad</v>
      </c>
    </row>
    <row r="4780" spans="2:34" x14ac:dyDescent="0.2">
      <c r="B4780" s="2">
        <f ca="1"/>
        <v>0.50368676357743603</v>
      </c>
      <c r="O4780" s="2">
        <f ca="1"/>
        <v>-0.77202790024587165</v>
      </c>
      <c r="X4780" s="2">
        <f ca="1"/>
        <v>30.855572829521712</v>
      </c>
      <c r="AG4780" s="2">
        <f ca="1"/>
        <v>0.94432420955281438</v>
      </c>
      <c r="AH4780" s="2" t="str">
        <f ca="1"/>
        <v>Bad</v>
      </c>
    </row>
    <row r="4781" spans="2:34" x14ac:dyDescent="0.2">
      <c r="B4781" s="2">
        <f ca="1"/>
        <v>0.375833424067743</v>
      </c>
      <c r="O4781" s="2">
        <f ca="1"/>
        <v>1.4099349480180186</v>
      </c>
      <c r="X4781" s="2">
        <f ca="1"/>
        <v>61.475617689927624</v>
      </c>
      <c r="AG4781" s="2">
        <f ca="1"/>
        <v>0.59053591785230419</v>
      </c>
      <c r="AH4781" s="2" t="str">
        <f ca="1"/>
        <v>Bad</v>
      </c>
    </row>
    <row r="4782" spans="2:34" x14ac:dyDescent="0.2">
      <c r="B4782" s="2">
        <f ca="1"/>
        <v>0.88150473915009586</v>
      </c>
      <c r="O4782" s="2">
        <f ca="1"/>
        <v>0.92386928413876623</v>
      </c>
      <c r="X4782" s="2">
        <f ca="1"/>
        <v>39.322531117364903</v>
      </c>
      <c r="AG4782" s="2">
        <f ca="1"/>
        <v>0.63365413114316982</v>
      </c>
      <c r="AH4782" s="2" t="str">
        <f ca="1"/>
        <v>Bad</v>
      </c>
    </row>
    <row r="4783" spans="2:34" x14ac:dyDescent="0.2">
      <c r="B4783" s="2">
        <f ca="1"/>
        <v>0.73209960317578715</v>
      </c>
      <c r="O4783" s="2">
        <f ca="1"/>
        <v>-0.83419441011705953</v>
      </c>
      <c r="X4783" s="2">
        <f ca="1"/>
        <v>47.738962490712026</v>
      </c>
      <c r="AG4783" s="2">
        <f ca="1"/>
        <v>0.34738729828789872</v>
      </c>
      <c r="AH4783" s="2" t="str">
        <f ca="1"/>
        <v>OK</v>
      </c>
    </row>
    <row r="4784" spans="2:34" x14ac:dyDescent="0.2">
      <c r="B4784" s="2">
        <f ca="1"/>
        <v>0.95137290013675102</v>
      </c>
      <c r="O4784" s="2">
        <f ca="1"/>
        <v>0.53741129860089787</v>
      </c>
      <c r="X4784" s="2">
        <f ca="1"/>
        <v>68.189153886359733</v>
      </c>
      <c r="AG4784" s="2">
        <f ca="1"/>
        <v>0.79890794725573411</v>
      </c>
      <c r="AH4784" s="2" t="str">
        <f ca="1"/>
        <v>Bad</v>
      </c>
    </row>
    <row r="4785" spans="2:34" x14ac:dyDescent="0.2">
      <c r="B4785" s="2">
        <f ca="1"/>
        <v>1.7123480066957297E-2</v>
      </c>
      <c r="O4785" s="2">
        <f ca="1"/>
        <v>1.2515512885138667</v>
      </c>
      <c r="X4785" s="2">
        <f ca="1"/>
        <v>42.138336488435577</v>
      </c>
      <c r="AG4785" s="2">
        <f ca="1"/>
        <v>0.85105283579325719</v>
      </c>
      <c r="AH4785" s="2" t="str">
        <f ca="1"/>
        <v>Bad</v>
      </c>
    </row>
    <row r="4786" spans="2:34" x14ac:dyDescent="0.2">
      <c r="B4786" s="2">
        <f ca="1"/>
        <v>5.6908926543277838E-2</v>
      </c>
      <c r="O4786" s="2">
        <f ca="1"/>
        <v>-0.56430606384306548</v>
      </c>
      <c r="X4786" s="2">
        <f ca="1"/>
        <v>49.1011960670102</v>
      </c>
      <c r="AG4786" s="2">
        <f ca="1"/>
        <v>0.88555209264313284</v>
      </c>
      <c r="AH4786" s="2" t="str">
        <f ca="1"/>
        <v>Bad</v>
      </c>
    </row>
    <row r="4787" spans="2:34" x14ac:dyDescent="0.2">
      <c r="B4787" s="2">
        <f ca="1"/>
        <v>0.40607151588715196</v>
      </c>
      <c r="O4787" s="2">
        <f ca="1"/>
        <v>0.21455082931510594</v>
      </c>
      <c r="X4787" s="2">
        <f ca="1"/>
        <v>30.849155157046347</v>
      </c>
      <c r="AG4787" s="2">
        <f ca="1"/>
        <v>0.38164672077500805</v>
      </c>
      <c r="AH4787" s="2" t="str">
        <f ca="1"/>
        <v>OK</v>
      </c>
    </row>
    <row r="4788" spans="2:34" x14ac:dyDescent="0.2">
      <c r="B4788" s="2">
        <f ca="1"/>
        <v>0.23943652202310428</v>
      </c>
      <c r="O4788" s="2">
        <f ca="1"/>
        <v>0.46594907014181136</v>
      </c>
      <c r="X4788" s="2">
        <f ca="1"/>
        <v>54.176316664951386</v>
      </c>
      <c r="AG4788" s="2">
        <f ca="1"/>
        <v>0.25934096224011993</v>
      </c>
      <c r="AH4788" s="2" t="str">
        <f ca="1"/>
        <v>OK</v>
      </c>
    </row>
    <row r="4789" spans="2:34" x14ac:dyDescent="0.2">
      <c r="B4789" s="2">
        <f ca="1"/>
        <v>0.26485543986450755</v>
      </c>
      <c r="O4789" s="2">
        <f ca="1"/>
        <v>-0.16307011914241945</v>
      </c>
      <c r="X4789" s="2">
        <f ca="1"/>
        <v>16.679197368573227</v>
      </c>
      <c r="AG4789" s="2">
        <f ca="1"/>
        <v>0.67395265073830712</v>
      </c>
      <c r="AH4789" s="2" t="str">
        <f ca="1"/>
        <v>Bad</v>
      </c>
    </row>
    <row r="4790" spans="2:34" x14ac:dyDescent="0.2">
      <c r="B4790" s="2">
        <f ca="1"/>
        <v>0.15729461414496737</v>
      </c>
      <c r="O4790" s="2">
        <f ca="1"/>
        <v>0.22499823174877365</v>
      </c>
      <c r="X4790" s="2">
        <f ca="1"/>
        <v>38.99564172474448</v>
      </c>
      <c r="AG4790" s="2">
        <f ca="1"/>
        <v>0.99940288411783751</v>
      </c>
      <c r="AH4790" s="2" t="str">
        <f ca="1"/>
        <v>Bad</v>
      </c>
    </row>
    <row r="4791" spans="2:34" x14ac:dyDescent="0.2">
      <c r="B4791" s="2">
        <f ca="1"/>
        <v>0.8576060015812963</v>
      </c>
      <c r="O4791" s="2">
        <f ca="1"/>
        <v>0.4018149304027977</v>
      </c>
      <c r="X4791" s="2">
        <f ca="1"/>
        <v>56.185682021646628</v>
      </c>
      <c r="AG4791" s="2">
        <f ca="1"/>
        <v>0.14885975949520613</v>
      </c>
      <c r="AH4791" s="2" t="str">
        <f ca="1"/>
        <v>OK</v>
      </c>
    </row>
    <row r="4792" spans="2:34" x14ac:dyDescent="0.2">
      <c r="B4792" s="2">
        <f ca="1"/>
        <v>0.77777701830631041</v>
      </c>
      <c r="O4792" s="2">
        <f ca="1"/>
        <v>-1.0126560944339025</v>
      </c>
      <c r="X4792" s="2">
        <f ca="1"/>
        <v>59.551214346605114</v>
      </c>
      <c r="AG4792" s="2">
        <f ca="1"/>
        <v>0.26387835397367376</v>
      </c>
      <c r="AH4792" s="2" t="str">
        <f ca="1"/>
        <v>OK</v>
      </c>
    </row>
    <row r="4793" spans="2:34" x14ac:dyDescent="0.2">
      <c r="B4793" s="2">
        <f ca="1"/>
        <v>0.64475624683011667</v>
      </c>
      <c r="O4793" s="2">
        <f ca="1"/>
        <v>-0.9319238758734979</v>
      </c>
      <c r="X4793" s="2">
        <f ca="1"/>
        <v>32.258543259788794</v>
      </c>
      <c r="AG4793" s="2">
        <f ca="1"/>
        <v>0.35551506292192703</v>
      </c>
      <c r="AH4793" s="2" t="str">
        <f ca="1"/>
        <v>OK</v>
      </c>
    </row>
    <row r="4794" spans="2:34" x14ac:dyDescent="0.2">
      <c r="B4794" s="2">
        <f ca="1"/>
        <v>0.74508198742179688</v>
      </c>
      <c r="O4794" s="2">
        <f ca="1"/>
        <v>0.1294346923500779</v>
      </c>
      <c r="X4794" s="2">
        <f ca="1"/>
        <v>50.538487978229057</v>
      </c>
      <c r="AG4794" s="2">
        <f ca="1"/>
        <v>0.82777987948276355</v>
      </c>
      <c r="AH4794" s="2" t="str">
        <f ca="1"/>
        <v>Bad</v>
      </c>
    </row>
    <row r="4795" spans="2:34" x14ac:dyDescent="0.2">
      <c r="B4795" s="2">
        <f ca="1"/>
        <v>0.89582792489450891</v>
      </c>
      <c r="O4795" s="2">
        <f ca="1"/>
        <v>-1.4001604147971567</v>
      </c>
      <c r="X4795" s="2">
        <f ca="1"/>
        <v>32.915915311830901</v>
      </c>
      <c r="AG4795" s="2">
        <f ca="1"/>
        <v>0.54637171258094441</v>
      </c>
      <c r="AH4795" s="2" t="str">
        <f ca="1"/>
        <v>Bad</v>
      </c>
    </row>
    <row r="4796" spans="2:34" x14ac:dyDescent="0.2">
      <c r="B4796" s="2">
        <f ca="1"/>
        <v>0.1826618043561874</v>
      </c>
      <c r="O4796" s="2">
        <f ca="1"/>
        <v>-1.8179445544507502</v>
      </c>
      <c r="X4796" s="2">
        <f ca="1"/>
        <v>46.564187241754844</v>
      </c>
      <c r="AG4796" s="2">
        <f ca="1"/>
        <v>0.57945596923742815</v>
      </c>
      <c r="AH4796" s="2" t="str">
        <f ca="1"/>
        <v>Bad</v>
      </c>
    </row>
    <row r="4797" spans="2:34" x14ac:dyDescent="0.2">
      <c r="B4797" s="2">
        <f ca="1"/>
        <v>0.63409973662375996</v>
      </c>
      <c r="O4797" s="2">
        <f ca="1"/>
        <v>-0.22449277982353888</v>
      </c>
      <c r="X4797" s="2">
        <f ca="1"/>
        <v>51.017986496691314</v>
      </c>
      <c r="AG4797" s="2">
        <f ca="1"/>
        <v>0.38399499150471894</v>
      </c>
      <c r="AH4797" s="2" t="str">
        <f ca="1"/>
        <v>OK</v>
      </c>
    </row>
    <row r="4798" spans="2:34" x14ac:dyDescent="0.2">
      <c r="B4798" s="2">
        <f ca="1"/>
        <v>0.25550163218604038</v>
      </c>
      <c r="O4798" s="2">
        <f ca="1"/>
        <v>-1.8224593716462279E-2</v>
      </c>
      <c r="X4798" s="2">
        <f ca="1"/>
        <v>36.489431847211179</v>
      </c>
      <c r="AG4798" s="2">
        <f ca="1"/>
        <v>0.26190722005654776</v>
      </c>
      <c r="AH4798" s="2" t="str">
        <f ca="1"/>
        <v>OK</v>
      </c>
    </row>
    <row r="4799" spans="2:34" x14ac:dyDescent="0.2">
      <c r="B4799" s="2">
        <f ca="1"/>
        <v>6.0603406959385486E-2</v>
      </c>
      <c r="O4799" s="2">
        <f ca="1"/>
        <v>-0.52806292043768632</v>
      </c>
      <c r="X4799" s="2">
        <f ca="1"/>
        <v>60.460786465209694</v>
      </c>
      <c r="AG4799" s="2">
        <f ca="1"/>
        <v>0.61983940276550542</v>
      </c>
      <c r="AH4799" s="2" t="str">
        <f ca="1"/>
        <v>Bad</v>
      </c>
    </row>
    <row r="4800" spans="2:34" x14ac:dyDescent="0.2">
      <c r="B4800" s="2">
        <f ca="1"/>
        <v>0.28471119672785394</v>
      </c>
      <c r="O4800" s="2">
        <f ca="1"/>
        <v>-1.594536824237607</v>
      </c>
      <c r="X4800" s="2">
        <f ca="1"/>
        <v>76.168107062584554</v>
      </c>
      <c r="AG4800" s="2">
        <f ca="1"/>
        <v>0.19778834234591303</v>
      </c>
      <c r="AH4800" s="2" t="str">
        <f ca="1"/>
        <v>OK</v>
      </c>
    </row>
    <row r="4801" spans="2:34" x14ac:dyDescent="0.2">
      <c r="B4801" s="2">
        <f ca="1"/>
        <v>0.52893988523664004</v>
      </c>
      <c r="O4801" s="2">
        <f ca="1"/>
        <v>7.6537004471456269E-2</v>
      </c>
      <c r="X4801" s="2">
        <f ca="1"/>
        <v>98.202538582124532</v>
      </c>
      <c r="AG4801" s="2">
        <f ca="1"/>
        <v>0.44387759372129421</v>
      </c>
      <c r="AH4801" s="2" t="str">
        <f ca="1"/>
        <v>Bad</v>
      </c>
    </row>
    <row r="4802" spans="2:34" x14ac:dyDescent="0.2">
      <c r="B4802" s="2">
        <f ca="1"/>
        <v>0.70268966015230205</v>
      </c>
      <c r="O4802" s="2">
        <f ca="1"/>
        <v>1.6688643890649892</v>
      </c>
      <c r="X4802" s="2">
        <f ca="1"/>
        <v>33.139084784647267</v>
      </c>
      <c r="AG4802" s="2">
        <f ca="1"/>
        <v>0.64918812420295691</v>
      </c>
      <c r="AH4802" s="2" t="str">
        <f ca="1"/>
        <v>Bad</v>
      </c>
    </row>
    <row r="4803" spans="2:34" x14ac:dyDescent="0.2">
      <c r="B4803" s="2">
        <f ca="1"/>
        <v>6.8397308737368379E-2</v>
      </c>
      <c r="O4803" s="2">
        <f ca="1"/>
        <v>-5.9670951335453339E-2</v>
      </c>
      <c r="X4803" s="2">
        <f ca="1"/>
        <v>46.983565309522916</v>
      </c>
      <c r="AG4803" s="2">
        <f ca="1"/>
        <v>0.47795950066282034</v>
      </c>
      <c r="AH4803" s="2" t="str">
        <f ca="1"/>
        <v>Bad</v>
      </c>
    </row>
    <row r="4804" spans="2:34" x14ac:dyDescent="0.2">
      <c r="B4804" s="2">
        <f ca="1"/>
        <v>9.1547764475477855E-2</v>
      </c>
      <c r="O4804" s="2">
        <f ca="1"/>
        <v>0.68770749306490253</v>
      </c>
      <c r="X4804" s="2">
        <f ca="1"/>
        <v>25.537731154627409</v>
      </c>
      <c r="AG4804" s="2">
        <f ca="1"/>
        <v>0.58493414014558898</v>
      </c>
      <c r="AH4804" s="2" t="str">
        <f ca="1"/>
        <v>Bad</v>
      </c>
    </row>
    <row r="4805" spans="2:34" x14ac:dyDescent="0.2">
      <c r="B4805" s="2">
        <f ca="1"/>
        <v>0.56506595538482096</v>
      </c>
      <c r="O4805" s="2">
        <f ca="1"/>
        <v>0.77469618990050904</v>
      </c>
      <c r="X4805" s="2">
        <f ca="1"/>
        <v>37.656077288522823</v>
      </c>
      <c r="AG4805" s="2">
        <f ca="1"/>
        <v>0.34094713821164824</v>
      </c>
      <c r="AH4805" s="2" t="str">
        <f ca="1"/>
        <v>OK</v>
      </c>
    </row>
    <row r="4806" spans="2:34" x14ac:dyDescent="0.2">
      <c r="B4806" s="2">
        <f ca="1"/>
        <v>0.96118528422841454</v>
      </c>
      <c r="O4806" s="2">
        <f ca="1"/>
        <v>0.44278890831722334</v>
      </c>
      <c r="X4806" s="2">
        <f ca="1"/>
        <v>43.896978512715954</v>
      </c>
      <c r="AG4806" s="2">
        <f ca="1"/>
        <v>7.7138026123406034E-2</v>
      </c>
      <c r="AH4806" s="2" t="str">
        <f ca="1"/>
        <v>OK</v>
      </c>
    </row>
    <row r="4807" spans="2:34" x14ac:dyDescent="0.2">
      <c r="B4807" s="2">
        <f ca="1"/>
        <v>0.68485033613739832</v>
      </c>
      <c r="O4807" s="2">
        <f ca="1"/>
        <v>-0.60073080546051316</v>
      </c>
      <c r="X4807" s="2">
        <f ca="1"/>
        <v>39.594207078960054</v>
      </c>
      <c r="AG4807" s="2">
        <f ca="1"/>
        <v>0.6086978596437429</v>
      </c>
      <c r="AH4807" s="2" t="str">
        <f ca="1"/>
        <v>Bad</v>
      </c>
    </row>
    <row r="4808" spans="2:34" x14ac:dyDescent="0.2">
      <c r="B4808" s="2">
        <f ca="1"/>
        <v>0.40481308640751412</v>
      </c>
      <c r="O4808" s="2">
        <f ca="1"/>
        <v>0.15924205870742469</v>
      </c>
      <c r="X4808" s="2">
        <f ca="1"/>
        <v>34.370527795774073</v>
      </c>
      <c r="AG4808" s="2">
        <f ca="1"/>
        <v>0.45033192257186383</v>
      </c>
      <c r="AH4808" s="2" t="str">
        <f ca="1"/>
        <v>Bad</v>
      </c>
    </row>
    <row r="4809" spans="2:34" x14ac:dyDescent="0.2">
      <c r="B4809" s="2">
        <f ca="1"/>
        <v>0.32523856685868346</v>
      </c>
      <c r="O4809" s="2">
        <f ca="1"/>
        <v>-0.23162649014348968</v>
      </c>
      <c r="X4809" s="2">
        <f ca="1"/>
        <v>58.144244627479445</v>
      </c>
      <c r="AG4809" s="2">
        <f ca="1"/>
        <v>0.4872845825087051</v>
      </c>
      <c r="AH4809" s="2" t="str">
        <f ca="1"/>
        <v>Bad</v>
      </c>
    </row>
    <row r="4810" spans="2:34" x14ac:dyDescent="0.2">
      <c r="B4810" s="2">
        <f ca="1"/>
        <v>0.90417318213968745</v>
      </c>
      <c r="O4810" s="2">
        <f ca="1"/>
        <v>0.27267329272354657</v>
      </c>
      <c r="X4810" s="2">
        <f ca="1"/>
        <v>48.481647228708397</v>
      </c>
      <c r="AG4810" s="2">
        <f ca="1"/>
        <v>0.1892318357297762</v>
      </c>
      <c r="AH4810" s="2" t="str">
        <f ca="1"/>
        <v>OK</v>
      </c>
    </row>
    <row r="4811" spans="2:34" x14ac:dyDescent="0.2">
      <c r="B4811" s="2">
        <f ca="1"/>
        <v>2.5939023392597127E-2</v>
      </c>
      <c r="O4811" s="2">
        <f ca="1"/>
        <v>1.6172706261627658</v>
      </c>
      <c r="X4811" s="2">
        <f ca="1"/>
        <v>44.518236070992458</v>
      </c>
      <c r="AG4811" s="2">
        <f ca="1"/>
        <v>0.367128054614692</v>
      </c>
      <c r="AH4811" s="2" t="str">
        <f ca="1"/>
        <v>OK</v>
      </c>
    </row>
    <row r="4812" spans="2:34" x14ac:dyDescent="0.2">
      <c r="B4812" s="2">
        <f ca="1"/>
        <v>0.21784216691498792</v>
      </c>
      <c r="O4812" s="2">
        <f ca="1"/>
        <v>-1.1184972475628923</v>
      </c>
      <c r="X4812" s="2">
        <f ca="1"/>
        <v>35.981969300166547</v>
      </c>
      <c r="AG4812" s="2">
        <f ca="1"/>
        <v>0.15485201089869904</v>
      </c>
      <c r="AH4812" s="2" t="str">
        <f ca="1"/>
        <v>OK</v>
      </c>
    </row>
    <row r="4813" spans="2:34" x14ac:dyDescent="0.2">
      <c r="B4813" s="2">
        <f ca="1"/>
        <v>7.3745803790969067E-2</v>
      </c>
      <c r="O4813" s="2">
        <f ca="1"/>
        <v>2.1119872553922017</v>
      </c>
      <c r="X4813" s="2">
        <f ca="1"/>
        <v>37.807300752548507</v>
      </c>
      <c r="AG4813" s="2">
        <f ca="1"/>
        <v>0.90617895695102968</v>
      </c>
      <c r="AH4813" s="2" t="str">
        <f ca="1"/>
        <v>Bad</v>
      </c>
    </row>
    <row r="4814" spans="2:34" x14ac:dyDescent="0.2">
      <c r="B4814" s="2">
        <f ca="1"/>
        <v>0.72843837608151962</v>
      </c>
      <c r="O4814" s="2">
        <f ca="1"/>
        <v>-0.48793201160767369</v>
      </c>
      <c r="X4814" s="2">
        <f ca="1"/>
        <v>49.411063964286285</v>
      </c>
      <c r="AG4814" s="2">
        <f ca="1"/>
        <v>0.76067835316612253</v>
      </c>
      <c r="AH4814" s="2" t="str">
        <f ca="1"/>
        <v>Bad</v>
      </c>
    </row>
    <row r="4815" spans="2:34" x14ac:dyDescent="0.2">
      <c r="B4815" s="2">
        <f ca="1"/>
        <v>0.83430825818143073</v>
      </c>
      <c r="O4815" s="2">
        <f ca="1"/>
        <v>0.19805678478974276</v>
      </c>
      <c r="X4815" s="2">
        <f ca="1"/>
        <v>66.049984121847004</v>
      </c>
      <c r="AG4815" s="2">
        <f ca="1"/>
        <v>0.1150042217463414</v>
      </c>
      <c r="AH4815" s="2" t="str">
        <f ca="1"/>
        <v>OK</v>
      </c>
    </row>
    <row r="4816" spans="2:34" x14ac:dyDescent="0.2">
      <c r="B4816" s="2">
        <f ca="1"/>
        <v>0.24392553626091451</v>
      </c>
      <c r="O4816" s="2">
        <f ca="1"/>
        <v>1.3484838659429743</v>
      </c>
      <c r="X4816" s="2">
        <f ca="1"/>
        <v>53.018006881966542</v>
      </c>
      <c r="AG4816" s="2">
        <f ca="1"/>
        <v>0.32738320632263873</v>
      </c>
      <c r="AH4816" s="2" t="str">
        <f ca="1"/>
        <v>OK</v>
      </c>
    </row>
    <row r="4817" spans="2:34" x14ac:dyDescent="0.2">
      <c r="B4817" s="2">
        <f ca="1"/>
        <v>0.29313445999962218</v>
      </c>
      <c r="O4817" s="2">
        <f ca="1"/>
        <v>0.29366934978210724</v>
      </c>
      <c r="X4817" s="2">
        <f ca="1"/>
        <v>44.841793265013777</v>
      </c>
      <c r="AG4817" s="2">
        <f ca="1"/>
        <v>0.49617264495546487</v>
      </c>
      <c r="AH4817" s="2" t="str">
        <f ca="1"/>
        <v>Bad</v>
      </c>
    </row>
    <row r="4818" spans="2:34" x14ac:dyDescent="0.2">
      <c r="B4818" s="2">
        <f ca="1"/>
        <v>0.15118699642275146</v>
      </c>
      <c r="O4818" s="2">
        <f ca="1"/>
        <v>-2.3568098256601058</v>
      </c>
      <c r="X4818" s="2">
        <f ca="1"/>
        <v>60.709672282551551</v>
      </c>
      <c r="AG4818" s="2">
        <f ca="1"/>
        <v>0.71717880416714852</v>
      </c>
      <c r="AH4818" s="2" t="str">
        <f ca="1"/>
        <v>Bad</v>
      </c>
    </row>
    <row r="4819" spans="2:34" x14ac:dyDescent="0.2">
      <c r="B4819" s="2">
        <f ca="1"/>
        <v>0.87835366785888858</v>
      </c>
      <c r="O4819" s="2">
        <f ca="1"/>
        <v>-0.38873571764521964</v>
      </c>
      <c r="X4819" s="2">
        <f ca="1"/>
        <v>29.867356052977549</v>
      </c>
      <c r="AG4819" s="2">
        <f ca="1"/>
        <v>0.97156398345965056</v>
      </c>
      <c r="AH4819" s="2" t="str">
        <f ca="1"/>
        <v>Bad</v>
      </c>
    </row>
    <row r="4820" spans="2:34" x14ac:dyDescent="0.2">
      <c r="B4820" s="2">
        <f ca="1"/>
        <v>5.5745787653882939E-2</v>
      </c>
      <c r="O4820" s="2">
        <f ca="1"/>
        <v>1.5887295776912773</v>
      </c>
      <c r="X4820" s="2">
        <f ca="1"/>
        <v>24.517822075506629</v>
      </c>
      <c r="AG4820" s="2">
        <f ca="1"/>
        <v>0.11869145157796956</v>
      </c>
      <c r="AH4820" s="2" t="str">
        <f ca="1"/>
        <v>OK</v>
      </c>
    </row>
    <row r="4821" spans="2:34" x14ac:dyDescent="0.2">
      <c r="B4821" s="2">
        <f ca="1"/>
        <v>0.92139490743746988</v>
      </c>
      <c r="O4821" s="2">
        <f ca="1"/>
        <v>0.34238109959532198</v>
      </c>
      <c r="X4821" s="2">
        <f ca="1"/>
        <v>50.861928373305659</v>
      </c>
      <c r="AG4821" s="2">
        <f ca="1"/>
        <v>0.8806243295246392</v>
      </c>
      <c r="AH4821" s="2" t="str">
        <f ca="1"/>
        <v>Bad</v>
      </c>
    </row>
    <row r="4822" spans="2:34" x14ac:dyDescent="0.2">
      <c r="B4822" s="2">
        <f ca="1"/>
        <v>0.75792457476917718</v>
      </c>
      <c r="O4822" s="2">
        <f ca="1"/>
        <v>0.73679516985585158</v>
      </c>
      <c r="X4822" s="2">
        <f ca="1"/>
        <v>62.236220373571058</v>
      </c>
      <c r="AG4822" s="2">
        <f ca="1"/>
        <v>0.77243549739085493</v>
      </c>
      <c r="AH4822" s="2" t="str">
        <f ca="1"/>
        <v>Bad</v>
      </c>
    </row>
    <row r="4823" spans="2:34" x14ac:dyDescent="0.2">
      <c r="B4823" s="2">
        <f ca="1"/>
        <v>6.9797590322050018E-2</v>
      </c>
      <c r="O4823" s="2">
        <f ca="1"/>
        <v>0.86997500457219601</v>
      </c>
      <c r="X4823" s="2">
        <f ca="1"/>
        <v>75.654484047396025</v>
      </c>
      <c r="AG4823" s="2">
        <f ca="1"/>
        <v>0.74215796453941674</v>
      </c>
      <c r="AH4823" s="2" t="str">
        <f ca="1"/>
        <v>Bad</v>
      </c>
    </row>
    <row r="4824" spans="2:34" x14ac:dyDescent="0.2">
      <c r="B4824" s="2">
        <f ca="1"/>
        <v>0.34454599558725341</v>
      </c>
      <c r="O4824" s="2">
        <f ca="1"/>
        <v>0.55017061701513792</v>
      </c>
      <c r="X4824" s="2">
        <f ca="1"/>
        <v>38.300821483426766</v>
      </c>
      <c r="AG4824" s="2">
        <f ca="1"/>
        <v>0.50942267875016856</v>
      </c>
      <c r="AH4824" s="2" t="str">
        <f ca="1"/>
        <v>Bad</v>
      </c>
    </row>
    <row r="4825" spans="2:34" x14ac:dyDescent="0.2">
      <c r="B4825" s="2">
        <f ca="1"/>
        <v>0.38944936437631594</v>
      </c>
      <c r="O4825" s="2">
        <f ca="1"/>
        <v>0.14750719671711979</v>
      </c>
      <c r="X4825" s="2">
        <f ca="1"/>
        <v>47.295490331666336</v>
      </c>
      <c r="AG4825" s="2">
        <f ca="1"/>
        <v>0.39795801638900352</v>
      </c>
      <c r="AH4825" s="2" t="str">
        <f ca="1"/>
        <v>OK</v>
      </c>
    </row>
    <row r="4826" spans="2:34" x14ac:dyDescent="0.2">
      <c r="B4826" s="2">
        <f ca="1"/>
        <v>0.14858164460581902</v>
      </c>
      <c r="O4826" s="2">
        <f ca="1"/>
        <v>0.49195716066179762</v>
      </c>
      <c r="X4826" s="2">
        <f ca="1"/>
        <v>30.053036777823003</v>
      </c>
      <c r="AG4826" s="2">
        <f ca="1"/>
        <v>3.2990863056407083E-2</v>
      </c>
      <c r="AH4826" s="2" t="str">
        <f ca="1"/>
        <v>Good</v>
      </c>
    </row>
    <row r="4827" spans="2:34" x14ac:dyDescent="0.2">
      <c r="B4827" s="2">
        <f ca="1"/>
        <v>6.4856572242749655E-2</v>
      </c>
      <c r="O4827" s="2">
        <f ca="1"/>
        <v>0.766790261870129</v>
      </c>
      <c r="X4827" s="2">
        <f ca="1"/>
        <v>45.591212545110302</v>
      </c>
      <c r="AG4827" s="2">
        <f ca="1"/>
        <v>0.60995620192955169</v>
      </c>
      <c r="AH4827" s="2" t="str">
        <f ca="1"/>
        <v>Bad</v>
      </c>
    </row>
    <row r="4828" spans="2:34" x14ac:dyDescent="0.2">
      <c r="B4828" s="2">
        <f ca="1"/>
        <v>0.14806228957220702</v>
      </c>
      <c r="O4828" s="2">
        <f ca="1"/>
        <v>0.90676303980164918</v>
      </c>
      <c r="X4828" s="2">
        <f ca="1"/>
        <v>77.369877454835688</v>
      </c>
      <c r="AG4828" s="2">
        <f ca="1"/>
        <v>0.44171546256279104</v>
      </c>
      <c r="AH4828" s="2" t="str">
        <f ca="1"/>
        <v>Bad</v>
      </c>
    </row>
    <row r="4829" spans="2:34" x14ac:dyDescent="0.2">
      <c r="B4829" s="2">
        <f ca="1"/>
        <v>0.50114136610285764</v>
      </c>
      <c r="O4829" s="2">
        <f ca="1"/>
        <v>1.4298400138843557</v>
      </c>
      <c r="X4829" s="2">
        <f ca="1"/>
        <v>34.230132515788526</v>
      </c>
      <c r="AG4829" s="2">
        <f ca="1"/>
        <v>0.96709032848916676</v>
      </c>
      <c r="AH4829" s="2" t="str">
        <f ca="1"/>
        <v>Bad</v>
      </c>
    </row>
    <row r="4830" spans="2:34" x14ac:dyDescent="0.2">
      <c r="B4830" s="2">
        <f ca="1"/>
        <v>0.20207146710885793</v>
      </c>
      <c r="O4830" s="2">
        <f ca="1"/>
        <v>0.603153251324828</v>
      </c>
      <c r="X4830" s="2">
        <f ca="1"/>
        <v>45.534371009579814</v>
      </c>
      <c r="AG4830" s="2">
        <f ca="1"/>
        <v>0.97739363422088266</v>
      </c>
      <c r="AH4830" s="2" t="str">
        <f ca="1"/>
        <v>Bad</v>
      </c>
    </row>
    <row r="4831" spans="2:34" x14ac:dyDescent="0.2">
      <c r="B4831" s="2">
        <f ca="1"/>
        <v>0.79994955906972454</v>
      </c>
      <c r="O4831" s="2">
        <f ca="1"/>
        <v>-2.4236386762750128</v>
      </c>
      <c r="X4831" s="2">
        <f ca="1"/>
        <v>21.378985126559492</v>
      </c>
      <c r="AG4831" s="2">
        <f ca="1"/>
        <v>0.38205737729759948</v>
      </c>
      <c r="AH4831" s="2" t="str">
        <f ca="1"/>
        <v>OK</v>
      </c>
    </row>
    <row r="4832" spans="2:34" x14ac:dyDescent="0.2">
      <c r="B4832" s="2">
        <f ca="1"/>
        <v>0.77382964676875954</v>
      </c>
      <c r="O4832" s="2">
        <f ca="1"/>
        <v>-0.26307091525945236</v>
      </c>
      <c r="X4832" s="2">
        <f ca="1"/>
        <v>56.816748206164789</v>
      </c>
      <c r="AG4832" s="2">
        <f ca="1"/>
        <v>0.6136944098103061</v>
      </c>
      <c r="AH4832" s="2" t="str">
        <f ca="1"/>
        <v>Bad</v>
      </c>
    </row>
    <row r="4833" spans="2:34" x14ac:dyDescent="0.2">
      <c r="B4833" s="2">
        <f ca="1"/>
        <v>0.28560329965912512</v>
      </c>
      <c r="O4833" s="2">
        <f ca="1"/>
        <v>-1.7978328580799035</v>
      </c>
      <c r="X4833" s="2">
        <f ca="1"/>
        <v>32.402426981692237</v>
      </c>
      <c r="AG4833" s="2">
        <f ca="1"/>
        <v>0.78392775323760877</v>
      </c>
      <c r="AH4833" s="2" t="str">
        <f ca="1"/>
        <v>Bad</v>
      </c>
    </row>
    <row r="4834" spans="2:34" x14ac:dyDescent="0.2">
      <c r="B4834" s="2">
        <f ca="1"/>
        <v>0.10442451252521434</v>
      </c>
      <c r="O4834" s="2">
        <f ca="1"/>
        <v>-0.65221532012978878</v>
      </c>
      <c r="X4834" s="2">
        <f ca="1"/>
        <v>64.124595629069958</v>
      </c>
      <c r="AG4834" s="2">
        <f ca="1"/>
        <v>0.91770796377677288</v>
      </c>
      <c r="AH4834" s="2" t="str">
        <f ca="1"/>
        <v>Bad</v>
      </c>
    </row>
    <row r="4835" spans="2:34" x14ac:dyDescent="0.2">
      <c r="B4835" s="2">
        <f ca="1"/>
        <v>0.10605238392868377</v>
      </c>
      <c r="O4835" s="2">
        <f ca="1"/>
        <v>-1.0449433704360609</v>
      </c>
      <c r="X4835" s="2">
        <f ca="1"/>
        <v>21.741890390812614</v>
      </c>
      <c r="AG4835" s="2">
        <f ca="1"/>
        <v>0.96361037375576952</v>
      </c>
      <c r="AH4835" s="2" t="str">
        <f ca="1"/>
        <v>Bad</v>
      </c>
    </row>
    <row r="4836" spans="2:34" x14ac:dyDescent="0.2">
      <c r="B4836" s="2">
        <f ca="1"/>
        <v>0.70364246989162083</v>
      </c>
      <c r="O4836" s="2">
        <f ca="1"/>
        <v>-1.5419872001966404</v>
      </c>
      <c r="X4836" s="2">
        <f ca="1"/>
        <v>38.864168555183277</v>
      </c>
      <c r="AG4836" s="2">
        <f ca="1"/>
        <v>0.60748292244712054</v>
      </c>
      <c r="AH4836" s="2" t="str">
        <f ca="1"/>
        <v>Bad</v>
      </c>
    </row>
    <row r="4837" spans="2:34" x14ac:dyDescent="0.2">
      <c r="B4837" s="2">
        <f ca="1"/>
        <v>0.73956467517336599</v>
      </c>
      <c r="O4837" s="2">
        <f ca="1"/>
        <v>-4.2618267986398936E-3</v>
      </c>
      <c r="X4837" s="2">
        <f ca="1"/>
        <v>51.780488051984477</v>
      </c>
      <c r="AG4837" s="2">
        <f ca="1"/>
        <v>0.17650104112631393</v>
      </c>
      <c r="AH4837" s="2" t="str">
        <f ca="1"/>
        <v>OK</v>
      </c>
    </row>
    <row r="4838" spans="2:34" x14ac:dyDescent="0.2">
      <c r="B4838" s="2">
        <f ca="1"/>
        <v>0.65207518450439794</v>
      </c>
      <c r="O4838" s="2">
        <f ca="1"/>
        <v>-1.4251100329403794</v>
      </c>
      <c r="X4838" s="2">
        <f ca="1"/>
        <v>40.194788388331403</v>
      </c>
      <c r="AG4838" s="2">
        <f ca="1"/>
        <v>0.40580330288117028</v>
      </c>
      <c r="AH4838" s="2" t="str">
        <f ca="1"/>
        <v>Bad</v>
      </c>
    </row>
    <row r="4839" spans="2:34" x14ac:dyDescent="0.2">
      <c r="B4839" s="2">
        <f ca="1"/>
        <v>0.77744686292012677</v>
      </c>
      <c r="O4839" s="2">
        <f ca="1"/>
        <v>-0.89843623308311815</v>
      </c>
      <c r="X4839" s="2">
        <f ca="1"/>
        <v>62.703585319732447</v>
      </c>
      <c r="AG4839" s="2">
        <f ca="1"/>
        <v>0.6049526931313689</v>
      </c>
      <c r="AH4839" s="2" t="str">
        <f ca="1"/>
        <v>Bad</v>
      </c>
    </row>
    <row r="4840" spans="2:34" x14ac:dyDescent="0.2">
      <c r="B4840" s="2">
        <f ca="1"/>
        <v>0.79994590496243867</v>
      </c>
      <c r="O4840" s="2">
        <f ca="1"/>
        <v>-0.88019138998007029</v>
      </c>
      <c r="X4840" s="2">
        <f ca="1"/>
        <v>49.228566455407723</v>
      </c>
      <c r="AG4840" s="2">
        <f ca="1"/>
        <v>0.74434561396308485</v>
      </c>
      <c r="AH4840" s="2" t="str">
        <f ca="1"/>
        <v>Bad</v>
      </c>
    </row>
    <row r="4841" spans="2:34" x14ac:dyDescent="0.2">
      <c r="B4841" s="2">
        <f ca="1"/>
        <v>0.53522719074410041</v>
      </c>
      <c r="O4841" s="2">
        <f ca="1"/>
        <v>0.13548175734152701</v>
      </c>
      <c r="X4841" s="2">
        <f ca="1"/>
        <v>66.472950078980816</v>
      </c>
      <c r="AG4841" s="2">
        <f ca="1"/>
        <v>0.60946760164715963</v>
      </c>
      <c r="AH4841" s="2" t="str">
        <f ca="1"/>
        <v>Bad</v>
      </c>
    </row>
    <row r="4842" spans="2:34" x14ac:dyDescent="0.2">
      <c r="B4842" s="2">
        <f ca="1"/>
        <v>1.7889957368248943E-2</v>
      </c>
      <c r="O4842" s="2">
        <f ca="1"/>
        <v>-0.87264255728605622</v>
      </c>
      <c r="X4842" s="2">
        <f ca="1"/>
        <v>57.863182207024657</v>
      </c>
      <c r="AG4842" s="2">
        <f ca="1"/>
        <v>5.7636447802957846E-2</v>
      </c>
      <c r="AH4842" s="2" t="str">
        <f ca="1"/>
        <v>OK</v>
      </c>
    </row>
    <row r="4843" spans="2:34" x14ac:dyDescent="0.2">
      <c r="B4843" s="2">
        <f ca="1"/>
        <v>1.5965842024884713E-2</v>
      </c>
      <c r="O4843" s="2">
        <f ca="1"/>
        <v>0.27664906419989999</v>
      </c>
      <c r="X4843" s="2">
        <f ca="1"/>
        <v>30.630233384929358</v>
      </c>
      <c r="AG4843" s="2">
        <f ca="1"/>
        <v>0.36551334270581703</v>
      </c>
      <c r="AH4843" s="2" t="str">
        <f ca="1"/>
        <v>OK</v>
      </c>
    </row>
    <row r="4844" spans="2:34" x14ac:dyDescent="0.2">
      <c r="B4844" s="2">
        <f ca="1"/>
        <v>0.88160599844877052</v>
      </c>
      <c r="O4844" s="2">
        <f ca="1"/>
        <v>-1.0554256256193288</v>
      </c>
      <c r="X4844" s="2">
        <f ca="1"/>
        <v>69.222766181909435</v>
      </c>
      <c r="AG4844" s="2">
        <f ca="1"/>
        <v>0.54611983092136152</v>
      </c>
      <c r="AH4844" s="2" t="str">
        <f ca="1"/>
        <v>Bad</v>
      </c>
    </row>
    <row r="4845" spans="2:34" x14ac:dyDescent="0.2">
      <c r="B4845" s="2">
        <f ca="1"/>
        <v>0.31208346399869469</v>
      </c>
      <c r="O4845" s="2">
        <f ca="1"/>
        <v>0.15919836649200467</v>
      </c>
      <c r="X4845" s="2">
        <f ca="1"/>
        <v>41.484843299646386</v>
      </c>
      <c r="AG4845" s="2">
        <f ca="1"/>
        <v>0.10479550363429779</v>
      </c>
      <c r="AH4845" s="2" t="str">
        <f ca="1"/>
        <v>OK</v>
      </c>
    </row>
    <row r="4846" spans="2:34" x14ac:dyDescent="0.2">
      <c r="B4846" s="2">
        <f ca="1"/>
        <v>0.36150251114031029</v>
      </c>
      <c r="O4846" s="2">
        <f ca="1"/>
        <v>-1.5716274140804471</v>
      </c>
      <c r="X4846" s="2">
        <f ca="1"/>
        <v>48.567080306037987</v>
      </c>
      <c r="AG4846" s="2">
        <f ca="1"/>
        <v>0.60610471675422573</v>
      </c>
      <c r="AH4846" s="2" t="str">
        <f ca="1"/>
        <v>Bad</v>
      </c>
    </row>
    <row r="4847" spans="2:34" x14ac:dyDescent="0.2">
      <c r="B4847" s="2">
        <f ca="1"/>
        <v>0.91486623944779666</v>
      </c>
      <c r="O4847" s="2">
        <f ca="1"/>
        <v>-1.0766538120946314</v>
      </c>
      <c r="X4847" s="2">
        <f ca="1"/>
        <v>29.940858018279847</v>
      </c>
      <c r="AG4847" s="2">
        <f ca="1"/>
        <v>0.56266634391704584</v>
      </c>
      <c r="AH4847" s="2" t="str">
        <f ca="1"/>
        <v>Bad</v>
      </c>
    </row>
    <row r="4848" spans="2:34" x14ac:dyDescent="0.2">
      <c r="B4848" s="2">
        <f ca="1"/>
        <v>0.21211129014949082</v>
      </c>
      <c r="O4848" s="2">
        <f ca="1"/>
        <v>0.69282813658608977</v>
      </c>
      <c r="X4848" s="2">
        <f ca="1"/>
        <v>24.662835646369999</v>
      </c>
      <c r="AG4848" s="2">
        <f ca="1"/>
        <v>0.35736061990535006</v>
      </c>
      <c r="AH4848" s="2" t="str">
        <f ca="1"/>
        <v>OK</v>
      </c>
    </row>
    <row r="4849" spans="2:34" x14ac:dyDescent="0.2">
      <c r="B4849" s="2">
        <f ca="1"/>
        <v>0.31477325584994253</v>
      </c>
      <c r="O4849" s="2">
        <f ca="1"/>
        <v>0.72971356038501678</v>
      </c>
      <c r="X4849" s="2">
        <f ca="1"/>
        <v>67.081023565125605</v>
      </c>
      <c r="AG4849" s="2">
        <f ca="1"/>
        <v>0.85551721769286049</v>
      </c>
      <c r="AH4849" s="2" t="str">
        <f ca="1"/>
        <v>Bad</v>
      </c>
    </row>
    <row r="4850" spans="2:34" x14ac:dyDescent="0.2">
      <c r="B4850" s="2">
        <f ca="1"/>
        <v>0.70203263834930696</v>
      </c>
      <c r="O4850" s="2">
        <f ca="1"/>
        <v>-0.69877617441762097</v>
      </c>
      <c r="X4850" s="2">
        <f ca="1"/>
        <v>43.50478262516085</v>
      </c>
      <c r="AG4850" s="2">
        <f ca="1"/>
        <v>0.13171549698502982</v>
      </c>
      <c r="AH4850" s="2" t="str">
        <f ca="1"/>
        <v>OK</v>
      </c>
    </row>
    <row r="4851" spans="2:34" x14ac:dyDescent="0.2">
      <c r="B4851" s="2">
        <f ca="1"/>
        <v>0.36732180268472003</v>
      </c>
      <c r="O4851" s="2">
        <f ca="1"/>
        <v>0.18350136342387566</v>
      </c>
      <c r="X4851" s="2">
        <f ca="1"/>
        <v>42.822478026351732</v>
      </c>
      <c r="AG4851" s="2">
        <f ca="1"/>
        <v>0.13295496815829733</v>
      </c>
      <c r="AH4851" s="2" t="str">
        <f ca="1"/>
        <v>OK</v>
      </c>
    </row>
    <row r="4852" spans="2:34" x14ac:dyDescent="0.2">
      <c r="B4852" s="2">
        <f ca="1"/>
        <v>0.22144096094019017</v>
      </c>
      <c r="O4852" s="2">
        <f ca="1"/>
        <v>8.5295380797193857E-2</v>
      </c>
      <c r="X4852" s="2">
        <f ca="1"/>
        <v>31.662712372818103</v>
      </c>
      <c r="AG4852" s="2">
        <f ca="1"/>
        <v>0.25347319214291542</v>
      </c>
      <c r="AH4852" s="2" t="str">
        <f ca="1"/>
        <v>OK</v>
      </c>
    </row>
    <row r="4853" spans="2:34" x14ac:dyDescent="0.2">
      <c r="B4853" s="2">
        <f ca="1"/>
        <v>0.98892942715790055</v>
      </c>
      <c r="O4853" s="2">
        <f ca="1"/>
        <v>0.65266291247058816</v>
      </c>
      <c r="X4853" s="2">
        <f ca="1"/>
        <v>40.840707425124535</v>
      </c>
      <c r="AG4853" s="2">
        <f ca="1"/>
        <v>0.6726228725872061</v>
      </c>
      <c r="AH4853" s="2" t="str">
        <f ca="1"/>
        <v>Bad</v>
      </c>
    </row>
    <row r="4854" spans="2:34" x14ac:dyDescent="0.2">
      <c r="B4854" s="2">
        <f ca="1"/>
        <v>0.35195847742452702</v>
      </c>
      <c r="O4854" s="2">
        <f ca="1"/>
        <v>0.78803362983841341</v>
      </c>
      <c r="X4854" s="2">
        <f ca="1"/>
        <v>56.908776224879347</v>
      </c>
      <c r="AG4854" s="2">
        <f ca="1"/>
        <v>0.55195557380947324</v>
      </c>
      <c r="AH4854" s="2" t="str">
        <f ca="1"/>
        <v>Bad</v>
      </c>
    </row>
    <row r="4855" spans="2:34" x14ac:dyDescent="0.2">
      <c r="B4855" s="2">
        <f ca="1"/>
        <v>0.87431931020023579</v>
      </c>
      <c r="O4855" s="2">
        <f ca="1"/>
        <v>0.61413942427732138</v>
      </c>
      <c r="X4855" s="2">
        <f ca="1"/>
        <v>65.691820172040494</v>
      </c>
      <c r="AG4855" s="2">
        <f ca="1"/>
        <v>0.1071394993782373</v>
      </c>
      <c r="AH4855" s="2" t="str">
        <f ca="1"/>
        <v>OK</v>
      </c>
    </row>
    <row r="4856" spans="2:34" x14ac:dyDescent="0.2">
      <c r="B4856" s="2">
        <f ca="1"/>
        <v>0.24703214847215227</v>
      </c>
      <c r="O4856" s="2">
        <f ca="1"/>
        <v>0.46904120043872582</v>
      </c>
      <c r="X4856" s="2">
        <f ca="1"/>
        <v>63.606029319016514</v>
      </c>
      <c r="AG4856" s="2">
        <f ca="1"/>
        <v>0.10572763208554736</v>
      </c>
      <c r="AH4856" s="2" t="str">
        <f ca="1"/>
        <v>OK</v>
      </c>
    </row>
    <row r="4857" spans="2:34" x14ac:dyDescent="0.2">
      <c r="B4857" s="2">
        <f ca="1"/>
        <v>0.29726687438040478</v>
      </c>
      <c r="O4857" s="2">
        <f ca="1"/>
        <v>-0.46522483029390654</v>
      </c>
      <c r="X4857" s="2">
        <f ca="1"/>
        <v>40.772702493718981</v>
      </c>
      <c r="AG4857" s="2">
        <f ca="1"/>
        <v>0.17991162627522295</v>
      </c>
      <c r="AH4857" s="2" t="str">
        <f ca="1"/>
        <v>OK</v>
      </c>
    </row>
    <row r="4858" spans="2:34" x14ac:dyDescent="0.2">
      <c r="B4858" s="2">
        <f ca="1"/>
        <v>0.71886325631459869</v>
      </c>
      <c r="O4858" s="2">
        <f ca="1"/>
        <v>0.62475680185742855</v>
      </c>
      <c r="X4858" s="2">
        <f ca="1"/>
        <v>69.803146123568766</v>
      </c>
      <c r="AG4858" s="2">
        <f ca="1"/>
        <v>0.90047194519419693</v>
      </c>
      <c r="AH4858" s="2" t="str">
        <f ca="1"/>
        <v>Bad</v>
      </c>
    </row>
    <row r="4859" spans="2:34" x14ac:dyDescent="0.2">
      <c r="B4859" s="2">
        <f ca="1"/>
        <v>0.719502933669804</v>
      </c>
      <c r="O4859" s="2">
        <f ca="1"/>
        <v>-1.5328111252581866</v>
      </c>
      <c r="X4859" s="2">
        <f ca="1"/>
        <v>39.644798325467782</v>
      </c>
      <c r="AG4859" s="2">
        <f ca="1"/>
        <v>0.74771174549682407</v>
      </c>
      <c r="AH4859" s="2" t="str">
        <f ca="1"/>
        <v>Bad</v>
      </c>
    </row>
    <row r="4860" spans="2:34" x14ac:dyDescent="0.2">
      <c r="B4860" s="2">
        <f ca="1"/>
        <v>0.66845015016060083</v>
      </c>
      <c r="O4860" s="2">
        <f ca="1"/>
        <v>0.36182568758954647</v>
      </c>
      <c r="X4860" s="2">
        <f ca="1"/>
        <v>62.941989380521818</v>
      </c>
      <c r="AG4860" s="2">
        <f ca="1"/>
        <v>0.56585548704195299</v>
      </c>
      <c r="AH4860" s="2" t="str">
        <f ca="1"/>
        <v>Bad</v>
      </c>
    </row>
    <row r="4861" spans="2:34" x14ac:dyDescent="0.2">
      <c r="B4861" s="2">
        <f ca="1"/>
        <v>1.4120141741819747E-2</v>
      </c>
      <c r="O4861" s="2">
        <f ca="1"/>
        <v>0.33727889081270174</v>
      </c>
      <c r="X4861" s="2">
        <f ca="1"/>
        <v>55.689318685868699</v>
      </c>
      <c r="AG4861" s="2">
        <f ca="1"/>
        <v>0.23334774530189306</v>
      </c>
      <c r="AH4861" s="2" t="str">
        <f ca="1"/>
        <v>OK</v>
      </c>
    </row>
    <row r="4862" spans="2:34" x14ac:dyDescent="0.2">
      <c r="B4862" s="2">
        <f ca="1"/>
        <v>0.44865277173427653</v>
      </c>
      <c r="O4862" s="2">
        <f ca="1"/>
        <v>-0.1531159029915837</v>
      </c>
      <c r="X4862" s="2">
        <f ca="1"/>
        <v>56.92104597558906</v>
      </c>
      <c r="AG4862" s="2">
        <f ca="1"/>
        <v>0.23311746132002487</v>
      </c>
      <c r="AH4862" s="2" t="str">
        <f ca="1"/>
        <v>OK</v>
      </c>
    </row>
    <row r="4863" spans="2:34" x14ac:dyDescent="0.2">
      <c r="B4863" s="2">
        <f ca="1"/>
        <v>0.65551466777418854</v>
      </c>
      <c r="O4863" s="2">
        <f ca="1"/>
        <v>0.18363914149663974</v>
      </c>
      <c r="X4863" s="2">
        <f ca="1"/>
        <v>65.252285238734856</v>
      </c>
      <c r="AG4863" s="2">
        <f ca="1"/>
        <v>0.18901925168593015</v>
      </c>
      <c r="AH4863" s="2" t="str">
        <f ca="1"/>
        <v>OK</v>
      </c>
    </row>
    <row r="4864" spans="2:34" x14ac:dyDescent="0.2">
      <c r="B4864" s="2">
        <f ca="1"/>
        <v>0.25632252515999476</v>
      </c>
      <c r="O4864" s="2">
        <f ca="1"/>
        <v>0.5003262285747555</v>
      </c>
      <c r="X4864" s="2">
        <f ca="1"/>
        <v>56.575723440891736</v>
      </c>
      <c r="AG4864" s="2">
        <f ca="1"/>
        <v>0.81287250115220622</v>
      </c>
      <c r="AH4864" s="2" t="str">
        <f ca="1"/>
        <v>Bad</v>
      </c>
    </row>
    <row r="4865" spans="2:34" x14ac:dyDescent="0.2">
      <c r="B4865" s="2">
        <f ca="1"/>
        <v>0.93068810212477771</v>
      </c>
      <c r="O4865" s="2">
        <f ca="1"/>
        <v>-0.41025588481686537</v>
      </c>
      <c r="X4865" s="2">
        <f ca="1"/>
        <v>36.94176854431214</v>
      </c>
      <c r="AG4865" s="2">
        <f ca="1"/>
        <v>0.998038379187981</v>
      </c>
      <c r="AH4865" s="2" t="str">
        <f ca="1"/>
        <v>Bad</v>
      </c>
    </row>
    <row r="4866" spans="2:34" x14ac:dyDescent="0.2">
      <c r="B4866" s="2">
        <f ca="1"/>
        <v>0.47959288612753581</v>
      </c>
      <c r="O4866" s="2">
        <f ca="1"/>
        <v>-0.39444272426957694</v>
      </c>
      <c r="X4866" s="2">
        <f ca="1"/>
        <v>29.938906951546535</v>
      </c>
      <c r="AG4866" s="2">
        <f ca="1"/>
        <v>0.36734469585368323</v>
      </c>
      <c r="AH4866" s="2" t="str">
        <f ca="1"/>
        <v>OK</v>
      </c>
    </row>
    <row r="4867" spans="2:34" x14ac:dyDescent="0.2">
      <c r="B4867" s="2">
        <f ca="1"/>
        <v>0.68531135592098602</v>
      </c>
      <c r="O4867" s="2">
        <f ca="1"/>
        <v>-1.1363984680648871</v>
      </c>
      <c r="X4867" s="2">
        <f ca="1"/>
        <v>48.67088845003898</v>
      </c>
      <c r="AG4867" s="2">
        <f ca="1"/>
        <v>0.6097259010831706</v>
      </c>
      <c r="AH4867" s="2" t="str">
        <f ca="1"/>
        <v>Bad</v>
      </c>
    </row>
    <row r="4868" spans="2:34" x14ac:dyDescent="0.2">
      <c r="B4868" s="2">
        <f ca="1"/>
        <v>0.59667270962495689</v>
      </c>
      <c r="O4868" s="2">
        <f ca="1"/>
        <v>0.52489557262062159</v>
      </c>
      <c r="X4868" s="2">
        <f ca="1"/>
        <v>75.613427884914003</v>
      </c>
      <c r="AG4868" s="2">
        <f ca="1"/>
        <v>0.45577729834525682</v>
      </c>
      <c r="AH4868" s="2" t="str">
        <f ca="1"/>
        <v>Bad</v>
      </c>
    </row>
    <row r="4869" spans="2:34" x14ac:dyDescent="0.2">
      <c r="B4869" s="2">
        <f ca="1"/>
        <v>0.95857372997867452</v>
      </c>
      <c r="O4869" s="2">
        <f ca="1"/>
        <v>-1.4569260186364519</v>
      </c>
      <c r="X4869" s="2">
        <f ca="1"/>
        <v>58.157144600310424</v>
      </c>
      <c r="AG4869" s="2">
        <f ca="1"/>
        <v>0.65388074550679054</v>
      </c>
      <c r="AH4869" s="2" t="str">
        <f ca="1"/>
        <v>Bad</v>
      </c>
    </row>
    <row r="4870" spans="2:34" x14ac:dyDescent="0.2">
      <c r="B4870" s="2">
        <f ca="1"/>
        <v>0.51241307772853228</v>
      </c>
      <c r="O4870" s="2">
        <f ca="1"/>
        <v>0.79016873455183378</v>
      </c>
      <c r="X4870" s="2">
        <f ca="1"/>
        <v>31.952949725787505</v>
      </c>
      <c r="AG4870" s="2">
        <f ca="1"/>
        <v>0.14549487453403387</v>
      </c>
      <c r="AH4870" s="2" t="str">
        <f ca="1"/>
        <v>OK</v>
      </c>
    </row>
    <row r="4871" spans="2:34" x14ac:dyDescent="0.2">
      <c r="B4871" s="2">
        <f ca="1"/>
        <v>0.66059599567772032</v>
      </c>
      <c r="O4871" s="2">
        <f ca="1"/>
        <v>-0.92337664016791809</v>
      </c>
      <c r="X4871" s="2">
        <f ca="1"/>
        <v>73.175023592044283</v>
      </c>
      <c r="AG4871" s="2">
        <f ca="1"/>
        <v>0.69636506864268255</v>
      </c>
      <c r="AH4871" s="2" t="str">
        <f ca="1"/>
        <v>Bad</v>
      </c>
    </row>
    <row r="4872" spans="2:34" x14ac:dyDescent="0.2">
      <c r="B4872" s="2">
        <f ca="1"/>
        <v>0.15249025050196896</v>
      </c>
      <c r="O4872" s="2">
        <f ca="1"/>
        <v>-0.21437939527878799</v>
      </c>
      <c r="X4872" s="2">
        <f ca="1"/>
        <v>59.516742253766878</v>
      </c>
      <c r="AG4872" s="2">
        <f ca="1"/>
        <v>0.86180354307522111</v>
      </c>
      <c r="AH4872" s="2" t="str">
        <f ca="1"/>
        <v>Bad</v>
      </c>
    </row>
    <row r="4873" spans="2:34" x14ac:dyDescent="0.2">
      <c r="B4873" s="2">
        <f ca="1"/>
        <v>0.62391663576307099</v>
      </c>
      <c r="O4873" s="2">
        <f ca="1"/>
        <v>0.43145218282206627</v>
      </c>
      <c r="X4873" s="2">
        <f ca="1"/>
        <v>49.265741940682794</v>
      </c>
      <c r="AG4873" s="2">
        <f ca="1"/>
        <v>0.86694210661339199</v>
      </c>
      <c r="AH4873" s="2" t="str">
        <f ca="1"/>
        <v>Bad</v>
      </c>
    </row>
    <row r="4874" spans="2:34" x14ac:dyDescent="0.2">
      <c r="B4874" s="2">
        <f ca="1"/>
        <v>0.69813537995763153</v>
      </c>
      <c r="O4874" s="2">
        <f ca="1"/>
        <v>6.3503259526288255E-2</v>
      </c>
      <c r="X4874" s="2">
        <f ca="1"/>
        <v>45.447569392482066</v>
      </c>
      <c r="AG4874" s="2">
        <f ca="1"/>
        <v>0.79227370219889637</v>
      </c>
      <c r="AH4874" s="2" t="str">
        <f ca="1"/>
        <v>Bad</v>
      </c>
    </row>
    <row r="4875" spans="2:34" x14ac:dyDescent="0.2">
      <c r="B4875" s="2">
        <f ca="1"/>
        <v>0.35138414754023684</v>
      </c>
      <c r="O4875" s="2">
        <f ca="1"/>
        <v>-1.3751894013774251</v>
      </c>
      <c r="X4875" s="2">
        <f ca="1"/>
        <v>43.086082955434321</v>
      </c>
      <c r="AG4875" s="2">
        <f ca="1"/>
        <v>0.71078562482483965</v>
      </c>
      <c r="AH4875" s="2" t="str">
        <f ca="1"/>
        <v>Bad</v>
      </c>
    </row>
    <row r="4876" spans="2:34" x14ac:dyDescent="0.2">
      <c r="B4876" s="2">
        <f ca="1"/>
        <v>0.72795883608877321</v>
      </c>
      <c r="O4876" s="2">
        <f ca="1"/>
        <v>-0.84176265134427808</v>
      </c>
      <c r="X4876" s="2">
        <f ca="1"/>
        <v>57.164103911665826</v>
      </c>
      <c r="AG4876" s="2">
        <f ca="1"/>
        <v>0.66920913867298393</v>
      </c>
      <c r="AH4876" s="2" t="str">
        <f ca="1"/>
        <v>Bad</v>
      </c>
    </row>
    <row r="4877" spans="2:34" x14ac:dyDescent="0.2">
      <c r="B4877" s="2">
        <f ca="1"/>
        <v>0.62253596229779973</v>
      </c>
      <c r="O4877" s="2">
        <f ca="1"/>
        <v>-0.58174957438847008</v>
      </c>
      <c r="X4877" s="2">
        <f ca="1"/>
        <v>46.97195180931466</v>
      </c>
      <c r="AG4877" s="2">
        <f ca="1"/>
        <v>0.13102837450835048</v>
      </c>
      <c r="AH4877" s="2" t="str">
        <f ca="1"/>
        <v>OK</v>
      </c>
    </row>
    <row r="4878" spans="2:34" x14ac:dyDescent="0.2">
      <c r="B4878" s="2">
        <f ca="1"/>
        <v>0.59583554087006729</v>
      </c>
      <c r="O4878" s="2">
        <f ca="1"/>
        <v>-1.2026723964612729</v>
      </c>
      <c r="X4878" s="2">
        <f ca="1"/>
        <v>91.25296326392268</v>
      </c>
      <c r="AG4878" s="2">
        <f ca="1"/>
        <v>0.24724732056244969</v>
      </c>
      <c r="AH4878" s="2" t="str">
        <f ca="1"/>
        <v>OK</v>
      </c>
    </row>
    <row r="4879" spans="2:34" x14ac:dyDescent="0.2">
      <c r="B4879" s="2">
        <f ca="1"/>
        <v>0.55012255433838186</v>
      </c>
      <c r="O4879" s="2">
        <f ca="1"/>
        <v>1.3147287508100698</v>
      </c>
      <c r="X4879" s="2">
        <f ca="1"/>
        <v>49.395653515761005</v>
      </c>
      <c r="AG4879" s="2">
        <f ca="1"/>
        <v>0.84381054603826966</v>
      </c>
      <c r="AH4879" s="2" t="str">
        <f ca="1"/>
        <v>Bad</v>
      </c>
    </row>
    <row r="4880" spans="2:34" x14ac:dyDescent="0.2">
      <c r="B4880" s="2">
        <f ca="1"/>
        <v>0.22776676142082319</v>
      </c>
      <c r="O4880" s="2">
        <f ca="1"/>
        <v>-0.92177251495530477</v>
      </c>
      <c r="X4880" s="2">
        <f ca="1"/>
        <v>33.897414762847035</v>
      </c>
      <c r="AG4880" s="2">
        <f ca="1"/>
        <v>0.28154512466166715</v>
      </c>
      <c r="AH4880" s="2" t="str">
        <f ca="1"/>
        <v>OK</v>
      </c>
    </row>
    <row r="4881" spans="2:34" x14ac:dyDescent="0.2">
      <c r="B4881" s="2">
        <f ca="1"/>
        <v>0.38607859163295011</v>
      </c>
      <c r="O4881" s="2">
        <f ca="1"/>
        <v>9.7804032243094488E-2</v>
      </c>
      <c r="X4881" s="2">
        <f ca="1"/>
        <v>30.332381280725876</v>
      </c>
      <c r="AG4881" s="2">
        <f ca="1"/>
        <v>0.46838608326176545</v>
      </c>
      <c r="AH4881" s="2" t="str">
        <f ca="1"/>
        <v>Bad</v>
      </c>
    </row>
    <row r="4882" spans="2:34" x14ac:dyDescent="0.2">
      <c r="B4882" s="2">
        <f ca="1"/>
        <v>0.28991653660762284</v>
      </c>
      <c r="O4882" s="2">
        <f ca="1"/>
        <v>-1.3746380726874696</v>
      </c>
      <c r="X4882" s="2">
        <f ca="1"/>
        <v>42.839422091557367</v>
      </c>
      <c r="AG4882" s="2">
        <f ca="1"/>
        <v>6.6438050994999109E-4</v>
      </c>
      <c r="AH4882" s="2" t="str">
        <f ca="1"/>
        <v>Good</v>
      </c>
    </row>
    <row r="4883" spans="2:34" x14ac:dyDescent="0.2">
      <c r="B4883" s="2">
        <f ca="1"/>
        <v>0.74990192674155698</v>
      </c>
      <c r="O4883" s="2">
        <f ca="1"/>
        <v>1.902136461171904</v>
      </c>
      <c r="X4883" s="2">
        <f ca="1"/>
        <v>106.9000661286548</v>
      </c>
      <c r="AG4883" s="2">
        <f ca="1"/>
        <v>0.17961197947025154</v>
      </c>
      <c r="AH4883" s="2" t="str">
        <f ca="1"/>
        <v>OK</v>
      </c>
    </row>
    <row r="4884" spans="2:34" x14ac:dyDescent="0.2">
      <c r="B4884" s="2">
        <f ca="1"/>
        <v>0.57433538222626579</v>
      </c>
      <c r="O4884" s="2">
        <f ca="1"/>
        <v>0.95179773378576116</v>
      </c>
      <c r="X4884" s="2">
        <f ca="1"/>
        <v>68.935124007091176</v>
      </c>
      <c r="AG4884" s="2">
        <f ca="1"/>
        <v>0.85039198595036725</v>
      </c>
      <c r="AH4884" s="2" t="str">
        <f ca="1"/>
        <v>Bad</v>
      </c>
    </row>
    <row r="4885" spans="2:34" x14ac:dyDescent="0.2">
      <c r="B4885" s="2">
        <f ca="1"/>
        <v>8.1659503632992569E-2</v>
      </c>
      <c r="O4885" s="2">
        <f ca="1"/>
        <v>0.82102311215442125</v>
      </c>
      <c r="X4885" s="2">
        <f ca="1"/>
        <v>53.95723141714786</v>
      </c>
      <c r="AG4885" s="2">
        <f ca="1"/>
        <v>0.82127073089305269</v>
      </c>
      <c r="AH4885" s="2" t="str">
        <f ca="1"/>
        <v>Bad</v>
      </c>
    </row>
    <row r="4886" spans="2:34" x14ac:dyDescent="0.2">
      <c r="B4886" s="2">
        <f ca="1"/>
        <v>0.83515846065316102</v>
      </c>
      <c r="O4886" s="2">
        <f ca="1"/>
        <v>-4.5412763377426935E-3</v>
      </c>
      <c r="X4886" s="2">
        <f ca="1"/>
        <v>42.921402686998448</v>
      </c>
      <c r="AG4886" s="2">
        <f ca="1"/>
        <v>0.80049398390767568</v>
      </c>
      <c r="AH4886" s="2" t="str">
        <f ca="1"/>
        <v>Bad</v>
      </c>
    </row>
    <row r="4887" spans="2:34" x14ac:dyDescent="0.2">
      <c r="B4887" s="2">
        <f ca="1"/>
        <v>0.4011254103540971</v>
      </c>
      <c r="O4887" s="2">
        <f ca="1"/>
        <v>-0.23733037882902133</v>
      </c>
      <c r="X4887" s="2">
        <f ca="1"/>
        <v>42.809353695957824</v>
      </c>
      <c r="AG4887" s="2">
        <f ca="1"/>
        <v>0.8316433651566475</v>
      </c>
      <c r="AH4887" s="2" t="str">
        <f ca="1"/>
        <v>Bad</v>
      </c>
    </row>
    <row r="4888" spans="2:34" x14ac:dyDescent="0.2">
      <c r="B4888" s="2">
        <f ca="1"/>
        <v>0.38203849539695933</v>
      </c>
      <c r="O4888" s="2">
        <f ca="1"/>
        <v>1.5591851861833934</v>
      </c>
      <c r="X4888" s="2">
        <f ca="1"/>
        <v>54.924692584067792</v>
      </c>
      <c r="AG4888" s="2">
        <f ca="1"/>
        <v>0.29114465213892893</v>
      </c>
      <c r="AH4888" s="2" t="str">
        <f ca="1"/>
        <v>OK</v>
      </c>
    </row>
    <row r="4889" spans="2:34" x14ac:dyDescent="0.2">
      <c r="B4889" s="2">
        <f ca="1"/>
        <v>0.42186969325755852</v>
      </c>
      <c r="O4889" s="2">
        <f ca="1"/>
        <v>0.45839487406624485</v>
      </c>
      <c r="X4889" s="2">
        <f ca="1"/>
        <v>38.038240551211125</v>
      </c>
      <c r="AG4889" s="2">
        <f ca="1"/>
        <v>0.78593150654359234</v>
      </c>
      <c r="AH4889" s="2" t="str">
        <f ca="1"/>
        <v>Bad</v>
      </c>
    </row>
    <row r="4890" spans="2:34" x14ac:dyDescent="0.2">
      <c r="B4890" s="2">
        <f ca="1"/>
        <v>1.2585098361507008E-2</v>
      </c>
      <c r="O4890" s="2">
        <f ca="1"/>
        <v>1.3079982355571795</v>
      </c>
      <c r="X4890" s="2">
        <f ca="1"/>
        <v>48.917436248285291</v>
      </c>
      <c r="AG4890" s="2">
        <f ca="1"/>
        <v>0.69162310786743619</v>
      </c>
      <c r="AH4890" s="2" t="str">
        <f ca="1"/>
        <v>Bad</v>
      </c>
    </row>
    <row r="4891" spans="2:34" x14ac:dyDescent="0.2">
      <c r="B4891" s="2">
        <f ca="1"/>
        <v>0.1236762002585039</v>
      </c>
      <c r="O4891" s="2">
        <f ca="1"/>
        <v>-0.16775458385258235</v>
      </c>
      <c r="X4891" s="2">
        <f ca="1"/>
        <v>91.073024118566664</v>
      </c>
      <c r="AG4891" s="2">
        <f ca="1"/>
        <v>0.59855653698566336</v>
      </c>
      <c r="AH4891" s="2" t="str">
        <f ca="1"/>
        <v>Bad</v>
      </c>
    </row>
    <row r="4892" spans="2:34" x14ac:dyDescent="0.2">
      <c r="B4892" s="2">
        <f ca="1"/>
        <v>6.7937924682901052E-2</v>
      </c>
      <c r="O4892" s="2">
        <f ca="1"/>
        <v>-0.70168777223712475</v>
      </c>
      <c r="X4892" s="2">
        <f ca="1"/>
        <v>36.433768759996717</v>
      </c>
      <c r="AG4892" s="2">
        <f ca="1"/>
        <v>0.32355416941517467</v>
      </c>
      <c r="AH4892" s="2" t="str">
        <f ca="1"/>
        <v>OK</v>
      </c>
    </row>
    <row r="4893" spans="2:34" x14ac:dyDescent="0.2">
      <c r="B4893" s="2">
        <f ca="1"/>
        <v>0.97317955322952443</v>
      </c>
      <c r="O4893" s="2">
        <f ca="1"/>
        <v>-1.2101578264258877</v>
      </c>
      <c r="X4893" s="2">
        <f ca="1"/>
        <v>40.205020268519732</v>
      </c>
      <c r="AG4893" s="2">
        <f ca="1"/>
        <v>0.70459907239683872</v>
      </c>
      <c r="AH4893" s="2" t="str">
        <f ca="1"/>
        <v>Bad</v>
      </c>
    </row>
    <row r="4894" spans="2:34" x14ac:dyDescent="0.2">
      <c r="B4894" s="2">
        <f ca="1"/>
        <v>0.63552970018357846</v>
      </c>
      <c r="O4894" s="2">
        <f ca="1"/>
        <v>2.1567166768154875</v>
      </c>
      <c r="X4894" s="2">
        <f ca="1"/>
        <v>55.700054969879474</v>
      </c>
      <c r="AG4894" s="2">
        <f ca="1"/>
        <v>0.24872381051211878</v>
      </c>
      <c r="AH4894" s="2" t="str">
        <f ca="1"/>
        <v>OK</v>
      </c>
    </row>
    <row r="4895" spans="2:34" x14ac:dyDescent="0.2">
      <c r="B4895" s="2">
        <f ca="1"/>
        <v>0.72367239849102516</v>
      </c>
      <c r="O4895" s="2">
        <f ca="1"/>
        <v>-0.32541104245167857</v>
      </c>
      <c r="X4895" s="2">
        <f ca="1"/>
        <v>54.86438478599301</v>
      </c>
      <c r="AG4895" s="2">
        <f ca="1"/>
        <v>9.0420766824756527E-2</v>
      </c>
      <c r="AH4895" s="2" t="str">
        <f ca="1"/>
        <v>OK</v>
      </c>
    </row>
    <row r="4896" spans="2:34" x14ac:dyDescent="0.2">
      <c r="B4896" s="2">
        <f ca="1"/>
        <v>0.27512013595725815</v>
      </c>
      <c r="O4896" s="2">
        <f ca="1"/>
        <v>-8.9272354572749235E-2</v>
      </c>
      <c r="X4896" s="2">
        <f ca="1"/>
        <v>58.577776399499697</v>
      </c>
      <c r="AG4896" s="2">
        <f ca="1"/>
        <v>6.9624987487541201E-2</v>
      </c>
      <c r="AH4896" s="2" t="str">
        <f ca="1"/>
        <v>OK</v>
      </c>
    </row>
    <row r="4897" spans="2:34" x14ac:dyDescent="0.2">
      <c r="B4897" s="2">
        <f ca="1"/>
        <v>0.71108749006672278</v>
      </c>
      <c r="O4897" s="2">
        <f ca="1"/>
        <v>-0.25721005814337627</v>
      </c>
      <c r="X4897" s="2">
        <f ca="1"/>
        <v>47.7662781137089</v>
      </c>
      <c r="AG4897" s="2">
        <f ca="1"/>
        <v>4.1055428964777096E-2</v>
      </c>
      <c r="AH4897" s="2" t="str">
        <f ca="1"/>
        <v>Good</v>
      </c>
    </row>
    <row r="4898" spans="2:34" x14ac:dyDescent="0.2">
      <c r="B4898" s="2">
        <f ca="1"/>
        <v>0.45224317518202906</v>
      </c>
      <c r="O4898" s="2">
        <f ca="1"/>
        <v>0.31466313618754793</v>
      </c>
      <c r="X4898" s="2">
        <f ca="1"/>
        <v>57.764719254094452</v>
      </c>
      <c r="AG4898" s="2">
        <f ca="1"/>
        <v>0.35866236544950292</v>
      </c>
      <c r="AH4898" s="2" t="str">
        <f ca="1"/>
        <v>OK</v>
      </c>
    </row>
    <row r="4899" spans="2:34" x14ac:dyDescent="0.2">
      <c r="B4899" s="2">
        <f ca="1"/>
        <v>0.26496333578939968</v>
      </c>
      <c r="O4899" s="2">
        <f ca="1"/>
        <v>-1.2653137915724779</v>
      </c>
      <c r="X4899" s="2">
        <f ca="1"/>
        <v>22.832721594772156</v>
      </c>
      <c r="AG4899" s="2">
        <f ca="1"/>
        <v>0.89545246576006576</v>
      </c>
      <c r="AH4899" s="2" t="str">
        <f ca="1"/>
        <v>Bad</v>
      </c>
    </row>
    <row r="4900" spans="2:34" x14ac:dyDescent="0.2">
      <c r="B4900" s="2">
        <f ca="1"/>
        <v>0.22205849994326798</v>
      </c>
      <c r="O4900" s="2">
        <f ca="1"/>
        <v>0.91026601081125169</v>
      </c>
      <c r="X4900" s="2">
        <f ca="1"/>
        <v>63.745595830708211</v>
      </c>
      <c r="AG4900" s="2">
        <f ca="1"/>
        <v>0.43808102428067031</v>
      </c>
      <c r="AH4900" s="2" t="str">
        <f ca="1"/>
        <v>Bad</v>
      </c>
    </row>
    <row r="4901" spans="2:34" x14ac:dyDescent="0.2">
      <c r="B4901" s="2">
        <f ca="1"/>
        <v>0.55395642535498335</v>
      </c>
      <c r="O4901" s="2">
        <f ca="1"/>
        <v>-1.9449383986246045</v>
      </c>
      <c r="X4901" s="2">
        <f ca="1"/>
        <v>42.894173428423279</v>
      </c>
      <c r="AG4901" s="2">
        <f ca="1"/>
        <v>0.86701557412067176</v>
      </c>
      <c r="AH4901" s="2" t="str">
        <f ca="1"/>
        <v>Bad</v>
      </c>
    </row>
    <row r="4902" spans="2:34" x14ac:dyDescent="0.2">
      <c r="B4902" s="2">
        <f ca="1"/>
        <v>0.97353521579729274</v>
      </c>
      <c r="O4902" s="2">
        <f ca="1"/>
        <v>-0.53700334577883058</v>
      </c>
      <c r="X4902" s="2">
        <f ca="1"/>
        <v>47.29323078107106</v>
      </c>
      <c r="AG4902" s="2">
        <f ca="1"/>
        <v>0.876967634358917</v>
      </c>
      <c r="AH4902" s="2" t="str">
        <f ca="1"/>
        <v>Bad</v>
      </c>
    </row>
    <row r="4903" spans="2:34" x14ac:dyDescent="0.2">
      <c r="B4903" s="2">
        <f ca="1"/>
        <v>0.21618740666274472</v>
      </c>
      <c r="O4903" s="2">
        <f ca="1"/>
        <v>-0.84232528787761318</v>
      </c>
      <c r="X4903" s="2">
        <f ca="1"/>
        <v>36.109958254458007</v>
      </c>
      <c r="AG4903" s="2">
        <f ca="1"/>
        <v>0.60571280509767877</v>
      </c>
      <c r="AH4903" s="2" t="str">
        <f ca="1"/>
        <v>Bad</v>
      </c>
    </row>
    <row r="4904" spans="2:34" x14ac:dyDescent="0.2">
      <c r="B4904" s="2">
        <f ca="1"/>
        <v>0.63686381757260135</v>
      </c>
      <c r="O4904" s="2">
        <f ca="1"/>
        <v>-0.49763414844150838</v>
      </c>
      <c r="X4904" s="2">
        <f ca="1"/>
        <v>62.520122002781591</v>
      </c>
      <c r="AG4904" s="2">
        <f ca="1"/>
        <v>0.54188229572754731</v>
      </c>
      <c r="AH4904" s="2" t="str">
        <f ca="1"/>
        <v>Bad</v>
      </c>
    </row>
    <row r="4905" spans="2:34" x14ac:dyDescent="0.2">
      <c r="B4905" s="2">
        <f ca="1"/>
        <v>0.57048493505849152</v>
      </c>
      <c r="O4905" s="2">
        <f ca="1"/>
        <v>0.13115086841738774</v>
      </c>
      <c r="X4905" s="2">
        <f ca="1"/>
        <v>32.116456934037757</v>
      </c>
      <c r="AG4905" s="2">
        <f ca="1"/>
        <v>0.87454406338059565</v>
      </c>
      <c r="AH4905" s="2" t="str">
        <f ca="1"/>
        <v>Bad</v>
      </c>
    </row>
    <row r="4906" spans="2:34" x14ac:dyDescent="0.2">
      <c r="B4906" s="2">
        <f ca="1"/>
        <v>0.59406003506186189</v>
      </c>
      <c r="O4906" s="2">
        <f ca="1"/>
        <v>-1.4500138924793649</v>
      </c>
      <c r="X4906" s="2">
        <f ca="1"/>
        <v>35.271396360614744</v>
      </c>
      <c r="AG4906" s="2">
        <f ca="1"/>
        <v>0.2339121496831067</v>
      </c>
      <c r="AH4906" s="2" t="str">
        <f ca="1"/>
        <v>OK</v>
      </c>
    </row>
    <row r="4907" spans="2:34" x14ac:dyDescent="0.2">
      <c r="B4907" s="2">
        <f ca="1"/>
        <v>0.72144904462405579</v>
      </c>
      <c r="O4907" s="2">
        <f ca="1"/>
        <v>1.4163101261411164</v>
      </c>
      <c r="X4907" s="2">
        <f ca="1"/>
        <v>32.261654782174475</v>
      </c>
      <c r="AG4907" s="2">
        <f ca="1"/>
        <v>0.85679750876694949</v>
      </c>
      <c r="AH4907" s="2" t="str">
        <f ca="1"/>
        <v>Bad</v>
      </c>
    </row>
    <row r="4908" spans="2:34" x14ac:dyDescent="0.2">
      <c r="B4908" s="2">
        <f ca="1"/>
        <v>0.38854532779215845</v>
      </c>
      <c r="O4908" s="2">
        <f ca="1"/>
        <v>1.5121660485590196</v>
      </c>
      <c r="X4908" s="2">
        <f ca="1"/>
        <v>48.929935630777557</v>
      </c>
      <c r="AG4908" s="2">
        <f ca="1"/>
        <v>0.47258721398245473</v>
      </c>
      <c r="AH4908" s="2" t="str">
        <f ca="1"/>
        <v>Bad</v>
      </c>
    </row>
    <row r="4909" spans="2:34" x14ac:dyDescent="0.2">
      <c r="B4909" s="2">
        <f ca="1"/>
        <v>0.9926251499732055</v>
      </c>
      <c r="O4909" s="2">
        <f ca="1"/>
        <v>7.9060563694370839E-2</v>
      </c>
      <c r="X4909" s="2">
        <f ca="1"/>
        <v>26.425411290902673</v>
      </c>
      <c r="AG4909" s="2">
        <f ca="1"/>
        <v>0.44203710564079901</v>
      </c>
      <c r="AH4909" s="2" t="str">
        <f ca="1"/>
        <v>Bad</v>
      </c>
    </row>
    <row r="4910" spans="2:34" x14ac:dyDescent="0.2">
      <c r="B4910" s="2">
        <f ca="1"/>
        <v>0.51120865869018761</v>
      </c>
      <c r="O4910" s="2">
        <f ca="1"/>
        <v>0.62032712428010339</v>
      </c>
      <c r="X4910" s="2">
        <f ca="1"/>
        <v>34.121852942764463</v>
      </c>
      <c r="AG4910" s="2">
        <f ca="1"/>
        <v>0.22129757064074784</v>
      </c>
      <c r="AH4910" s="2" t="str">
        <f ca="1"/>
        <v>OK</v>
      </c>
    </row>
    <row r="4911" spans="2:34" x14ac:dyDescent="0.2">
      <c r="B4911" s="2">
        <f ca="1"/>
        <v>0.51003218430156982</v>
      </c>
      <c r="O4911" s="2">
        <f ca="1"/>
        <v>0.60895849225758203</v>
      </c>
      <c r="X4911" s="2">
        <f ca="1"/>
        <v>38.17215432969325</v>
      </c>
      <c r="AG4911" s="2">
        <f ca="1"/>
        <v>0.17122749087217226</v>
      </c>
      <c r="AH4911" s="2" t="str">
        <f ca="1"/>
        <v>OK</v>
      </c>
    </row>
    <row r="4912" spans="2:34" x14ac:dyDescent="0.2">
      <c r="B4912" s="2">
        <f ca="1"/>
        <v>0.36469610734683466</v>
      </c>
      <c r="O4912" s="2">
        <f ca="1"/>
        <v>0.5312490650868319</v>
      </c>
      <c r="X4912" s="2">
        <f ca="1"/>
        <v>30.087733070858622</v>
      </c>
      <c r="AG4912" s="2">
        <f ca="1"/>
        <v>0.64258008428566127</v>
      </c>
      <c r="AH4912" s="2" t="str">
        <f ca="1"/>
        <v>Bad</v>
      </c>
    </row>
    <row r="4913" spans="2:34" x14ac:dyDescent="0.2">
      <c r="B4913" s="2">
        <f ca="1"/>
        <v>0.19014947053603981</v>
      </c>
      <c r="O4913" s="2">
        <f ca="1"/>
        <v>-0.37635835497129166</v>
      </c>
      <c r="X4913" s="2">
        <f ca="1"/>
        <v>58.457489170619475</v>
      </c>
      <c r="AG4913" s="2">
        <f ca="1"/>
        <v>0.4440340185775622</v>
      </c>
      <c r="AH4913" s="2" t="str">
        <f ca="1"/>
        <v>Bad</v>
      </c>
    </row>
    <row r="4914" spans="2:34" x14ac:dyDescent="0.2">
      <c r="B4914" s="2">
        <f ca="1"/>
        <v>0.45221494864963141</v>
      </c>
      <c r="O4914" s="2">
        <f ca="1"/>
        <v>1.2945995473726959</v>
      </c>
      <c r="X4914" s="2">
        <f ca="1"/>
        <v>69.889410263366869</v>
      </c>
      <c r="AG4914" s="2">
        <f ca="1"/>
        <v>0.19531810716420939</v>
      </c>
      <c r="AH4914" s="2" t="str">
        <f ca="1"/>
        <v>OK</v>
      </c>
    </row>
    <row r="4915" spans="2:34" x14ac:dyDescent="0.2">
      <c r="B4915" s="2">
        <f ca="1"/>
        <v>0.41401579740418648</v>
      </c>
      <c r="O4915" s="2">
        <f ca="1"/>
        <v>5.1305509888841007E-2</v>
      </c>
      <c r="X4915" s="2">
        <f ca="1"/>
        <v>47.636861134409571</v>
      </c>
      <c r="AG4915" s="2">
        <f ca="1"/>
        <v>0.60678937135123712</v>
      </c>
      <c r="AH4915" s="2" t="str">
        <f ca="1"/>
        <v>Bad</v>
      </c>
    </row>
    <row r="4916" spans="2:34" x14ac:dyDescent="0.2">
      <c r="B4916" s="2">
        <f ca="1"/>
        <v>0.55978839985356132</v>
      </c>
      <c r="O4916" s="2">
        <f ca="1"/>
        <v>1.626480331895064</v>
      </c>
      <c r="X4916" s="2">
        <f ca="1"/>
        <v>24.600772087314645</v>
      </c>
      <c r="AG4916" s="2">
        <f ca="1"/>
        <v>3.5816594012436642E-3</v>
      </c>
      <c r="AH4916" s="2" t="str">
        <f ca="1"/>
        <v>Good</v>
      </c>
    </row>
    <row r="4917" spans="2:34" x14ac:dyDescent="0.2">
      <c r="B4917" s="2">
        <f ca="1"/>
        <v>0.64414466509624901</v>
      </c>
      <c r="O4917" s="2">
        <f ca="1"/>
        <v>0.83544073139891062</v>
      </c>
      <c r="X4917" s="2">
        <f ca="1"/>
        <v>80.584026510125938</v>
      </c>
      <c r="AG4917" s="2">
        <f ca="1"/>
        <v>0.72458272867289075</v>
      </c>
      <c r="AH4917" s="2" t="str">
        <f ca="1"/>
        <v>Bad</v>
      </c>
    </row>
    <row r="4918" spans="2:34" x14ac:dyDescent="0.2">
      <c r="B4918" s="2">
        <f ca="1"/>
        <v>0.19378272220912129</v>
      </c>
      <c r="O4918" s="2">
        <f ca="1"/>
        <v>0.59203540299568558</v>
      </c>
      <c r="X4918" s="2">
        <f ca="1"/>
        <v>54.894290138367303</v>
      </c>
      <c r="AG4918" s="2">
        <f ca="1"/>
        <v>0.34829920744948795</v>
      </c>
      <c r="AH4918" s="2" t="str">
        <f ca="1"/>
        <v>OK</v>
      </c>
    </row>
    <row r="4919" spans="2:34" x14ac:dyDescent="0.2">
      <c r="B4919" s="2">
        <f ca="1"/>
        <v>0.49970858593908818</v>
      </c>
      <c r="O4919" s="2">
        <f ca="1"/>
        <v>-0.54514989729180996</v>
      </c>
      <c r="X4919" s="2">
        <f ca="1"/>
        <v>40.729638026250711</v>
      </c>
      <c r="AG4919" s="2">
        <f ca="1"/>
        <v>0.55181520607508916</v>
      </c>
      <c r="AH4919" s="2" t="str">
        <f ca="1"/>
        <v>Bad</v>
      </c>
    </row>
    <row r="4920" spans="2:34" x14ac:dyDescent="0.2">
      <c r="B4920" s="2">
        <f ca="1"/>
        <v>0.23703601610894576</v>
      </c>
      <c r="O4920" s="2">
        <f ca="1"/>
        <v>0.15390640016710511</v>
      </c>
      <c r="X4920" s="2">
        <f ca="1"/>
        <v>75.880150603900148</v>
      </c>
      <c r="AG4920" s="2">
        <f ca="1"/>
        <v>1.769999777412723E-2</v>
      </c>
      <c r="AH4920" s="2" t="str">
        <f ca="1"/>
        <v>Good</v>
      </c>
    </row>
    <row r="4921" spans="2:34" x14ac:dyDescent="0.2">
      <c r="B4921" s="2">
        <f ca="1"/>
        <v>0.43129250834450117</v>
      </c>
      <c r="O4921" s="2">
        <f ca="1"/>
        <v>-1.9840375411022011</v>
      </c>
      <c r="X4921" s="2">
        <f ca="1"/>
        <v>75.262902478290101</v>
      </c>
      <c r="AG4921" s="2">
        <f ca="1"/>
        <v>0.11973182767160995</v>
      </c>
      <c r="AH4921" s="2" t="str">
        <f ca="1"/>
        <v>OK</v>
      </c>
    </row>
    <row r="4922" spans="2:34" x14ac:dyDescent="0.2">
      <c r="B4922" s="2">
        <f ca="1"/>
        <v>0.70012603279087826</v>
      </c>
      <c r="O4922" s="2">
        <f ca="1"/>
        <v>1.215011687308615</v>
      </c>
      <c r="X4922" s="2">
        <f ca="1"/>
        <v>59.732562225517839</v>
      </c>
      <c r="AG4922" s="2">
        <f ca="1"/>
        <v>0.11271371767686467</v>
      </c>
      <c r="AH4922" s="2" t="str">
        <f ca="1"/>
        <v>OK</v>
      </c>
    </row>
    <row r="4923" spans="2:34" x14ac:dyDescent="0.2">
      <c r="B4923" s="2">
        <f ca="1"/>
        <v>0.72033561623503251</v>
      </c>
      <c r="O4923" s="2">
        <f ca="1"/>
        <v>-0.19171331456640328</v>
      </c>
      <c r="X4923" s="2">
        <f ca="1"/>
        <v>60.125478433168183</v>
      </c>
      <c r="AG4923" s="2">
        <f ca="1"/>
        <v>0.94795912416636541</v>
      </c>
      <c r="AH4923" s="2" t="str">
        <f ca="1"/>
        <v>Bad</v>
      </c>
    </row>
    <row r="4924" spans="2:34" x14ac:dyDescent="0.2">
      <c r="B4924" s="2">
        <f ca="1"/>
        <v>1.5985348829433033E-2</v>
      </c>
      <c r="O4924" s="2">
        <f ca="1"/>
        <v>1.3857843005878343</v>
      </c>
      <c r="X4924" s="2">
        <f ca="1"/>
        <v>59.113530192387167</v>
      </c>
      <c r="AG4924" s="2">
        <f ca="1"/>
        <v>0.99503326886301302</v>
      </c>
      <c r="AH4924" s="2" t="str">
        <f ca="1"/>
        <v>Bad</v>
      </c>
    </row>
    <row r="4925" spans="2:34" x14ac:dyDescent="0.2">
      <c r="B4925" s="2">
        <f ca="1"/>
        <v>0.6050713222831412</v>
      </c>
      <c r="O4925" s="2">
        <f ca="1"/>
        <v>-1.1661011238742278</v>
      </c>
      <c r="X4925" s="2">
        <f ca="1"/>
        <v>27.182030292408925</v>
      </c>
      <c r="AG4925" s="2">
        <f ca="1"/>
        <v>0.22014978678195196</v>
      </c>
      <c r="AH4925" s="2" t="str">
        <f ca="1"/>
        <v>OK</v>
      </c>
    </row>
    <row r="4926" spans="2:34" x14ac:dyDescent="0.2">
      <c r="B4926" s="2">
        <f ca="1"/>
        <v>0.8946772416066493</v>
      </c>
      <c r="O4926" s="2">
        <f ca="1"/>
        <v>2.3023807107748411</v>
      </c>
      <c r="X4926" s="2">
        <f ca="1"/>
        <v>41.455733525871878</v>
      </c>
      <c r="AG4926" s="2">
        <f ca="1"/>
        <v>0.69295411736223689</v>
      </c>
      <c r="AH4926" s="2" t="str">
        <f ca="1"/>
        <v>Bad</v>
      </c>
    </row>
    <row r="4927" spans="2:34" x14ac:dyDescent="0.2">
      <c r="B4927" s="2">
        <f ca="1"/>
        <v>0.20702556162088781</v>
      </c>
      <c r="O4927" s="2">
        <f ca="1"/>
        <v>-1.8903226876445711</v>
      </c>
      <c r="X4927" s="2">
        <f ca="1"/>
        <v>26.818423718111969</v>
      </c>
      <c r="AG4927" s="2">
        <f ca="1"/>
        <v>0.25669417925966909</v>
      </c>
      <c r="AH4927" s="2" t="str">
        <f ca="1"/>
        <v>OK</v>
      </c>
    </row>
    <row r="4928" spans="2:34" x14ac:dyDescent="0.2">
      <c r="B4928" s="2">
        <f ca="1"/>
        <v>7.3029922731182584E-3</v>
      </c>
      <c r="O4928" s="2">
        <f ca="1"/>
        <v>-0.25343212281558003</v>
      </c>
      <c r="X4928" s="2">
        <f ca="1"/>
        <v>63.914413857715751</v>
      </c>
      <c r="AG4928" s="2">
        <f ca="1"/>
        <v>0.81849269679633441</v>
      </c>
      <c r="AH4928" s="2" t="str">
        <f ca="1"/>
        <v>Bad</v>
      </c>
    </row>
    <row r="4929" spans="2:34" x14ac:dyDescent="0.2">
      <c r="B4929" s="2">
        <f ca="1"/>
        <v>0.73691153565223533</v>
      </c>
      <c r="O4929" s="2">
        <f ca="1"/>
        <v>0.39103884304608522</v>
      </c>
      <c r="X4929" s="2">
        <f ca="1"/>
        <v>34.719477373007742</v>
      </c>
      <c r="AG4929" s="2">
        <f ca="1"/>
        <v>0.75724845320948941</v>
      </c>
      <c r="AH4929" s="2" t="str">
        <f ca="1"/>
        <v>Bad</v>
      </c>
    </row>
    <row r="4930" spans="2:34" x14ac:dyDescent="0.2">
      <c r="B4930" s="2">
        <f ca="1"/>
        <v>0.3705039633670173</v>
      </c>
      <c r="O4930" s="2">
        <f ca="1"/>
        <v>-0.86953236519198507</v>
      </c>
      <c r="X4930" s="2">
        <f ca="1"/>
        <v>46.842317462741576</v>
      </c>
      <c r="AG4930" s="2">
        <f ca="1"/>
        <v>3.1052673284866605E-2</v>
      </c>
      <c r="AH4930" s="2" t="str">
        <f ca="1"/>
        <v>Good</v>
      </c>
    </row>
    <row r="4931" spans="2:34" x14ac:dyDescent="0.2">
      <c r="B4931" s="2">
        <f ca="1"/>
        <v>0.56942919137628145</v>
      </c>
      <c r="O4931" s="2">
        <f ca="1"/>
        <v>-0.5526598310642965</v>
      </c>
      <c r="X4931" s="2">
        <f ca="1"/>
        <v>34.515674881795377</v>
      </c>
      <c r="AG4931" s="2">
        <f ca="1"/>
        <v>0.20411906409921321</v>
      </c>
      <c r="AH4931" s="2" t="str">
        <f ca="1"/>
        <v>OK</v>
      </c>
    </row>
    <row r="4932" spans="2:34" x14ac:dyDescent="0.2">
      <c r="B4932" s="2">
        <f ca="1"/>
        <v>2.1782867402203365E-2</v>
      </c>
      <c r="O4932" s="2">
        <f ca="1"/>
        <v>1.1239651542318581</v>
      </c>
      <c r="X4932" s="2">
        <f ca="1"/>
        <v>36.992740254644183</v>
      </c>
      <c r="AG4932" s="2">
        <f ca="1"/>
        <v>0.26891930928578089</v>
      </c>
      <c r="AH4932" s="2" t="str">
        <f ca="1"/>
        <v>OK</v>
      </c>
    </row>
    <row r="4933" spans="2:34" x14ac:dyDescent="0.2">
      <c r="B4933" s="2">
        <f ca="1"/>
        <v>0.31649156337772055</v>
      </c>
      <c r="O4933" s="2">
        <f ca="1"/>
        <v>0.47804241313095175</v>
      </c>
      <c r="X4933" s="2">
        <f ca="1"/>
        <v>63.112782575723216</v>
      </c>
      <c r="AG4933" s="2">
        <f ca="1"/>
        <v>0.89432475190841498</v>
      </c>
      <c r="AH4933" s="2" t="str">
        <f ca="1"/>
        <v>Bad</v>
      </c>
    </row>
    <row r="4934" spans="2:34" x14ac:dyDescent="0.2">
      <c r="B4934" s="2">
        <f ca="1"/>
        <v>7.9570188132663144E-2</v>
      </c>
      <c r="O4934" s="2">
        <f ca="1"/>
        <v>0.25453826292189219</v>
      </c>
      <c r="X4934" s="2">
        <f ca="1"/>
        <v>62.715465298688684</v>
      </c>
      <c r="AG4934" s="2">
        <f ca="1"/>
        <v>0.84376838604620241</v>
      </c>
      <c r="AH4934" s="2" t="str">
        <f ca="1"/>
        <v>Bad</v>
      </c>
    </row>
    <row r="4935" spans="2:34" x14ac:dyDescent="0.2">
      <c r="B4935" s="2">
        <f ca="1"/>
        <v>7.7683479817930001E-2</v>
      </c>
      <c r="O4935" s="2">
        <f ca="1"/>
        <v>1.6624947501216232</v>
      </c>
      <c r="X4935" s="2">
        <f ca="1"/>
        <v>45.639790848311478</v>
      </c>
      <c r="AG4935" s="2">
        <f ca="1"/>
        <v>0.9115908810868909</v>
      </c>
      <c r="AH4935" s="2" t="str">
        <f ca="1"/>
        <v>Bad</v>
      </c>
    </row>
    <row r="4936" spans="2:34" x14ac:dyDescent="0.2">
      <c r="B4936" s="2">
        <f ca="1"/>
        <v>0.8628213395071167</v>
      </c>
      <c r="O4936" s="2">
        <f ca="1"/>
        <v>0.8748744712655907</v>
      </c>
      <c r="X4936" s="2">
        <f ca="1"/>
        <v>68.670556481695286</v>
      </c>
      <c r="AG4936" s="2">
        <f ca="1"/>
        <v>0.14850859201758304</v>
      </c>
      <c r="AH4936" s="2" t="str">
        <f ca="1"/>
        <v>OK</v>
      </c>
    </row>
    <row r="4937" spans="2:34" x14ac:dyDescent="0.2">
      <c r="B4937" s="2">
        <f ca="1"/>
        <v>0.14978122336886046</v>
      </c>
      <c r="O4937" s="2">
        <f ca="1"/>
        <v>-0.64678605716464388</v>
      </c>
      <c r="X4937" s="2">
        <f ca="1"/>
        <v>54.851862560865172</v>
      </c>
      <c r="AG4937" s="2">
        <f ca="1"/>
        <v>0.94270222320858021</v>
      </c>
      <c r="AH4937" s="2" t="str">
        <f ca="1"/>
        <v>Bad</v>
      </c>
    </row>
    <row r="4938" spans="2:34" x14ac:dyDescent="0.2">
      <c r="B4938" s="2">
        <f ca="1"/>
        <v>0.21228748643636242</v>
      </c>
      <c r="O4938" s="2">
        <f ca="1"/>
        <v>-0.50215029593506888</v>
      </c>
      <c r="X4938" s="2">
        <f ca="1"/>
        <v>47.730459272716637</v>
      </c>
      <c r="AG4938" s="2">
        <f ca="1"/>
        <v>0.66655313623096291</v>
      </c>
      <c r="AH4938" s="2" t="str">
        <f ca="1"/>
        <v>Bad</v>
      </c>
    </row>
    <row r="4939" spans="2:34" x14ac:dyDescent="0.2">
      <c r="B4939" s="2">
        <f ca="1"/>
        <v>0.49804850088076114</v>
      </c>
      <c r="O4939" s="2">
        <f ca="1"/>
        <v>1.7482923871651501</v>
      </c>
      <c r="X4939" s="2">
        <f ca="1"/>
        <v>48.448960109129722</v>
      </c>
      <c r="AG4939" s="2">
        <f ca="1"/>
        <v>0.59314861466541835</v>
      </c>
      <c r="AH4939" s="2" t="str">
        <f ca="1"/>
        <v>Bad</v>
      </c>
    </row>
    <row r="4940" spans="2:34" x14ac:dyDescent="0.2">
      <c r="B4940" s="2">
        <f ca="1"/>
        <v>0.75089912850661045</v>
      </c>
      <c r="O4940" s="2">
        <f ca="1"/>
        <v>0.23407122415918746</v>
      </c>
      <c r="X4940" s="2">
        <f ca="1"/>
        <v>49.004284006283108</v>
      </c>
      <c r="AG4940" s="2">
        <f ca="1"/>
        <v>0.36695390338539058</v>
      </c>
      <c r="AH4940" s="2" t="str">
        <f ca="1"/>
        <v>OK</v>
      </c>
    </row>
    <row r="4941" spans="2:34" x14ac:dyDescent="0.2">
      <c r="B4941" s="2">
        <f ca="1"/>
        <v>0.65245266522997958</v>
      </c>
      <c r="O4941" s="2">
        <f ca="1"/>
        <v>0.30490254128714545</v>
      </c>
      <c r="X4941" s="2">
        <f ca="1"/>
        <v>32.667019594689982</v>
      </c>
      <c r="AG4941" s="2">
        <f ca="1"/>
        <v>0.15401797413748031</v>
      </c>
      <c r="AH4941" s="2" t="str">
        <f ca="1"/>
        <v>OK</v>
      </c>
    </row>
    <row r="4942" spans="2:34" x14ac:dyDescent="0.2">
      <c r="B4942" s="2">
        <f ca="1"/>
        <v>0.59342742906541868</v>
      </c>
      <c r="O4942" s="2">
        <f ca="1"/>
        <v>0.80603040205619647</v>
      </c>
      <c r="X4942" s="2">
        <f ca="1"/>
        <v>53.746796759601594</v>
      </c>
      <c r="AG4942" s="2">
        <f ca="1"/>
        <v>0.97082845280256547</v>
      </c>
      <c r="AH4942" s="2" t="str">
        <f ca="1"/>
        <v>Bad</v>
      </c>
    </row>
    <row r="4943" spans="2:34" x14ac:dyDescent="0.2">
      <c r="B4943" s="2">
        <f ca="1"/>
        <v>0.72041451553211688</v>
      </c>
      <c r="O4943" s="2">
        <f ca="1"/>
        <v>-2.119187863517211E-2</v>
      </c>
      <c r="X4943" s="2">
        <f ca="1"/>
        <v>88.861137209829408</v>
      </c>
      <c r="AG4943" s="2">
        <f ca="1"/>
        <v>0.79120403419355001</v>
      </c>
      <c r="AH4943" s="2" t="str">
        <f ca="1"/>
        <v>Bad</v>
      </c>
    </row>
    <row r="4944" spans="2:34" x14ac:dyDescent="0.2">
      <c r="B4944" s="2">
        <f ca="1"/>
        <v>0.17916791441314861</v>
      </c>
      <c r="O4944" s="2">
        <f ca="1"/>
        <v>-3.7406391710368206E-2</v>
      </c>
      <c r="X4944" s="2">
        <f ca="1"/>
        <v>45.787147735191184</v>
      </c>
      <c r="AG4944" s="2">
        <f ca="1"/>
        <v>0.83700592498378357</v>
      </c>
      <c r="AH4944" s="2" t="str">
        <f ca="1"/>
        <v>Bad</v>
      </c>
    </row>
    <row r="4945" spans="2:34" x14ac:dyDescent="0.2">
      <c r="B4945" s="2">
        <f ca="1"/>
        <v>0.91212453967045826</v>
      </c>
      <c r="O4945" s="2">
        <f ca="1"/>
        <v>-1.4825449897609031</v>
      </c>
      <c r="X4945" s="2">
        <f ca="1"/>
        <v>70.890720277676735</v>
      </c>
      <c r="AG4945" s="2">
        <f ca="1"/>
        <v>0.76772960252371769</v>
      </c>
      <c r="AH4945" s="2" t="str">
        <f ca="1"/>
        <v>Bad</v>
      </c>
    </row>
    <row r="4946" spans="2:34" x14ac:dyDescent="0.2">
      <c r="B4946" s="2">
        <f ca="1"/>
        <v>0.1878144584964363</v>
      </c>
      <c r="O4946" s="2">
        <f ca="1"/>
        <v>0.3327372583669701</v>
      </c>
      <c r="X4946" s="2">
        <f ca="1"/>
        <v>96.430127415740145</v>
      </c>
      <c r="AG4946" s="2">
        <f ca="1"/>
        <v>0.31460883060444411</v>
      </c>
      <c r="AH4946" s="2" t="str">
        <f ca="1"/>
        <v>OK</v>
      </c>
    </row>
    <row r="4947" spans="2:34" x14ac:dyDescent="0.2">
      <c r="B4947" s="2">
        <f ca="1"/>
        <v>0.60974193039590086</v>
      </c>
      <c r="O4947" s="2">
        <f ca="1"/>
        <v>-0.19498602536102466</v>
      </c>
      <c r="X4947" s="2">
        <f ca="1"/>
        <v>86.772328568683577</v>
      </c>
      <c r="AG4947" s="2">
        <f ca="1"/>
        <v>0.22078321960494729</v>
      </c>
      <c r="AH4947" s="2" t="str">
        <f ca="1"/>
        <v>OK</v>
      </c>
    </row>
    <row r="4948" spans="2:34" x14ac:dyDescent="0.2">
      <c r="B4948" s="2">
        <f ca="1"/>
        <v>0.27944038966853157</v>
      </c>
      <c r="O4948" s="2">
        <f ca="1"/>
        <v>0.73665427655240068</v>
      </c>
      <c r="X4948" s="2">
        <f ca="1"/>
        <v>68.932861719535254</v>
      </c>
      <c r="AG4948" s="2">
        <f ca="1"/>
        <v>0.91774862442262983</v>
      </c>
      <c r="AH4948" s="2" t="str">
        <f ca="1"/>
        <v>Bad</v>
      </c>
    </row>
    <row r="4949" spans="2:34" x14ac:dyDescent="0.2">
      <c r="B4949" s="2">
        <f ca="1"/>
        <v>0.29714885978847683</v>
      </c>
      <c r="O4949" s="2">
        <f ca="1"/>
        <v>2.8366781303374498</v>
      </c>
      <c r="X4949" s="2">
        <f ca="1"/>
        <v>64.588962077637348</v>
      </c>
      <c r="AG4949" s="2">
        <f ca="1"/>
        <v>0.47591890605126297</v>
      </c>
      <c r="AH4949" s="2" t="str">
        <f ca="1"/>
        <v>Bad</v>
      </c>
    </row>
    <row r="4950" spans="2:34" x14ac:dyDescent="0.2">
      <c r="B4950" s="2">
        <f ca="1"/>
        <v>0.70118183146666246</v>
      </c>
      <c r="O4950" s="2">
        <f ca="1"/>
        <v>0.45405343528770836</v>
      </c>
      <c r="X4950" s="2">
        <f ca="1"/>
        <v>62.662807524771154</v>
      </c>
      <c r="AG4950" s="2">
        <f ca="1"/>
        <v>0.39737107121344373</v>
      </c>
      <c r="AH4950" s="2" t="str">
        <f ca="1"/>
        <v>OK</v>
      </c>
    </row>
    <row r="4951" spans="2:34" x14ac:dyDescent="0.2">
      <c r="B4951" s="2">
        <f ca="1"/>
        <v>0.51231605635605537</v>
      </c>
      <c r="O4951" s="2">
        <f ca="1"/>
        <v>-1.1885666646479405</v>
      </c>
      <c r="X4951" s="2">
        <f ca="1"/>
        <v>39.868468919561899</v>
      </c>
      <c r="AG4951" s="2">
        <f ca="1"/>
        <v>0.38334788548205578</v>
      </c>
      <c r="AH4951" s="2" t="str">
        <f ca="1"/>
        <v>OK</v>
      </c>
    </row>
    <row r="4952" spans="2:34" x14ac:dyDescent="0.2">
      <c r="B4952" s="2">
        <f ca="1"/>
        <v>0.41128658677081553</v>
      </c>
      <c r="O4952" s="2">
        <f ca="1"/>
        <v>0.65959084021033743</v>
      </c>
      <c r="X4952" s="2">
        <f ca="1"/>
        <v>53.684506240138639</v>
      </c>
      <c r="AG4952" s="2">
        <f ca="1"/>
        <v>0.42690933662047592</v>
      </c>
      <c r="AH4952" s="2" t="str">
        <f ca="1"/>
        <v>Bad</v>
      </c>
    </row>
    <row r="4953" spans="2:34" x14ac:dyDescent="0.2">
      <c r="B4953" s="2">
        <f ca="1"/>
        <v>4.8965765618848467E-2</v>
      </c>
      <c r="O4953" s="2">
        <f ca="1"/>
        <v>1.5233189289166784</v>
      </c>
      <c r="X4953" s="2">
        <f ca="1"/>
        <v>46.519005309160804</v>
      </c>
      <c r="AG4953" s="2">
        <f ca="1"/>
        <v>0.18457674170371297</v>
      </c>
      <c r="AH4953" s="2" t="str">
        <f ca="1"/>
        <v>OK</v>
      </c>
    </row>
    <row r="4954" spans="2:34" x14ac:dyDescent="0.2">
      <c r="B4954" s="2">
        <f ca="1"/>
        <v>0.43736003732255524</v>
      </c>
      <c r="O4954" s="2">
        <f ca="1"/>
        <v>-1.034926227276052</v>
      </c>
      <c r="X4954" s="2">
        <f ca="1"/>
        <v>43.432402607897345</v>
      </c>
      <c r="AG4954" s="2">
        <f ca="1"/>
        <v>0.21742402851887199</v>
      </c>
      <c r="AH4954" s="2" t="str">
        <f ca="1"/>
        <v>OK</v>
      </c>
    </row>
    <row r="4955" spans="2:34" x14ac:dyDescent="0.2">
      <c r="B4955" s="2">
        <f ca="1"/>
        <v>0.64487525193476003</v>
      </c>
      <c r="O4955" s="2">
        <f ca="1"/>
        <v>-0.39032031158604924</v>
      </c>
      <c r="X4955" s="2">
        <f ca="1"/>
        <v>50.247418795494212</v>
      </c>
      <c r="AG4955" s="2">
        <f ca="1"/>
        <v>1.9667597457020625E-2</v>
      </c>
      <c r="AH4955" s="2" t="str">
        <f ca="1"/>
        <v>Good</v>
      </c>
    </row>
    <row r="4956" spans="2:34" x14ac:dyDescent="0.2">
      <c r="B4956" s="2">
        <f ca="1"/>
        <v>9.923306573635049E-2</v>
      </c>
      <c r="O4956" s="2">
        <f ca="1"/>
        <v>-0.38883825896899726</v>
      </c>
      <c r="X4956" s="2">
        <f ca="1"/>
        <v>41.454161192087007</v>
      </c>
      <c r="AG4956" s="2">
        <f ca="1"/>
        <v>0.7436189709064227</v>
      </c>
      <c r="AH4956" s="2" t="str">
        <f ca="1"/>
        <v>Bad</v>
      </c>
    </row>
    <row r="4957" spans="2:34" x14ac:dyDescent="0.2">
      <c r="B4957" s="2">
        <f ca="1"/>
        <v>0.77135212132464903</v>
      </c>
      <c r="O4957" s="2">
        <f ca="1"/>
        <v>-0.6525471518828293</v>
      </c>
      <c r="X4957" s="2">
        <f ca="1"/>
        <v>38.79941627470307</v>
      </c>
      <c r="AG4957" s="2">
        <f ca="1"/>
        <v>0.35195690429642879</v>
      </c>
      <c r="AH4957" s="2" t="str">
        <f ca="1"/>
        <v>OK</v>
      </c>
    </row>
    <row r="4958" spans="2:34" x14ac:dyDescent="0.2">
      <c r="B4958" s="2">
        <f ca="1"/>
        <v>0.96929295669255455</v>
      </c>
      <c r="O4958" s="2">
        <f ca="1"/>
        <v>0.98003180802109102</v>
      </c>
      <c r="X4958" s="2">
        <f ca="1"/>
        <v>32.469415377353826</v>
      </c>
      <c r="AG4958" s="2">
        <f ca="1"/>
        <v>3.5639314490601981E-2</v>
      </c>
      <c r="AH4958" s="2" t="str">
        <f ca="1"/>
        <v>Good</v>
      </c>
    </row>
    <row r="4959" spans="2:34" x14ac:dyDescent="0.2">
      <c r="B4959" s="2">
        <f ca="1"/>
        <v>0.11873958938041596</v>
      </c>
      <c r="O4959" s="2">
        <f ca="1"/>
        <v>0.40305065424016623</v>
      </c>
      <c r="X4959" s="2">
        <f ca="1"/>
        <v>68.846376561571248</v>
      </c>
      <c r="AG4959" s="2">
        <f ca="1"/>
        <v>0.6712401013605942</v>
      </c>
      <c r="AH4959" s="2" t="str">
        <f ca="1"/>
        <v>Bad</v>
      </c>
    </row>
    <row r="4960" spans="2:34" x14ac:dyDescent="0.2">
      <c r="B4960" s="2">
        <f ca="1"/>
        <v>0.99498040085460793</v>
      </c>
      <c r="O4960" s="2">
        <f ca="1"/>
        <v>-0.10496109041342615</v>
      </c>
      <c r="X4960" s="2">
        <f ca="1"/>
        <v>38.827520311716604</v>
      </c>
      <c r="AG4960" s="2">
        <f ca="1"/>
        <v>0.93061219639973047</v>
      </c>
      <c r="AH4960" s="2" t="str">
        <f ca="1"/>
        <v>Bad</v>
      </c>
    </row>
    <row r="4961" spans="2:34" x14ac:dyDescent="0.2">
      <c r="B4961" s="2">
        <f ca="1"/>
        <v>0.96458611407597439</v>
      </c>
      <c r="O4961" s="2">
        <f ca="1"/>
        <v>-0.46811586397807559</v>
      </c>
      <c r="X4961" s="2">
        <f ca="1"/>
        <v>51.032020746899576</v>
      </c>
      <c r="AG4961" s="2">
        <f ca="1"/>
        <v>0.53408105127379124</v>
      </c>
      <c r="AH4961" s="2" t="str">
        <f ca="1"/>
        <v>Bad</v>
      </c>
    </row>
    <row r="4962" spans="2:34" x14ac:dyDescent="0.2">
      <c r="B4962" s="2">
        <f ca="1"/>
        <v>0.23089204506855232</v>
      </c>
      <c r="O4962" s="2">
        <f ca="1"/>
        <v>-0.58528169044390521</v>
      </c>
      <c r="X4962" s="2">
        <f ca="1"/>
        <v>45.57844491225886</v>
      </c>
      <c r="AG4962" s="2">
        <f ca="1"/>
        <v>0.5845905107306919</v>
      </c>
      <c r="AH4962" s="2" t="str">
        <f ca="1"/>
        <v>Bad</v>
      </c>
    </row>
    <row r="4963" spans="2:34" x14ac:dyDescent="0.2">
      <c r="B4963" s="2">
        <f ca="1"/>
        <v>0.46468804908496719</v>
      </c>
      <c r="O4963" s="2">
        <f ca="1"/>
        <v>-0.61607260258826746</v>
      </c>
      <c r="X4963" s="2">
        <f ca="1"/>
        <v>48.391746249086552</v>
      </c>
      <c r="AG4963" s="2">
        <f ca="1"/>
        <v>0.30586556160482581</v>
      </c>
      <c r="AH4963" s="2" t="str">
        <f ca="1"/>
        <v>OK</v>
      </c>
    </row>
    <row r="4964" spans="2:34" x14ac:dyDescent="0.2">
      <c r="B4964" s="2">
        <f ca="1"/>
        <v>0.5725519331654314</v>
      </c>
      <c r="O4964" s="2">
        <f ca="1"/>
        <v>-1.1646719180489999</v>
      </c>
      <c r="X4964" s="2">
        <f ca="1"/>
        <v>50.689436971655041</v>
      </c>
      <c r="AG4964" s="2">
        <f ca="1"/>
        <v>0.60052305679187135</v>
      </c>
      <c r="AH4964" s="2" t="str">
        <f ca="1"/>
        <v>Bad</v>
      </c>
    </row>
    <row r="4965" spans="2:34" x14ac:dyDescent="0.2">
      <c r="B4965" s="2">
        <f ca="1"/>
        <v>8.0785670380387309E-2</v>
      </c>
      <c r="O4965" s="2">
        <f ca="1"/>
        <v>-1.8231565361921889</v>
      </c>
      <c r="X4965" s="2">
        <f ca="1"/>
        <v>62.773316014157494</v>
      </c>
      <c r="AG4965" s="2">
        <f ca="1"/>
        <v>0.12274434483896868</v>
      </c>
      <c r="AH4965" s="2" t="str">
        <f ca="1"/>
        <v>OK</v>
      </c>
    </row>
    <row r="4966" spans="2:34" x14ac:dyDescent="0.2">
      <c r="B4966" s="2">
        <f ca="1"/>
        <v>0.18610129220401972</v>
      </c>
      <c r="O4966" s="2">
        <f ca="1"/>
        <v>-2.0521053541371443E-3</v>
      </c>
      <c r="X4966" s="2">
        <f ca="1"/>
        <v>32.391067907629072</v>
      </c>
      <c r="AG4966" s="2">
        <f ca="1"/>
        <v>0.83658307426004841</v>
      </c>
      <c r="AH4966" s="2" t="str">
        <f ca="1"/>
        <v>Bad</v>
      </c>
    </row>
    <row r="4967" spans="2:34" x14ac:dyDescent="0.2">
      <c r="B4967" s="2">
        <f ca="1"/>
        <v>0.84523323642612791</v>
      </c>
      <c r="O4967" s="2">
        <f ca="1"/>
        <v>-0.25113016843049796</v>
      </c>
      <c r="X4967" s="2">
        <f ca="1"/>
        <v>59.395560418673654</v>
      </c>
      <c r="AG4967" s="2">
        <f ca="1"/>
        <v>0.53307046758088572</v>
      </c>
      <c r="AH4967" s="2" t="str">
        <f ca="1"/>
        <v>Bad</v>
      </c>
    </row>
    <row r="4968" spans="2:34" x14ac:dyDescent="0.2">
      <c r="B4968" s="2">
        <f ca="1"/>
        <v>0.39433227499773671</v>
      </c>
      <c r="O4968" s="2">
        <f ca="1"/>
        <v>0.11427876825220371</v>
      </c>
      <c r="X4968" s="2">
        <f ca="1"/>
        <v>31.754774897452762</v>
      </c>
      <c r="AG4968" s="2">
        <f ca="1"/>
        <v>0.98378395355810011</v>
      </c>
      <c r="AH4968" s="2" t="str">
        <f ca="1"/>
        <v>Bad</v>
      </c>
    </row>
    <row r="4969" spans="2:34" x14ac:dyDescent="0.2">
      <c r="B4969" s="2">
        <f ca="1"/>
        <v>0.80019170388615279</v>
      </c>
      <c r="O4969" s="2">
        <f ca="1"/>
        <v>-0.97120859402537452</v>
      </c>
      <c r="X4969" s="2">
        <f ca="1"/>
        <v>121.25041782938607</v>
      </c>
      <c r="AG4969" s="2">
        <f ca="1"/>
        <v>0.79583970264228765</v>
      </c>
      <c r="AH4969" s="2" t="str">
        <f ca="1"/>
        <v>Bad</v>
      </c>
    </row>
    <row r="4970" spans="2:34" x14ac:dyDescent="0.2">
      <c r="B4970" s="2">
        <f ca="1"/>
        <v>0.65481712436093842</v>
      </c>
      <c r="O4970" s="2">
        <f ca="1"/>
        <v>-0.45097332362838521</v>
      </c>
      <c r="X4970" s="2">
        <f ca="1"/>
        <v>36.01188560051903</v>
      </c>
      <c r="AG4970" s="2">
        <f ca="1"/>
        <v>0.80360744980962173</v>
      </c>
      <c r="AH4970" s="2" t="str">
        <f ca="1"/>
        <v>Bad</v>
      </c>
    </row>
    <row r="4971" spans="2:34" x14ac:dyDescent="0.2">
      <c r="B4971" s="2">
        <f ca="1"/>
        <v>0.28861699760467419</v>
      </c>
      <c r="O4971" s="2">
        <f ca="1"/>
        <v>0.88664358119592257</v>
      </c>
      <c r="X4971" s="2">
        <f ca="1"/>
        <v>45.654701281064824</v>
      </c>
      <c r="AG4971" s="2">
        <f ca="1"/>
        <v>0.90223282863469501</v>
      </c>
      <c r="AH4971" s="2" t="str">
        <f ca="1"/>
        <v>Bad</v>
      </c>
    </row>
    <row r="4972" spans="2:34" x14ac:dyDescent="0.2">
      <c r="B4972" s="2">
        <f ca="1"/>
        <v>0.12020878195083395</v>
      </c>
      <c r="O4972" s="2">
        <f ca="1"/>
        <v>0.5484036197765394</v>
      </c>
      <c r="X4972" s="2">
        <f ca="1"/>
        <v>56.114522509010278</v>
      </c>
      <c r="AG4972" s="2">
        <f ca="1"/>
        <v>0.26562903979701358</v>
      </c>
      <c r="AH4972" s="2" t="str">
        <f ca="1"/>
        <v>OK</v>
      </c>
    </row>
    <row r="4973" spans="2:34" x14ac:dyDescent="0.2">
      <c r="B4973" s="2">
        <f ca="1"/>
        <v>0.33220243094554247</v>
      </c>
      <c r="O4973" s="2">
        <f ca="1"/>
        <v>0.88643318526057757</v>
      </c>
      <c r="X4973" s="2">
        <f ca="1"/>
        <v>68.760096339198299</v>
      </c>
      <c r="AG4973" s="2">
        <f ca="1"/>
        <v>0.71248112444034928</v>
      </c>
      <c r="AH4973" s="2" t="str">
        <f ca="1"/>
        <v>Bad</v>
      </c>
    </row>
    <row r="4974" spans="2:34" x14ac:dyDescent="0.2">
      <c r="B4974" s="2">
        <f ca="1"/>
        <v>0.66167291078018842</v>
      </c>
      <c r="O4974" s="2">
        <f ca="1"/>
        <v>-0.84791817897782495</v>
      </c>
      <c r="X4974" s="2">
        <f ca="1"/>
        <v>58.741138410919298</v>
      </c>
      <c r="AG4974" s="2">
        <f ca="1"/>
        <v>0.74495988328763363</v>
      </c>
      <c r="AH4974" s="2" t="str">
        <f ca="1"/>
        <v>Bad</v>
      </c>
    </row>
    <row r="4975" spans="2:34" x14ac:dyDescent="0.2">
      <c r="B4975" s="2">
        <f ca="1"/>
        <v>0.41951525038308857</v>
      </c>
      <c r="O4975" s="2">
        <f ca="1"/>
        <v>-0.23166169895313832</v>
      </c>
      <c r="X4975" s="2">
        <f ca="1"/>
        <v>51.2024307109915</v>
      </c>
      <c r="AG4975" s="2">
        <f ca="1"/>
        <v>0.22679121342539377</v>
      </c>
      <c r="AH4975" s="2" t="str">
        <f ca="1"/>
        <v>OK</v>
      </c>
    </row>
    <row r="4976" spans="2:34" x14ac:dyDescent="0.2">
      <c r="B4976" s="2">
        <f ca="1"/>
        <v>0.9660128713894629</v>
      </c>
      <c r="O4976" s="2">
        <f ca="1"/>
        <v>0.15267038733945129</v>
      </c>
      <c r="X4976" s="2">
        <f ca="1"/>
        <v>48.81508493017747</v>
      </c>
      <c r="AG4976" s="2">
        <f ca="1"/>
        <v>0.62407922305936636</v>
      </c>
      <c r="AH4976" s="2" t="str">
        <f ca="1"/>
        <v>Bad</v>
      </c>
    </row>
    <row r="4977" spans="2:34" x14ac:dyDescent="0.2">
      <c r="B4977" s="2">
        <f ca="1"/>
        <v>0.90885127191966064</v>
      </c>
      <c r="O4977" s="2">
        <f ca="1"/>
        <v>1.4763200607278619</v>
      </c>
      <c r="X4977" s="2">
        <f ca="1"/>
        <v>51.497983276740811</v>
      </c>
      <c r="AG4977" s="2">
        <f ca="1"/>
        <v>0.44620022479926358</v>
      </c>
      <c r="AH4977" s="2" t="str">
        <f ca="1"/>
        <v>Bad</v>
      </c>
    </row>
    <row r="4978" spans="2:34" x14ac:dyDescent="0.2">
      <c r="B4978" s="2">
        <f ca="1"/>
        <v>0.73496058191538327</v>
      </c>
      <c r="O4978" s="2">
        <f ca="1"/>
        <v>0.39312164168773517</v>
      </c>
      <c r="X4978" s="2">
        <f ca="1"/>
        <v>69.22530340512067</v>
      </c>
      <c r="AG4978" s="2">
        <f ca="1"/>
        <v>0.44611895799774315</v>
      </c>
      <c r="AH4978" s="2" t="str">
        <f ca="1"/>
        <v>Bad</v>
      </c>
    </row>
    <row r="4979" spans="2:34" x14ac:dyDescent="0.2">
      <c r="B4979" s="2">
        <f ca="1"/>
        <v>0.64394983557508079</v>
      </c>
      <c r="O4979" s="2">
        <f ca="1"/>
        <v>0.19885303382060032</v>
      </c>
      <c r="X4979" s="2">
        <f ca="1"/>
        <v>89.416471702228577</v>
      </c>
      <c r="AG4979" s="2">
        <f ca="1"/>
        <v>0.15356188256763881</v>
      </c>
      <c r="AH4979" s="2" t="str">
        <f ca="1"/>
        <v>OK</v>
      </c>
    </row>
    <row r="4980" spans="2:34" x14ac:dyDescent="0.2">
      <c r="B4980" s="2">
        <f ca="1"/>
        <v>0.60568444749976402</v>
      </c>
      <c r="O4980" s="2">
        <f ca="1"/>
        <v>1.0989631540349851</v>
      </c>
      <c r="X4980" s="2">
        <f ca="1"/>
        <v>59.230685689659609</v>
      </c>
      <c r="AG4980" s="2">
        <f ca="1"/>
        <v>0.2506158643468166</v>
      </c>
      <c r="AH4980" s="2" t="str">
        <f ca="1"/>
        <v>OK</v>
      </c>
    </row>
    <row r="4981" spans="2:34" x14ac:dyDescent="0.2">
      <c r="B4981" s="2">
        <f ca="1"/>
        <v>0.23093404173388743</v>
      </c>
      <c r="O4981" s="2">
        <f ca="1"/>
        <v>-0.56245920380979408</v>
      </c>
      <c r="X4981" s="2">
        <f ca="1"/>
        <v>38.15024483177092</v>
      </c>
      <c r="AG4981" s="2">
        <f ca="1"/>
        <v>0.9911925640032615</v>
      </c>
      <c r="AH4981" s="2" t="str">
        <f ca="1"/>
        <v>Bad</v>
      </c>
    </row>
    <row r="4982" spans="2:34" x14ac:dyDescent="0.2">
      <c r="B4982" s="2">
        <f ca="1"/>
        <v>0.53454952831974212</v>
      </c>
      <c r="O4982" s="2">
        <f ca="1"/>
        <v>0.92827963716817941</v>
      </c>
      <c r="X4982" s="2">
        <f ca="1"/>
        <v>69.720654537169665</v>
      </c>
      <c r="AG4982" s="2">
        <f ca="1"/>
        <v>0.88248615090600269</v>
      </c>
      <c r="AH4982" s="2" t="str">
        <f ca="1"/>
        <v>Bad</v>
      </c>
    </row>
    <row r="4983" spans="2:34" x14ac:dyDescent="0.2">
      <c r="B4983" s="2">
        <f ca="1"/>
        <v>0.20505287664505989</v>
      </c>
      <c r="O4983" s="2">
        <f ca="1"/>
        <v>-1.2813033054400482</v>
      </c>
      <c r="X4983" s="2">
        <f ca="1"/>
        <v>42.384462981659219</v>
      </c>
      <c r="AG4983" s="2">
        <f ca="1"/>
        <v>7.346618840468655E-2</v>
      </c>
      <c r="AH4983" s="2" t="str">
        <f ca="1"/>
        <v>OK</v>
      </c>
    </row>
    <row r="4984" spans="2:34" x14ac:dyDescent="0.2">
      <c r="B4984" s="2">
        <f ca="1"/>
        <v>0.10158003736305621</v>
      </c>
      <c r="O4984" s="2">
        <f ca="1"/>
        <v>1.0910461875091926E-2</v>
      </c>
      <c r="X4984" s="2">
        <f ca="1"/>
        <v>58.824052005583773</v>
      </c>
      <c r="AG4984" s="2">
        <f ca="1"/>
        <v>0.18910510738879815</v>
      </c>
      <c r="AH4984" s="2" t="str">
        <f ca="1"/>
        <v>OK</v>
      </c>
    </row>
    <row r="4985" spans="2:34" x14ac:dyDescent="0.2">
      <c r="B4985" s="2">
        <f ca="1"/>
        <v>8.0738217830872872E-2</v>
      </c>
      <c r="O4985" s="2">
        <f ca="1"/>
        <v>1.5783078848236411</v>
      </c>
      <c r="X4985" s="2">
        <f ca="1"/>
        <v>49.147629659109739</v>
      </c>
      <c r="AG4985" s="2">
        <f ca="1"/>
        <v>0.37006158999833483</v>
      </c>
      <c r="AH4985" s="2" t="str">
        <f ca="1"/>
        <v>OK</v>
      </c>
    </row>
    <row r="4986" spans="2:34" x14ac:dyDescent="0.2">
      <c r="B4986" s="2">
        <f ca="1"/>
        <v>0.49461558550844265</v>
      </c>
      <c r="O4986" s="2">
        <f ca="1"/>
        <v>-6.8382393949605741E-2</v>
      </c>
      <c r="X4986" s="2">
        <f ca="1"/>
        <v>43.774181455278132</v>
      </c>
      <c r="AG4986" s="2">
        <f ca="1"/>
        <v>0.8508575542304615</v>
      </c>
      <c r="AH4986" s="2" t="str">
        <f ca="1"/>
        <v>Bad</v>
      </c>
    </row>
    <row r="4987" spans="2:34" x14ac:dyDescent="0.2">
      <c r="B4987" s="2">
        <f ca="1"/>
        <v>0.81331766113531723</v>
      </c>
      <c r="O4987" s="2">
        <f ca="1"/>
        <v>-0.12827782021807063</v>
      </c>
      <c r="X4987" s="2">
        <f ca="1"/>
        <v>45.090220688262988</v>
      </c>
      <c r="AG4987" s="2">
        <f ca="1"/>
        <v>0.82504703482073438</v>
      </c>
      <c r="AH4987" s="2" t="str">
        <f ca="1"/>
        <v>Bad</v>
      </c>
    </row>
    <row r="4988" spans="2:34" x14ac:dyDescent="0.2">
      <c r="B4988" s="2">
        <f ca="1"/>
        <v>0.66696650133794244</v>
      </c>
      <c r="O4988" s="2">
        <f ca="1"/>
        <v>0.19505218919636855</v>
      </c>
      <c r="X4988" s="2">
        <f ca="1"/>
        <v>34.467126795537347</v>
      </c>
      <c r="AG4988" s="2">
        <f ca="1"/>
        <v>0.96194599685507431</v>
      </c>
      <c r="AH4988" s="2" t="str">
        <f ca="1"/>
        <v>Bad</v>
      </c>
    </row>
    <row r="4989" spans="2:34" x14ac:dyDescent="0.2">
      <c r="B4989" s="2">
        <f ca="1"/>
        <v>0.15422785542261974</v>
      </c>
      <c r="O4989" s="2">
        <f ca="1"/>
        <v>-0.34401389985821945</v>
      </c>
      <c r="X4989" s="2">
        <f ca="1"/>
        <v>20.460432936977746</v>
      </c>
      <c r="AG4989" s="2">
        <f ca="1"/>
        <v>0.62520341653944889</v>
      </c>
      <c r="AH4989" s="2" t="str">
        <f ca="1"/>
        <v>Bad</v>
      </c>
    </row>
    <row r="4990" spans="2:34" x14ac:dyDescent="0.2">
      <c r="B4990" s="2">
        <f ca="1"/>
        <v>0.33412500011233237</v>
      </c>
      <c r="O4990" s="2">
        <f ca="1"/>
        <v>8.1023117414025181E-2</v>
      </c>
      <c r="X4990" s="2">
        <f ca="1"/>
        <v>47.843558095072666</v>
      </c>
      <c r="AG4990" s="2">
        <f ca="1"/>
        <v>0.51471074595635202</v>
      </c>
      <c r="AH4990" s="2" t="str">
        <f ca="1"/>
        <v>Bad</v>
      </c>
    </row>
    <row r="4991" spans="2:34" x14ac:dyDescent="0.2">
      <c r="B4991" s="2">
        <f ca="1"/>
        <v>0.41687442679844477</v>
      </c>
      <c r="O4991" s="2">
        <f ca="1"/>
        <v>-6.5381007862581983E-2</v>
      </c>
      <c r="X4991" s="2">
        <f ca="1"/>
        <v>27.885100164104443</v>
      </c>
      <c r="AG4991" s="2">
        <f ca="1"/>
        <v>0.95570022654094133</v>
      </c>
      <c r="AH4991" s="2" t="str">
        <f ca="1"/>
        <v>Bad</v>
      </c>
    </row>
    <row r="4992" spans="2:34" x14ac:dyDescent="0.2">
      <c r="B4992" s="2">
        <f ca="1"/>
        <v>0.38940396164623747</v>
      </c>
      <c r="O4992" s="2">
        <f ca="1"/>
        <v>-3.8454337890658281E-2</v>
      </c>
      <c r="X4992" s="2">
        <f ca="1"/>
        <v>40.101623110680165</v>
      </c>
      <c r="AG4992" s="2">
        <f ca="1"/>
        <v>0.65137574075235261</v>
      </c>
      <c r="AH4992" s="2" t="str">
        <f ca="1"/>
        <v>Bad</v>
      </c>
    </row>
    <row r="4993" spans="2:34" x14ac:dyDescent="0.2">
      <c r="B4993" s="2">
        <f ca="1"/>
        <v>0.48961797596289092</v>
      </c>
      <c r="O4993" s="2">
        <f ca="1"/>
        <v>-2.1869723671047065</v>
      </c>
      <c r="X4993" s="2">
        <f ca="1"/>
        <v>46.071506704841994</v>
      </c>
      <c r="AG4993" s="2">
        <f ca="1"/>
        <v>0.4205490578323523</v>
      </c>
      <c r="AH4993" s="2" t="str">
        <f ca="1"/>
        <v>Bad</v>
      </c>
    </row>
    <row r="4994" spans="2:34" x14ac:dyDescent="0.2">
      <c r="B4994" s="2">
        <f ca="1"/>
        <v>0.63164793925398754</v>
      </c>
      <c r="O4994" s="2">
        <f ca="1"/>
        <v>0.42334161527093178</v>
      </c>
      <c r="X4994" s="2">
        <f ca="1"/>
        <v>57.323666806786306</v>
      </c>
      <c r="AG4994" s="2">
        <f ca="1"/>
        <v>7.377445887701839E-5</v>
      </c>
      <c r="AH4994" s="2" t="str">
        <f ca="1"/>
        <v>Good</v>
      </c>
    </row>
    <row r="4995" spans="2:34" x14ac:dyDescent="0.2">
      <c r="B4995" s="2">
        <f ca="1"/>
        <v>0.26617851217698041</v>
      </c>
      <c r="O4995" s="2">
        <f ca="1"/>
        <v>1.0642311135983056</v>
      </c>
      <c r="X4995" s="2">
        <f ca="1"/>
        <v>42.198754473683458</v>
      </c>
      <c r="AG4995" s="2">
        <f ca="1"/>
        <v>0.28873943738689123</v>
      </c>
      <c r="AH4995" s="2" t="str">
        <f ca="1"/>
        <v>OK</v>
      </c>
    </row>
    <row r="4996" spans="2:34" x14ac:dyDescent="0.2">
      <c r="B4996" s="2">
        <f ca="1"/>
        <v>0.7559457780523311</v>
      </c>
      <c r="O4996" s="2">
        <f ca="1"/>
        <v>0.82121533023167292</v>
      </c>
      <c r="X4996" s="2">
        <f ca="1"/>
        <v>88.038241682680081</v>
      </c>
      <c r="AG4996" s="2">
        <f ca="1"/>
        <v>0.57552759904323891</v>
      </c>
      <c r="AH4996" s="2" t="str">
        <f ca="1"/>
        <v>Bad</v>
      </c>
    </row>
    <row r="4997" spans="2:34" x14ac:dyDescent="0.2">
      <c r="B4997" s="2">
        <f ca="1"/>
        <v>0.76709447257623031</v>
      </c>
      <c r="O4997" s="2">
        <f ca="1"/>
        <v>0.12737804452280002</v>
      </c>
      <c r="X4997" s="2">
        <f ca="1"/>
        <v>72.095434319727673</v>
      </c>
      <c r="AG4997" s="2">
        <f ca="1"/>
        <v>0.16465629213139721</v>
      </c>
      <c r="AH4997" s="2" t="str">
        <f ca="1"/>
        <v>OK</v>
      </c>
    </row>
    <row r="4998" spans="2:34" x14ac:dyDescent="0.2">
      <c r="B4998" s="2">
        <f ca="1"/>
        <v>0.74453261198628207</v>
      </c>
      <c r="O4998" s="2">
        <f ca="1"/>
        <v>0.5824187919788385</v>
      </c>
      <c r="X4998" s="2">
        <f ca="1"/>
        <v>71.059326952782854</v>
      </c>
      <c r="AG4998" s="2">
        <f ca="1"/>
        <v>0.36751263960773572</v>
      </c>
      <c r="AH4998" s="2" t="str">
        <f ca="1"/>
        <v>OK</v>
      </c>
    </row>
    <row r="4999" spans="2:34" x14ac:dyDescent="0.2">
      <c r="B4999" s="2">
        <f ca="1"/>
        <v>5.0038264287937118E-3</v>
      </c>
      <c r="O4999" s="2">
        <f ca="1"/>
        <v>1.0743650664322757</v>
      </c>
      <c r="X4999" s="2">
        <f ca="1"/>
        <v>37.199817362058255</v>
      </c>
      <c r="AG4999" s="2">
        <f ca="1"/>
        <v>6.4100642021984067E-2</v>
      </c>
      <c r="AH4999" s="2" t="str">
        <f ca="1"/>
        <v>OK</v>
      </c>
    </row>
    <row r="5000" spans="2:34" x14ac:dyDescent="0.2">
      <c r="B5000" s="2">
        <f ca="1"/>
        <v>5.0918156879697252E-2</v>
      </c>
      <c r="O5000" s="2">
        <f ca="1"/>
        <v>2.0759655336758986</v>
      </c>
      <c r="X5000" s="2">
        <f ca="1"/>
        <v>61.231373151102758</v>
      </c>
      <c r="AG5000" s="2">
        <f ca="1"/>
        <v>0.82395029727091318</v>
      </c>
      <c r="AH5000" s="2" t="str">
        <f ca="1"/>
        <v>Bad</v>
      </c>
    </row>
    <row r="5001" spans="2:34" x14ac:dyDescent="0.2">
      <c r="B5001" s="2">
        <f ca="1"/>
        <v>0.68642179717266116</v>
      </c>
      <c r="O5001" s="2">
        <f ca="1"/>
        <v>-1.0736082746593296</v>
      </c>
      <c r="X5001" s="2">
        <f ca="1"/>
        <v>44.733557651354189</v>
      </c>
      <c r="AG5001" s="2">
        <f ca="1"/>
        <v>0.91051065645719675</v>
      </c>
      <c r="AH5001" s="2" t="str">
        <f ca="1"/>
        <v>Bad</v>
      </c>
    </row>
    <row r="5002" spans="2:34" x14ac:dyDescent="0.2">
      <c r="B5002" s="2">
        <f ca="1"/>
        <v>0.75847613901654287</v>
      </c>
      <c r="O5002" s="2">
        <f ca="1"/>
        <v>1.4932482139781309</v>
      </c>
      <c r="X5002" s="2">
        <f ca="1"/>
        <v>36.422496685125509</v>
      </c>
      <c r="AG5002" s="2">
        <f ca="1"/>
        <v>0.21716110668840027</v>
      </c>
      <c r="AH5002" s="2" t="str">
        <f ca="1"/>
        <v>OK</v>
      </c>
    </row>
    <row r="5003" spans="2:34" x14ac:dyDescent="0.2">
      <c r="B5003" s="2">
        <f ca="1"/>
        <v>0.10743121974845016</v>
      </c>
      <c r="O5003" s="2">
        <f ca="1"/>
        <v>-1.0459412101705243</v>
      </c>
      <c r="X5003" s="2">
        <f ca="1"/>
        <v>36.66645729564857</v>
      </c>
      <c r="AG5003" s="2">
        <f ca="1"/>
        <v>0.64821748245821587</v>
      </c>
      <c r="AH5003" s="2" t="str">
        <f ca="1"/>
        <v>Bad</v>
      </c>
    </row>
    <row r="5004" spans="2:34" x14ac:dyDescent="0.2">
      <c r="B5004" s="2">
        <f ca="1"/>
        <v>0.49959482703025926</v>
      </c>
      <c r="O5004" s="2">
        <f ca="1"/>
        <v>-1.3021611659508219</v>
      </c>
      <c r="X5004" s="2">
        <f ca="1"/>
        <v>42.573154587942255</v>
      </c>
      <c r="AG5004" s="2">
        <f ca="1"/>
        <v>0.77546856461201741</v>
      </c>
      <c r="AH5004" s="2" t="str">
        <f ca="1"/>
        <v>Bad</v>
      </c>
    </row>
    <row r="5005" spans="2:34" x14ac:dyDescent="0.2">
      <c r="B5005" s="2">
        <f ca="1"/>
        <v>7.9656552526448321E-2</v>
      </c>
      <c r="O5005" s="2">
        <f ca="1"/>
        <v>0.14832908990856455</v>
      </c>
      <c r="X5005" s="2">
        <f ca="1"/>
        <v>80.492939699006001</v>
      </c>
      <c r="AG5005" s="2">
        <f ca="1"/>
        <v>0.97953005012379579</v>
      </c>
      <c r="AH5005" s="2" t="str">
        <f ca="1"/>
        <v>Bad</v>
      </c>
    </row>
    <row r="5006" spans="2:34" x14ac:dyDescent="0.2">
      <c r="B5006" s="2">
        <f ca="1"/>
        <v>8.1967537630179832E-2</v>
      </c>
      <c r="O5006" s="2">
        <f ca="1"/>
        <v>1.7135728255130394</v>
      </c>
      <c r="X5006" s="2">
        <f ca="1"/>
        <v>34.732953305542658</v>
      </c>
      <c r="AG5006" s="2">
        <f ca="1"/>
        <v>0.66449286005996244</v>
      </c>
      <c r="AH5006" s="2" t="str">
        <f ca="1"/>
        <v>Bad</v>
      </c>
    </row>
    <row r="5007" spans="2:34" x14ac:dyDescent="0.2">
      <c r="B5007" s="2">
        <f ca="1"/>
        <v>0.75879331096347657</v>
      </c>
      <c r="O5007" s="2">
        <f ca="1"/>
        <v>-1.4990678177810128</v>
      </c>
      <c r="X5007" s="2">
        <f ca="1"/>
        <v>43.230001692425411</v>
      </c>
      <c r="AG5007" s="2">
        <f ca="1"/>
        <v>0.6899684250582494</v>
      </c>
      <c r="AH5007" s="2" t="str">
        <f ca="1"/>
        <v>Bad</v>
      </c>
    </row>
    <row r="5008" spans="2:34" x14ac:dyDescent="0.2">
      <c r="B5008" s="2">
        <f ca="1"/>
        <v>0.87911011118575488</v>
      </c>
      <c r="O5008" s="2">
        <f ca="1"/>
        <v>-3.159040785525161</v>
      </c>
      <c r="X5008" s="2">
        <f ca="1"/>
        <v>35.052391830702</v>
      </c>
      <c r="AG5008" s="2">
        <f ca="1"/>
        <v>0.1972134170744293</v>
      </c>
      <c r="AH5008" s="2" t="str">
        <f ca="1"/>
        <v>OK</v>
      </c>
    </row>
    <row r="5009" spans="2:34" x14ac:dyDescent="0.2">
      <c r="B5009" s="2">
        <f ca="1"/>
        <v>0.20964686112087438</v>
      </c>
      <c r="O5009" s="2">
        <f ca="1"/>
        <v>1.630414138660176</v>
      </c>
      <c r="X5009" s="2">
        <f ca="1"/>
        <v>43.555743843289335</v>
      </c>
      <c r="AG5009" s="2">
        <f ca="1"/>
        <v>0.65727348699815402</v>
      </c>
      <c r="AH5009" s="2" t="str">
        <f ca="1"/>
        <v>Bad</v>
      </c>
    </row>
    <row r="5010" spans="2:34" x14ac:dyDescent="0.2">
      <c r="B5010" s="2">
        <f ca="1"/>
        <v>0.94415492196125994</v>
      </c>
      <c r="O5010" s="2">
        <f ca="1"/>
        <v>0.12630193207506757</v>
      </c>
      <c r="X5010" s="2">
        <f ca="1"/>
        <v>51.265588154509388</v>
      </c>
      <c r="AG5010" s="2">
        <f ca="1"/>
        <v>0.47785829776169808</v>
      </c>
      <c r="AH5010" s="2" t="str">
        <f ca="1"/>
        <v>Bad</v>
      </c>
    </row>
    <row r="5011" spans="2:34" x14ac:dyDescent="0.2">
      <c r="B5011" s="2">
        <f ca="1"/>
        <v>0.1922977235840122</v>
      </c>
      <c r="O5011" s="2">
        <f ca="1"/>
        <v>-0.63963679956742414</v>
      </c>
      <c r="X5011" s="2">
        <f ca="1"/>
        <v>27.644020696896035</v>
      </c>
      <c r="AG5011" s="2">
        <f ca="1"/>
        <v>0.76208097568210187</v>
      </c>
      <c r="AH5011" s="2" t="str">
        <f ca="1"/>
        <v>Bad</v>
      </c>
    </row>
    <row r="5012" spans="2:34" x14ac:dyDescent="0.2">
      <c r="B5012" s="2">
        <f ca="1"/>
        <v>0.99482184474679647</v>
      </c>
      <c r="O5012" s="2">
        <f ca="1"/>
        <v>-2.6423406116228261</v>
      </c>
      <c r="X5012" s="2">
        <f ca="1"/>
        <v>46.103777840812974</v>
      </c>
      <c r="AG5012" s="2">
        <f ca="1"/>
        <v>0.84286842573981624</v>
      </c>
      <c r="AH5012" s="2" t="str">
        <f ca="1"/>
        <v>Bad</v>
      </c>
    </row>
    <row r="5013" spans="2:34" x14ac:dyDescent="0.2">
      <c r="B5013" s="2">
        <f ca="1"/>
        <v>0.17487836184358496</v>
      </c>
      <c r="O5013" s="2">
        <f ca="1"/>
        <v>0.77492344536167657</v>
      </c>
      <c r="X5013" s="2">
        <f ca="1"/>
        <v>54.70448455667654</v>
      </c>
      <c r="AG5013" s="2">
        <f ca="1"/>
        <v>0.9757170193699729</v>
      </c>
      <c r="AH5013" s="2" t="str">
        <f ca="1"/>
        <v>Bad</v>
      </c>
    </row>
    <row r="5014" spans="2:34" x14ac:dyDescent="0.2">
      <c r="B5014" s="2">
        <f ca="1"/>
        <v>0.77929372779205508</v>
      </c>
      <c r="O5014" s="2">
        <f ca="1"/>
        <v>-0.93550743691923122</v>
      </c>
      <c r="X5014" s="2">
        <f ca="1"/>
        <v>44.454863363438442</v>
      </c>
      <c r="AG5014" s="2">
        <f ca="1"/>
        <v>0.74961198364693904</v>
      </c>
      <c r="AH5014" s="2" t="str">
        <f ca="1"/>
        <v>Bad</v>
      </c>
    </row>
    <row r="5015" spans="2:34" x14ac:dyDescent="0.2">
      <c r="B5015" s="2">
        <f ca="1"/>
        <v>0.99936217837964159</v>
      </c>
      <c r="O5015" s="2">
        <f ca="1"/>
        <v>-0.20915360032774788</v>
      </c>
      <c r="X5015" s="2">
        <f ca="1"/>
        <v>29.294517226793992</v>
      </c>
      <c r="AG5015" s="2">
        <f ca="1"/>
        <v>0.33855633360982629</v>
      </c>
      <c r="AH5015" s="2" t="str">
        <f ca="1"/>
        <v>OK</v>
      </c>
    </row>
    <row r="5016" spans="2:34" x14ac:dyDescent="0.2">
      <c r="B5016" s="2">
        <f ca="1"/>
        <v>0.55518292497358646</v>
      </c>
      <c r="O5016" s="2">
        <f ca="1"/>
        <v>1.6446944359390918</v>
      </c>
      <c r="X5016" s="2">
        <f ca="1"/>
        <v>73.187181288333562</v>
      </c>
      <c r="AG5016" s="2">
        <f ca="1"/>
        <v>0.23430964549542543</v>
      </c>
      <c r="AH5016" s="2" t="str">
        <f ca="1"/>
        <v>OK</v>
      </c>
    </row>
    <row r="5017" spans="2:34" x14ac:dyDescent="0.2">
      <c r="B5017" s="2">
        <f ca="1"/>
        <v>0.58100682135016934</v>
      </c>
      <c r="O5017" s="2">
        <f ca="1"/>
        <v>-1.7539108701560888</v>
      </c>
      <c r="X5017" s="2">
        <f ca="1"/>
        <v>50.867652809389227</v>
      </c>
      <c r="AG5017" s="2">
        <f ca="1"/>
        <v>0.40124802971454554</v>
      </c>
      <c r="AH5017" s="2" t="str">
        <f ca="1"/>
        <v>Bad</v>
      </c>
    </row>
    <row r="5018" spans="2:34" x14ac:dyDescent="0.2">
      <c r="B5018" s="2">
        <f ca="1"/>
        <v>0.76719987654652089</v>
      </c>
      <c r="O5018" s="2">
        <f ca="1"/>
        <v>-1.3195163249982835</v>
      </c>
      <c r="X5018" s="2">
        <f ca="1"/>
        <v>41.375096157427684</v>
      </c>
      <c r="AG5018" s="2">
        <f ca="1"/>
        <v>0.77891495695659496</v>
      </c>
      <c r="AH5018" s="2" t="str">
        <f ca="1"/>
        <v>Bad</v>
      </c>
    </row>
    <row r="5019" spans="2:34" x14ac:dyDescent="0.2">
      <c r="B5019" s="2">
        <f ca="1"/>
        <v>0.82876741969525458</v>
      </c>
      <c r="O5019" s="2">
        <f ca="1"/>
        <v>1.5061746189225595</v>
      </c>
      <c r="X5019" s="2">
        <f ca="1"/>
        <v>71.1831514763321</v>
      </c>
      <c r="AG5019" s="2">
        <f ca="1"/>
        <v>0.40415422241658128</v>
      </c>
      <c r="AH5019" s="2" t="str">
        <f ca="1"/>
        <v>Bad</v>
      </c>
    </row>
    <row r="5020" spans="2:34" x14ac:dyDescent="0.2">
      <c r="B5020" s="2">
        <f ca="1"/>
        <v>0.60596060676189589</v>
      </c>
      <c r="O5020" s="2">
        <f ca="1"/>
        <v>1.3083968902100502</v>
      </c>
      <c r="X5020" s="2">
        <f ca="1"/>
        <v>78.918633882564592</v>
      </c>
      <c r="AG5020" s="2">
        <f ca="1"/>
        <v>0.77838373261097549</v>
      </c>
      <c r="AH5020" s="2" t="str">
        <f ca="1"/>
        <v>Bad</v>
      </c>
    </row>
    <row r="5021" spans="2:34" x14ac:dyDescent="0.2">
      <c r="B5021" s="2">
        <f ca="1"/>
        <v>0.12098461523780668</v>
      </c>
      <c r="O5021" s="2">
        <f ca="1"/>
        <v>7.1562833947556276E-2</v>
      </c>
      <c r="X5021" s="2">
        <f ca="1"/>
        <v>75.176288982698281</v>
      </c>
      <c r="AG5021" s="2">
        <f ca="1"/>
        <v>0.7720154592656514</v>
      </c>
      <c r="AH5021" s="2" t="str">
        <f ca="1"/>
        <v>Bad</v>
      </c>
    </row>
    <row r="5022" spans="2:34" x14ac:dyDescent="0.2">
      <c r="B5022" s="2">
        <f ca="1"/>
        <v>0.99345360515920977</v>
      </c>
      <c r="O5022" s="2">
        <f ca="1"/>
        <v>-2.164125991149461</v>
      </c>
      <c r="X5022" s="2">
        <f ca="1"/>
        <v>30.628774465825028</v>
      </c>
      <c r="AG5022" s="2">
        <f ca="1"/>
        <v>0.17070410112271062</v>
      </c>
      <c r="AH5022" s="2" t="str">
        <f ca="1"/>
        <v>OK</v>
      </c>
    </row>
    <row r="5023" spans="2:34" x14ac:dyDescent="0.2">
      <c r="B5023" s="2">
        <f ca="1"/>
        <v>0.14232343940348668</v>
      </c>
      <c r="O5023" s="2">
        <f ca="1"/>
        <v>0.26826146327797207</v>
      </c>
      <c r="X5023" s="2">
        <f ca="1"/>
        <v>81.916135750975357</v>
      </c>
      <c r="AG5023" s="2">
        <f ca="1"/>
        <v>7.9704104790142116E-2</v>
      </c>
      <c r="AH5023" s="2" t="str">
        <f ca="1"/>
        <v>OK</v>
      </c>
    </row>
    <row r="5024" spans="2:34" x14ac:dyDescent="0.2">
      <c r="B5024" s="2">
        <f ca="1"/>
        <v>0.53409699917255726</v>
      </c>
      <c r="O5024" s="2">
        <f ca="1"/>
        <v>1.3821604638992866</v>
      </c>
      <c r="X5024" s="2">
        <f ca="1"/>
        <v>48.25477186549606</v>
      </c>
      <c r="AG5024" s="2">
        <f ca="1"/>
        <v>6.3600094060407564E-2</v>
      </c>
      <c r="AH5024" s="2" t="str">
        <f ca="1"/>
        <v>OK</v>
      </c>
    </row>
    <row r="5025" spans="2:34" x14ac:dyDescent="0.2">
      <c r="B5025" s="2">
        <f ca="1"/>
        <v>0.37274056640984954</v>
      </c>
      <c r="O5025" s="2">
        <f ca="1"/>
        <v>-1.0526253581518445</v>
      </c>
      <c r="X5025" s="2">
        <f ca="1"/>
        <v>87.509355221069967</v>
      </c>
      <c r="AG5025" s="2">
        <f ca="1"/>
        <v>0.81514004604056001</v>
      </c>
      <c r="AH5025" s="2" t="str">
        <f ca="1"/>
        <v>Bad</v>
      </c>
    </row>
    <row r="5026" spans="2:34" x14ac:dyDescent="0.2">
      <c r="B5026" s="2">
        <f ca="1"/>
        <v>0.34955211663749153</v>
      </c>
      <c r="O5026" s="2">
        <f ca="1"/>
        <v>-0.38746803502760901</v>
      </c>
      <c r="X5026" s="2">
        <f ca="1"/>
        <v>32.742318535024907</v>
      </c>
      <c r="AG5026" s="2">
        <f ca="1"/>
        <v>0.36554137664117969</v>
      </c>
      <c r="AH5026" s="2" t="str">
        <f ca="1"/>
        <v>OK</v>
      </c>
    </row>
    <row r="5027" spans="2:34" x14ac:dyDescent="0.2">
      <c r="B5027" s="2">
        <f ca="1"/>
        <v>0.2132765100635261</v>
      </c>
      <c r="O5027" s="2">
        <f ca="1"/>
        <v>-0.81204702737275114</v>
      </c>
      <c r="X5027" s="2">
        <f ca="1"/>
        <v>49.896385328475901</v>
      </c>
      <c r="AG5027" s="2">
        <f ca="1"/>
        <v>0.4110946293521911</v>
      </c>
      <c r="AH5027" s="2" t="str">
        <f ca="1"/>
        <v>Bad</v>
      </c>
    </row>
    <row r="5028" spans="2:34" x14ac:dyDescent="0.2">
      <c r="B5028" s="2">
        <f ca="1"/>
        <v>0.98467714643848603</v>
      </c>
      <c r="O5028" s="2">
        <f ca="1"/>
        <v>0.50770558782451236</v>
      </c>
      <c r="X5028" s="2">
        <f ca="1"/>
        <v>47.787654727152599</v>
      </c>
      <c r="AG5028" s="2">
        <f ca="1"/>
        <v>0.10387405142293016</v>
      </c>
      <c r="AH5028" s="2" t="str">
        <f ca="1"/>
        <v>OK</v>
      </c>
    </row>
    <row r="5029" spans="2:34" x14ac:dyDescent="0.2">
      <c r="B5029" s="2">
        <f ca="1"/>
        <v>0.66662802804301791</v>
      </c>
      <c r="O5029" s="2">
        <f ca="1"/>
        <v>-1.0820154269025752</v>
      </c>
      <c r="X5029" s="2">
        <f ca="1"/>
        <v>64.265475974991048</v>
      </c>
      <c r="AG5029" s="2">
        <f ca="1"/>
        <v>0.37028184506194517</v>
      </c>
      <c r="AH5029" s="2" t="str">
        <f ca="1"/>
        <v>OK</v>
      </c>
    </row>
    <row r="5030" spans="2:34" x14ac:dyDescent="0.2">
      <c r="B5030" s="2">
        <f ca="1"/>
        <v>2.7681436571250329E-2</v>
      </c>
      <c r="O5030" s="2">
        <f ca="1"/>
        <v>0.7132188306731404</v>
      </c>
      <c r="X5030" s="2">
        <f ca="1"/>
        <v>49.640470120311861</v>
      </c>
      <c r="AG5030" s="2">
        <f ca="1"/>
        <v>0.75223012824989999</v>
      </c>
      <c r="AH5030" s="2" t="str">
        <f ca="1"/>
        <v>Bad</v>
      </c>
    </row>
    <row r="5031" spans="2:34" x14ac:dyDescent="0.2">
      <c r="B5031" s="2">
        <f ca="1"/>
        <v>7.3720525407599435E-2</v>
      </c>
      <c r="O5031" s="2">
        <f ca="1"/>
        <v>-0.38503783011989284</v>
      </c>
      <c r="X5031" s="2">
        <f ca="1"/>
        <v>38.799132231235831</v>
      </c>
      <c r="AG5031" s="2">
        <f ca="1"/>
        <v>7.8601366698923147E-2</v>
      </c>
      <c r="AH5031" s="2" t="str">
        <f ca="1"/>
        <v>OK</v>
      </c>
    </row>
    <row r="5032" spans="2:34" x14ac:dyDescent="0.2">
      <c r="B5032" s="2">
        <f ca="1"/>
        <v>0.93334516846796323</v>
      </c>
      <c r="O5032" s="2">
        <f ca="1"/>
        <v>4.232699143643652E-2</v>
      </c>
      <c r="X5032" s="2">
        <f ca="1"/>
        <v>44.598619424878578</v>
      </c>
      <c r="AG5032" s="2">
        <f ca="1"/>
        <v>0.17662851141368208</v>
      </c>
      <c r="AH5032" s="2" t="str">
        <f ca="1"/>
        <v>OK</v>
      </c>
    </row>
    <row r="5033" spans="2:34" x14ac:dyDescent="0.2">
      <c r="B5033" s="2">
        <f ca="1"/>
        <v>0.25844416323426134</v>
      </c>
      <c r="O5033" s="2">
        <f ca="1"/>
        <v>-0.78541682141321001</v>
      </c>
      <c r="X5033" s="2">
        <f ca="1"/>
        <v>36.591355985062741</v>
      </c>
      <c r="AG5033" s="2">
        <f ca="1"/>
        <v>8.4248338655328769E-2</v>
      </c>
      <c r="AH5033" s="2" t="str">
        <f ca="1"/>
        <v>OK</v>
      </c>
    </row>
    <row r="5034" spans="2:34" x14ac:dyDescent="0.2">
      <c r="B5034" s="2">
        <f ca="1"/>
        <v>0.70683383100465802</v>
      </c>
      <c r="O5034" s="2">
        <f ca="1"/>
        <v>-0.15403980357728533</v>
      </c>
      <c r="X5034" s="2">
        <f ca="1"/>
        <v>47.782152748239859</v>
      </c>
      <c r="AG5034" s="2">
        <f ca="1"/>
        <v>0.82170395573653376</v>
      </c>
      <c r="AH5034" s="2" t="str">
        <f ca="1"/>
        <v>Bad</v>
      </c>
    </row>
    <row r="5035" spans="2:34" x14ac:dyDescent="0.2">
      <c r="B5035" s="2">
        <f ca="1"/>
        <v>0.75825501862740885</v>
      </c>
      <c r="O5035" s="2">
        <f ca="1"/>
        <v>0.16496781131840829</v>
      </c>
      <c r="X5035" s="2">
        <f ca="1"/>
        <v>23.73137757646592</v>
      </c>
      <c r="AG5035" s="2">
        <f ca="1"/>
        <v>0.66282138731819629</v>
      </c>
      <c r="AH5035" s="2" t="str">
        <f ca="1"/>
        <v>Bad</v>
      </c>
    </row>
    <row r="5036" spans="2:34" x14ac:dyDescent="0.2">
      <c r="B5036" s="2">
        <f ca="1"/>
        <v>0.82235343114044057</v>
      </c>
      <c r="O5036" s="2">
        <f ca="1"/>
        <v>1.182604184080301</v>
      </c>
      <c r="X5036" s="2">
        <f ca="1"/>
        <v>32.632266726102813</v>
      </c>
      <c r="AG5036" s="2">
        <f ca="1"/>
        <v>0.49849835752993132</v>
      </c>
      <c r="AH5036" s="2" t="str">
        <f ca="1"/>
        <v>Bad</v>
      </c>
    </row>
    <row r="5037" spans="2:34" x14ac:dyDescent="0.2">
      <c r="B5037" s="2">
        <f ca="1"/>
        <v>0.14574612699051204</v>
      </c>
      <c r="O5037" s="2">
        <f ca="1"/>
        <v>0.26140579707151496</v>
      </c>
      <c r="X5037" s="2">
        <f ca="1"/>
        <v>40.384152118261092</v>
      </c>
      <c r="AG5037" s="2">
        <f ca="1"/>
        <v>0.28683531041283805</v>
      </c>
      <c r="AH5037" s="2" t="str">
        <f ca="1"/>
        <v>OK</v>
      </c>
    </row>
    <row r="5038" spans="2:34" x14ac:dyDescent="0.2">
      <c r="B5038" s="2">
        <f ca="1"/>
        <v>0.56421393052488167</v>
      </c>
      <c r="O5038" s="2">
        <f ca="1"/>
        <v>0.93029770771417652</v>
      </c>
      <c r="X5038" s="2">
        <f ca="1"/>
        <v>67.034565771809824</v>
      </c>
      <c r="AG5038" s="2">
        <f ca="1"/>
        <v>0.56270256091269699</v>
      </c>
      <c r="AH5038" s="2" t="str">
        <f ca="1"/>
        <v>Bad</v>
      </c>
    </row>
    <row r="5039" spans="2:34" x14ac:dyDescent="0.2">
      <c r="B5039" s="2">
        <f ca="1"/>
        <v>0.39821417911680057</v>
      </c>
      <c r="O5039" s="2">
        <f ca="1"/>
        <v>0.12930851731486973</v>
      </c>
      <c r="X5039" s="2">
        <f ca="1"/>
        <v>40.44321314265639</v>
      </c>
      <c r="AG5039" s="2">
        <f ca="1"/>
        <v>0.26231554221836384</v>
      </c>
      <c r="AH5039" s="2" t="str">
        <f ca="1"/>
        <v>OK</v>
      </c>
    </row>
    <row r="5040" spans="2:34" x14ac:dyDescent="0.2">
      <c r="B5040" s="2">
        <f ca="1"/>
        <v>0.87261504506172449</v>
      </c>
      <c r="O5040" s="2">
        <f ca="1"/>
        <v>-1.6469314042683478</v>
      </c>
      <c r="X5040" s="2">
        <f ca="1"/>
        <v>45.238458761633325</v>
      </c>
      <c r="AG5040" s="2">
        <f ca="1"/>
        <v>0.61058532930373333</v>
      </c>
      <c r="AH5040" s="2" t="str">
        <f ca="1"/>
        <v>Bad</v>
      </c>
    </row>
    <row r="5041" spans="2:34" x14ac:dyDescent="0.2">
      <c r="B5041" s="2">
        <f ca="1"/>
        <v>0.18370348982716855</v>
      </c>
      <c r="O5041" s="2">
        <f ca="1"/>
        <v>-1.0343393038212247</v>
      </c>
      <c r="X5041" s="2">
        <f ca="1"/>
        <v>53.072109314130145</v>
      </c>
      <c r="AG5041" s="2">
        <f ca="1"/>
        <v>0.49023424868564103</v>
      </c>
      <c r="AH5041" s="2" t="str">
        <f ca="1"/>
        <v>Bad</v>
      </c>
    </row>
    <row r="5042" spans="2:34" x14ac:dyDescent="0.2">
      <c r="B5042" s="2">
        <f ca="1"/>
        <v>4.4138540346649879E-3</v>
      </c>
      <c r="O5042" s="2">
        <f ca="1"/>
        <v>-0.83810260827805327</v>
      </c>
      <c r="X5042" s="2">
        <f ca="1"/>
        <v>38.916846946311964</v>
      </c>
      <c r="AG5042" s="2">
        <f ca="1"/>
        <v>0.31289533690513416</v>
      </c>
      <c r="AH5042" s="2" t="str">
        <f ca="1"/>
        <v>OK</v>
      </c>
    </row>
    <row r="5043" spans="2:34" x14ac:dyDescent="0.2">
      <c r="B5043" s="2">
        <f ca="1"/>
        <v>0.40439040702488094</v>
      </c>
      <c r="O5043" s="2">
        <f ca="1"/>
        <v>-0.70394847724295773</v>
      </c>
      <c r="X5043" s="2">
        <f ca="1"/>
        <v>47.758632787873324</v>
      </c>
      <c r="AG5043" s="2">
        <f ca="1"/>
        <v>0.1901996541780695</v>
      </c>
      <c r="AH5043" s="2" t="str">
        <f ca="1"/>
        <v>OK</v>
      </c>
    </row>
    <row r="5044" spans="2:34" x14ac:dyDescent="0.2">
      <c r="B5044" s="2">
        <f ca="1"/>
        <v>4.4659131831635612E-2</v>
      </c>
      <c r="O5044" s="2">
        <f ca="1"/>
        <v>-0.31266097715859592</v>
      </c>
      <c r="X5044" s="2">
        <f ca="1"/>
        <v>78.702931890561104</v>
      </c>
      <c r="AG5044" s="2">
        <f ca="1"/>
        <v>0.77049324922889006</v>
      </c>
      <c r="AH5044" s="2" t="str">
        <f ca="1"/>
        <v>Bad</v>
      </c>
    </row>
    <row r="5045" spans="2:34" x14ac:dyDescent="0.2">
      <c r="B5045" s="2">
        <f ca="1"/>
        <v>0.31278528504703251</v>
      </c>
      <c r="O5045" s="2">
        <f ca="1"/>
        <v>0.35976741419136898</v>
      </c>
      <c r="X5045" s="2">
        <f ca="1"/>
        <v>53.031390092064889</v>
      </c>
      <c r="AG5045" s="2">
        <f ca="1"/>
        <v>0.77762055359367999</v>
      </c>
      <c r="AH5045" s="2" t="str">
        <f ca="1"/>
        <v>Bad</v>
      </c>
    </row>
    <row r="5046" spans="2:34" x14ac:dyDescent="0.2">
      <c r="B5046" s="2">
        <f ca="1"/>
        <v>0.87688172150381294</v>
      </c>
      <c r="O5046" s="2">
        <f ca="1"/>
        <v>-0.66815194577265213</v>
      </c>
      <c r="X5046" s="2">
        <f ca="1"/>
        <v>27.717170035395831</v>
      </c>
      <c r="AG5046" s="2">
        <f ca="1"/>
        <v>0.36433352360421334</v>
      </c>
      <c r="AH5046" s="2" t="str">
        <f ca="1"/>
        <v>OK</v>
      </c>
    </row>
    <row r="5047" spans="2:34" x14ac:dyDescent="0.2">
      <c r="B5047" s="2">
        <f ca="1"/>
        <v>0.68040526880318941</v>
      </c>
      <c r="O5047" s="2">
        <f ca="1"/>
        <v>-1.4109333529047834</v>
      </c>
      <c r="X5047" s="2">
        <f ca="1"/>
        <v>69.189195163186781</v>
      </c>
      <c r="AG5047" s="2">
        <f ca="1"/>
        <v>0.79095336651392301</v>
      </c>
      <c r="AH5047" s="2" t="str">
        <f ca="1"/>
        <v>Bad</v>
      </c>
    </row>
    <row r="5048" spans="2:34" x14ac:dyDescent="0.2">
      <c r="B5048" s="2">
        <f ca="1"/>
        <v>0.40037600536561935</v>
      </c>
      <c r="O5048" s="2">
        <f ca="1"/>
        <v>0.13768534887471581</v>
      </c>
      <c r="X5048" s="2">
        <f ca="1"/>
        <v>63.031828389839035</v>
      </c>
      <c r="AG5048" s="2">
        <f ca="1"/>
        <v>0.97646579595282912</v>
      </c>
      <c r="AH5048" s="2" t="str">
        <f ca="1"/>
        <v>Bad</v>
      </c>
    </row>
    <row r="5049" spans="2:34" x14ac:dyDescent="0.2">
      <c r="B5049" s="2">
        <f ca="1"/>
        <v>0.11153776249161851</v>
      </c>
      <c r="O5049" s="2">
        <f ca="1"/>
        <v>-1.8157931874026847</v>
      </c>
      <c r="X5049" s="2">
        <f ca="1"/>
        <v>29.564851157652129</v>
      </c>
      <c r="AG5049" s="2">
        <f ca="1"/>
        <v>0.57722016915053764</v>
      </c>
      <c r="AH5049" s="2" t="str">
        <f ca="1"/>
        <v>Bad</v>
      </c>
    </row>
    <row r="5050" spans="2:34" x14ac:dyDescent="0.2">
      <c r="B5050" s="2">
        <f ca="1"/>
        <v>0.1261683690911084</v>
      </c>
      <c r="O5050" s="2">
        <f ca="1"/>
        <v>0.32508083893675438</v>
      </c>
      <c r="X5050" s="2">
        <f ca="1"/>
        <v>48.722751690843005</v>
      </c>
      <c r="AG5050" s="2">
        <f ca="1"/>
        <v>0.18993758016282447</v>
      </c>
      <c r="AH5050" s="2" t="str">
        <f ca="1"/>
        <v>OK</v>
      </c>
    </row>
    <row r="5051" spans="2:34" x14ac:dyDescent="0.2">
      <c r="B5051" s="2">
        <f ca="1"/>
        <v>0.64970253078450124</v>
      </c>
      <c r="O5051" s="2">
        <f ca="1"/>
        <v>-1.4101119039181311</v>
      </c>
      <c r="X5051" s="2">
        <f ca="1"/>
        <v>55.386583826654707</v>
      </c>
      <c r="AG5051" s="2">
        <f ca="1"/>
        <v>0.63627681611611919</v>
      </c>
      <c r="AH5051" s="2" t="str">
        <f ca="1"/>
        <v>Bad</v>
      </c>
    </row>
    <row r="5052" spans="2:34" x14ac:dyDescent="0.2">
      <c r="B5052" s="2">
        <f ca="1"/>
        <v>0.75148529156064736</v>
      </c>
      <c r="O5052" s="2">
        <f ca="1"/>
        <v>0.10978471450524115</v>
      </c>
      <c r="X5052" s="2">
        <f ca="1"/>
        <v>71.743524015232182</v>
      </c>
      <c r="AG5052" s="2">
        <f ca="1"/>
        <v>0.67929674121955608</v>
      </c>
      <c r="AH5052" s="2" t="str">
        <f ca="1"/>
        <v>Bad</v>
      </c>
    </row>
    <row r="5053" spans="2:34" x14ac:dyDescent="0.2">
      <c r="B5053" s="2">
        <f ca="1"/>
        <v>0.1757020986841078</v>
      </c>
      <c r="O5053" s="2">
        <f ca="1"/>
        <v>0.61302631279670516</v>
      </c>
      <c r="X5053" s="2">
        <f ca="1"/>
        <v>59.357900325637381</v>
      </c>
      <c r="AG5053" s="2">
        <f ca="1"/>
        <v>0.28764732293242679</v>
      </c>
      <c r="AH5053" s="2" t="str">
        <f ca="1"/>
        <v>OK</v>
      </c>
    </row>
    <row r="5054" spans="2:34" x14ac:dyDescent="0.2">
      <c r="B5054" s="2">
        <f ca="1"/>
        <v>0.34854847441478576</v>
      </c>
      <c r="O5054" s="2">
        <f ca="1"/>
        <v>-3.2846053950155295E-2</v>
      </c>
      <c r="X5054" s="2">
        <f ca="1"/>
        <v>54.526132902775075</v>
      </c>
      <c r="AG5054" s="2">
        <f ca="1"/>
        <v>0.26055911048804248</v>
      </c>
      <c r="AH5054" s="2" t="str">
        <f ca="1"/>
        <v>OK</v>
      </c>
    </row>
    <row r="5055" spans="2:34" x14ac:dyDescent="0.2">
      <c r="B5055" s="2">
        <f ca="1"/>
        <v>0.3751021116988893</v>
      </c>
      <c r="O5055" s="2">
        <f ca="1"/>
        <v>0.82894354286698546</v>
      </c>
      <c r="X5055" s="2">
        <f ca="1"/>
        <v>28.674922366591979</v>
      </c>
      <c r="AG5055" s="2">
        <f ca="1"/>
        <v>0.85044229714991548</v>
      </c>
      <c r="AH5055" s="2" t="str">
        <f ca="1"/>
        <v>Bad</v>
      </c>
    </row>
    <row r="5056" spans="2:34" x14ac:dyDescent="0.2">
      <c r="B5056" s="2">
        <f ca="1"/>
        <v>0.19477099539504517</v>
      </c>
      <c r="O5056" s="2">
        <f ca="1"/>
        <v>-0.21206458549834084</v>
      </c>
      <c r="X5056" s="2">
        <f ca="1"/>
        <v>33.72898938730026</v>
      </c>
      <c r="AG5056" s="2">
        <f ca="1"/>
        <v>0.72906573496603788</v>
      </c>
      <c r="AH5056" s="2" t="str">
        <f ca="1"/>
        <v>Bad</v>
      </c>
    </row>
    <row r="5057" spans="2:34" x14ac:dyDescent="0.2">
      <c r="B5057" s="2">
        <f ca="1"/>
        <v>0.44070025729823636</v>
      </c>
      <c r="O5057" s="2">
        <f ca="1"/>
        <v>-0.26562418584996972</v>
      </c>
      <c r="X5057" s="2">
        <f ca="1"/>
        <v>64.479970915156485</v>
      </c>
      <c r="AG5057" s="2">
        <f ca="1"/>
        <v>0.24375001815676667</v>
      </c>
      <c r="AH5057" s="2" t="str">
        <f ca="1"/>
        <v>OK</v>
      </c>
    </row>
    <row r="5058" spans="2:34" x14ac:dyDescent="0.2">
      <c r="B5058" s="2">
        <f ca="1"/>
        <v>0.80960689774871675</v>
      </c>
      <c r="O5058" s="2">
        <f ca="1"/>
        <v>1.5515315836327945</v>
      </c>
      <c r="X5058" s="2">
        <f ca="1"/>
        <v>69.938100986441697</v>
      </c>
      <c r="AG5058" s="2">
        <f ca="1"/>
        <v>0.54481700494207486</v>
      </c>
      <c r="AH5058" s="2" t="str">
        <f ca="1"/>
        <v>Bad</v>
      </c>
    </row>
    <row r="5059" spans="2:34" x14ac:dyDescent="0.2">
      <c r="B5059" s="2">
        <f ca="1"/>
        <v>0.20973821817953087</v>
      </c>
      <c r="O5059" s="2">
        <f ca="1"/>
        <v>-1.7546390596847281</v>
      </c>
      <c r="X5059" s="2">
        <f ca="1"/>
        <v>33.40402482566207</v>
      </c>
      <c r="AG5059" s="2">
        <f ca="1"/>
        <v>0.58761376492841388</v>
      </c>
      <c r="AH5059" s="2" t="str">
        <f ca="1"/>
        <v>Bad</v>
      </c>
    </row>
    <row r="5060" spans="2:34" x14ac:dyDescent="0.2">
      <c r="B5060" s="2">
        <f ca="1"/>
        <v>0.93697956869944998</v>
      </c>
      <c r="O5060" s="2">
        <f ca="1"/>
        <v>0.54211670725350991</v>
      </c>
      <c r="X5060" s="2">
        <f ca="1"/>
        <v>52.506760008933824</v>
      </c>
      <c r="AG5060" s="2">
        <f ca="1"/>
        <v>0.45070270100805709</v>
      </c>
      <c r="AH5060" s="2" t="str">
        <f ca="1"/>
        <v>Bad</v>
      </c>
    </row>
    <row r="5061" spans="2:34" x14ac:dyDescent="0.2">
      <c r="B5061" s="2">
        <f ca="1"/>
        <v>0.48985156925646778</v>
      </c>
      <c r="O5061" s="2">
        <f ca="1"/>
        <v>-1.252728288136439</v>
      </c>
      <c r="X5061" s="2">
        <f ca="1"/>
        <v>40.139095640264912</v>
      </c>
      <c r="AG5061" s="2">
        <f ca="1"/>
        <v>0.19060672246861299</v>
      </c>
      <c r="AH5061" s="2" t="str">
        <f ca="1"/>
        <v>OK</v>
      </c>
    </row>
    <row r="5062" spans="2:34" x14ac:dyDescent="0.2">
      <c r="B5062" s="2">
        <f ca="1"/>
        <v>0.40477306469977803</v>
      </c>
      <c r="O5062" s="2">
        <f ca="1"/>
        <v>0.39409599628679998</v>
      </c>
      <c r="X5062" s="2">
        <f ca="1"/>
        <v>58.97911816687639</v>
      </c>
      <c r="AG5062" s="2">
        <f ca="1"/>
        <v>0.31837911138182928</v>
      </c>
      <c r="AH5062" s="2" t="str">
        <f ca="1"/>
        <v>OK</v>
      </c>
    </row>
    <row r="5063" spans="2:34" x14ac:dyDescent="0.2">
      <c r="B5063" s="2">
        <f ca="1"/>
        <v>6.5168010382721686E-2</v>
      </c>
      <c r="O5063" s="2">
        <f ca="1"/>
        <v>-0.28766894722527614</v>
      </c>
      <c r="X5063" s="2">
        <f ca="1"/>
        <v>35.521115934038896</v>
      </c>
      <c r="AG5063" s="2">
        <f ca="1"/>
        <v>0.21683140664609413</v>
      </c>
      <c r="AH5063" s="2" t="str">
        <f ca="1"/>
        <v>OK</v>
      </c>
    </row>
    <row r="5064" spans="2:34" x14ac:dyDescent="0.2">
      <c r="B5064" s="2">
        <f ca="1"/>
        <v>0.1130340935180556</v>
      </c>
      <c r="O5064" s="2">
        <f ca="1"/>
        <v>-0.36601680283476273</v>
      </c>
      <c r="X5064" s="2">
        <f ca="1"/>
        <v>62.570529702209264</v>
      </c>
      <c r="AG5064" s="2">
        <f ca="1"/>
        <v>0.578311172218827</v>
      </c>
      <c r="AH5064" s="2" t="str">
        <f ca="1"/>
        <v>Bad</v>
      </c>
    </row>
    <row r="5065" spans="2:34" x14ac:dyDescent="0.2">
      <c r="B5065" s="2">
        <f ca="1"/>
        <v>0.53470556719645534</v>
      </c>
      <c r="O5065" s="2">
        <f ca="1"/>
        <v>-1.2605331273768607</v>
      </c>
      <c r="X5065" s="2">
        <f ca="1"/>
        <v>63.260918655881831</v>
      </c>
      <c r="AG5065" s="2">
        <f ca="1"/>
        <v>0.2534174003282561</v>
      </c>
      <c r="AH5065" s="2" t="str">
        <f ca="1"/>
        <v>OK</v>
      </c>
    </row>
    <row r="5066" spans="2:34" x14ac:dyDescent="0.2">
      <c r="B5066" s="2">
        <f ca="1"/>
        <v>0.75980926992758335</v>
      </c>
      <c r="O5066" s="2">
        <f ca="1"/>
        <v>-0.34514206176231488</v>
      </c>
      <c r="X5066" s="2">
        <f ca="1"/>
        <v>61.36004794157158</v>
      </c>
      <c r="AG5066" s="2">
        <f ca="1"/>
        <v>0.79116906955121302</v>
      </c>
      <c r="AH5066" s="2" t="str">
        <f ca="1"/>
        <v>Bad</v>
      </c>
    </row>
    <row r="5067" spans="2:34" x14ac:dyDescent="0.2">
      <c r="B5067" s="2">
        <f ca="1"/>
        <v>0.49844354334827323</v>
      </c>
      <c r="O5067" s="2">
        <f ca="1"/>
        <v>-0.79972066948976828</v>
      </c>
      <c r="X5067" s="2">
        <f ca="1"/>
        <v>45.115341572284358</v>
      </c>
      <c r="AG5067" s="2">
        <f ca="1"/>
        <v>0.44958495518946906</v>
      </c>
      <c r="AH5067" s="2" t="str">
        <f ca="1"/>
        <v>Bad</v>
      </c>
    </row>
    <row r="5068" spans="2:34" x14ac:dyDescent="0.2">
      <c r="B5068" s="2">
        <f ca="1"/>
        <v>0.71740591978457879</v>
      </c>
      <c r="O5068" s="2">
        <f ca="1"/>
        <v>-0.62705891129038083</v>
      </c>
      <c r="X5068" s="2">
        <f ca="1"/>
        <v>39.927039598052076</v>
      </c>
      <c r="AG5068" s="2">
        <f ca="1"/>
        <v>0.2248287915531022</v>
      </c>
      <c r="AH5068" s="2" t="str">
        <f ca="1"/>
        <v>OK</v>
      </c>
    </row>
    <row r="5069" spans="2:34" x14ac:dyDescent="0.2">
      <c r="B5069" s="2">
        <f ca="1"/>
        <v>0.14358370439693746</v>
      </c>
      <c r="O5069" s="2">
        <f ca="1"/>
        <v>-0.23917776878145264</v>
      </c>
      <c r="X5069" s="2">
        <f ca="1"/>
        <v>46.068125471425638</v>
      </c>
      <c r="AG5069" s="2">
        <f ca="1"/>
        <v>0.87980776222696444</v>
      </c>
      <c r="AH5069" s="2" t="str">
        <f ca="1"/>
        <v>Bad</v>
      </c>
    </row>
    <row r="5070" spans="2:34" x14ac:dyDescent="0.2">
      <c r="B5070" s="2">
        <f ca="1"/>
        <v>0.17097907909346799</v>
      </c>
      <c r="O5070" s="2">
        <f ca="1"/>
        <v>-0.3175669905568555</v>
      </c>
      <c r="X5070" s="2">
        <f ca="1"/>
        <v>60.86900706161618</v>
      </c>
      <c r="AG5070" s="2">
        <f ca="1"/>
        <v>0.12761502310221862</v>
      </c>
      <c r="AH5070" s="2" t="str">
        <f ca="1"/>
        <v>OK</v>
      </c>
    </row>
    <row r="5071" spans="2:34" x14ac:dyDescent="0.2">
      <c r="B5071" s="2">
        <f ca="1"/>
        <v>0.73417606142425007</v>
      </c>
      <c r="O5071" s="2">
        <f ca="1"/>
        <v>1.8803094707441886E-2</v>
      </c>
      <c r="X5071" s="2">
        <f ca="1"/>
        <v>33.672751537599929</v>
      </c>
      <c r="AG5071" s="2">
        <f ca="1"/>
        <v>9.9549177753525786E-2</v>
      </c>
      <c r="AH5071" s="2" t="str">
        <f ca="1"/>
        <v>OK</v>
      </c>
    </row>
    <row r="5072" spans="2:34" x14ac:dyDescent="0.2">
      <c r="B5072" s="2">
        <f ca="1"/>
        <v>0.81232485943196475</v>
      </c>
      <c r="O5072" s="2">
        <f ca="1"/>
        <v>0.77087901721970642</v>
      </c>
      <c r="X5072" s="2">
        <f ca="1"/>
        <v>38.601086018112767</v>
      </c>
      <c r="AG5072" s="2">
        <f ca="1"/>
        <v>0.84260981902583221</v>
      </c>
      <c r="AH5072" s="2" t="str">
        <f ca="1"/>
        <v>Bad</v>
      </c>
    </row>
    <row r="5073" spans="2:34" x14ac:dyDescent="0.2">
      <c r="B5073" s="2">
        <f ca="1"/>
        <v>0.75758210988388153</v>
      </c>
      <c r="O5073" s="2">
        <f ca="1"/>
        <v>0.55304698945670627</v>
      </c>
      <c r="X5073" s="2">
        <f ca="1"/>
        <v>28.93642374167122</v>
      </c>
      <c r="AG5073" s="2">
        <f ca="1"/>
        <v>0.60215263760031545</v>
      </c>
      <c r="AH5073" s="2" t="str">
        <f ca="1"/>
        <v>Bad</v>
      </c>
    </row>
    <row r="5074" spans="2:34" x14ac:dyDescent="0.2">
      <c r="B5074" s="2">
        <f ca="1"/>
        <v>0.65390782562031391</v>
      </c>
      <c r="O5074" s="2">
        <f ca="1"/>
        <v>-2.6760826587153681E-2</v>
      </c>
      <c r="X5074" s="2">
        <f ca="1"/>
        <v>29.353814210349974</v>
      </c>
      <c r="AG5074" s="2">
        <f ca="1"/>
        <v>0.15764662847094035</v>
      </c>
      <c r="AH5074" s="2" t="str">
        <f ca="1"/>
        <v>OK</v>
      </c>
    </row>
    <row r="5075" spans="2:34" x14ac:dyDescent="0.2">
      <c r="B5075" s="2">
        <f ca="1"/>
        <v>0.29084853584420234</v>
      </c>
      <c r="O5075" s="2">
        <f ca="1"/>
        <v>-0.57584046368770336</v>
      </c>
      <c r="X5075" s="2">
        <f ca="1"/>
        <v>34.754232899777534</v>
      </c>
      <c r="AG5075" s="2">
        <f ca="1"/>
        <v>0.83678700064134715</v>
      </c>
      <c r="AH5075" s="2" t="str">
        <f ca="1"/>
        <v>Bad</v>
      </c>
    </row>
    <row r="5076" spans="2:34" x14ac:dyDescent="0.2">
      <c r="B5076" s="2">
        <f ca="1"/>
        <v>0.58957505690013012</v>
      </c>
      <c r="O5076" s="2">
        <f ca="1"/>
        <v>0.15558550098513188</v>
      </c>
      <c r="X5076" s="2">
        <f ca="1"/>
        <v>53.166241426930185</v>
      </c>
      <c r="AG5076" s="2">
        <f ca="1"/>
        <v>0.14977725111628759</v>
      </c>
      <c r="AH5076" s="2" t="str">
        <f ca="1"/>
        <v>OK</v>
      </c>
    </row>
    <row r="5077" spans="2:34" x14ac:dyDescent="0.2">
      <c r="B5077" s="2">
        <f ca="1"/>
        <v>1.1957984483912165E-2</v>
      </c>
      <c r="O5077" s="2">
        <f ca="1"/>
        <v>1.2607181129951213</v>
      </c>
      <c r="X5077" s="2">
        <f ca="1"/>
        <v>19.889572186977141</v>
      </c>
      <c r="AG5077" s="2">
        <f ca="1"/>
        <v>0.48117173604549524</v>
      </c>
      <c r="AH5077" s="2" t="str">
        <f ca="1"/>
        <v>Bad</v>
      </c>
    </row>
    <row r="5078" spans="2:34" x14ac:dyDescent="0.2">
      <c r="B5078" s="2">
        <f ca="1"/>
        <v>0.24635104886893644</v>
      </c>
      <c r="O5078" s="2">
        <f ca="1"/>
        <v>-2.0367350049136062</v>
      </c>
      <c r="X5078" s="2">
        <f ca="1"/>
        <v>41.246295968330429</v>
      </c>
      <c r="AG5078" s="2">
        <f ca="1"/>
        <v>0.79502141763760537</v>
      </c>
      <c r="AH5078" s="2" t="str">
        <f ca="1"/>
        <v>Bad</v>
      </c>
    </row>
    <row r="5079" spans="2:34" x14ac:dyDescent="0.2">
      <c r="B5079" s="2">
        <f ca="1"/>
        <v>0.38740013130128803</v>
      </c>
      <c r="O5079" s="2">
        <f ca="1"/>
        <v>0.29667013913182122</v>
      </c>
      <c r="X5079" s="2">
        <f ca="1"/>
        <v>99.374181710423443</v>
      </c>
      <c r="AG5079" s="2">
        <f ca="1"/>
        <v>0.95431996493140492</v>
      </c>
      <c r="AH5079" s="2" t="str">
        <f ca="1"/>
        <v>Bad</v>
      </c>
    </row>
    <row r="5080" spans="2:34" x14ac:dyDescent="0.2">
      <c r="B5080" s="2">
        <f ca="1"/>
        <v>0.85250390714668134</v>
      </c>
      <c r="O5080" s="2">
        <f ca="1"/>
        <v>0.28674834193136062</v>
      </c>
      <c r="X5080" s="2">
        <f ca="1"/>
        <v>15.409920704890032</v>
      </c>
      <c r="AG5080" s="2">
        <f ca="1"/>
        <v>0.52895347789858382</v>
      </c>
      <c r="AH5080" s="2" t="str">
        <f ca="1"/>
        <v>Bad</v>
      </c>
    </row>
    <row r="5081" spans="2:34" x14ac:dyDescent="0.2">
      <c r="B5081" s="2">
        <f ca="1"/>
        <v>0.10085226405693026</v>
      </c>
      <c r="O5081" s="2">
        <f ca="1"/>
        <v>0.43069005036103469</v>
      </c>
      <c r="X5081" s="2">
        <f ca="1"/>
        <v>74.871727936106709</v>
      </c>
      <c r="AG5081" s="2">
        <f ca="1"/>
        <v>0.81763166446521529</v>
      </c>
      <c r="AH5081" s="2" t="str">
        <f ca="1"/>
        <v>Bad</v>
      </c>
    </row>
    <row r="5082" spans="2:34" x14ac:dyDescent="0.2">
      <c r="B5082" s="2">
        <f ca="1"/>
        <v>0.81286255450859235</v>
      </c>
      <c r="O5082" s="2">
        <f ca="1"/>
        <v>-0.22516963171776205</v>
      </c>
      <c r="X5082" s="2">
        <f ca="1"/>
        <v>81.938816152922783</v>
      </c>
      <c r="AG5082" s="2">
        <f ca="1"/>
        <v>0.90356823541070086</v>
      </c>
      <c r="AH5082" s="2" t="str">
        <f ca="1"/>
        <v>Bad</v>
      </c>
    </row>
    <row r="5083" spans="2:34" x14ac:dyDescent="0.2">
      <c r="B5083" s="2">
        <f ca="1"/>
        <v>0.24882410737607463</v>
      </c>
      <c r="O5083" s="2">
        <f ca="1"/>
        <v>-0.79817583164369854</v>
      </c>
      <c r="X5083" s="2">
        <f ca="1"/>
        <v>72.936934801580151</v>
      </c>
      <c r="AG5083" s="2">
        <f ca="1"/>
        <v>0.67155528748412485</v>
      </c>
      <c r="AH5083" s="2" t="str">
        <f ca="1"/>
        <v>Bad</v>
      </c>
    </row>
    <row r="5084" spans="2:34" x14ac:dyDescent="0.2">
      <c r="B5084" s="2">
        <f ca="1"/>
        <v>0.12764949726045605</v>
      </c>
      <c r="O5084" s="2">
        <f ca="1"/>
        <v>0.28950986095998688</v>
      </c>
      <c r="X5084" s="2">
        <f ca="1"/>
        <v>43.169000548473456</v>
      </c>
      <c r="AG5084" s="2">
        <f ca="1"/>
        <v>0.99105353161421283</v>
      </c>
      <c r="AH5084" s="2" t="str">
        <f ca="1"/>
        <v>Bad</v>
      </c>
    </row>
    <row r="5085" spans="2:34" x14ac:dyDescent="0.2">
      <c r="B5085" s="2">
        <f ca="1"/>
        <v>0.26468388672982579</v>
      </c>
      <c r="O5085" s="2">
        <f ca="1"/>
        <v>1.1479196604417292</v>
      </c>
      <c r="X5085" s="2">
        <f ca="1"/>
        <v>86.09319497632228</v>
      </c>
      <c r="AG5085" s="2">
        <f ca="1"/>
        <v>5.7009645115954521E-2</v>
      </c>
      <c r="AH5085" s="2" t="str">
        <f ca="1"/>
        <v>OK</v>
      </c>
    </row>
    <row r="5086" spans="2:34" x14ac:dyDescent="0.2">
      <c r="B5086" s="2">
        <f ca="1"/>
        <v>0.51134112258288633</v>
      </c>
      <c r="O5086" s="2">
        <f ca="1"/>
        <v>-0.60342410589033968</v>
      </c>
      <c r="X5086" s="2">
        <f ca="1"/>
        <v>37.827653608280592</v>
      </c>
      <c r="AG5086" s="2">
        <f ca="1"/>
        <v>0.60053640145955112</v>
      </c>
      <c r="AH5086" s="2" t="str">
        <f ca="1"/>
        <v>Bad</v>
      </c>
    </row>
    <row r="5087" spans="2:34" x14ac:dyDescent="0.2">
      <c r="B5087" s="2">
        <f ca="1"/>
        <v>0.91029321257302609</v>
      </c>
      <c r="O5087" s="2">
        <f ca="1"/>
        <v>0.1826870541965484</v>
      </c>
      <c r="X5087" s="2">
        <f ca="1"/>
        <v>88.52502290473177</v>
      </c>
      <c r="AG5087" s="2">
        <f ca="1"/>
        <v>0.34260713842020429</v>
      </c>
      <c r="AH5087" s="2" t="str">
        <f ca="1"/>
        <v>OK</v>
      </c>
    </row>
    <row r="5088" spans="2:34" x14ac:dyDescent="0.2">
      <c r="B5088" s="2">
        <f ca="1"/>
        <v>0.5653529854571866</v>
      </c>
      <c r="O5088" s="2">
        <f ca="1"/>
        <v>1.9295126980441109E-2</v>
      </c>
      <c r="X5088" s="2">
        <f ca="1"/>
        <v>61.591899089086191</v>
      </c>
      <c r="AG5088" s="2">
        <f ca="1"/>
        <v>0.90767872702916708</v>
      </c>
      <c r="AH5088" s="2" t="str">
        <f ca="1"/>
        <v>Bad</v>
      </c>
    </row>
    <row r="5089" spans="2:34" x14ac:dyDescent="0.2">
      <c r="B5089" s="2">
        <f ca="1"/>
        <v>0.62435227483889744</v>
      </c>
      <c r="O5089" s="2">
        <f ca="1"/>
        <v>0.23920789651427901</v>
      </c>
      <c r="X5089" s="2">
        <f ca="1"/>
        <v>51.838178843864398</v>
      </c>
      <c r="AG5089" s="2">
        <f ca="1"/>
        <v>0.40227258365390473</v>
      </c>
      <c r="AH5089" s="2" t="str">
        <f ca="1"/>
        <v>Bad</v>
      </c>
    </row>
    <row r="5090" spans="2:34" x14ac:dyDescent="0.2">
      <c r="B5090" s="2">
        <f ca="1"/>
        <v>0.7537793139849196</v>
      </c>
      <c r="O5090" s="2">
        <f ca="1"/>
        <v>1.2771549132489266</v>
      </c>
      <c r="X5090" s="2">
        <f ca="1"/>
        <v>46.876235116997613</v>
      </c>
      <c r="AG5090" s="2">
        <f ca="1"/>
        <v>0.6362364388034889</v>
      </c>
      <c r="AH5090" s="2" t="str">
        <f ca="1"/>
        <v>Bad</v>
      </c>
    </row>
    <row r="5091" spans="2:34" x14ac:dyDescent="0.2">
      <c r="B5091" s="2">
        <f ca="1"/>
        <v>0.82332737111504106</v>
      </c>
      <c r="O5091" s="2">
        <f ca="1"/>
        <v>-1.8798727661326229</v>
      </c>
      <c r="X5091" s="2">
        <f ca="1"/>
        <v>49.099477929823806</v>
      </c>
      <c r="AG5091" s="2">
        <f ca="1"/>
        <v>0.32226623334217974</v>
      </c>
      <c r="AH5091" s="2" t="str">
        <f ca="1"/>
        <v>OK</v>
      </c>
    </row>
    <row r="5092" spans="2:34" x14ac:dyDescent="0.2">
      <c r="B5092" s="2">
        <f ca="1"/>
        <v>0.29512039213450669</v>
      </c>
      <c r="O5092" s="2">
        <f ca="1"/>
        <v>1.3986414376222707</v>
      </c>
      <c r="X5092" s="2">
        <f ca="1"/>
        <v>38.757935102463328</v>
      </c>
      <c r="AG5092" s="2">
        <f ca="1"/>
        <v>0.54618433994953852</v>
      </c>
      <c r="AH5092" s="2" t="str">
        <f ca="1"/>
        <v>Bad</v>
      </c>
    </row>
    <row r="5093" spans="2:34" x14ac:dyDescent="0.2">
      <c r="B5093" s="2">
        <f ca="1"/>
        <v>0.96538300949466049</v>
      </c>
      <c r="O5093" s="2">
        <f ca="1"/>
        <v>0.91385060946792984</v>
      </c>
      <c r="X5093" s="2">
        <f ca="1"/>
        <v>66.956023789608921</v>
      </c>
      <c r="AG5093" s="2">
        <f ca="1"/>
        <v>0.12819235502441129</v>
      </c>
      <c r="AH5093" s="2" t="str">
        <f ca="1"/>
        <v>OK</v>
      </c>
    </row>
    <row r="5094" spans="2:34" x14ac:dyDescent="0.2">
      <c r="B5094" s="2">
        <f ca="1"/>
        <v>3.8764305279544331E-2</v>
      </c>
      <c r="O5094" s="2">
        <f ca="1"/>
        <v>1.5190462920500032</v>
      </c>
      <c r="X5094" s="2">
        <f ca="1"/>
        <v>73.157872107186549</v>
      </c>
      <c r="AG5094" s="2">
        <f ca="1"/>
        <v>0.50820055613261128</v>
      </c>
      <c r="AH5094" s="2" t="str">
        <f ca="1"/>
        <v>Bad</v>
      </c>
    </row>
    <row r="5095" spans="2:34" x14ac:dyDescent="0.2">
      <c r="B5095" s="2">
        <f ca="1"/>
        <v>0.38301756446392421</v>
      </c>
      <c r="O5095" s="2">
        <f ca="1"/>
        <v>0.82502706938009496</v>
      </c>
      <c r="X5095" s="2">
        <f ca="1"/>
        <v>56.791584284948911</v>
      </c>
      <c r="AG5095" s="2">
        <f ca="1"/>
        <v>0.71631841259703832</v>
      </c>
      <c r="AH5095" s="2" t="str">
        <f ca="1"/>
        <v>Bad</v>
      </c>
    </row>
    <row r="5096" spans="2:34" x14ac:dyDescent="0.2">
      <c r="B5096" s="2">
        <f ca="1"/>
        <v>0.95986533590348744</v>
      </c>
      <c r="O5096" s="2">
        <f ca="1"/>
        <v>0.97581674039440969</v>
      </c>
      <c r="X5096" s="2">
        <f ca="1"/>
        <v>36.260045047020149</v>
      </c>
      <c r="AG5096" s="2">
        <f ca="1"/>
        <v>8.3722475225862292E-2</v>
      </c>
      <c r="AH5096" s="2" t="str">
        <f ca="1"/>
        <v>OK</v>
      </c>
    </row>
    <row r="5097" spans="2:34" x14ac:dyDescent="0.2">
      <c r="B5097" s="2">
        <f ca="1"/>
        <v>0.83797328957187212</v>
      </c>
      <c r="O5097" s="2">
        <f ca="1"/>
        <v>1.7778605597305819</v>
      </c>
      <c r="X5097" s="2">
        <f ca="1"/>
        <v>54.365990980423824</v>
      </c>
      <c r="AG5097" s="2">
        <f ca="1"/>
        <v>0.260133871569594</v>
      </c>
      <c r="AH5097" s="2" t="str">
        <f ca="1"/>
        <v>OK</v>
      </c>
    </row>
    <row r="5098" spans="2:34" x14ac:dyDescent="0.2">
      <c r="B5098" s="2">
        <f ca="1"/>
        <v>0.39200472144895326</v>
      </c>
      <c r="O5098" s="2">
        <f ca="1"/>
        <v>0.56033081162174869</v>
      </c>
      <c r="X5098" s="2">
        <f ca="1"/>
        <v>78.984620197524819</v>
      </c>
      <c r="AG5098" s="2">
        <f ca="1"/>
        <v>0.24889410478357199</v>
      </c>
      <c r="AH5098" s="2" t="str">
        <f ca="1"/>
        <v>OK</v>
      </c>
    </row>
    <row r="5099" spans="2:34" x14ac:dyDescent="0.2">
      <c r="B5099" s="2">
        <f ca="1"/>
        <v>0.12291731562993991</v>
      </c>
      <c r="O5099" s="2">
        <f ca="1"/>
        <v>5.1387693212857397E-2</v>
      </c>
      <c r="X5099" s="2">
        <f ca="1"/>
        <v>65.357402425512248</v>
      </c>
      <c r="AG5099" s="2">
        <f ca="1"/>
        <v>9.1698123320304248E-2</v>
      </c>
      <c r="AH5099" s="2" t="str">
        <f ca="1"/>
        <v>OK</v>
      </c>
    </row>
    <row r="5100" spans="2:34" x14ac:dyDescent="0.2">
      <c r="B5100" s="2">
        <f ca="1"/>
        <v>0.42756623405086969</v>
      </c>
      <c r="O5100" s="2">
        <f ca="1"/>
        <v>-0.70092576231758663</v>
      </c>
      <c r="X5100" s="2">
        <f ca="1"/>
        <v>49.712179362867971</v>
      </c>
      <c r="AG5100" s="2">
        <f ca="1"/>
        <v>0.44334043896506148</v>
      </c>
      <c r="AH5100" s="2" t="str">
        <f ca="1"/>
        <v>Bad</v>
      </c>
    </row>
    <row r="5101" spans="2:34" x14ac:dyDescent="0.2">
      <c r="B5101" s="2">
        <f ca="1"/>
        <v>0.57034000339649316</v>
      </c>
      <c r="O5101" s="2">
        <f ca="1"/>
        <v>2.1643611150575177</v>
      </c>
      <c r="X5101" s="2">
        <f ca="1"/>
        <v>35.941605558577692</v>
      </c>
      <c r="AG5101" s="2">
        <f ca="1"/>
        <v>0.10461644286312666</v>
      </c>
      <c r="AH5101" s="2" t="str">
        <f ca="1"/>
        <v>OK</v>
      </c>
    </row>
    <row r="5102" spans="2:34" x14ac:dyDescent="0.2">
      <c r="B5102" s="2">
        <f ca="1"/>
        <v>8.788519422743124E-2</v>
      </c>
      <c r="O5102" s="2">
        <f ca="1"/>
        <v>-0.32084613624758906</v>
      </c>
      <c r="X5102" s="2">
        <f ca="1"/>
        <v>52.394692647832002</v>
      </c>
      <c r="AG5102" s="2">
        <f ca="1"/>
        <v>0.90112019421750311</v>
      </c>
      <c r="AH5102" s="2" t="str">
        <f ca="1"/>
        <v>Bad</v>
      </c>
    </row>
    <row r="5103" spans="2:34" x14ac:dyDescent="0.2">
      <c r="B5103" s="2">
        <f ca="1"/>
        <v>6.9847956067498496E-2</v>
      </c>
      <c r="O5103" s="2">
        <f ca="1"/>
        <v>0.13169363221963118</v>
      </c>
      <c r="X5103" s="2">
        <f ca="1"/>
        <v>66.489711396356981</v>
      </c>
      <c r="AG5103" s="2">
        <f ca="1"/>
        <v>0.20329915125709808</v>
      </c>
      <c r="AH5103" s="2" t="str">
        <f ca="1"/>
        <v>OK</v>
      </c>
    </row>
    <row r="5104" spans="2:34" x14ac:dyDescent="0.2">
      <c r="B5104" s="2">
        <f ca="1"/>
        <v>0.40231563223281719</v>
      </c>
      <c r="O5104" s="2">
        <f ca="1"/>
        <v>-0.10935871247842402</v>
      </c>
      <c r="X5104" s="2">
        <f ca="1"/>
        <v>50.232601797020216</v>
      </c>
      <c r="AG5104" s="2">
        <f ca="1"/>
        <v>0.57944545060106623</v>
      </c>
      <c r="AH5104" s="2" t="str">
        <f ca="1"/>
        <v>Bad</v>
      </c>
    </row>
    <row r="5105" spans="2:34" x14ac:dyDescent="0.2">
      <c r="B5105" s="2">
        <f ca="1"/>
        <v>0.24557453991101807</v>
      </c>
      <c r="O5105" s="2">
        <f ca="1"/>
        <v>0.61341170285409985</v>
      </c>
      <c r="X5105" s="2">
        <f ca="1"/>
        <v>39.423061440875252</v>
      </c>
      <c r="AG5105" s="2">
        <f ca="1"/>
        <v>0.10119581424301916</v>
      </c>
      <c r="AH5105" s="2" t="str">
        <f ca="1"/>
        <v>OK</v>
      </c>
    </row>
    <row r="5106" spans="2:34" x14ac:dyDescent="0.2">
      <c r="B5106" s="2">
        <f ca="1"/>
        <v>0.17954677023373344</v>
      </c>
      <c r="O5106" s="2">
        <f ca="1"/>
        <v>0.34659372323649834</v>
      </c>
      <c r="X5106" s="2">
        <f ca="1"/>
        <v>71.57324675771082</v>
      </c>
      <c r="AG5106" s="2">
        <f ca="1"/>
        <v>0.13697828155699376</v>
      </c>
      <c r="AH5106" s="2" t="str">
        <f ca="1"/>
        <v>OK</v>
      </c>
    </row>
    <row r="5107" spans="2:34" x14ac:dyDescent="0.2">
      <c r="B5107" s="2">
        <f ca="1"/>
        <v>0.82915544300079902</v>
      </c>
      <c r="O5107" s="2">
        <f ca="1"/>
        <v>0.5583592649204282</v>
      </c>
      <c r="X5107" s="2">
        <f ca="1"/>
        <v>74.940266924676507</v>
      </c>
      <c r="AG5107" s="2">
        <f ca="1"/>
        <v>0.52960570057423628</v>
      </c>
      <c r="AH5107" s="2" t="str">
        <f ca="1"/>
        <v>Bad</v>
      </c>
    </row>
    <row r="5108" spans="2:34" x14ac:dyDescent="0.2">
      <c r="B5108" s="2">
        <f ca="1"/>
        <v>0.54281610089387944</v>
      </c>
      <c r="O5108" s="2">
        <f ca="1"/>
        <v>1.1717791782728315</v>
      </c>
      <c r="X5108" s="2">
        <f ca="1"/>
        <v>74.827924576561983</v>
      </c>
      <c r="AG5108" s="2">
        <f ca="1"/>
        <v>1.9382460969863402E-2</v>
      </c>
      <c r="AH5108" s="2" t="str">
        <f ca="1"/>
        <v>Good</v>
      </c>
    </row>
    <row r="5109" spans="2:34" x14ac:dyDescent="0.2">
      <c r="B5109" s="2">
        <f ca="1"/>
        <v>0.32806820964821881</v>
      </c>
      <c r="O5109" s="2">
        <f ca="1"/>
        <v>-1.8575339646958666</v>
      </c>
      <c r="X5109" s="2">
        <f ca="1"/>
        <v>66.467712854600919</v>
      </c>
      <c r="AG5109" s="2">
        <f ca="1"/>
        <v>0.85268937175655934</v>
      </c>
      <c r="AH5109" s="2" t="str">
        <f ca="1"/>
        <v>Bad</v>
      </c>
    </row>
    <row r="5110" spans="2:34" x14ac:dyDescent="0.2">
      <c r="B5110" s="2">
        <f ca="1"/>
        <v>0.83124581858186142</v>
      </c>
      <c r="O5110" s="2">
        <f ca="1"/>
        <v>1.0280064927138377</v>
      </c>
      <c r="X5110" s="2">
        <f ca="1"/>
        <v>37.891191491223609</v>
      </c>
      <c r="AG5110" s="2">
        <f ca="1"/>
        <v>0.91377182805500157</v>
      </c>
      <c r="AH5110" s="2" t="str">
        <f ca="1"/>
        <v>Bad</v>
      </c>
    </row>
    <row r="5111" spans="2:34" x14ac:dyDescent="0.2">
      <c r="B5111" s="2">
        <f ca="1"/>
        <v>0.83065195821941584</v>
      </c>
      <c r="O5111" s="2">
        <f ca="1"/>
        <v>-3.4451100915645481E-2</v>
      </c>
      <c r="X5111" s="2">
        <f ca="1"/>
        <v>32.399153963112198</v>
      </c>
      <c r="AG5111" s="2">
        <f ca="1"/>
        <v>0.26459418787440048</v>
      </c>
      <c r="AH5111" s="2" t="str">
        <f ca="1"/>
        <v>OK</v>
      </c>
    </row>
    <row r="5112" spans="2:34" x14ac:dyDescent="0.2">
      <c r="B5112" s="2">
        <f ca="1"/>
        <v>0.96983433980697331</v>
      </c>
      <c r="O5112" s="2">
        <f ca="1"/>
        <v>0.54157210479441065</v>
      </c>
      <c r="X5112" s="2">
        <f ca="1"/>
        <v>56.244384217723734</v>
      </c>
      <c r="AG5112" s="2">
        <f ca="1"/>
        <v>5.3699276117670447E-2</v>
      </c>
      <c r="AH5112" s="2" t="str">
        <f ca="1"/>
        <v>OK</v>
      </c>
    </row>
    <row r="5113" spans="2:34" x14ac:dyDescent="0.2">
      <c r="B5113" s="2">
        <f ca="1"/>
        <v>0.95898316106909332</v>
      </c>
      <c r="O5113" s="2">
        <f ca="1"/>
        <v>2.4487498417677522</v>
      </c>
      <c r="X5113" s="2">
        <f ca="1"/>
        <v>37.3334697576732</v>
      </c>
      <c r="AG5113" s="2">
        <f ca="1"/>
        <v>0.82028928566350578</v>
      </c>
      <c r="AH5113" s="2" t="str">
        <f ca="1"/>
        <v>Bad</v>
      </c>
    </row>
    <row r="5114" spans="2:34" x14ac:dyDescent="0.2">
      <c r="B5114" s="2">
        <f ca="1"/>
        <v>0.14582123047330153</v>
      </c>
      <c r="O5114" s="2">
        <f ca="1"/>
        <v>-1.9089680020948845</v>
      </c>
      <c r="X5114" s="2">
        <f ca="1"/>
        <v>49.457183457856225</v>
      </c>
      <c r="AG5114" s="2">
        <f ca="1"/>
        <v>8.4698099045947606E-2</v>
      </c>
      <c r="AH5114" s="2" t="str">
        <f ca="1"/>
        <v>OK</v>
      </c>
    </row>
    <row r="5115" spans="2:34" x14ac:dyDescent="0.2">
      <c r="B5115" s="2">
        <f ca="1"/>
        <v>0.3386986031690209</v>
      </c>
      <c r="O5115" s="2">
        <f ca="1"/>
        <v>1.1750046709824795</v>
      </c>
      <c r="X5115" s="2">
        <f ca="1"/>
        <v>54.136169214221908</v>
      </c>
      <c r="AG5115" s="2">
        <f ca="1"/>
        <v>0.13477279678092513</v>
      </c>
      <c r="AH5115" s="2" t="str">
        <f ca="1"/>
        <v>OK</v>
      </c>
    </row>
    <row r="5116" spans="2:34" x14ac:dyDescent="0.2">
      <c r="B5116" s="2">
        <f ca="1"/>
        <v>0.49331123665890786</v>
      </c>
      <c r="O5116" s="2">
        <f ca="1"/>
        <v>-5.4383617073480425E-2</v>
      </c>
      <c r="X5116" s="2">
        <f ca="1"/>
        <v>45.823109418220525</v>
      </c>
      <c r="AG5116" s="2">
        <f ca="1"/>
        <v>0.47018468191933493</v>
      </c>
      <c r="AH5116" s="2" t="str">
        <f ca="1"/>
        <v>Bad</v>
      </c>
    </row>
    <row r="5117" spans="2:34" x14ac:dyDescent="0.2">
      <c r="B5117" s="2">
        <f ca="1"/>
        <v>0.20886186874666834</v>
      </c>
      <c r="O5117" s="2">
        <f ca="1"/>
        <v>0.31181093417634204</v>
      </c>
      <c r="X5117" s="2">
        <f ca="1"/>
        <v>62.018169141237379</v>
      </c>
      <c r="AG5117" s="2">
        <f ca="1"/>
        <v>2.153133467612478E-2</v>
      </c>
      <c r="AH5117" s="2" t="str">
        <f ca="1"/>
        <v>Good</v>
      </c>
    </row>
    <row r="5118" spans="2:34" x14ac:dyDescent="0.2">
      <c r="B5118" s="2">
        <f ca="1"/>
        <v>0.54131765684795541</v>
      </c>
      <c r="O5118" s="2">
        <f ca="1"/>
        <v>-0.98674535930540186</v>
      </c>
      <c r="X5118" s="2">
        <f ca="1"/>
        <v>73.361534225466798</v>
      </c>
      <c r="AG5118" s="2">
        <f ca="1"/>
        <v>0.59085823232987233</v>
      </c>
      <c r="AH5118" s="2" t="str">
        <f ca="1"/>
        <v>Bad</v>
      </c>
    </row>
    <row r="5119" spans="2:34" x14ac:dyDescent="0.2">
      <c r="B5119" s="2">
        <f ca="1"/>
        <v>0.62663416954417595</v>
      </c>
      <c r="O5119" s="2">
        <f ca="1"/>
        <v>0.53610900966541775</v>
      </c>
      <c r="X5119" s="2">
        <f ca="1"/>
        <v>41.912714120485795</v>
      </c>
      <c r="AG5119" s="2">
        <f ca="1"/>
        <v>0.393138698267266</v>
      </c>
      <c r="AH5119" s="2" t="str">
        <f ca="1"/>
        <v>OK</v>
      </c>
    </row>
    <row r="5120" spans="2:34" x14ac:dyDescent="0.2">
      <c r="B5120" s="2">
        <f ca="1"/>
        <v>0.26409896062904026</v>
      </c>
      <c r="O5120" s="2">
        <f ca="1"/>
        <v>-1.3707929044011629</v>
      </c>
      <c r="X5120" s="2">
        <f ca="1"/>
        <v>43.438089057730515</v>
      </c>
      <c r="AG5120" s="2">
        <f ca="1"/>
        <v>0.21689324597789827</v>
      </c>
      <c r="AH5120" s="2" t="str">
        <f ca="1"/>
        <v>OK</v>
      </c>
    </row>
    <row r="5121" spans="2:34" x14ac:dyDescent="0.2">
      <c r="B5121" s="2">
        <f ca="1"/>
        <v>0.85380385055071861</v>
      </c>
      <c r="O5121" s="2">
        <f ca="1"/>
        <v>-0.61727742816556774</v>
      </c>
      <c r="X5121" s="2">
        <f ca="1"/>
        <v>54.930134221821874</v>
      </c>
      <c r="AG5121" s="2">
        <f ca="1"/>
        <v>0.85387691932064458</v>
      </c>
      <c r="AH5121" s="2" t="str">
        <f ca="1"/>
        <v>Bad</v>
      </c>
    </row>
    <row r="5122" spans="2:34" x14ac:dyDescent="0.2">
      <c r="B5122" s="2">
        <f ca="1"/>
        <v>0.32832860716083645</v>
      </c>
      <c r="O5122" s="2">
        <f ca="1"/>
        <v>0.15446055539446038</v>
      </c>
      <c r="X5122" s="2">
        <f ca="1"/>
        <v>63.605038256031335</v>
      </c>
      <c r="AG5122" s="2">
        <f ca="1"/>
        <v>0.98738976624488672</v>
      </c>
      <c r="AH5122" s="2" t="str">
        <f ca="1"/>
        <v>Bad</v>
      </c>
    </row>
    <row r="5123" spans="2:34" x14ac:dyDescent="0.2">
      <c r="B5123" s="2">
        <f ca="1"/>
        <v>0.24027492284223761</v>
      </c>
      <c r="O5123" s="2">
        <f ca="1"/>
        <v>0.2814070548883722</v>
      </c>
      <c r="X5123" s="2">
        <f ca="1"/>
        <v>50.23804406415772</v>
      </c>
      <c r="AG5123" s="2">
        <f ca="1"/>
        <v>0.65411809920243225</v>
      </c>
      <c r="AH5123" s="2" t="str">
        <f ca="1"/>
        <v>Bad</v>
      </c>
    </row>
    <row r="5124" spans="2:34" x14ac:dyDescent="0.2">
      <c r="B5124" s="2">
        <f ca="1"/>
        <v>0.92371716715506458</v>
      </c>
      <c r="O5124" s="2">
        <f ca="1"/>
        <v>0.34887564935484794</v>
      </c>
      <c r="X5124" s="2">
        <f ca="1"/>
        <v>37.731538490319267</v>
      </c>
      <c r="AG5124" s="2">
        <f ca="1"/>
        <v>0.15113724445044419</v>
      </c>
      <c r="AH5124" s="2" t="str">
        <f ca="1"/>
        <v>OK</v>
      </c>
    </row>
    <row r="5125" spans="2:34" x14ac:dyDescent="0.2">
      <c r="B5125" s="2">
        <f ca="1"/>
        <v>0.58969215727458413</v>
      </c>
      <c r="O5125" s="2">
        <f ca="1"/>
        <v>1.0870024956860529</v>
      </c>
      <c r="X5125" s="2">
        <f ca="1"/>
        <v>23.132201408819888</v>
      </c>
      <c r="AG5125" s="2">
        <f ca="1"/>
        <v>0.88712045845046683</v>
      </c>
      <c r="AH5125" s="2" t="str">
        <f ca="1"/>
        <v>Bad</v>
      </c>
    </row>
    <row r="5126" spans="2:34" x14ac:dyDescent="0.2">
      <c r="B5126" s="2">
        <f ca="1"/>
        <v>0.84826274302097926</v>
      </c>
      <c r="O5126" s="2">
        <f ca="1"/>
        <v>-0.69498629219574781</v>
      </c>
      <c r="X5126" s="2">
        <f ca="1"/>
        <v>42.95860003524524</v>
      </c>
      <c r="AG5126" s="2">
        <f ca="1"/>
        <v>0.7008144337242499</v>
      </c>
      <c r="AH5126" s="2" t="str">
        <f ca="1"/>
        <v>Bad</v>
      </c>
    </row>
    <row r="5127" spans="2:34" x14ac:dyDescent="0.2">
      <c r="B5127" s="2">
        <f ca="1"/>
        <v>0.70651286510735201</v>
      </c>
      <c r="O5127" s="2">
        <f ca="1"/>
        <v>-1.7772336114927021</v>
      </c>
      <c r="X5127" s="2">
        <f ca="1"/>
        <v>47.802077701914101</v>
      </c>
      <c r="AG5127" s="2">
        <f ca="1"/>
        <v>0.36568554854003965</v>
      </c>
      <c r="AH5127" s="2" t="str">
        <f ca="1"/>
        <v>OK</v>
      </c>
    </row>
    <row r="5128" spans="2:34" x14ac:dyDescent="0.2">
      <c r="B5128" s="2">
        <f ca="1"/>
        <v>0.76400151972871555</v>
      </c>
      <c r="O5128" s="2">
        <f ca="1"/>
        <v>0.40947772121523174</v>
      </c>
      <c r="X5128" s="2">
        <f ca="1"/>
        <v>38.991452539500337</v>
      </c>
      <c r="AG5128" s="2">
        <f ca="1"/>
        <v>2.104096169508729E-2</v>
      </c>
      <c r="AH5128" s="2" t="str">
        <f ca="1"/>
        <v>Good</v>
      </c>
    </row>
    <row r="5129" spans="2:34" x14ac:dyDescent="0.2">
      <c r="B5129" s="2">
        <f ca="1"/>
        <v>0.23178994643928896</v>
      </c>
      <c r="O5129" s="2">
        <f ca="1"/>
        <v>-0.9133614930607763</v>
      </c>
      <c r="X5129" s="2">
        <f ca="1"/>
        <v>52.848331344847985</v>
      </c>
      <c r="AG5129" s="2">
        <f ca="1"/>
        <v>0.2975587254308405</v>
      </c>
      <c r="AH5129" s="2" t="str">
        <f ca="1"/>
        <v>OK</v>
      </c>
    </row>
    <row r="5130" spans="2:34" x14ac:dyDescent="0.2">
      <c r="B5130" s="2">
        <f ca="1"/>
        <v>0.19260599659990052</v>
      </c>
      <c r="O5130" s="2">
        <f ca="1"/>
        <v>0.74097515792102064</v>
      </c>
      <c r="X5130" s="2">
        <f ca="1"/>
        <v>45.923927545640851</v>
      </c>
      <c r="AG5130" s="2">
        <f ca="1"/>
        <v>0.95466804290760066</v>
      </c>
      <c r="AH5130" s="2" t="str">
        <f ca="1"/>
        <v>Bad</v>
      </c>
    </row>
    <row r="5131" spans="2:34" x14ac:dyDescent="0.2">
      <c r="B5131" s="2">
        <f ca="1"/>
        <v>0.26837666148322459</v>
      </c>
      <c r="O5131" s="2">
        <f ca="1"/>
        <v>-0.96191004614567766</v>
      </c>
      <c r="X5131" s="2">
        <f ca="1"/>
        <v>56.281159469861578</v>
      </c>
      <c r="AG5131" s="2">
        <f ca="1"/>
        <v>0.88806439757374545</v>
      </c>
      <c r="AH5131" s="2" t="str">
        <f ca="1"/>
        <v>Bad</v>
      </c>
    </row>
    <row r="5132" spans="2:34" x14ac:dyDescent="0.2">
      <c r="B5132" s="2">
        <f ca="1"/>
        <v>0.41977449982875448</v>
      </c>
      <c r="O5132" s="2">
        <f ca="1"/>
        <v>-0.90085873424301899</v>
      </c>
      <c r="X5132" s="2">
        <f ca="1"/>
        <v>56.072854202137151</v>
      </c>
      <c r="AG5132" s="2">
        <f ca="1"/>
        <v>0.11544246903787703</v>
      </c>
      <c r="AH5132" s="2" t="str">
        <f ca="1"/>
        <v>OK</v>
      </c>
    </row>
    <row r="5133" spans="2:34" x14ac:dyDescent="0.2">
      <c r="B5133" s="2">
        <f ca="1"/>
        <v>2.2788891891087903E-2</v>
      </c>
      <c r="O5133" s="2">
        <f ca="1"/>
        <v>0.46527510444293563</v>
      </c>
      <c r="X5133" s="2">
        <f ca="1"/>
        <v>71.66744201130426</v>
      </c>
      <c r="AG5133" s="2">
        <f ca="1"/>
        <v>0.23026052243161321</v>
      </c>
      <c r="AH5133" s="2" t="str">
        <f ca="1"/>
        <v>OK</v>
      </c>
    </row>
    <row r="5134" spans="2:34" x14ac:dyDescent="0.2">
      <c r="B5134" s="2">
        <f ca="1"/>
        <v>0.22736327016906643</v>
      </c>
      <c r="O5134" s="2">
        <f ca="1"/>
        <v>-1.0268759701456567E-4</v>
      </c>
      <c r="X5134" s="2">
        <f ca="1"/>
        <v>74.896075776197108</v>
      </c>
      <c r="AG5134" s="2">
        <f ca="1"/>
        <v>0.74808440866448356</v>
      </c>
      <c r="AH5134" s="2" t="str">
        <f ca="1"/>
        <v>Bad</v>
      </c>
    </row>
    <row r="5135" spans="2:34" x14ac:dyDescent="0.2">
      <c r="B5135" s="2">
        <f ca="1"/>
        <v>0.77049873925996692</v>
      </c>
      <c r="O5135" s="2">
        <f ca="1"/>
        <v>1.0011869016506036</v>
      </c>
      <c r="X5135" s="2">
        <f ca="1"/>
        <v>73.279085375905069</v>
      </c>
      <c r="AG5135" s="2">
        <f ca="1"/>
        <v>0.27594292898035144</v>
      </c>
      <c r="AH5135" s="2" t="str">
        <f ca="1"/>
        <v>OK</v>
      </c>
    </row>
    <row r="5136" spans="2:34" x14ac:dyDescent="0.2">
      <c r="B5136" s="2">
        <f ca="1"/>
        <v>0.42687361132982371</v>
      </c>
      <c r="O5136" s="2">
        <f ca="1"/>
        <v>-0.33531720782469104</v>
      </c>
      <c r="X5136" s="2">
        <f ca="1"/>
        <v>48.72980202481601</v>
      </c>
      <c r="AG5136" s="2">
        <f ca="1"/>
        <v>0.66984464382378772</v>
      </c>
      <c r="AH5136" s="2" t="str">
        <f ca="1"/>
        <v>Bad</v>
      </c>
    </row>
    <row r="5137" spans="2:34" x14ac:dyDescent="0.2">
      <c r="B5137" s="2">
        <f ca="1"/>
        <v>0.4443320892524163</v>
      </c>
      <c r="O5137" s="2">
        <f ca="1"/>
        <v>0.67298238403105004</v>
      </c>
      <c r="X5137" s="2">
        <f ca="1"/>
        <v>76.545044850764697</v>
      </c>
      <c r="AG5137" s="2">
        <f ca="1"/>
        <v>0.14098628904729549</v>
      </c>
      <c r="AH5137" s="2" t="str">
        <f ca="1"/>
        <v>OK</v>
      </c>
    </row>
    <row r="5138" spans="2:34" x14ac:dyDescent="0.2">
      <c r="B5138" s="2">
        <f ca="1"/>
        <v>0.44329045114303445</v>
      </c>
      <c r="O5138" s="2">
        <f ca="1"/>
        <v>0.38434545210746679</v>
      </c>
      <c r="X5138" s="2">
        <f ca="1"/>
        <v>56.711855732424972</v>
      </c>
      <c r="AG5138" s="2">
        <f ca="1"/>
        <v>0.25838066043469321</v>
      </c>
      <c r="AH5138" s="2" t="str">
        <f ca="1"/>
        <v>OK</v>
      </c>
    </row>
    <row r="5139" spans="2:34" x14ac:dyDescent="0.2">
      <c r="B5139" s="2">
        <f ca="1"/>
        <v>0.40872541011763097</v>
      </c>
      <c r="O5139" s="2">
        <f ca="1"/>
        <v>-0.73202586317929474</v>
      </c>
      <c r="X5139" s="2">
        <f ca="1"/>
        <v>51.74798502858475</v>
      </c>
      <c r="AG5139" s="2">
        <f ca="1"/>
        <v>0.28399626219015617</v>
      </c>
      <c r="AH5139" s="2" t="str">
        <f ca="1"/>
        <v>OK</v>
      </c>
    </row>
    <row r="5140" spans="2:34" x14ac:dyDescent="0.2">
      <c r="B5140" s="2">
        <f ca="1"/>
        <v>0.4121741870641884</v>
      </c>
      <c r="O5140" s="2">
        <f ca="1"/>
        <v>-1.9528462017107924</v>
      </c>
      <c r="X5140" s="2">
        <f ca="1"/>
        <v>42.987529887051835</v>
      </c>
      <c r="AG5140" s="2">
        <f ca="1"/>
        <v>0.96445169273823939</v>
      </c>
      <c r="AH5140" s="2" t="str">
        <f ca="1"/>
        <v>Bad</v>
      </c>
    </row>
    <row r="5141" spans="2:34" x14ac:dyDescent="0.2">
      <c r="B5141" s="2">
        <f ca="1"/>
        <v>0.55371109406028673</v>
      </c>
      <c r="O5141" s="2">
        <f ca="1"/>
        <v>-1.28271511541345</v>
      </c>
      <c r="X5141" s="2">
        <f ca="1"/>
        <v>61.469589543774262</v>
      </c>
      <c r="AG5141" s="2">
        <f ca="1"/>
        <v>0.29883220980192382</v>
      </c>
      <c r="AH5141" s="2" t="str">
        <f ca="1"/>
        <v>OK</v>
      </c>
    </row>
    <row r="5142" spans="2:34" x14ac:dyDescent="0.2">
      <c r="B5142" s="2">
        <f ca="1"/>
        <v>6.8049279864010215E-2</v>
      </c>
      <c r="O5142" s="2">
        <f ca="1"/>
        <v>1.3081628398749259</v>
      </c>
      <c r="X5142" s="2">
        <f ca="1"/>
        <v>39.491458448867974</v>
      </c>
      <c r="AG5142" s="2">
        <f ca="1"/>
        <v>9.2375179274394537E-2</v>
      </c>
      <c r="AH5142" s="2" t="str">
        <f ca="1"/>
        <v>OK</v>
      </c>
    </row>
    <row r="5143" spans="2:34" x14ac:dyDescent="0.2">
      <c r="B5143" s="2">
        <f ca="1"/>
        <v>0.12342500905876475</v>
      </c>
      <c r="O5143" s="2">
        <f ca="1"/>
        <v>-0.72657551099190909</v>
      </c>
      <c r="X5143" s="2">
        <f ca="1"/>
        <v>42.737884344573942</v>
      </c>
      <c r="AG5143" s="2">
        <f ca="1"/>
        <v>0.8551223174495739</v>
      </c>
      <c r="AH5143" s="2" t="str">
        <f ca="1"/>
        <v>Bad</v>
      </c>
    </row>
    <row r="5144" spans="2:34" x14ac:dyDescent="0.2">
      <c r="B5144" s="2">
        <f ca="1"/>
        <v>0.74233211875243166</v>
      </c>
      <c r="O5144" s="2">
        <f ca="1"/>
        <v>-0.72838884785602398</v>
      </c>
      <c r="X5144" s="2">
        <f ca="1"/>
        <v>52.110534996643452</v>
      </c>
      <c r="AG5144" s="2">
        <f ca="1"/>
        <v>2.6342297295656625E-2</v>
      </c>
      <c r="AH5144" s="2" t="str">
        <f ca="1"/>
        <v>Good</v>
      </c>
    </row>
    <row r="5145" spans="2:34" x14ac:dyDescent="0.2">
      <c r="B5145" s="2">
        <f ca="1"/>
        <v>0.50634400281121739</v>
      </c>
      <c r="O5145" s="2">
        <f ca="1"/>
        <v>-0.34682419543566545</v>
      </c>
      <c r="X5145" s="2">
        <f ca="1"/>
        <v>45.554736254805952</v>
      </c>
      <c r="AG5145" s="2">
        <f ca="1"/>
        <v>0.87286095777145367</v>
      </c>
      <c r="AH5145" s="2" t="str">
        <f ca="1"/>
        <v>Bad</v>
      </c>
    </row>
    <row r="5146" spans="2:34" x14ac:dyDescent="0.2">
      <c r="B5146" s="2">
        <f ca="1"/>
        <v>7.3805155216648544E-2</v>
      </c>
      <c r="O5146" s="2">
        <f ca="1"/>
        <v>-0.66882570814849207</v>
      </c>
      <c r="X5146" s="2">
        <f ca="1"/>
        <v>58.41336787928747</v>
      </c>
      <c r="AG5146" s="2">
        <f ca="1"/>
        <v>4.8301316409367967E-2</v>
      </c>
      <c r="AH5146" s="2" t="str">
        <f ca="1"/>
        <v>Good</v>
      </c>
    </row>
    <row r="5147" spans="2:34" x14ac:dyDescent="0.2">
      <c r="B5147" s="2">
        <f ca="1"/>
        <v>0.54658160995950067</v>
      </c>
      <c r="O5147" s="2">
        <f ca="1"/>
        <v>1.666898250542997</v>
      </c>
      <c r="X5147" s="2">
        <f ca="1"/>
        <v>31.628152760203577</v>
      </c>
      <c r="AG5147" s="2">
        <f ca="1"/>
        <v>0.37868834990366218</v>
      </c>
      <c r="AH5147" s="2" t="str">
        <f ca="1"/>
        <v>OK</v>
      </c>
    </row>
    <row r="5148" spans="2:34" x14ac:dyDescent="0.2">
      <c r="B5148" s="2">
        <f ca="1"/>
        <v>0.46118680114962873</v>
      </c>
      <c r="O5148" s="2">
        <f ca="1"/>
        <v>-0.33581253150158863</v>
      </c>
      <c r="X5148" s="2">
        <f ca="1"/>
        <v>63.737364450386877</v>
      </c>
      <c r="AG5148" s="2">
        <f ca="1"/>
        <v>0.40786642781312743</v>
      </c>
      <c r="AH5148" s="2" t="str">
        <f ca="1"/>
        <v>Bad</v>
      </c>
    </row>
    <row r="5149" spans="2:34" x14ac:dyDescent="0.2">
      <c r="B5149" s="2">
        <f ca="1"/>
        <v>0.32723036211894074</v>
      </c>
      <c r="O5149" s="2">
        <f ca="1"/>
        <v>-1.1368819170026572</v>
      </c>
      <c r="X5149" s="2">
        <f ca="1"/>
        <v>74.327946904700198</v>
      </c>
      <c r="AG5149" s="2">
        <f ca="1"/>
        <v>0.67331899631217151</v>
      </c>
      <c r="AH5149" s="2" t="str">
        <f ca="1"/>
        <v>Bad</v>
      </c>
    </row>
    <row r="5150" spans="2:34" x14ac:dyDescent="0.2">
      <c r="B5150" s="2">
        <f ca="1"/>
        <v>0.79394558611941424</v>
      </c>
      <c r="O5150" s="2">
        <f ca="1"/>
        <v>-0.64106752451166626</v>
      </c>
      <c r="X5150" s="2">
        <f ca="1"/>
        <v>35.394423695126733</v>
      </c>
      <c r="AG5150" s="2">
        <f ca="1"/>
        <v>0.52275839668351876</v>
      </c>
      <c r="AH5150" s="2" t="str">
        <f ca="1"/>
        <v>Bad</v>
      </c>
    </row>
    <row r="5151" spans="2:34" x14ac:dyDescent="0.2">
      <c r="B5151" s="2">
        <f ca="1"/>
        <v>9.9295488410188426E-2</v>
      </c>
      <c r="O5151" s="2">
        <f ca="1"/>
        <v>-0.94592697482358112</v>
      </c>
      <c r="X5151" s="2">
        <f ca="1"/>
        <v>49.153145919077588</v>
      </c>
      <c r="AG5151" s="2">
        <f ca="1"/>
        <v>2.433954113217629E-2</v>
      </c>
      <c r="AH5151" s="2" t="str">
        <f ca="1"/>
        <v>Good</v>
      </c>
    </row>
    <row r="5152" spans="2:34" x14ac:dyDescent="0.2">
      <c r="B5152" s="2">
        <f ca="1"/>
        <v>0.91373476521846997</v>
      </c>
      <c r="O5152" s="2">
        <f ca="1"/>
        <v>-0.4934064362130634</v>
      </c>
      <c r="X5152" s="2">
        <f ca="1"/>
        <v>54.725712379594555</v>
      </c>
      <c r="AG5152" s="2">
        <f ca="1"/>
        <v>0.97708989704882465</v>
      </c>
      <c r="AH5152" s="2" t="str">
        <f ca="1"/>
        <v>Bad</v>
      </c>
    </row>
    <row r="5153" spans="2:34" x14ac:dyDescent="0.2">
      <c r="B5153" s="2">
        <f ca="1"/>
        <v>0.698834064088385</v>
      </c>
      <c r="O5153" s="2">
        <f ca="1"/>
        <v>0.33318024340721059</v>
      </c>
      <c r="X5153" s="2">
        <f ca="1"/>
        <v>23.108041792495516</v>
      </c>
      <c r="AG5153" s="2">
        <f ca="1"/>
        <v>0.7955225784682638</v>
      </c>
      <c r="AH5153" s="2" t="str">
        <f ca="1"/>
        <v>Bad</v>
      </c>
    </row>
    <row r="5154" spans="2:34" x14ac:dyDescent="0.2">
      <c r="B5154" s="2">
        <f ca="1"/>
        <v>0.33888576192632081</v>
      </c>
      <c r="O5154" s="2">
        <f ca="1"/>
        <v>-1.6136932064321172</v>
      </c>
      <c r="X5154" s="2">
        <f ca="1"/>
        <v>31.7052999722791</v>
      </c>
      <c r="AG5154" s="2">
        <f ca="1"/>
        <v>0.57722827614420824</v>
      </c>
      <c r="AH5154" s="2" t="str">
        <f ca="1"/>
        <v>Bad</v>
      </c>
    </row>
    <row r="5155" spans="2:34" x14ac:dyDescent="0.2">
      <c r="B5155" s="2">
        <f ca="1"/>
        <v>0.74305495813239331</v>
      </c>
      <c r="O5155" s="2">
        <f ca="1"/>
        <v>0.82740056119196403</v>
      </c>
      <c r="X5155" s="2">
        <f ca="1"/>
        <v>59.690203067178359</v>
      </c>
      <c r="AG5155" s="2">
        <f ca="1"/>
        <v>0.10375120113912772</v>
      </c>
      <c r="AH5155" s="2" t="str">
        <f ca="1"/>
        <v>OK</v>
      </c>
    </row>
    <row r="5156" spans="2:34" x14ac:dyDescent="0.2">
      <c r="B5156" s="2">
        <f ca="1"/>
        <v>0.88238923067159014</v>
      </c>
      <c r="O5156" s="2">
        <f ca="1"/>
        <v>8.7786613847529005E-2</v>
      </c>
      <c r="X5156" s="2">
        <f ca="1"/>
        <v>61.978412641669827</v>
      </c>
      <c r="AG5156" s="2">
        <f ca="1"/>
        <v>0.86755956721760108</v>
      </c>
      <c r="AH5156" s="2" t="str">
        <f ca="1"/>
        <v>Bad</v>
      </c>
    </row>
    <row r="5157" spans="2:34" x14ac:dyDescent="0.2">
      <c r="B5157" s="2">
        <f ca="1"/>
        <v>0.84373951442583328</v>
      </c>
      <c r="O5157" s="2">
        <f ca="1"/>
        <v>2.5114988582234741</v>
      </c>
      <c r="X5157" s="2">
        <f ca="1"/>
        <v>55.057340363579414</v>
      </c>
      <c r="AG5157" s="2">
        <f ca="1"/>
        <v>0.59971806999826982</v>
      </c>
      <c r="AH5157" s="2" t="str">
        <f ca="1"/>
        <v>Bad</v>
      </c>
    </row>
    <row r="5158" spans="2:34" x14ac:dyDescent="0.2">
      <c r="B5158" s="2">
        <f ca="1"/>
        <v>6.4356736241708568E-3</v>
      </c>
      <c r="O5158" s="2">
        <f ca="1"/>
        <v>0.14223917257710361</v>
      </c>
      <c r="X5158" s="2">
        <f ca="1"/>
        <v>28.275438444625323</v>
      </c>
      <c r="AG5158" s="2">
        <f ca="1"/>
        <v>7.101553853480036E-2</v>
      </c>
      <c r="AH5158" s="2" t="str">
        <f ca="1"/>
        <v>OK</v>
      </c>
    </row>
    <row r="5159" spans="2:34" x14ac:dyDescent="0.2">
      <c r="B5159" s="2">
        <f ca="1"/>
        <v>0.68159942155341535</v>
      </c>
      <c r="O5159" s="2">
        <f ca="1"/>
        <v>0.37187500714993915</v>
      </c>
      <c r="X5159" s="2">
        <f ca="1"/>
        <v>33.477908732015145</v>
      </c>
      <c r="AG5159" s="2">
        <f ca="1"/>
        <v>0.19317062976084154</v>
      </c>
      <c r="AH5159" s="2" t="str">
        <f ca="1"/>
        <v>OK</v>
      </c>
    </row>
    <row r="5160" spans="2:34" x14ac:dyDescent="0.2">
      <c r="B5160" s="2">
        <f ca="1"/>
        <v>0.29981345990445796</v>
      </c>
      <c r="O5160" s="2">
        <f ca="1"/>
        <v>-1.9439101306646021</v>
      </c>
      <c r="X5160" s="2">
        <f ca="1"/>
        <v>54.178572465937577</v>
      </c>
      <c r="AG5160" s="2">
        <f ca="1"/>
        <v>0.95113389599517872</v>
      </c>
      <c r="AH5160" s="2" t="str">
        <f ca="1"/>
        <v>Bad</v>
      </c>
    </row>
    <row r="5161" spans="2:34" x14ac:dyDescent="0.2">
      <c r="B5161" s="2">
        <f ca="1"/>
        <v>0.59300024531161699</v>
      </c>
      <c r="O5161" s="2">
        <f ca="1"/>
        <v>-1.3039134885366397</v>
      </c>
      <c r="X5161" s="2">
        <f ca="1"/>
        <v>63.644404822224743</v>
      </c>
      <c r="AG5161" s="2">
        <f ca="1"/>
        <v>0.43562737982291222</v>
      </c>
      <c r="AH5161" s="2" t="str">
        <f ca="1"/>
        <v>Bad</v>
      </c>
    </row>
    <row r="5162" spans="2:34" x14ac:dyDescent="0.2">
      <c r="B5162" s="2">
        <f ca="1"/>
        <v>0.74729911822297557</v>
      </c>
      <c r="O5162" s="2">
        <f ca="1"/>
        <v>-2.3801813455052723</v>
      </c>
      <c r="X5162" s="2">
        <f ca="1"/>
        <v>57.61507425227925</v>
      </c>
      <c r="AG5162" s="2">
        <f ca="1"/>
        <v>0.4418283394756739</v>
      </c>
      <c r="AH5162" s="2" t="str">
        <f ca="1"/>
        <v>Bad</v>
      </c>
    </row>
    <row r="5163" spans="2:34" x14ac:dyDescent="0.2">
      <c r="B5163" s="2">
        <f ca="1"/>
        <v>6.291918323613177E-2</v>
      </c>
      <c r="O5163" s="2">
        <f ca="1"/>
        <v>0.32249108447155189</v>
      </c>
      <c r="X5163" s="2">
        <f ca="1"/>
        <v>58.670202499065269</v>
      </c>
      <c r="AG5163" s="2">
        <f ca="1"/>
        <v>7.8297809703351762E-2</v>
      </c>
      <c r="AH5163" s="2" t="str">
        <f ca="1"/>
        <v>OK</v>
      </c>
    </row>
    <row r="5164" spans="2:34" x14ac:dyDescent="0.2">
      <c r="B5164" s="2">
        <f ca="1"/>
        <v>0.51823934556628792</v>
      </c>
      <c r="O5164" s="2">
        <f ca="1"/>
        <v>0.49276062706455914</v>
      </c>
      <c r="X5164" s="2">
        <f ca="1"/>
        <v>28.299836481782332</v>
      </c>
      <c r="AG5164" s="2">
        <f ca="1"/>
        <v>0.64998431310131455</v>
      </c>
      <c r="AH5164" s="2" t="str">
        <f ca="1"/>
        <v>Bad</v>
      </c>
    </row>
    <row r="5165" spans="2:34" x14ac:dyDescent="0.2">
      <c r="B5165" s="2">
        <f ca="1"/>
        <v>0.39113824006998898</v>
      </c>
      <c r="O5165" s="2">
        <f ca="1"/>
        <v>-0.5782302285445885</v>
      </c>
      <c r="X5165" s="2">
        <f ca="1"/>
        <v>48.710328996671642</v>
      </c>
      <c r="AG5165" s="2">
        <f ca="1"/>
        <v>0.58215680992668828</v>
      </c>
      <c r="AH5165" s="2" t="str">
        <f ca="1"/>
        <v>Bad</v>
      </c>
    </row>
    <row r="5166" spans="2:34" x14ac:dyDescent="0.2">
      <c r="B5166" s="2">
        <f ca="1"/>
        <v>0.17640599006844648</v>
      </c>
      <c r="O5166" s="2">
        <f ca="1"/>
        <v>-0.89950437297288199</v>
      </c>
      <c r="X5166" s="2">
        <f ca="1"/>
        <v>65.036009135664116</v>
      </c>
      <c r="AG5166" s="2">
        <f ca="1"/>
        <v>0.20964267177029816</v>
      </c>
      <c r="AH5166" s="2" t="str">
        <f ca="1"/>
        <v>OK</v>
      </c>
    </row>
    <row r="5167" spans="2:34" x14ac:dyDescent="0.2">
      <c r="B5167" s="2">
        <f ca="1"/>
        <v>0.3539356589481002</v>
      </c>
      <c r="O5167" s="2">
        <f ca="1"/>
        <v>0.93988180143217914</v>
      </c>
      <c r="X5167" s="2">
        <f ca="1"/>
        <v>24.36624535969537</v>
      </c>
      <c r="AG5167" s="2">
        <f ca="1"/>
        <v>0.52599343705085366</v>
      </c>
      <c r="AH5167" s="2" t="str">
        <f ca="1"/>
        <v>Bad</v>
      </c>
    </row>
    <row r="5168" spans="2:34" x14ac:dyDescent="0.2">
      <c r="B5168" s="2">
        <f ca="1"/>
        <v>0.2227182611580627</v>
      </c>
      <c r="O5168" s="2">
        <f ca="1"/>
        <v>-0.68825349863667851</v>
      </c>
      <c r="X5168" s="2">
        <f ca="1"/>
        <v>52.803725137747357</v>
      </c>
      <c r="AG5168" s="2">
        <f ca="1"/>
        <v>0.43602634877902102</v>
      </c>
      <c r="AH5168" s="2" t="str">
        <f ca="1"/>
        <v>Bad</v>
      </c>
    </row>
    <row r="5169" spans="2:34" x14ac:dyDescent="0.2">
      <c r="B5169" s="2">
        <f ca="1"/>
        <v>0.87287580917968555</v>
      </c>
      <c r="O5169" s="2">
        <f ca="1"/>
        <v>-0.7065093920593023</v>
      </c>
      <c r="X5169" s="2">
        <f ca="1"/>
        <v>65.377824900970552</v>
      </c>
      <c r="AG5169" s="2">
        <f ca="1"/>
        <v>0.71459298445074171</v>
      </c>
      <c r="AH5169" s="2" t="str">
        <f ca="1"/>
        <v>Bad</v>
      </c>
    </row>
    <row r="5170" spans="2:34" x14ac:dyDescent="0.2">
      <c r="B5170" s="2">
        <f ca="1"/>
        <v>0.55285392807335176</v>
      </c>
      <c r="O5170" s="2">
        <f ca="1"/>
        <v>0.19151166945746548</v>
      </c>
      <c r="X5170" s="2">
        <f ca="1"/>
        <v>57.609983096455423</v>
      </c>
      <c r="AG5170" s="2">
        <f ca="1"/>
        <v>0.93517592919849957</v>
      </c>
      <c r="AH5170" s="2" t="str">
        <f ca="1"/>
        <v>Bad</v>
      </c>
    </row>
    <row r="5171" spans="2:34" x14ac:dyDescent="0.2">
      <c r="B5171" s="2">
        <f ca="1"/>
        <v>0.61340444729715227</v>
      </c>
      <c r="O5171" s="2">
        <f ca="1"/>
        <v>0.57840518572120614</v>
      </c>
      <c r="X5171" s="2">
        <f ca="1"/>
        <v>35.530878345772393</v>
      </c>
      <c r="AG5171" s="2">
        <f ca="1"/>
        <v>0.75552121910178971</v>
      </c>
      <c r="AH5171" s="2" t="str">
        <f ca="1"/>
        <v>Bad</v>
      </c>
    </row>
    <row r="5172" spans="2:34" x14ac:dyDescent="0.2">
      <c r="B5172" s="2">
        <f ca="1"/>
        <v>0.7701966099259705</v>
      </c>
      <c r="O5172" s="2">
        <f ca="1"/>
        <v>1.2553443858844404</v>
      </c>
      <c r="X5172" s="2">
        <f ca="1"/>
        <v>75.462532715143865</v>
      </c>
      <c r="AG5172" s="2">
        <f ca="1"/>
        <v>0.68431447632120124</v>
      </c>
      <c r="AH5172" s="2" t="str">
        <f ca="1"/>
        <v>Bad</v>
      </c>
    </row>
    <row r="5173" spans="2:34" x14ac:dyDescent="0.2">
      <c r="B5173" s="2">
        <f ca="1"/>
        <v>0.11604775058333039</v>
      </c>
      <c r="O5173" s="2">
        <f ca="1"/>
        <v>-0.62696338124071505</v>
      </c>
      <c r="X5173" s="2">
        <f ca="1"/>
        <v>35.539903320127216</v>
      </c>
      <c r="AG5173" s="2">
        <f ca="1"/>
        <v>0.39386541530366115</v>
      </c>
      <c r="AH5173" s="2" t="str">
        <f ca="1"/>
        <v>OK</v>
      </c>
    </row>
    <row r="5174" spans="2:34" x14ac:dyDescent="0.2">
      <c r="B5174" s="2">
        <f ca="1"/>
        <v>0.56565938412246153</v>
      </c>
      <c r="O5174" s="2">
        <f ca="1"/>
        <v>1.0480349756208254</v>
      </c>
      <c r="X5174" s="2">
        <f ca="1"/>
        <v>54.337457497670528</v>
      </c>
      <c r="AG5174" s="2">
        <f ca="1"/>
        <v>0.82157630152131667</v>
      </c>
      <c r="AH5174" s="2" t="str">
        <f ca="1"/>
        <v>Bad</v>
      </c>
    </row>
    <row r="5175" spans="2:34" x14ac:dyDescent="0.2">
      <c r="B5175" s="2">
        <f ca="1"/>
        <v>0.15982730137227552</v>
      </c>
      <c r="O5175" s="2">
        <f ca="1"/>
        <v>-0.34476647644504194</v>
      </c>
      <c r="X5175" s="2">
        <f ca="1"/>
        <v>65.988991889586572</v>
      </c>
      <c r="AG5175" s="2">
        <f ca="1"/>
        <v>0.91937710873731548</v>
      </c>
      <c r="AH5175" s="2" t="str">
        <f ca="1"/>
        <v>Bad</v>
      </c>
    </row>
    <row r="5176" spans="2:34" x14ac:dyDescent="0.2">
      <c r="B5176" s="2">
        <f ca="1"/>
        <v>0.60194542175436094</v>
      </c>
      <c r="O5176" s="2">
        <f ca="1"/>
        <v>1.0799299360955521</v>
      </c>
      <c r="X5176" s="2">
        <f ca="1"/>
        <v>34.71971940026534</v>
      </c>
      <c r="AG5176" s="2">
        <f ca="1"/>
        <v>0.88497789888331746</v>
      </c>
      <c r="AH5176" s="2" t="str">
        <f ca="1"/>
        <v>Bad</v>
      </c>
    </row>
    <row r="5177" spans="2:34" x14ac:dyDescent="0.2">
      <c r="B5177" s="2">
        <f ca="1"/>
        <v>0.48599119742296581</v>
      </c>
      <c r="O5177" s="2">
        <f ca="1"/>
        <v>-1.7289712019116588</v>
      </c>
      <c r="X5177" s="2">
        <f ca="1"/>
        <v>42.754427166774185</v>
      </c>
      <c r="AG5177" s="2">
        <f ca="1"/>
        <v>0.8845404419054399</v>
      </c>
      <c r="AH5177" s="2" t="str">
        <f ca="1"/>
        <v>Bad</v>
      </c>
    </row>
    <row r="5178" spans="2:34" x14ac:dyDescent="0.2">
      <c r="B5178" s="2">
        <f ca="1"/>
        <v>0.66703728981619603</v>
      </c>
      <c r="O5178" s="2">
        <f ca="1"/>
        <v>-1.1334824731394286</v>
      </c>
      <c r="X5178" s="2">
        <f ca="1"/>
        <v>41.103964895696961</v>
      </c>
      <c r="AG5178" s="2">
        <f ca="1"/>
        <v>0.31430215774669357</v>
      </c>
      <c r="AH5178" s="2" t="str">
        <f ca="1"/>
        <v>OK</v>
      </c>
    </row>
    <row r="5179" spans="2:34" x14ac:dyDescent="0.2">
      <c r="B5179" s="2">
        <f ca="1"/>
        <v>0.86919998449090374</v>
      </c>
      <c r="O5179" s="2">
        <f ca="1"/>
        <v>-1.2701094948142466</v>
      </c>
      <c r="X5179" s="2">
        <f ca="1"/>
        <v>66.506025832756364</v>
      </c>
      <c r="AG5179" s="2">
        <f ca="1"/>
        <v>0.81283309756736388</v>
      </c>
      <c r="AH5179" s="2" t="str">
        <f ca="1"/>
        <v>Bad</v>
      </c>
    </row>
    <row r="5180" spans="2:34" x14ac:dyDescent="0.2">
      <c r="B5180" s="2">
        <f ca="1"/>
        <v>0.93557259316422603</v>
      </c>
      <c r="O5180" s="2">
        <f ca="1"/>
        <v>-0.72196640122966349</v>
      </c>
      <c r="X5180" s="2">
        <f ca="1"/>
        <v>54.534970164267136</v>
      </c>
      <c r="AG5180" s="2">
        <f ca="1"/>
        <v>0.98260964665611628</v>
      </c>
      <c r="AH5180" s="2" t="str">
        <f ca="1"/>
        <v>Bad</v>
      </c>
    </row>
    <row r="5181" spans="2:34" x14ac:dyDescent="0.2">
      <c r="B5181" s="2">
        <f ca="1"/>
        <v>0.90304805536924282</v>
      </c>
      <c r="O5181" s="2">
        <f ca="1"/>
        <v>-5.2422882340195259E-4</v>
      </c>
      <c r="X5181" s="2">
        <f ca="1"/>
        <v>76.958746586952046</v>
      </c>
      <c r="AG5181" s="2">
        <f ca="1"/>
        <v>8.9571468574239477E-2</v>
      </c>
      <c r="AH5181" s="2" t="str">
        <f ca="1"/>
        <v>OK</v>
      </c>
    </row>
    <row r="5182" spans="2:34" x14ac:dyDescent="0.2">
      <c r="B5182" s="2">
        <f ca="1"/>
        <v>0.85359548436240895</v>
      </c>
      <c r="O5182" s="2">
        <f ca="1"/>
        <v>-0.77947843224199498</v>
      </c>
      <c r="X5182" s="2">
        <f ca="1"/>
        <v>38.728586868636967</v>
      </c>
      <c r="AG5182" s="2">
        <f ca="1"/>
        <v>0.71984829984612908</v>
      </c>
      <c r="AH5182" s="2" t="str">
        <f ca="1"/>
        <v>Bad</v>
      </c>
    </row>
    <row r="5183" spans="2:34" x14ac:dyDescent="0.2">
      <c r="B5183" s="2">
        <f ca="1"/>
        <v>2.7857948676123678E-2</v>
      </c>
      <c r="O5183" s="2">
        <f ca="1"/>
        <v>1.4866280023104674</v>
      </c>
      <c r="X5183" s="2">
        <f ca="1"/>
        <v>63.92174635013086</v>
      </c>
      <c r="AG5183" s="2">
        <f ca="1"/>
        <v>0.45740515230580936</v>
      </c>
      <c r="AH5183" s="2" t="str">
        <f ca="1"/>
        <v>Bad</v>
      </c>
    </row>
    <row r="5184" spans="2:34" x14ac:dyDescent="0.2">
      <c r="B5184" s="2">
        <f ca="1"/>
        <v>0.47127927656742075</v>
      </c>
      <c r="O5184" s="2">
        <f ca="1"/>
        <v>-0.51408679114523381</v>
      </c>
      <c r="X5184" s="2">
        <f ca="1"/>
        <v>45.201152228947699</v>
      </c>
      <c r="AG5184" s="2">
        <f ca="1"/>
        <v>0.45940354910431824</v>
      </c>
      <c r="AH5184" s="2" t="str">
        <f ca="1"/>
        <v>Bad</v>
      </c>
    </row>
    <row r="5185" spans="2:34" x14ac:dyDescent="0.2">
      <c r="B5185" s="2">
        <f ca="1"/>
        <v>0.70414187711541643</v>
      </c>
      <c r="O5185" s="2">
        <f ca="1"/>
        <v>-0.7001883633363174</v>
      </c>
      <c r="X5185" s="2">
        <f ca="1"/>
        <v>36.386698214970572</v>
      </c>
      <c r="AG5185" s="2">
        <f ca="1"/>
        <v>0.44044735376401212</v>
      </c>
      <c r="AH5185" s="2" t="str">
        <f ca="1"/>
        <v>Bad</v>
      </c>
    </row>
    <row r="5186" spans="2:34" x14ac:dyDescent="0.2">
      <c r="B5186" s="2">
        <f ca="1"/>
        <v>0.43305099808268843</v>
      </c>
      <c r="O5186" s="2">
        <f ca="1"/>
        <v>-0.19610786436131789</v>
      </c>
      <c r="X5186" s="2">
        <f ca="1"/>
        <v>66.138251153252028</v>
      </c>
      <c r="AG5186" s="2">
        <f ca="1"/>
        <v>0.5289107093663814</v>
      </c>
      <c r="AH5186" s="2" t="str">
        <f ca="1"/>
        <v>Bad</v>
      </c>
    </row>
    <row r="5187" spans="2:34" x14ac:dyDescent="0.2">
      <c r="B5187" s="2">
        <f ca="1"/>
        <v>0.90549061154873822</v>
      </c>
      <c r="O5187" s="2">
        <f ca="1"/>
        <v>-1.0707599867756339</v>
      </c>
      <c r="X5187" s="2">
        <f ca="1"/>
        <v>66.636600728814116</v>
      </c>
      <c r="AG5187" s="2">
        <f ca="1"/>
        <v>0.65970026633605339</v>
      </c>
      <c r="AH5187" s="2" t="str">
        <f ca="1"/>
        <v>Bad</v>
      </c>
    </row>
    <row r="5188" spans="2:34" x14ac:dyDescent="0.2">
      <c r="B5188" s="2">
        <f ca="1"/>
        <v>0.63271031516833931</v>
      </c>
      <c r="O5188" s="2">
        <f ca="1"/>
        <v>-1.0908817715666428</v>
      </c>
      <c r="X5188" s="2">
        <f ca="1"/>
        <v>18.958409456660426</v>
      </c>
      <c r="AG5188" s="2">
        <f ca="1"/>
        <v>0.24063508214955331</v>
      </c>
      <c r="AH5188" s="2" t="str">
        <f ca="1"/>
        <v>OK</v>
      </c>
    </row>
    <row r="5189" spans="2:34" x14ac:dyDescent="0.2">
      <c r="B5189" s="2">
        <f ca="1"/>
        <v>0.6118127806433451</v>
      </c>
      <c r="O5189" s="2">
        <f ca="1"/>
        <v>-1.8759572081255558</v>
      </c>
      <c r="X5189" s="2">
        <f ca="1"/>
        <v>30.43767511436684</v>
      </c>
      <c r="AG5189" s="2">
        <f ca="1"/>
        <v>0.65156452256502617</v>
      </c>
      <c r="AH5189" s="2" t="str">
        <f ca="1"/>
        <v>Bad</v>
      </c>
    </row>
    <row r="5190" spans="2:34" x14ac:dyDescent="0.2">
      <c r="B5190" s="2">
        <f ca="1"/>
        <v>0.65705513829357431</v>
      </c>
      <c r="O5190" s="2">
        <f ca="1"/>
        <v>-1.591561152301207</v>
      </c>
      <c r="X5190" s="2">
        <f ca="1"/>
        <v>34.613896713148037</v>
      </c>
      <c r="AG5190" s="2">
        <f ca="1"/>
        <v>0.82716506762158737</v>
      </c>
      <c r="AH5190" s="2" t="str">
        <f ca="1"/>
        <v>Bad</v>
      </c>
    </row>
    <row r="5191" spans="2:34" x14ac:dyDescent="0.2">
      <c r="B5191" s="2">
        <f ca="1"/>
        <v>0.95325776600855727</v>
      </c>
      <c r="O5191" s="2">
        <f ca="1"/>
        <v>-0.69485283426443545</v>
      </c>
      <c r="X5191" s="2">
        <f ca="1"/>
        <v>69.96966433552258</v>
      </c>
      <c r="AG5191" s="2">
        <f ca="1"/>
        <v>0.40479631350206646</v>
      </c>
      <c r="AH5191" s="2" t="str">
        <f ca="1"/>
        <v>Bad</v>
      </c>
    </row>
    <row r="5192" spans="2:34" x14ac:dyDescent="0.2">
      <c r="B5192" s="2">
        <f ca="1"/>
        <v>0.26296880450230775</v>
      </c>
      <c r="O5192" s="2">
        <f ca="1"/>
        <v>-1.4565607998842807E-2</v>
      </c>
      <c r="X5192" s="2">
        <f ca="1"/>
        <v>22.117092055663964</v>
      </c>
      <c r="AG5192" s="2">
        <f ca="1"/>
        <v>0.7166818943728448</v>
      </c>
      <c r="AH5192" s="2" t="str">
        <f ca="1"/>
        <v>Bad</v>
      </c>
    </row>
    <row r="5193" spans="2:34" x14ac:dyDescent="0.2">
      <c r="B5193" s="2">
        <f ca="1"/>
        <v>2.9544643905705437E-2</v>
      </c>
      <c r="O5193" s="2">
        <f ca="1"/>
        <v>-1.6100413342284181E-2</v>
      </c>
      <c r="X5193" s="2">
        <f ca="1"/>
        <v>49.602345077964067</v>
      </c>
      <c r="AG5193" s="2">
        <f ca="1"/>
        <v>8.6125941197166211E-2</v>
      </c>
      <c r="AH5193" s="2" t="str">
        <f ca="1"/>
        <v>OK</v>
      </c>
    </row>
    <row r="5194" spans="2:34" x14ac:dyDescent="0.2">
      <c r="B5194" s="2">
        <f ca="1"/>
        <v>0.20999134705194322</v>
      </c>
      <c r="O5194" s="2">
        <f ca="1"/>
        <v>-1.9679233919378085</v>
      </c>
      <c r="X5194" s="2">
        <f ca="1"/>
        <v>77.425612180494383</v>
      </c>
      <c r="AG5194" s="2">
        <f ca="1"/>
        <v>0.17380733932769732</v>
      </c>
      <c r="AH5194" s="2" t="str">
        <f ca="1"/>
        <v>OK</v>
      </c>
    </row>
    <row r="5195" spans="2:34" x14ac:dyDescent="0.2">
      <c r="B5195" s="2">
        <f ca="1"/>
        <v>0.56625198271578658</v>
      </c>
      <c r="O5195" s="2">
        <f ca="1"/>
        <v>-1.1984215985038367</v>
      </c>
      <c r="X5195" s="2">
        <f ca="1"/>
        <v>60.72896300362725</v>
      </c>
      <c r="AG5195" s="2">
        <f ca="1"/>
        <v>1.6188151281268937E-2</v>
      </c>
      <c r="AH5195" s="2" t="str">
        <f ca="1"/>
        <v>Good</v>
      </c>
    </row>
    <row r="5196" spans="2:34" x14ac:dyDescent="0.2">
      <c r="B5196" s="2">
        <f ca="1"/>
        <v>0.37838394483852067</v>
      </c>
      <c r="O5196" s="2">
        <f ca="1"/>
        <v>-0.82147748786303032</v>
      </c>
      <c r="X5196" s="2">
        <f ca="1"/>
        <v>45.375742439752059</v>
      </c>
      <c r="AG5196" s="2">
        <f ca="1"/>
        <v>0.71290582300624705</v>
      </c>
      <c r="AH5196" s="2" t="str">
        <f ca="1"/>
        <v>Bad</v>
      </c>
    </row>
    <row r="5197" spans="2:34" x14ac:dyDescent="0.2">
      <c r="B5197" s="2">
        <f ca="1"/>
        <v>0.80261878874944337</v>
      </c>
      <c r="O5197" s="2">
        <f ca="1"/>
        <v>1.8225632825059681</v>
      </c>
      <c r="X5197" s="2">
        <f ca="1"/>
        <v>58.79384508917137</v>
      </c>
      <c r="AG5197" s="2">
        <f ca="1"/>
        <v>0.36874446541808625</v>
      </c>
      <c r="AH5197" s="2" t="str">
        <f ca="1"/>
        <v>OK</v>
      </c>
    </row>
    <row r="5198" spans="2:34" x14ac:dyDescent="0.2">
      <c r="B5198" s="2">
        <f ca="1"/>
        <v>0.27478265113626876</v>
      </c>
      <c r="O5198" s="2">
        <f ca="1"/>
        <v>0.54320804494396313</v>
      </c>
      <c r="X5198" s="2">
        <f ca="1"/>
        <v>51.537602098035258</v>
      </c>
      <c r="AG5198" s="2">
        <f ca="1"/>
        <v>0.68777843930532345</v>
      </c>
      <c r="AH5198" s="2" t="str">
        <f ca="1"/>
        <v>Bad</v>
      </c>
    </row>
    <row r="5199" spans="2:34" x14ac:dyDescent="0.2">
      <c r="B5199" s="2">
        <f ca="1"/>
        <v>0.14927567023330557</v>
      </c>
      <c r="O5199" s="2">
        <f ca="1"/>
        <v>0.3237795727064216</v>
      </c>
      <c r="X5199" s="2">
        <f ca="1"/>
        <v>44.546780889568758</v>
      </c>
      <c r="AG5199" s="2">
        <f ca="1"/>
        <v>0.28702901874719822</v>
      </c>
      <c r="AH5199" s="2" t="str">
        <f ca="1"/>
        <v>OK</v>
      </c>
    </row>
    <row r="5200" spans="2:34" x14ac:dyDescent="0.2">
      <c r="B5200" s="2">
        <f ca="1"/>
        <v>0.63911468217598499</v>
      </c>
      <c r="O5200" s="2">
        <f ca="1"/>
        <v>-8.3495556738590951E-2</v>
      </c>
      <c r="X5200" s="2">
        <f ca="1"/>
        <v>63.131719314982313</v>
      </c>
      <c r="AG5200" s="2">
        <f ca="1"/>
        <v>0.76127636190698511</v>
      </c>
      <c r="AH5200" s="2" t="str">
        <f ca="1"/>
        <v>Bad</v>
      </c>
    </row>
    <row r="5201" spans="2:34" x14ac:dyDescent="0.2">
      <c r="B5201" s="2">
        <f ca="1"/>
        <v>0.46962544031496423</v>
      </c>
      <c r="O5201" s="2">
        <f ca="1"/>
        <v>-0.84972843953045174</v>
      </c>
      <c r="X5201" s="2">
        <f ca="1"/>
        <v>26.166721940187049</v>
      </c>
      <c r="AG5201" s="2">
        <f ca="1"/>
        <v>0.20957859501538545</v>
      </c>
      <c r="AH5201" s="2" t="str">
        <f ca="1"/>
        <v>OK</v>
      </c>
    </row>
    <row r="5202" spans="2:34" x14ac:dyDescent="0.2">
      <c r="B5202" s="2">
        <f ca="1"/>
        <v>0.45408828626485831</v>
      </c>
      <c r="O5202" s="2">
        <f ca="1"/>
        <v>-0.43850551714986308</v>
      </c>
      <c r="X5202" s="2">
        <f ca="1"/>
        <v>61.894257957933192</v>
      </c>
      <c r="AG5202" s="2">
        <f ca="1"/>
        <v>0.39360612897765446</v>
      </c>
      <c r="AH5202" s="2" t="str">
        <f ca="1"/>
        <v>OK</v>
      </c>
    </row>
    <row r="5203" spans="2:34" x14ac:dyDescent="0.2">
      <c r="B5203" s="2">
        <f ca="1"/>
        <v>0.91094963110534133</v>
      </c>
      <c r="O5203" s="2">
        <f ca="1"/>
        <v>-1.2174193597158847</v>
      </c>
      <c r="X5203" s="2">
        <f ca="1"/>
        <v>71.913988023979186</v>
      </c>
      <c r="AG5203" s="2">
        <f ca="1"/>
        <v>0.17945376317403561</v>
      </c>
      <c r="AH5203" s="2" t="str">
        <f ca="1"/>
        <v>OK</v>
      </c>
    </row>
    <row r="5204" spans="2:34" x14ac:dyDescent="0.2">
      <c r="B5204" s="2">
        <f ca="1"/>
        <v>0.29765142041907411</v>
      </c>
      <c r="O5204" s="2">
        <f ca="1"/>
        <v>-0.18871207835975948</v>
      </c>
      <c r="X5204" s="2">
        <f ca="1"/>
        <v>60.706511136335159</v>
      </c>
      <c r="AG5204" s="2">
        <f ca="1"/>
        <v>0.16383164585084575</v>
      </c>
      <c r="AH5204" s="2" t="str">
        <f ca="1"/>
        <v>OK</v>
      </c>
    </row>
    <row r="5205" spans="2:34" x14ac:dyDescent="0.2">
      <c r="B5205" s="2">
        <f ca="1"/>
        <v>0.34211106053817075</v>
      </c>
      <c r="O5205" s="2">
        <f ca="1"/>
        <v>-1.5088244915306459</v>
      </c>
      <c r="X5205" s="2">
        <f ca="1"/>
        <v>36.383002794082856</v>
      </c>
      <c r="AG5205" s="2">
        <f ca="1"/>
        <v>0.25358363355083746</v>
      </c>
      <c r="AH5205" s="2" t="str">
        <f ca="1"/>
        <v>OK</v>
      </c>
    </row>
    <row r="5206" spans="2:34" x14ac:dyDescent="0.2">
      <c r="B5206" s="2">
        <f ca="1"/>
        <v>0.30285691639133905</v>
      </c>
      <c r="O5206" s="2">
        <f ca="1"/>
        <v>0.50533212842352271</v>
      </c>
      <c r="X5206" s="2">
        <f ca="1"/>
        <v>38.86932184686777</v>
      </c>
      <c r="AG5206" s="2">
        <f ca="1"/>
        <v>0.59596888768458012</v>
      </c>
      <c r="AH5206" s="2" t="str">
        <f ca="1"/>
        <v>Bad</v>
      </c>
    </row>
    <row r="5207" spans="2:34" x14ac:dyDescent="0.2">
      <c r="B5207" s="2">
        <f ca="1"/>
        <v>4.1480424896196411E-2</v>
      </c>
      <c r="O5207" s="2">
        <f ca="1"/>
        <v>-2.0173470561140325</v>
      </c>
      <c r="X5207" s="2">
        <f ca="1"/>
        <v>93.129115192510284</v>
      </c>
      <c r="AG5207" s="2">
        <f ca="1"/>
        <v>0.56499673164328335</v>
      </c>
      <c r="AH5207" s="2" t="str">
        <f ca="1"/>
        <v>Bad</v>
      </c>
    </row>
    <row r="5208" spans="2:34" x14ac:dyDescent="0.2">
      <c r="B5208" s="2">
        <f ca="1"/>
        <v>0.1493957901846743</v>
      </c>
      <c r="O5208" s="2">
        <f ca="1"/>
        <v>0.53622138853589241</v>
      </c>
      <c r="X5208" s="2">
        <f ca="1"/>
        <v>41.57226733985275</v>
      </c>
      <c r="AG5208" s="2">
        <f ca="1"/>
        <v>0.8812972293054373</v>
      </c>
      <c r="AH5208" s="2" t="str">
        <f ca="1"/>
        <v>Bad</v>
      </c>
    </row>
    <row r="5209" spans="2:34" x14ac:dyDescent="0.2">
      <c r="B5209" s="2">
        <f ca="1"/>
        <v>0.22698531365188979</v>
      </c>
      <c r="O5209" s="2">
        <f ca="1"/>
        <v>0.22771350763753334</v>
      </c>
      <c r="X5209" s="2">
        <f ca="1"/>
        <v>45.333861684908932</v>
      </c>
      <c r="AG5209" s="2">
        <f ca="1"/>
        <v>0.54985208570201327</v>
      </c>
      <c r="AH5209" s="2" t="str">
        <f ca="1"/>
        <v>Bad</v>
      </c>
    </row>
    <row r="5210" spans="2:34" x14ac:dyDescent="0.2">
      <c r="B5210" s="2">
        <f ca="1"/>
        <v>0.36271291693657037</v>
      </c>
      <c r="O5210" s="2">
        <f ca="1"/>
        <v>-1.1585257245627987</v>
      </c>
      <c r="X5210" s="2">
        <f ca="1"/>
        <v>32.026653464527556</v>
      </c>
      <c r="AG5210" s="2">
        <f ca="1"/>
        <v>0.4072929133838572</v>
      </c>
      <c r="AH5210" s="2" t="str">
        <f ca="1"/>
        <v>Bad</v>
      </c>
    </row>
    <row r="5211" spans="2:34" x14ac:dyDescent="0.2">
      <c r="B5211" s="2">
        <f ca="1"/>
        <v>0.71644197232534368</v>
      </c>
      <c r="O5211" s="2">
        <f ca="1"/>
        <v>-1.5418696684990341</v>
      </c>
      <c r="X5211" s="2">
        <f ca="1"/>
        <v>53.821358486460255</v>
      </c>
      <c r="AG5211" s="2">
        <f ca="1"/>
        <v>0.43186192868910056</v>
      </c>
      <c r="AH5211" s="2" t="str">
        <f ca="1"/>
        <v>Bad</v>
      </c>
    </row>
    <row r="5212" spans="2:34" x14ac:dyDescent="0.2">
      <c r="B5212" s="2">
        <f ca="1"/>
        <v>0.73096678665055093</v>
      </c>
      <c r="O5212" s="2">
        <f ca="1"/>
        <v>0.76634440756886835</v>
      </c>
      <c r="X5212" s="2">
        <f ca="1"/>
        <v>90.032249384877062</v>
      </c>
      <c r="AG5212" s="2">
        <f ca="1"/>
        <v>0.42039942414114706</v>
      </c>
      <c r="AH5212" s="2" t="str">
        <f ca="1"/>
        <v>Bad</v>
      </c>
    </row>
    <row r="5213" spans="2:34" x14ac:dyDescent="0.2">
      <c r="B5213" s="2">
        <f ca="1"/>
        <v>0.30770773367572302</v>
      </c>
      <c r="O5213" s="2">
        <f ca="1"/>
        <v>-0.24266615605814634</v>
      </c>
      <c r="X5213" s="2">
        <f ca="1"/>
        <v>50.843071087195881</v>
      </c>
      <c r="AG5213" s="2">
        <f ca="1"/>
        <v>0.27440571631321475</v>
      </c>
      <c r="AH5213" s="2" t="str">
        <f ca="1"/>
        <v>OK</v>
      </c>
    </row>
    <row r="5214" spans="2:34" x14ac:dyDescent="0.2">
      <c r="B5214" s="2">
        <f ca="1"/>
        <v>0.45292292671247303</v>
      </c>
      <c r="O5214" s="2">
        <f ca="1"/>
        <v>0.26628294819596637</v>
      </c>
      <c r="X5214" s="2">
        <f ca="1"/>
        <v>54.821430917947467</v>
      </c>
      <c r="AG5214" s="2">
        <f ca="1"/>
        <v>0.22330202557803136</v>
      </c>
      <c r="AH5214" s="2" t="str">
        <f ca="1"/>
        <v>OK</v>
      </c>
    </row>
    <row r="5215" spans="2:34" x14ac:dyDescent="0.2">
      <c r="B5215" s="2">
        <f ca="1"/>
        <v>4.0214882754821879E-2</v>
      </c>
      <c r="O5215" s="2">
        <f ca="1"/>
        <v>0.45225743232943866</v>
      </c>
      <c r="X5215" s="2">
        <f ca="1"/>
        <v>54.134264267070961</v>
      </c>
      <c r="AG5215" s="2">
        <f ca="1"/>
        <v>0.87146494456729284</v>
      </c>
      <c r="AH5215" s="2" t="str">
        <f ca="1"/>
        <v>Bad</v>
      </c>
    </row>
    <row r="5216" spans="2:34" x14ac:dyDescent="0.2">
      <c r="B5216" s="2">
        <f ca="1"/>
        <v>9.2849987335235973E-2</v>
      </c>
      <c r="O5216" s="2">
        <f ca="1"/>
        <v>-1.8638468355548828E-2</v>
      </c>
      <c r="X5216" s="2">
        <f ca="1"/>
        <v>38.523755702038493</v>
      </c>
      <c r="AG5216" s="2">
        <f ca="1"/>
        <v>0.83342244062085102</v>
      </c>
      <c r="AH5216" s="2" t="str">
        <f ca="1"/>
        <v>Bad</v>
      </c>
    </row>
    <row r="5217" spans="2:34" x14ac:dyDescent="0.2">
      <c r="B5217" s="2">
        <f ca="1"/>
        <v>0.47017806511715721</v>
      </c>
      <c r="O5217" s="2">
        <f ca="1"/>
        <v>-7.1460322947699828E-2</v>
      </c>
      <c r="X5217" s="2">
        <f ca="1"/>
        <v>19.249231439505671</v>
      </c>
      <c r="AG5217" s="2">
        <f ca="1"/>
        <v>0.89826376111957096</v>
      </c>
      <c r="AH5217" s="2" t="str">
        <f ca="1"/>
        <v>Bad</v>
      </c>
    </row>
    <row r="5218" spans="2:34" x14ac:dyDescent="0.2">
      <c r="B5218" s="2">
        <f ca="1"/>
        <v>0.80814710351265173</v>
      </c>
      <c r="O5218" s="2">
        <f ca="1"/>
        <v>-0.3722919344913071</v>
      </c>
      <c r="X5218" s="2">
        <f ca="1"/>
        <v>29.462483266246664</v>
      </c>
      <c r="AG5218" s="2">
        <f ca="1"/>
        <v>0.64636322861343065</v>
      </c>
      <c r="AH5218" s="2" t="str">
        <f ca="1"/>
        <v>Bad</v>
      </c>
    </row>
    <row r="5219" spans="2:34" x14ac:dyDescent="0.2">
      <c r="B5219" s="2">
        <f ca="1"/>
        <v>0.97270095358745934</v>
      </c>
      <c r="O5219" s="2">
        <f ca="1"/>
        <v>-1.2634832011983057</v>
      </c>
      <c r="X5219" s="2">
        <f ca="1"/>
        <v>45.854673848554341</v>
      </c>
      <c r="AG5219" s="2">
        <f ca="1"/>
        <v>0.51855310428634649</v>
      </c>
      <c r="AH5219" s="2" t="str">
        <f ca="1"/>
        <v>Bad</v>
      </c>
    </row>
    <row r="5220" spans="2:34" x14ac:dyDescent="0.2">
      <c r="B5220" s="2">
        <f ca="1"/>
        <v>0.59587379819613062</v>
      </c>
      <c r="O5220" s="2">
        <f ca="1"/>
        <v>0.12462104562083871</v>
      </c>
      <c r="X5220" s="2">
        <f ca="1"/>
        <v>86.358215335080999</v>
      </c>
      <c r="AG5220" s="2">
        <f ca="1"/>
        <v>5.9943548051150763E-2</v>
      </c>
      <c r="AH5220" s="2" t="str">
        <f ca="1"/>
        <v>OK</v>
      </c>
    </row>
    <row r="5221" spans="2:34" x14ac:dyDescent="0.2">
      <c r="B5221" s="2">
        <f ca="1"/>
        <v>0.4689202775533281</v>
      </c>
      <c r="O5221" s="2">
        <f ca="1"/>
        <v>-0.6160258670379406</v>
      </c>
      <c r="X5221" s="2">
        <f ca="1"/>
        <v>59.885901130798509</v>
      </c>
      <c r="AG5221" s="2">
        <f ca="1"/>
        <v>0.14289143511894142</v>
      </c>
      <c r="AH5221" s="2" t="str">
        <f ca="1"/>
        <v>OK</v>
      </c>
    </row>
    <row r="5222" spans="2:34" x14ac:dyDescent="0.2">
      <c r="B5222" s="2">
        <f ca="1"/>
        <v>0.67875232145941666</v>
      </c>
      <c r="O5222" s="2">
        <f ca="1"/>
        <v>0.74877401181670278</v>
      </c>
      <c r="X5222" s="2">
        <f ca="1"/>
        <v>41.410346632803829</v>
      </c>
      <c r="AG5222" s="2">
        <f ca="1"/>
        <v>0.69048849940047519</v>
      </c>
      <c r="AH5222" s="2" t="str">
        <f ca="1"/>
        <v>Bad</v>
      </c>
    </row>
    <row r="5223" spans="2:34" x14ac:dyDescent="0.2">
      <c r="B5223" s="2">
        <f ca="1"/>
        <v>0.268781647928515</v>
      </c>
      <c r="O5223" s="2">
        <f ca="1"/>
        <v>1.3589919959041976</v>
      </c>
      <c r="X5223" s="2">
        <f ca="1"/>
        <v>45.117162696786401</v>
      </c>
      <c r="AG5223" s="2">
        <f ca="1"/>
        <v>0.53802849349434445</v>
      </c>
      <c r="AH5223" s="2" t="str">
        <f ca="1"/>
        <v>Bad</v>
      </c>
    </row>
    <row r="5224" spans="2:34" x14ac:dyDescent="0.2">
      <c r="B5224" s="2">
        <f ca="1"/>
        <v>0.20509106029178459</v>
      </c>
      <c r="O5224" s="2">
        <f ca="1"/>
        <v>-0.45097137531569798</v>
      </c>
      <c r="X5224" s="2">
        <f ca="1"/>
        <v>31.415204465801985</v>
      </c>
      <c r="AG5224" s="2">
        <f ca="1"/>
        <v>0.86012153529305557</v>
      </c>
      <c r="AH5224" s="2" t="str">
        <f ca="1"/>
        <v>Bad</v>
      </c>
    </row>
    <row r="5225" spans="2:34" x14ac:dyDescent="0.2">
      <c r="B5225" s="2">
        <f ca="1"/>
        <v>0.67197844578614707</v>
      </c>
      <c r="O5225" s="2">
        <f ca="1"/>
        <v>1.3179995698868188</v>
      </c>
      <c r="X5225" s="2">
        <f ca="1"/>
        <v>40.596987586805099</v>
      </c>
      <c r="AG5225" s="2">
        <f ca="1"/>
        <v>0.50339295439228104</v>
      </c>
      <c r="AH5225" s="2" t="str">
        <f ca="1"/>
        <v>Bad</v>
      </c>
    </row>
    <row r="5226" spans="2:34" x14ac:dyDescent="0.2">
      <c r="B5226" s="2">
        <f ca="1"/>
        <v>0.95454202423335155</v>
      </c>
      <c r="O5226" s="2">
        <f ca="1"/>
        <v>-2.080153921385457</v>
      </c>
      <c r="X5226" s="2">
        <f ca="1"/>
        <v>40.832519815354814</v>
      </c>
      <c r="AG5226" s="2">
        <f ca="1"/>
        <v>0.62364423103388389</v>
      </c>
      <c r="AH5226" s="2" t="str">
        <f ca="1"/>
        <v>Bad</v>
      </c>
    </row>
    <row r="5227" spans="2:34" x14ac:dyDescent="0.2">
      <c r="B5227" s="2">
        <f ca="1"/>
        <v>0.41259755836282874</v>
      </c>
      <c r="O5227" s="2">
        <f ca="1"/>
        <v>0.21719988713352947</v>
      </c>
      <c r="X5227" s="2">
        <f ca="1"/>
        <v>71.831781294417368</v>
      </c>
      <c r="AG5227" s="2">
        <f ca="1"/>
        <v>0.40549088583145654</v>
      </c>
      <c r="AH5227" s="2" t="str">
        <f ca="1"/>
        <v>Bad</v>
      </c>
    </row>
    <row r="5228" spans="2:34" x14ac:dyDescent="0.2">
      <c r="B5228" s="2">
        <f ca="1"/>
        <v>0.59063687648837027</v>
      </c>
      <c r="O5228" s="2">
        <f ca="1"/>
        <v>0.21333979753300492</v>
      </c>
      <c r="X5228" s="2">
        <f ca="1"/>
        <v>42.262493206751628</v>
      </c>
      <c r="AG5228" s="2">
        <f ca="1"/>
        <v>0.47310034510927346</v>
      </c>
      <c r="AH5228" s="2" t="str">
        <f ca="1"/>
        <v>Bad</v>
      </c>
    </row>
    <row r="5229" spans="2:34" x14ac:dyDescent="0.2">
      <c r="B5229" s="2">
        <f ca="1"/>
        <v>0.216392334596339</v>
      </c>
      <c r="O5229" s="2">
        <f ca="1"/>
        <v>1.7425187058871445</v>
      </c>
      <c r="X5229" s="2">
        <f ca="1"/>
        <v>53.906129793021151</v>
      </c>
      <c r="AG5229" s="2">
        <f ca="1"/>
        <v>0.10871180477594344</v>
      </c>
      <c r="AH5229" s="2" t="str">
        <f ca="1"/>
        <v>OK</v>
      </c>
    </row>
    <row r="5230" spans="2:34" x14ac:dyDescent="0.2">
      <c r="B5230" s="2">
        <f ca="1"/>
        <v>0.44190931431810254</v>
      </c>
      <c r="O5230" s="2">
        <f ca="1"/>
        <v>0.73180609070223535</v>
      </c>
      <c r="X5230" s="2">
        <f ca="1"/>
        <v>47.792927824773599</v>
      </c>
      <c r="AG5230" s="2">
        <f ca="1"/>
        <v>0.80819068311120223</v>
      </c>
      <c r="AH5230" s="2" t="str">
        <f ca="1"/>
        <v>Bad</v>
      </c>
    </row>
    <row r="5231" spans="2:34" x14ac:dyDescent="0.2">
      <c r="B5231" s="2">
        <f ca="1"/>
        <v>0.56967337003476382</v>
      </c>
      <c r="O5231" s="2">
        <f ca="1"/>
        <v>1.848430713121086</v>
      </c>
      <c r="X5231" s="2">
        <f ca="1"/>
        <v>66.635729901427524</v>
      </c>
      <c r="AG5231" s="2">
        <f ca="1"/>
        <v>0.21696476057360736</v>
      </c>
      <c r="AH5231" s="2" t="str">
        <f ca="1"/>
        <v>OK</v>
      </c>
    </row>
    <row r="5232" spans="2:34" x14ac:dyDescent="0.2">
      <c r="B5232" s="2">
        <f ca="1"/>
        <v>0.15459650756234966</v>
      </c>
      <c r="O5232" s="2">
        <f ca="1"/>
        <v>0.45566553925733094</v>
      </c>
      <c r="X5232" s="2">
        <f ca="1"/>
        <v>55.918254984256698</v>
      </c>
      <c r="AG5232" s="2">
        <f ca="1"/>
        <v>0.53687080039134916</v>
      </c>
      <c r="AH5232" s="2" t="str">
        <f ca="1"/>
        <v>Bad</v>
      </c>
    </row>
    <row r="5233" spans="2:34" x14ac:dyDescent="0.2">
      <c r="B5233" s="2">
        <f ca="1"/>
        <v>0.972562230931455</v>
      </c>
      <c r="O5233" s="2">
        <f ca="1"/>
        <v>0.42633472185957133</v>
      </c>
      <c r="X5233" s="2">
        <f ca="1"/>
        <v>50.825434629838512</v>
      </c>
      <c r="AG5233" s="2">
        <f ca="1"/>
        <v>0.18667361970163787</v>
      </c>
      <c r="AH5233" s="2" t="str">
        <f ca="1"/>
        <v>OK</v>
      </c>
    </row>
    <row r="5234" spans="2:34" x14ac:dyDescent="0.2">
      <c r="B5234" s="2">
        <f ca="1"/>
        <v>0.46905374588620963</v>
      </c>
      <c r="O5234" s="2">
        <f ca="1"/>
        <v>2.533954125735105</v>
      </c>
      <c r="X5234" s="2">
        <f ca="1"/>
        <v>62.500403836151392</v>
      </c>
      <c r="AG5234" s="2">
        <f ca="1"/>
        <v>0.45089244155774511</v>
      </c>
      <c r="AH5234" s="2" t="str">
        <f ca="1"/>
        <v>Bad</v>
      </c>
    </row>
    <row r="5235" spans="2:34" x14ac:dyDescent="0.2">
      <c r="B5235" s="2">
        <f ca="1"/>
        <v>0.55526485515541224</v>
      </c>
      <c r="O5235" s="2">
        <f ca="1"/>
        <v>5.4699234683171442E-2</v>
      </c>
      <c r="X5235" s="2">
        <f ca="1"/>
        <v>78.1711946064882</v>
      </c>
      <c r="AG5235" s="2">
        <f ca="1"/>
        <v>0.92700075813255367</v>
      </c>
      <c r="AH5235" s="2" t="str">
        <f ca="1"/>
        <v>Bad</v>
      </c>
    </row>
    <row r="5236" spans="2:34" x14ac:dyDescent="0.2">
      <c r="B5236" s="2">
        <f ca="1"/>
        <v>0.68283150172406115</v>
      </c>
      <c r="O5236" s="2">
        <f ca="1"/>
        <v>-0.52431626489496308</v>
      </c>
      <c r="X5236" s="2">
        <f ca="1"/>
        <v>68.582645451516626</v>
      </c>
      <c r="AG5236" s="2">
        <f ca="1"/>
        <v>0.3803287612465216</v>
      </c>
      <c r="AH5236" s="2" t="str">
        <f ca="1"/>
        <v>OK</v>
      </c>
    </row>
    <row r="5237" spans="2:34" x14ac:dyDescent="0.2">
      <c r="B5237" s="2">
        <f ca="1"/>
        <v>0.65989044316565226</v>
      </c>
      <c r="O5237" s="2">
        <f ca="1"/>
        <v>-1.2877596743754713</v>
      </c>
      <c r="X5237" s="2">
        <f ca="1"/>
        <v>31.426226408741265</v>
      </c>
      <c r="AG5237" s="2">
        <f ca="1"/>
        <v>0.50577865357711138</v>
      </c>
      <c r="AH5237" s="2" t="str">
        <f ca="1"/>
        <v>Bad</v>
      </c>
    </row>
    <row r="5238" spans="2:34" x14ac:dyDescent="0.2">
      <c r="B5238" s="2">
        <f ca="1"/>
        <v>0.17343879393689954</v>
      </c>
      <c r="O5238" s="2">
        <f ca="1"/>
        <v>-0.73285898588535492</v>
      </c>
      <c r="X5238" s="2">
        <f ca="1"/>
        <v>66.212390676326848</v>
      </c>
      <c r="AG5238" s="2">
        <f ca="1"/>
        <v>0.26578364616602856</v>
      </c>
      <c r="AH5238" s="2" t="str">
        <f ca="1"/>
        <v>OK</v>
      </c>
    </row>
    <row r="5239" spans="2:34" x14ac:dyDescent="0.2">
      <c r="B5239" s="2">
        <f ca="1"/>
        <v>0.30032310943485818</v>
      </c>
      <c r="O5239" s="2">
        <f ca="1"/>
        <v>-0.48795060971766735</v>
      </c>
      <c r="X5239" s="2">
        <f ca="1"/>
        <v>67.482861241126628</v>
      </c>
      <c r="AG5239" s="2">
        <f ca="1"/>
        <v>0.63416376208803249</v>
      </c>
      <c r="AH5239" s="2" t="str">
        <f ca="1"/>
        <v>Bad</v>
      </c>
    </row>
    <row r="5240" spans="2:34" x14ac:dyDescent="0.2">
      <c r="B5240" s="2">
        <f ca="1"/>
        <v>0.69768433695565446</v>
      </c>
      <c r="O5240" s="2">
        <f ca="1"/>
        <v>-1.1894231265870205</v>
      </c>
      <c r="X5240" s="2">
        <f ca="1"/>
        <v>38.529747627820981</v>
      </c>
      <c r="AG5240" s="2">
        <f ca="1"/>
        <v>0.6418746648068212</v>
      </c>
      <c r="AH5240" s="2" t="str">
        <f ca="1"/>
        <v>Bad</v>
      </c>
    </row>
    <row r="5241" spans="2:34" x14ac:dyDescent="0.2">
      <c r="B5241" s="2">
        <f ca="1"/>
        <v>0.30773984791880804</v>
      </c>
      <c r="O5241" s="2">
        <f ca="1"/>
        <v>-0.13770703823270097</v>
      </c>
      <c r="X5241" s="2">
        <f ca="1"/>
        <v>37.962732036255652</v>
      </c>
      <c r="AG5241" s="2">
        <f ca="1"/>
        <v>0.42764113455679809</v>
      </c>
      <c r="AH5241" s="2" t="str">
        <f ca="1"/>
        <v>Bad</v>
      </c>
    </row>
    <row r="5242" spans="2:34" x14ac:dyDescent="0.2">
      <c r="B5242" s="2">
        <f ca="1"/>
        <v>0.81818311267739996</v>
      </c>
      <c r="O5242" s="2">
        <f ca="1"/>
        <v>-0.23355612186563177</v>
      </c>
      <c r="X5242" s="2">
        <f ca="1"/>
        <v>36.038385946630086</v>
      </c>
      <c r="AG5242" s="2">
        <f ca="1"/>
        <v>5.7943360063594573E-2</v>
      </c>
      <c r="AH5242" s="2" t="str">
        <f ca="1"/>
        <v>OK</v>
      </c>
    </row>
    <row r="5243" spans="2:34" x14ac:dyDescent="0.2">
      <c r="B5243" s="2">
        <f ca="1"/>
        <v>0.56601562326784527</v>
      </c>
      <c r="O5243" s="2">
        <f ca="1"/>
        <v>1.0732355168572922</v>
      </c>
      <c r="X5243" s="2">
        <f ca="1"/>
        <v>21.373707618036789</v>
      </c>
      <c r="AG5243" s="2">
        <f ca="1"/>
        <v>0.17344230551311002</v>
      </c>
      <c r="AH5243" s="2" t="str">
        <f ca="1"/>
        <v>OK</v>
      </c>
    </row>
    <row r="5244" spans="2:34" x14ac:dyDescent="0.2">
      <c r="B5244" s="2">
        <f ca="1"/>
        <v>0.73226083636934103</v>
      </c>
      <c r="O5244" s="2">
        <f ca="1"/>
        <v>-0.68893155629906222</v>
      </c>
      <c r="X5244" s="2">
        <f ca="1"/>
        <v>27.712572916847201</v>
      </c>
      <c r="AG5244" s="2">
        <f ca="1"/>
        <v>0.69195761636196473</v>
      </c>
      <c r="AH5244" s="2" t="str">
        <f ca="1"/>
        <v>Bad</v>
      </c>
    </row>
    <row r="5245" spans="2:34" x14ac:dyDescent="0.2">
      <c r="B5245" s="2">
        <f ca="1"/>
        <v>0.46329090886296731</v>
      </c>
      <c r="O5245" s="2">
        <f ca="1"/>
        <v>-1.1313145867933929</v>
      </c>
      <c r="X5245" s="2">
        <f ca="1"/>
        <v>32.537675595917136</v>
      </c>
      <c r="AG5245" s="2">
        <f ca="1"/>
        <v>0.87166740156003053</v>
      </c>
      <c r="AH5245" s="2" t="str">
        <f ca="1"/>
        <v>Bad</v>
      </c>
    </row>
    <row r="5246" spans="2:34" x14ac:dyDescent="0.2">
      <c r="B5246" s="2">
        <f ca="1"/>
        <v>0.8123622832885431</v>
      </c>
      <c r="O5246" s="2">
        <f ca="1"/>
        <v>1.1757195990488021</v>
      </c>
      <c r="X5246" s="2">
        <f ca="1"/>
        <v>49.531342776797501</v>
      </c>
      <c r="AG5246" s="2">
        <f ca="1"/>
        <v>0.38897691785547783</v>
      </c>
      <c r="AH5246" s="2" t="str">
        <f ca="1"/>
        <v>OK</v>
      </c>
    </row>
    <row r="5247" spans="2:34" x14ac:dyDescent="0.2">
      <c r="B5247" s="2">
        <f ca="1"/>
        <v>0.24158551595712763</v>
      </c>
      <c r="O5247" s="2">
        <f ca="1"/>
        <v>-0.16186773844202598</v>
      </c>
      <c r="X5247" s="2">
        <f ca="1"/>
        <v>47.307450244216739</v>
      </c>
      <c r="AG5247" s="2">
        <f ca="1"/>
        <v>0.85180444159068136</v>
      </c>
      <c r="AH5247" s="2" t="str">
        <f ca="1"/>
        <v>Bad</v>
      </c>
    </row>
    <row r="5248" spans="2:34" x14ac:dyDescent="0.2">
      <c r="B5248" s="2">
        <f ca="1"/>
        <v>0.86773586151639992</v>
      </c>
      <c r="O5248" s="2">
        <f ca="1"/>
        <v>-9.4728391390825603E-2</v>
      </c>
      <c r="X5248" s="2">
        <f ca="1"/>
        <v>52.822502865024809</v>
      </c>
      <c r="AG5248" s="2">
        <f ca="1"/>
        <v>0.4994649384043357</v>
      </c>
      <c r="AH5248" s="2" t="str">
        <f ca="1"/>
        <v>Bad</v>
      </c>
    </row>
    <row r="5249" spans="2:34" x14ac:dyDescent="0.2">
      <c r="B5249" s="2">
        <f ca="1"/>
        <v>0.39278461991923996</v>
      </c>
      <c r="O5249" s="2">
        <f ca="1"/>
        <v>-0.23623786688868034</v>
      </c>
      <c r="X5249" s="2">
        <f ca="1"/>
        <v>36.642018428520849</v>
      </c>
      <c r="AG5249" s="2">
        <f ca="1"/>
        <v>0.9859104339257676</v>
      </c>
      <c r="AH5249" s="2" t="str">
        <f ca="1"/>
        <v>Bad</v>
      </c>
    </row>
    <row r="5250" spans="2:34" x14ac:dyDescent="0.2">
      <c r="B5250" s="2">
        <f ca="1"/>
        <v>0.42875613878175201</v>
      </c>
      <c r="O5250" s="2">
        <f ca="1"/>
        <v>3.4811586787318074</v>
      </c>
      <c r="X5250" s="2">
        <f ca="1"/>
        <v>50.831490374278602</v>
      </c>
      <c r="AG5250" s="2">
        <f ca="1"/>
        <v>0.84865778512445078</v>
      </c>
      <c r="AH5250" s="2" t="str">
        <f ca="1"/>
        <v>Bad</v>
      </c>
    </row>
    <row r="5251" spans="2:34" x14ac:dyDescent="0.2">
      <c r="B5251" s="2">
        <f ca="1"/>
        <v>9.3862396209496435E-3</v>
      </c>
      <c r="O5251" s="2">
        <f ca="1"/>
        <v>1.9094901152345649</v>
      </c>
      <c r="X5251" s="2">
        <f ca="1"/>
        <v>43.755454936347427</v>
      </c>
      <c r="AG5251" s="2">
        <f ca="1"/>
        <v>0.92272216043533728</v>
      </c>
      <c r="AH5251" s="2" t="str">
        <f ca="1"/>
        <v>Bad</v>
      </c>
    </row>
    <row r="5252" spans="2:34" x14ac:dyDescent="0.2">
      <c r="B5252" s="2">
        <f ca="1"/>
        <v>0.4207275295746935</v>
      </c>
      <c r="O5252" s="2">
        <f ca="1"/>
        <v>-0.69679225815965218</v>
      </c>
      <c r="X5252" s="2">
        <f ca="1"/>
        <v>54.664202854085325</v>
      </c>
      <c r="AG5252" s="2">
        <f ca="1"/>
        <v>0.78560048712236785</v>
      </c>
      <c r="AH5252" s="2" t="str">
        <f ca="1"/>
        <v>Bad</v>
      </c>
    </row>
    <row r="5253" spans="2:34" x14ac:dyDescent="0.2">
      <c r="B5253" s="2">
        <f ca="1"/>
        <v>0.87822370447423403</v>
      </c>
      <c r="O5253" s="2">
        <f ca="1"/>
        <v>0.75431915559455243</v>
      </c>
      <c r="X5253" s="2">
        <f ca="1"/>
        <v>52.454838972445756</v>
      </c>
      <c r="AG5253" s="2">
        <f ca="1"/>
        <v>2.4663193496257119E-3</v>
      </c>
      <c r="AH5253" s="2" t="str">
        <f ca="1"/>
        <v>Good</v>
      </c>
    </row>
    <row r="5254" spans="2:34" x14ac:dyDescent="0.2">
      <c r="B5254" s="2">
        <f ca="1"/>
        <v>0.11233022624593159</v>
      </c>
      <c r="O5254" s="2">
        <f ca="1"/>
        <v>-1.1729059535107274</v>
      </c>
      <c r="X5254" s="2">
        <f ca="1"/>
        <v>62.411390936697885</v>
      </c>
      <c r="AG5254" s="2">
        <f ca="1"/>
        <v>0.32176277595576153</v>
      </c>
      <c r="AH5254" s="2" t="str">
        <f ca="1"/>
        <v>OK</v>
      </c>
    </row>
    <row r="5255" spans="2:34" x14ac:dyDescent="0.2">
      <c r="B5255" s="2">
        <f ca="1"/>
        <v>0.56345134003331543</v>
      </c>
      <c r="O5255" s="2">
        <f ca="1"/>
        <v>-1.6964939648852551</v>
      </c>
      <c r="X5255" s="2">
        <f ca="1"/>
        <v>32.007703948427391</v>
      </c>
      <c r="AG5255" s="2">
        <f ca="1"/>
        <v>0.89169254646241547</v>
      </c>
      <c r="AH5255" s="2" t="str">
        <f ca="1"/>
        <v>Bad</v>
      </c>
    </row>
    <row r="5256" spans="2:34" x14ac:dyDescent="0.2">
      <c r="B5256" s="2">
        <f ca="1"/>
        <v>0.88426760322148823</v>
      </c>
      <c r="O5256" s="2">
        <f ca="1"/>
        <v>-0.11189172154743207</v>
      </c>
      <c r="X5256" s="2">
        <f ca="1"/>
        <v>36.194187328495296</v>
      </c>
      <c r="AG5256" s="2">
        <f ca="1"/>
        <v>5.5362875672084755E-2</v>
      </c>
      <c r="AH5256" s="2" t="str">
        <f ca="1"/>
        <v>OK</v>
      </c>
    </row>
    <row r="5257" spans="2:34" x14ac:dyDescent="0.2">
      <c r="B5257" s="2">
        <f ca="1"/>
        <v>0.73138450201364025</v>
      </c>
      <c r="O5257" s="2">
        <f ca="1"/>
        <v>1.6614745839554488</v>
      </c>
      <c r="X5257" s="2">
        <f ca="1"/>
        <v>34.412264392497946</v>
      </c>
      <c r="AG5257" s="2">
        <f ca="1"/>
        <v>0.73564544525548459</v>
      </c>
      <c r="AH5257" s="2" t="str">
        <f ca="1"/>
        <v>Bad</v>
      </c>
    </row>
    <row r="5258" spans="2:34" x14ac:dyDescent="0.2">
      <c r="B5258" s="2">
        <f ca="1"/>
        <v>0.76209440787907456</v>
      </c>
      <c r="O5258" s="2">
        <f ca="1"/>
        <v>-5.8525266367286728E-2</v>
      </c>
      <c r="X5258" s="2">
        <f ca="1"/>
        <v>35.344442244573358</v>
      </c>
      <c r="AG5258" s="2">
        <f ca="1"/>
        <v>0.48836955731901277</v>
      </c>
      <c r="AH5258" s="2" t="str">
        <f ca="1"/>
        <v>Bad</v>
      </c>
    </row>
    <row r="5259" spans="2:34" x14ac:dyDescent="0.2">
      <c r="B5259" s="2">
        <f ca="1"/>
        <v>0.31248397120578675</v>
      </c>
      <c r="O5259" s="2">
        <f ca="1"/>
        <v>-0.87128602133073341</v>
      </c>
      <c r="X5259" s="2">
        <f ca="1"/>
        <v>31.006389953617276</v>
      </c>
      <c r="AG5259" s="2">
        <f ca="1"/>
        <v>0.85497044055238058</v>
      </c>
      <c r="AH5259" s="2" t="str">
        <f ca="1"/>
        <v>Bad</v>
      </c>
    </row>
    <row r="5260" spans="2:34" x14ac:dyDescent="0.2">
      <c r="B5260" s="2">
        <f ca="1"/>
        <v>0.46229964349232011</v>
      </c>
      <c r="O5260" s="2">
        <f ca="1"/>
        <v>-0.20948649192634106</v>
      </c>
      <c r="X5260" s="2">
        <f ca="1"/>
        <v>43.312210341581192</v>
      </c>
      <c r="AG5260" s="2">
        <f ca="1"/>
        <v>0.35674532986301699</v>
      </c>
      <c r="AH5260" s="2" t="str">
        <f ca="1"/>
        <v>OK</v>
      </c>
    </row>
    <row r="5261" spans="2:34" x14ac:dyDescent="0.2">
      <c r="B5261" s="2">
        <f ca="1"/>
        <v>0.27218422107993856</v>
      </c>
      <c r="O5261" s="2">
        <f ca="1"/>
        <v>-1.4042908089499342</v>
      </c>
      <c r="X5261" s="2">
        <f ca="1"/>
        <v>50.774075432948145</v>
      </c>
      <c r="AG5261" s="2">
        <f ca="1"/>
        <v>0.72276174548030903</v>
      </c>
      <c r="AH5261" s="2" t="str">
        <f ca="1"/>
        <v>Bad</v>
      </c>
    </row>
    <row r="5262" spans="2:34" x14ac:dyDescent="0.2">
      <c r="B5262" s="2">
        <f ca="1"/>
        <v>0.29652940352473234</v>
      </c>
      <c r="O5262" s="2">
        <f ca="1"/>
        <v>0.78763309273583648</v>
      </c>
      <c r="X5262" s="2">
        <f ca="1"/>
        <v>56.657165221790251</v>
      </c>
      <c r="AG5262" s="2">
        <f ca="1"/>
        <v>0.2403474714494338</v>
      </c>
      <c r="AH5262" s="2" t="str">
        <f ca="1"/>
        <v>OK</v>
      </c>
    </row>
    <row r="5263" spans="2:34" x14ac:dyDescent="0.2">
      <c r="B5263" s="2">
        <f ca="1"/>
        <v>0.72006327425802397</v>
      </c>
      <c r="O5263" s="2">
        <f ca="1"/>
        <v>-0.81666403712097158</v>
      </c>
      <c r="X5263" s="2">
        <f ca="1"/>
        <v>38.83088787730378</v>
      </c>
      <c r="AG5263" s="2">
        <f ca="1"/>
        <v>0.92548417173320896</v>
      </c>
      <c r="AH5263" s="2" t="str">
        <f ca="1"/>
        <v>Bad</v>
      </c>
    </row>
    <row r="5264" spans="2:34" x14ac:dyDescent="0.2">
      <c r="B5264" s="2">
        <f ca="1"/>
        <v>2.1068938764662759E-2</v>
      </c>
      <c r="O5264" s="2">
        <f ca="1"/>
        <v>-0.64782610012472674</v>
      </c>
      <c r="X5264" s="2">
        <f ca="1"/>
        <v>53.863185415713488</v>
      </c>
      <c r="AG5264" s="2">
        <f ca="1"/>
        <v>0.41223837030861432</v>
      </c>
      <c r="AH5264" s="2" t="str">
        <f ca="1"/>
        <v>Bad</v>
      </c>
    </row>
    <row r="5265" spans="2:34" x14ac:dyDescent="0.2">
      <c r="B5265" s="2">
        <f ca="1"/>
        <v>0.54055723086719731</v>
      </c>
      <c r="O5265" s="2">
        <f ca="1"/>
        <v>-1.0293807922502478</v>
      </c>
      <c r="X5265" s="2">
        <f ca="1"/>
        <v>30.98577919828324</v>
      </c>
      <c r="AG5265" s="2">
        <f ca="1"/>
        <v>0.42152951370720682</v>
      </c>
      <c r="AH5265" s="2" t="str">
        <f ca="1"/>
        <v>Bad</v>
      </c>
    </row>
    <row r="5266" spans="2:34" x14ac:dyDescent="0.2">
      <c r="B5266" s="2">
        <f ca="1"/>
        <v>0.63293663558134905</v>
      </c>
      <c r="O5266" s="2">
        <f ca="1"/>
        <v>0.90305431599417418</v>
      </c>
      <c r="X5266" s="2">
        <f ca="1"/>
        <v>56.724536485771068</v>
      </c>
      <c r="AG5266" s="2">
        <f ca="1"/>
        <v>0.45284908089752962</v>
      </c>
      <c r="AH5266" s="2" t="str">
        <f ca="1"/>
        <v>Bad</v>
      </c>
    </row>
    <row r="5267" spans="2:34" x14ac:dyDescent="0.2">
      <c r="B5267" s="2">
        <f ca="1"/>
        <v>0.84737648586288117</v>
      </c>
      <c r="O5267" s="2">
        <f ca="1"/>
        <v>0.11994575556065155</v>
      </c>
      <c r="X5267" s="2">
        <f ca="1"/>
        <v>44.393625782430554</v>
      </c>
      <c r="AG5267" s="2">
        <f ca="1"/>
        <v>0.32714265222389338</v>
      </c>
      <c r="AH5267" s="2" t="str">
        <f ca="1"/>
        <v>OK</v>
      </c>
    </row>
    <row r="5268" spans="2:34" x14ac:dyDescent="0.2">
      <c r="B5268" s="2">
        <f ca="1"/>
        <v>0.91323526461707361</v>
      </c>
      <c r="O5268" s="2">
        <f ca="1"/>
        <v>0.18908863455183889</v>
      </c>
      <c r="X5268" s="2">
        <f ca="1"/>
        <v>42.942125248933252</v>
      </c>
      <c r="AG5268" s="2">
        <f ca="1"/>
        <v>5.2360306575325088E-2</v>
      </c>
      <c r="AH5268" s="2" t="str">
        <f ca="1"/>
        <v>OK</v>
      </c>
    </row>
    <row r="5269" spans="2:34" x14ac:dyDescent="0.2">
      <c r="B5269" s="2">
        <f ca="1"/>
        <v>0.25526806317488848</v>
      </c>
      <c r="O5269" s="2">
        <f ca="1"/>
        <v>-1.5411958614334202</v>
      </c>
      <c r="X5269" s="2">
        <f ca="1"/>
        <v>60.300125824474321</v>
      </c>
      <c r="AG5269" s="2">
        <f ca="1"/>
        <v>0.76657824843589828</v>
      </c>
      <c r="AH5269" s="2" t="str">
        <f ca="1"/>
        <v>Bad</v>
      </c>
    </row>
    <row r="5270" spans="2:34" x14ac:dyDescent="0.2">
      <c r="B5270" s="2">
        <f ca="1"/>
        <v>2.4239693177352528E-2</v>
      </c>
      <c r="O5270" s="2">
        <f ca="1"/>
        <v>-1.1806595947528786</v>
      </c>
      <c r="X5270" s="2">
        <f ca="1"/>
        <v>21.978643204658773</v>
      </c>
      <c r="AG5270" s="2">
        <f ca="1"/>
        <v>0.53756863572486258</v>
      </c>
      <c r="AH5270" s="2" t="str">
        <f ca="1"/>
        <v>Bad</v>
      </c>
    </row>
    <row r="5271" spans="2:34" x14ac:dyDescent="0.2">
      <c r="B5271" s="2">
        <f ca="1"/>
        <v>0.19669365958445506</v>
      </c>
      <c r="O5271" s="2">
        <f ca="1"/>
        <v>1.5080756025009863</v>
      </c>
      <c r="X5271" s="2">
        <f ca="1"/>
        <v>107.47529838362269</v>
      </c>
      <c r="AG5271" s="2">
        <f ca="1"/>
        <v>0.98754101300066077</v>
      </c>
      <c r="AH5271" s="2" t="str">
        <f ca="1"/>
        <v>Bad</v>
      </c>
    </row>
    <row r="5272" spans="2:34" x14ac:dyDescent="0.2">
      <c r="B5272" s="2">
        <f ca="1"/>
        <v>0.22119293529700856</v>
      </c>
      <c r="O5272" s="2">
        <f ca="1"/>
        <v>-0.94344146100959847</v>
      </c>
      <c r="X5272" s="2">
        <f ca="1"/>
        <v>41.100848735043975</v>
      </c>
      <c r="AG5272" s="2">
        <f ca="1"/>
        <v>0.21552626029175159</v>
      </c>
      <c r="AH5272" s="2" t="str">
        <f ca="1"/>
        <v>OK</v>
      </c>
    </row>
    <row r="5273" spans="2:34" x14ac:dyDescent="0.2">
      <c r="B5273" s="2">
        <f ca="1"/>
        <v>0.58157320635913656</v>
      </c>
      <c r="O5273" s="2">
        <f ca="1"/>
        <v>0.38651825856995675</v>
      </c>
      <c r="X5273" s="2">
        <f ca="1"/>
        <v>62.260869908543995</v>
      </c>
      <c r="AG5273" s="2">
        <f ca="1"/>
        <v>0.94571514610895568</v>
      </c>
      <c r="AH5273" s="2" t="str">
        <f ca="1"/>
        <v>Bad</v>
      </c>
    </row>
    <row r="5274" spans="2:34" x14ac:dyDescent="0.2">
      <c r="B5274" s="2">
        <f ca="1"/>
        <v>0.66385070479145125</v>
      </c>
      <c r="O5274" s="2">
        <f ca="1"/>
        <v>-0.17096849315170259</v>
      </c>
      <c r="X5274" s="2">
        <f ca="1"/>
        <v>59.89589120379285</v>
      </c>
      <c r="AG5274" s="2">
        <f ca="1"/>
        <v>0.78068653851176006</v>
      </c>
      <c r="AH5274" s="2" t="str">
        <f ca="1"/>
        <v>Bad</v>
      </c>
    </row>
    <row r="5275" spans="2:34" x14ac:dyDescent="0.2">
      <c r="B5275" s="2">
        <f ca="1"/>
        <v>0.54026512183347442</v>
      </c>
      <c r="O5275" s="2">
        <f ca="1"/>
        <v>0.86004781452807311</v>
      </c>
      <c r="X5275" s="2">
        <f ca="1"/>
        <v>48.616418222425146</v>
      </c>
      <c r="AG5275" s="2">
        <f ca="1"/>
        <v>0.95052020369303847</v>
      </c>
      <c r="AH5275" s="2" t="str">
        <f ca="1"/>
        <v>Bad</v>
      </c>
    </row>
    <row r="5276" spans="2:34" x14ac:dyDescent="0.2">
      <c r="B5276" s="2">
        <f ca="1"/>
        <v>0.22177912308952075</v>
      </c>
      <c r="O5276" s="2">
        <f ca="1"/>
        <v>0.29738602255846264</v>
      </c>
      <c r="X5276" s="2">
        <f ca="1"/>
        <v>63.177487177219135</v>
      </c>
      <c r="AG5276" s="2">
        <f ca="1"/>
        <v>0.77545670889357887</v>
      </c>
      <c r="AH5276" s="2" t="str">
        <f ca="1"/>
        <v>Bad</v>
      </c>
    </row>
    <row r="5277" spans="2:34" x14ac:dyDescent="0.2">
      <c r="B5277" s="2">
        <f ca="1"/>
        <v>0.57022106815373608</v>
      </c>
      <c r="O5277" s="2">
        <f ca="1"/>
        <v>-0.59467043432739219</v>
      </c>
      <c r="X5277" s="2">
        <f ca="1"/>
        <v>63.163517824765343</v>
      </c>
      <c r="AG5277" s="2">
        <f ca="1"/>
        <v>1.0005427565503933E-2</v>
      </c>
      <c r="AH5277" s="2" t="str">
        <f ca="1"/>
        <v>Good</v>
      </c>
    </row>
    <row r="5278" spans="2:34" x14ac:dyDescent="0.2">
      <c r="B5278" s="2">
        <f ca="1"/>
        <v>0.83503346298772785</v>
      </c>
      <c r="O5278" s="2">
        <f ca="1"/>
        <v>0.27900532694278518</v>
      </c>
      <c r="X5278" s="2">
        <f ca="1"/>
        <v>41.553376845460257</v>
      </c>
      <c r="AG5278" s="2">
        <f ca="1"/>
        <v>0.18514482652586839</v>
      </c>
      <c r="AH5278" s="2" t="str">
        <f ca="1"/>
        <v>OK</v>
      </c>
    </row>
    <row r="5279" spans="2:34" x14ac:dyDescent="0.2">
      <c r="B5279" s="2">
        <f ca="1"/>
        <v>0.40724303594278211</v>
      </c>
      <c r="O5279" s="2">
        <f ca="1"/>
        <v>1.5284433391940384</v>
      </c>
      <c r="X5279" s="2">
        <f ca="1"/>
        <v>48.020039250295824</v>
      </c>
      <c r="AG5279" s="2">
        <f ca="1"/>
        <v>0.34909233963082897</v>
      </c>
      <c r="AH5279" s="2" t="str">
        <f ca="1"/>
        <v>OK</v>
      </c>
    </row>
    <row r="5280" spans="2:34" x14ac:dyDescent="0.2">
      <c r="B5280" s="2">
        <f ca="1"/>
        <v>0.90794512029967978</v>
      </c>
      <c r="O5280" s="2">
        <f ca="1"/>
        <v>-0.28668185547774827</v>
      </c>
      <c r="X5280" s="2">
        <f ca="1"/>
        <v>49.224811692897219</v>
      </c>
      <c r="AG5280" s="2">
        <f ca="1"/>
        <v>0.66939276734961539</v>
      </c>
      <c r="AH5280" s="2" t="str">
        <f ca="1"/>
        <v>Bad</v>
      </c>
    </row>
    <row r="5281" spans="2:34" x14ac:dyDescent="0.2">
      <c r="B5281" s="2">
        <f ca="1"/>
        <v>0.26640624317515771</v>
      </c>
      <c r="O5281" s="2">
        <f ca="1"/>
        <v>1.1600428405834609</v>
      </c>
      <c r="X5281" s="2">
        <f ca="1"/>
        <v>83.158855795653352</v>
      </c>
      <c r="AG5281" s="2">
        <f ca="1"/>
        <v>0.94915627194131003</v>
      </c>
      <c r="AH5281" s="2" t="str">
        <f ca="1"/>
        <v>Bad</v>
      </c>
    </row>
    <row r="5282" spans="2:34" x14ac:dyDescent="0.2">
      <c r="B5282" s="2">
        <f ca="1"/>
        <v>0.42706817911881578</v>
      </c>
      <c r="O5282" s="2">
        <f ca="1"/>
        <v>-1.7014543355464153</v>
      </c>
      <c r="X5282" s="2">
        <f ca="1"/>
        <v>53.811310951901504</v>
      </c>
      <c r="AG5282" s="2">
        <f ca="1"/>
        <v>0.88837101169870114</v>
      </c>
      <c r="AH5282" s="2" t="str">
        <f ca="1"/>
        <v>Bad</v>
      </c>
    </row>
    <row r="5283" spans="2:34" x14ac:dyDescent="0.2">
      <c r="B5283" s="2">
        <f ca="1"/>
        <v>0.47598386518684666</v>
      </c>
      <c r="O5283" s="2">
        <f ca="1"/>
        <v>2.3066063733421709</v>
      </c>
      <c r="X5283" s="2">
        <f ca="1"/>
        <v>65.990890841986001</v>
      </c>
      <c r="AG5283" s="2">
        <f ca="1"/>
        <v>0.84920805563065227</v>
      </c>
      <c r="AH5283" s="2" t="str">
        <f ca="1"/>
        <v>Bad</v>
      </c>
    </row>
    <row r="5284" spans="2:34" x14ac:dyDescent="0.2">
      <c r="B5284" s="2">
        <f ca="1"/>
        <v>0.3909291569681943</v>
      </c>
      <c r="O5284" s="2">
        <f ca="1"/>
        <v>7.7974266508646195E-2</v>
      </c>
      <c r="X5284" s="2">
        <f ca="1"/>
        <v>43.149318231900999</v>
      </c>
      <c r="AG5284" s="2">
        <f ca="1"/>
        <v>0.93604931090441301</v>
      </c>
      <c r="AH5284" s="2" t="str">
        <f ca="1"/>
        <v>Bad</v>
      </c>
    </row>
    <row r="5285" spans="2:34" x14ac:dyDescent="0.2">
      <c r="B5285" s="2">
        <f ca="1"/>
        <v>0.60743329709447691</v>
      </c>
      <c r="O5285" s="2">
        <f ca="1"/>
        <v>-1.5361578216341252</v>
      </c>
      <c r="X5285" s="2">
        <f ca="1"/>
        <v>42.027606950560561</v>
      </c>
      <c r="AG5285" s="2">
        <f ca="1"/>
        <v>0.16695758701099006</v>
      </c>
      <c r="AH5285" s="2" t="str">
        <f ca="1"/>
        <v>OK</v>
      </c>
    </row>
    <row r="5286" spans="2:34" x14ac:dyDescent="0.2">
      <c r="B5286" s="2">
        <f ca="1"/>
        <v>0.99435844535377749</v>
      </c>
      <c r="O5286" s="2">
        <f ca="1"/>
        <v>1.9074176356874095</v>
      </c>
      <c r="X5286" s="2">
        <f ca="1"/>
        <v>46.437782262925147</v>
      </c>
      <c r="AG5286" s="2">
        <f ca="1"/>
        <v>0.53859139629380093</v>
      </c>
      <c r="AH5286" s="2" t="str">
        <f ca="1"/>
        <v>Bad</v>
      </c>
    </row>
    <row r="5287" spans="2:34" x14ac:dyDescent="0.2">
      <c r="B5287" s="2">
        <f ca="1"/>
        <v>0.82712270255354392</v>
      </c>
      <c r="O5287" s="2">
        <f ca="1"/>
        <v>1.0432348659412429</v>
      </c>
      <c r="X5287" s="2">
        <f ca="1"/>
        <v>55.164365695883653</v>
      </c>
      <c r="AG5287" s="2">
        <f ca="1"/>
        <v>0.47781145620423682</v>
      </c>
      <c r="AH5287" s="2" t="str">
        <f ca="1"/>
        <v>Bad</v>
      </c>
    </row>
    <row r="5288" spans="2:34" x14ac:dyDescent="0.2">
      <c r="B5288" s="2">
        <f ca="1"/>
        <v>0.38185371535564228</v>
      </c>
      <c r="O5288" s="2">
        <f ca="1"/>
        <v>1.6255634743265031</v>
      </c>
      <c r="X5288" s="2">
        <f ca="1"/>
        <v>71.217568716248536</v>
      </c>
      <c r="AG5288" s="2">
        <f ca="1"/>
        <v>0.53569672743632846</v>
      </c>
      <c r="AH5288" s="2" t="str">
        <f ca="1"/>
        <v>Bad</v>
      </c>
    </row>
    <row r="5289" spans="2:34" x14ac:dyDescent="0.2">
      <c r="B5289" s="2">
        <f ca="1"/>
        <v>0.45268131597846573</v>
      </c>
      <c r="O5289" s="2">
        <f ca="1"/>
        <v>-0.90491510025777255</v>
      </c>
      <c r="X5289" s="2">
        <f ca="1"/>
        <v>28.378724159683905</v>
      </c>
      <c r="AG5289" s="2">
        <f ca="1"/>
        <v>8.8092520219094972E-2</v>
      </c>
      <c r="AH5289" s="2" t="str">
        <f ca="1"/>
        <v>OK</v>
      </c>
    </row>
    <row r="5290" spans="2:34" x14ac:dyDescent="0.2">
      <c r="B5290" s="2">
        <f ca="1"/>
        <v>0.1682343918307867</v>
      </c>
      <c r="O5290" s="2">
        <f ca="1"/>
        <v>-1.0558062365232272</v>
      </c>
      <c r="X5290" s="2">
        <f ca="1"/>
        <v>44.95440395104076</v>
      </c>
      <c r="AG5290" s="2">
        <f ca="1"/>
        <v>0.4210520350149296</v>
      </c>
      <c r="AH5290" s="2" t="str">
        <f ca="1"/>
        <v>Bad</v>
      </c>
    </row>
    <row r="5291" spans="2:34" x14ac:dyDescent="0.2">
      <c r="B5291" s="2">
        <f ca="1"/>
        <v>0.32342431407734828</v>
      </c>
      <c r="O5291" s="2">
        <f ca="1"/>
        <v>-0.98615563328583034</v>
      </c>
      <c r="X5291" s="2">
        <f ca="1"/>
        <v>37.53538502351261</v>
      </c>
      <c r="AG5291" s="2">
        <f ca="1"/>
        <v>0.10208699155975487</v>
      </c>
      <c r="AH5291" s="2" t="str">
        <f ca="1"/>
        <v>OK</v>
      </c>
    </row>
    <row r="5292" spans="2:34" x14ac:dyDescent="0.2">
      <c r="B5292" s="2">
        <f ca="1"/>
        <v>0.9475139978778957</v>
      </c>
      <c r="O5292" s="2">
        <f ca="1"/>
        <v>-0.86133027517037508</v>
      </c>
      <c r="X5292" s="2">
        <f ca="1"/>
        <v>49.511545413982141</v>
      </c>
      <c r="AG5292" s="2">
        <f ca="1"/>
        <v>0.53387025752542949</v>
      </c>
      <c r="AH5292" s="2" t="str">
        <f ca="1"/>
        <v>Bad</v>
      </c>
    </row>
    <row r="5293" spans="2:34" x14ac:dyDescent="0.2">
      <c r="B5293" s="2">
        <f ca="1"/>
        <v>0.92195608311794763</v>
      </c>
      <c r="O5293" s="2">
        <f ca="1"/>
        <v>-0.64149029604967178</v>
      </c>
      <c r="X5293" s="2">
        <f ca="1"/>
        <v>57.908920485333788</v>
      </c>
      <c r="AG5293" s="2">
        <f ca="1"/>
        <v>0.62651533391637737</v>
      </c>
      <c r="AH5293" s="2" t="str">
        <f ca="1"/>
        <v>Bad</v>
      </c>
    </row>
    <row r="5294" spans="2:34" x14ac:dyDescent="0.2">
      <c r="B5294" s="2">
        <f ca="1"/>
        <v>0.43727048383338518</v>
      </c>
      <c r="O5294" s="2">
        <f ca="1"/>
        <v>-0.95540809856953313</v>
      </c>
      <c r="X5294" s="2">
        <f ca="1"/>
        <v>31.94280450932466</v>
      </c>
      <c r="AG5294" s="2">
        <f ca="1"/>
        <v>0.62598930334139191</v>
      </c>
      <c r="AH5294" s="2" t="str">
        <f ca="1"/>
        <v>Bad</v>
      </c>
    </row>
    <row r="5295" spans="2:34" x14ac:dyDescent="0.2">
      <c r="B5295" s="2">
        <f ca="1"/>
        <v>0.73749759555701289</v>
      </c>
      <c r="O5295" s="2">
        <f ca="1"/>
        <v>-0.84852367467145018</v>
      </c>
      <c r="X5295" s="2">
        <f ca="1"/>
        <v>22.548711914646834</v>
      </c>
      <c r="AG5295" s="2">
        <f ca="1"/>
        <v>0.49211133518120787</v>
      </c>
      <c r="AH5295" s="2" t="str">
        <f ca="1"/>
        <v>Bad</v>
      </c>
    </row>
    <row r="5296" spans="2:34" x14ac:dyDescent="0.2">
      <c r="B5296" s="2">
        <f ca="1"/>
        <v>0.21020964376345175</v>
      </c>
      <c r="O5296" s="2">
        <f ca="1"/>
        <v>-1.6991892106046138</v>
      </c>
      <c r="X5296" s="2">
        <f ca="1"/>
        <v>70.07932259948663</v>
      </c>
      <c r="AG5296" s="2">
        <f ca="1"/>
        <v>0.5606562587154782</v>
      </c>
      <c r="AH5296" s="2" t="str">
        <f ca="1"/>
        <v>Bad</v>
      </c>
    </row>
    <row r="5297" spans="2:34" x14ac:dyDescent="0.2">
      <c r="B5297" s="2">
        <f ca="1"/>
        <v>0.43138548695168533</v>
      </c>
      <c r="O5297" s="2">
        <f ca="1"/>
        <v>-1.6867366193736064</v>
      </c>
      <c r="X5297" s="2">
        <f ca="1"/>
        <v>48.767125297006906</v>
      </c>
      <c r="AG5297" s="2">
        <f ca="1"/>
        <v>0.9911637073770494</v>
      </c>
      <c r="AH5297" s="2" t="str">
        <f ca="1"/>
        <v>Bad</v>
      </c>
    </row>
    <row r="5298" spans="2:34" x14ac:dyDescent="0.2">
      <c r="B5298" s="2">
        <f ca="1"/>
        <v>3.951842237317682E-2</v>
      </c>
      <c r="O5298" s="2">
        <f ca="1"/>
        <v>0.68985084637133776</v>
      </c>
      <c r="X5298" s="2">
        <f ca="1"/>
        <v>64.316083148715236</v>
      </c>
      <c r="AG5298" s="2">
        <f ca="1"/>
        <v>0.26823292670168652</v>
      </c>
      <c r="AH5298" s="2" t="str">
        <f ca="1"/>
        <v>OK</v>
      </c>
    </row>
    <row r="5299" spans="2:34" x14ac:dyDescent="0.2">
      <c r="B5299" s="2">
        <f ca="1"/>
        <v>0.86252166180394352</v>
      </c>
      <c r="O5299" s="2">
        <f ca="1"/>
        <v>0.506113512646574</v>
      </c>
      <c r="X5299" s="2">
        <f ca="1"/>
        <v>64.715712484085074</v>
      </c>
      <c r="AG5299" s="2">
        <f ca="1"/>
        <v>0.52950998339933442</v>
      </c>
      <c r="AH5299" s="2" t="str">
        <f ca="1"/>
        <v>Bad</v>
      </c>
    </row>
    <row r="5300" spans="2:34" x14ac:dyDescent="0.2">
      <c r="B5300" s="2">
        <f ca="1"/>
        <v>0.8443669133992</v>
      </c>
      <c r="O5300" s="2">
        <f ca="1"/>
        <v>0.4142652539357578</v>
      </c>
      <c r="X5300" s="2">
        <f ca="1"/>
        <v>59.554378320090606</v>
      </c>
      <c r="AG5300" s="2">
        <f ca="1"/>
        <v>0.39866594737144445</v>
      </c>
      <c r="AH5300" s="2" t="str">
        <f ca="1"/>
        <v>OK</v>
      </c>
    </row>
    <row r="5301" spans="2:34" x14ac:dyDescent="0.2">
      <c r="B5301" s="2">
        <f ca="1"/>
        <v>0.2741456270499063</v>
      </c>
      <c r="O5301" s="2">
        <f ca="1"/>
        <v>1.4167456396848173</v>
      </c>
      <c r="X5301" s="2">
        <f ca="1"/>
        <v>43.86969347064273</v>
      </c>
      <c r="AG5301" s="2">
        <f ca="1"/>
        <v>0.2727244806936322</v>
      </c>
      <c r="AH5301" s="2" t="str">
        <f ca="1"/>
        <v>OK</v>
      </c>
    </row>
    <row r="5302" spans="2:34" x14ac:dyDescent="0.2">
      <c r="B5302" s="2">
        <f ca="1"/>
        <v>0.80295167743507756</v>
      </c>
      <c r="O5302" s="2">
        <f ca="1"/>
        <v>1.0390948818315107</v>
      </c>
      <c r="X5302" s="2">
        <f ca="1"/>
        <v>42.855874109057631</v>
      </c>
      <c r="AG5302" s="2">
        <f ca="1"/>
        <v>0.961094173595469</v>
      </c>
      <c r="AH5302" s="2" t="str">
        <f ca="1"/>
        <v>Bad</v>
      </c>
    </row>
    <row r="5303" spans="2:34" x14ac:dyDescent="0.2">
      <c r="B5303" s="2">
        <f ca="1"/>
        <v>0.78202534900751153</v>
      </c>
      <c r="O5303" s="2">
        <f ca="1"/>
        <v>-0.93782001451788255</v>
      </c>
      <c r="X5303" s="2">
        <f ca="1"/>
        <v>24.358404265761795</v>
      </c>
      <c r="AG5303" s="2">
        <f ca="1"/>
        <v>0.70340466432106852</v>
      </c>
      <c r="AH5303" s="2" t="str">
        <f ca="1"/>
        <v>Bad</v>
      </c>
    </row>
    <row r="5304" spans="2:34" x14ac:dyDescent="0.2">
      <c r="B5304" s="2">
        <f ca="1"/>
        <v>0.52009382557001582</v>
      </c>
      <c r="O5304" s="2">
        <f ca="1"/>
        <v>-0.82596796921511284</v>
      </c>
      <c r="X5304" s="2">
        <f ca="1"/>
        <v>58.21551408633642</v>
      </c>
      <c r="AG5304" s="2">
        <f ca="1"/>
        <v>0.24568921560026546</v>
      </c>
      <c r="AH5304" s="2" t="str">
        <f ca="1"/>
        <v>OK</v>
      </c>
    </row>
    <row r="5305" spans="2:34" x14ac:dyDescent="0.2">
      <c r="B5305" s="2">
        <f ca="1"/>
        <v>0.33364955007601615</v>
      </c>
      <c r="O5305" s="2">
        <f ca="1"/>
        <v>0.86819487712815013</v>
      </c>
      <c r="X5305" s="2">
        <f ca="1"/>
        <v>34.070721177698779</v>
      </c>
      <c r="AG5305" s="2">
        <f ca="1"/>
        <v>0.42504687290118626</v>
      </c>
      <c r="AH5305" s="2" t="str">
        <f ca="1"/>
        <v>Bad</v>
      </c>
    </row>
    <row r="5306" spans="2:34" x14ac:dyDescent="0.2">
      <c r="B5306" s="2">
        <f ca="1"/>
        <v>0.26500857160863234</v>
      </c>
      <c r="O5306" s="2">
        <f ca="1"/>
        <v>-1.0133963862796829</v>
      </c>
      <c r="X5306" s="2">
        <f ca="1"/>
        <v>43.521176491338124</v>
      </c>
      <c r="AG5306" s="2">
        <f ca="1"/>
        <v>0.45130294730237575</v>
      </c>
      <c r="AH5306" s="2" t="str">
        <f ca="1"/>
        <v>Bad</v>
      </c>
    </row>
    <row r="5307" spans="2:34" x14ac:dyDescent="0.2">
      <c r="B5307" s="2">
        <f ca="1"/>
        <v>2.7642386380336559E-2</v>
      </c>
      <c r="O5307" s="2">
        <f ca="1"/>
        <v>-1.3926574924878268</v>
      </c>
      <c r="X5307" s="2">
        <f ca="1"/>
        <v>56.596261798168243</v>
      </c>
      <c r="AG5307" s="2">
        <f ca="1"/>
        <v>0.51750629592870978</v>
      </c>
      <c r="AH5307" s="2" t="str">
        <f ca="1"/>
        <v>Bad</v>
      </c>
    </row>
    <row r="5308" spans="2:34" x14ac:dyDescent="0.2">
      <c r="B5308" s="2">
        <f ca="1"/>
        <v>0.95528909094035175</v>
      </c>
      <c r="O5308" s="2">
        <f ca="1"/>
        <v>-0.32126523542505753</v>
      </c>
      <c r="X5308" s="2">
        <f ca="1"/>
        <v>51.021084569127268</v>
      </c>
      <c r="AG5308" s="2">
        <f ca="1"/>
        <v>0.5994581473436229</v>
      </c>
      <c r="AH5308" s="2" t="str">
        <f ca="1"/>
        <v>Bad</v>
      </c>
    </row>
    <row r="5309" spans="2:34" x14ac:dyDescent="0.2">
      <c r="B5309" s="2">
        <f ca="1"/>
        <v>0.63327943899206551</v>
      </c>
      <c r="O5309" s="2">
        <f ca="1"/>
        <v>1.6496333045889415</v>
      </c>
      <c r="X5309" s="2">
        <f ca="1"/>
        <v>23.100362178194391</v>
      </c>
      <c r="AG5309" s="2">
        <f ca="1"/>
        <v>0.25317267193658544</v>
      </c>
      <c r="AH5309" s="2" t="str">
        <f ca="1"/>
        <v>OK</v>
      </c>
    </row>
    <row r="5310" spans="2:34" x14ac:dyDescent="0.2">
      <c r="B5310" s="2">
        <f ca="1"/>
        <v>0.90689735632651591</v>
      </c>
      <c r="O5310" s="2">
        <f ca="1"/>
        <v>-6.6359601687979039E-2</v>
      </c>
      <c r="X5310" s="2">
        <f ca="1"/>
        <v>83.577194221911583</v>
      </c>
      <c r="AG5310" s="2">
        <f ca="1"/>
        <v>0.18193664004374011</v>
      </c>
      <c r="AH5310" s="2" t="str">
        <f ca="1"/>
        <v>OK</v>
      </c>
    </row>
    <row r="5311" spans="2:34" x14ac:dyDescent="0.2">
      <c r="B5311" s="2">
        <f ca="1"/>
        <v>0.49443378429951146</v>
      </c>
      <c r="O5311" s="2">
        <f ca="1"/>
        <v>-0.80019689485033418</v>
      </c>
      <c r="X5311" s="2">
        <f ca="1"/>
        <v>51.774357796358395</v>
      </c>
      <c r="AG5311" s="2">
        <f ca="1"/>
        <v>0.901216766578534</v>
      </c>
      <c r="AH5311" s="2" t="str">
        <f ca="1"/>
        <v>Bad</v>
      </c>
    </row>
    <row r="5312" spans="2:34" x14ac:dyDescent="0.2">
      <c r="B5312" s="2">
        <f ca="1"/>
        <v>0.24411476666294263</v>
      </c>
      <c r="O5312" s="2">
        <f ca="1"/>
        <v>-0.79622173382970884</v>
      </c>
      <c r="X5312" s="2">
        <f ca="1"/>
        <v>44.54826428437201</v>
      </c>
      <c r="AG5312" s="2">
        <f ca="1"/>
        <v>0.68765409665431099</v>
      </c>
      <c r="AH5312" s="2" t="str">
        <f ca="1"/>
        <v>Bad</v>
      </c>
    </row>
    <row r="5313" spans="2:34" x14ac:dyDescent="0.2">
      <c r="B5313" s="2">
        <f ca="1"/>
        <v>0.70091952734386331</v>
      </c>
      <c r="O5313" s="2">
        <f ca="1"/>
        <v>-1.6890060727755511</v>
      </c>
      <c r="X5313" s="2">
        <f ca="1"/>
        <v>72.718463482373835</v>
      </c>
      <c r="AG5313" s="2">
        <f ca="1"/>
        <v>0.74177973191391411</v>
      </c>
      <c r="AH5313" s="2" t="str">
        <f ca="1"/>
        <v>Bad</v>
      </c>
    </row>
    <row r="5314" spans="2:34" x14ac:dyDescent="0.2">
      <c r="B5314" s="2">
        <f ca="1"/>
        <v>0.17183691745104701</v>
      </c>
      <c r="O5314" s="2">
        <f ca="1"/>
        <v>1.1731557144574341</v>
      </c>
      <c r="X5314" s="2">
        <f ca="1"/>
        <v>45.470358303991205</v>
      </c>
      <c r="AG5314" s="2">
        <f ca="1"/>
        <v>0.13776084739373196</v>
      </c>
      <c r="AH5314" s="2" t="str">
        <f ca="1"/>
        <v>OK</v>
      </c>
    </row>
    <row r="5315" spans="2:34" x14ac:dyDescent="0.2">
      <c r="B5315" s="2">
        <f ca="1"/>
        <v>0.15805269939321387</v>
      </c>
      <c r="O5315" s="2">
        <f ca="1"/>
        <v>1.6110565576042624E-2</v>
      </c>
      <c r="X5315" s="2">
        <f ca="1"/>
        <v>41.759496108568179</v>
      </c>
      <c r="AG5315" s="2">
        <f ca="1"/>
        <v>0.57130950850056572</v>
      </c>
      <c r="AH5315" s="2" t="str">
        <f ca="1"/>
        <v>Bad</v>
      </c>
    </row>
    <row r="5316" spans="2:34" x14ac:dyDescent="0.2">
      <c r="B5316" s="2">
        <f ca="1"/>
        <v>0.97917779706420505</v>
      </c>
      <c r="O5316" s="2">
        <f ca="1"/>
        <v>-0.91551040972691033</v>
      </c>
      <c r="X5316" s="2">
        <f ca="1"/>
        <v>80.665685007970666</v>
      </c>
      <c r="AG5316" s="2">
        <f ca="1"/>
        <v>0.24598196301624231</v>
      </c>
      <c r="AH5316" s="2" t="str">
        <f ca="1"/>
        <v>OK</v>
      </c>
    </row>
    <row r="5317" spans="2:34" x14ac:dyDescent="0.2">
      <c r="B5317" s="2">
        <f ca="1"/>
        <v>0.64656600344783444</v>
      </c>
      <c r="O5317" s="2">
        <f ca="1"/>
        <v>-1.5286309352445635</v>
      </c>
      <c r="X5317" s="2">
        <f ca="1"/>
        <v>39.252864362200718</v>
      </c>
      <c r="AG5317" s="2">
        <f ca="1"/>
        <v>0.78466175692149354</v>
      </c>
      <c r="AH5317" s="2" t="str">
        <f ca="1"/>
        <v>Bad</v>
      </c>
    </row>
    <row r="5318" spans="2:34" x14ac:dyDescent="0.2">
      <c r="B5318" s="2">
        <f ca="1"/>
        <v>0.30404248042974924</v>
      </c>
      <c r="O5318" s="2">
        <f ca="1"/>
        <v>-1.1323299053990703</v>
      </c>
      <c r="X5318" s="2">
        <f ca="1"/>
        <v>53.929317014558087</v>
      </c>
      <c r="AG5318" s="2">
        <f ca="1"/>
        <v>0.60124514570882326</v>
      </c>
      <c r="AH5318" s="2" t="str">
        <f ca="1"/>
        <v>Bad</v>
      </c>
    </row>
    <row r="5319" spans="2:34" x14ac:dyDescent="0.2">
      <c r="B5319" s="2">
        <f ca="1"/>
        <v>0.26543671169394312</v>
      </c>
      <c r="O5319" s="2">
        <f ca="1"/>
        <v>-7.1015752588959896E-2</v>
      </c>
      <c r="X5319" s="2">
        <f ca="1"/>
        <v>30.0157867764906</v>
      </c>
      <c r="AG5319" s="2">
        <f ca="1"/>
        <v>0.81937061698839053</v>
      </c>
      <c r="AH5319" s="2" t="str">
        <f ca="1"/>
        <v>Bad</v>
      </c>
    </row>
    <row r="5320" spans="2:34" x14ac:dyDescent="0.2">
      <c r="B5320" s="2">
        <f ca="1"/>
        <v>0.7872251266675343</v>
      </c>
      <c r="O5320" s="2">
        <f ca="1"/>
        <v>1.2526390092112998</v>
      </c>
      <c r="X5320" s="2">
        <f ca="1"/>
        <v>63.091348626032598</v>
      </c>
      <c r="AG5320" s="2">
        <f ca="1"/>
        <v>0.34908902396082686</v>
      </c>
      <c r="AH5320" s="2" t="str">
        <f ca="1"/>
        <v>OK</v>
      </c>
    </row>
    <row r="5321" spans="2:34" x14ac:dyDescent="0.2">
      <c r="B5321" s="2">
        <f ca="1"/>
        <v>0.12674239697389655</v>
      </c>
      <c r="O5321" s="2">
        <f ca="1"/>
        <v>-6.7014256563789135E-2</v>
      </c>
      <c r="X5321" s="2">
        <f ca="1"/>
        <v>37.932967404752659</v>
      </c>
      <c r="AG5321" s="2">
        <f ca="1"/>
        <v>0.11244481459242817</v>
      </c>
      <c r="AH5321" s="2" t="str">
        <f ca="1"/>
        <v>OK</v>
      </c>
    </row>
    <row r="5322" spans="2:34" x14ac:dyDescent="0.2">
      <c r="B5322" s="2">
        <f ca="1"/>
        <v>0.82437210658145221</v>
      </c>
      <c r="O5322" s="2">
        <f ca="1"/>
        <v>0.71526765431288375</v>
      </c>
      <c r="X5322" s="2">
        <f ca="1"/>
        <v>52.313851442565749</v>
      </c>
      <c r="AG5322" s="2">
        <f ca="1"/>
        <v>0.17039262971477265</v>
      </c>
      <c r="AH5322" s="2" t="str">
        <f ca="1"/>
        <v>OK</v>
      </c>
    </row>
    <row r="5323" spans="2:34" x14ac:dyDescent="0.2">
      <c r="B5323" s="2">
        <f ca="1"/>
        <v>0.10441891098103739</v>
      </c>
      <c r="O5323" s="2">
        <f ca="1"/>
        <v>-3.8418975201660592E-2</v>
      </c>
      <c r="X5323" s="2">
        <f ca="1"/>
        <v>46.360864245796577</v>
      </c>
      <c r="AG5323" s="2">
        <f ca="1"/>
        <v>0.25362383905349195</v>
      </c>
      <c r="AH5323" s="2" t="str">
        <f ca="1"/>
        <v>OK</v>
      </c>
    </row>
    <row r="5324" spans="2:34" x14ac:dyDescent="0.2">
      <c r="B5324" s="2">
        <f ca="1"/>
        <v>0.22100542266717627</v>
      </c>
      <c r="O5324" s="2">
        <f ca="1"/>
        <v>-9.5398027811179592E-2</v>
      </c>
      <c r="X5324" s="2">
        <f ca="1"/>
        <v>36.463077484008487</v>
      </c>
      <c r="AG5324" s="2">
        <f ca="1"/>
        <v>0.24672190234691183</v>
      </c>
      <c r="AH5324" s="2" t="str">
        <f ca="1"/>
        <v>OK</v>
      </c>
    </row>
    <row r="5325" spans="2:34" x14ac:dyDescent="0.2">
      <c r="B5325" s="2">
        <f ca="1"/>
        <v>0.8201231146658281</v>
      </c>
      <c r="O5325" s="2">
        <f ca="1"/>
        <v>1.614013437717021</v>
      </c>
      <c r="X5325" s="2">
        <f ca="1"/>
        <v>51.456643637057283</v>
      </c>
      <c r="AG5325" s="2">
        <f ca="1"/>
        <v>2.5136100371154102E-2</v>
      </c>
      <c r="AH5325" s="2" t="str">
        <f ca="1"/>
        <v>Good</v>
      </c>
    </row>
    <row r="5326" spans="2:34" x14ac:dyDescent="0.2">
      <c r="B5326" s="2">
        <f ca="1"/>
        <v>0.14888083891835979</v>
      </c>
      <c r="O5326" s="2">
        <f ca="1"/>
        <v>-0.63939349754015029</v>
      </c>
      <c r="X5326" s="2">
        <f ca="1"/>
        <v>63.042300105326568</v>
      </c>
      <c r="AG5326" s="2">
        <f ca="1"/>
        <v>0.57877004672895382</v>
      </c>
      <c r="AH5326" s="2" t="str">
        <f ca="1"/>
        <v>Bad</v>
      </c>
    </row>
    <row r="5327" spans="2:34" x14ac:dyDescent="0.2">
      <c r="B5327" s="2">
        <f ca="1"/>
        <v>3.2832756633407234E-2</v>
      </c>
      <c r="O5327" s="2">
        <f ca="1"/>
        <v>-0.55979814224317492</v>
      </c>
      <c r="X5327" s="2">
        <f ca="1"/>
        <v>27.971643940300606</v>
      </c>
      <c r="AG5327" s="2">
        <f ca="1"/>
        <v>0.45711033469632212</v>
      </c>
      <c r="AH5327" s="2" t="str">
        <f ca="1"/>
        <v>Bad</v>
      </c>
    </row>
    <row r="5328" spans="2:34" x14ac:dyDescent="0.2">
      <c r="B5328" s="2">
        <f ca="1"/>
        <v>0.11598244022319415</v>
      </c>
      <c r="O5328" s="2">
        <f ca="1"/>
        <v>1.2061217031267539</v>
      </c>
      <c r="X5328" s="2">
        <f ca="1"/>
        <v>43.142642934449349</v>
      </c>
      <c r="AG5328" s="2">
        <f ca="1"/>
        <v>0.63993810811379714</v>
      </c>
      <c r="AH5328" s="2" t="str">
        <f ca="1"/>
        <v>Bad</v>
      </c>
    </row>
    <row r="5329" spans="2:34" x14ac:dyDescent="0.2">
      <c r="B5329" s="2">
        <f ca="1"/>
        <v>0.61279467649806252</v>
      </c>
      <c r="O5329" s="2">
        <f ca="1"/>
        <v>0.1045836075785218</v>
      </c>
      <c r="X5329" s="2">
        <f ca="1"/>
        <v>96.048645193535762</v>
      </c>
      <c r="AG5329" s="2">
        <f ca="1"/>
        <v>0.2558960404587689</v>
      </c>
      <c r="AH5329" s="2" t="str">
        <f ca="1"/>
        <v>OK</v>
      </c>
    </row>
    <row r="5330" spans="2:34" x14ac:dyDescent="0.2">
      <c r="B5330" s="2">
        <f ca="1"/>
        <v>0.78879408341825363</v>
      </c>
      <c r="O5330" s="2">
        <f ca="1"/>
        <v>-1.3077095614871024</v>
      </c>
      <c r="X5330" s="2">
        <f ca="1"/>
        <v>32.638410980137678</v>
      </c>
      <c r="AG5330" s="2">
        <f ca="1"/>
        <v>3.3488874877011465E-2</v>
      </c>
      <c r="AH5330" s="2" t="str">
        <f ca="1"/>
        <v>Good</v>
      </c>
    </row>
    <row r="5331" spans="2:34" x14ac:dyDescent="0.2">
      <c r="B5331" s="2">
        <f ca="1"/>
        <v>0.17667725085373998</v>
      </c>
      <c r="O5331" s="2">
        <f ca="1"/>
        <v>0.52285482959572593</v>
      </c>
      <c r="X5331" s="2">
        <f ca="1"/>
        <v>45.246818514849096</v>
      </c>
      <c r="AG5331" s="2">
        <f ca="1"/>
        <v>0.85877859771596854</v>
      </c>
      <c r="AH5331" s="2" t="str">
        <f ca="1"/>
        <v>Bad</v>
      </c>
    </row>
    <row r="5332" spans="2:34" x14ac:dyDescent="0.2">
      <c r="B5332" s="2">
        <f ca="1"/>
        <v>0.29682224942782831</v>
      </c>
      <c r="O5332" s="2">
        <f ca="1"/>
        <v>-0.78572579692675493</v>
      </c>
      <c r="X5332" s="2">
        <f ca="1"/>
        <v>38.498314046253121</v>
      </c>
      <c r="AG5332" s="2">
        <f ca="1"/>
        <v>0.1756583295102061</v>
      </c>
      <c r="AH5332" s="2" t="str">
        <f ca="1"/>
        <v>OK</v>
      </c>
    </row>
    <row r="5333" spans="2:34" x14ac:dyDescent="0.2">
      <c r="B5333" s="2">
        <f ca="1"/>
        <v>0.40472542063541872</v>
      </c>
      <c r="O5333" s="2">
        <f ca="1"/>
        <v>0.1069358274715588</v>
      </c>
      <c r="X5333" s="2">
        <f ca="1"/>
        <v>41.146351809790566</v>
      </c>
      <c r="AG5333" s="2">
        <f ca="1"/>
        <v>0.4131675747611665</v>
      </c>
      <c r="AH5333" s="2" t="str">
        <f ca="1"/>
        <v>Bad</v>
      </c>
    </row>
    <row r="5334" spans="2:34" x14ac:dyDescent="0.2">
      <c r="B5334" s="2">
        <f ca="1"/>
        <v>0.22651672544532975</v>
      </c>
      <c r="O5334" s="2">
        <f ca="1"/>
        <v>-1.278917005587735</v>
      </c>
      <c r="X5334" s="2">
        <f ca="1"/>
        <v>53.357266327368258</v>
      </c>
      <c r="AG5334" s="2">
        <f ca="1"/>
        <v>4.4242774207015056E-3</v>
      </c>
      <c r="AH5334" s="2" t="str">
        <f ca="1"/>
        <v>Good</v>
      </c>
    </row>
    <row r="5335" spans="2:34" x14ac:dyDescent="0.2">
      <c r="B5335" s="2">
        <f ca="1"/>
        <v>0.48953282852318414</v>
      </c>
      <c r="O5335" s="2">
        <f ca="1"/>
        <v>-0.78432743980974717</v>
      </c>
      <c r="X5335" s="2">
        <f ca="1"/>
        <v>47.607559858907251</v>
      </c>
      <c r="AG5335" s="2">
        <f ca="1"/>
        <v>0.5968934519456397</v>
      </c>
      <c r="AH5335" s="2" t="str">
        <f ca="1"/>
        <v>Bad</v>
      </c>
    </row>
    <row r="5336" spans="2:34" x14ac:dyDescent="0.2">
      <c r="B5336" s="2">
        <f ca="1"/>
        <v>0.82614237484779873</v>
      </c>
      <c r="O5336" s="2">
        <f ca="1"/>
        <v>1.1949570843957942</v>
      </c>
      <c r="X5336" s="2">
        <f ca="1"/>
        <v>86.387383072940708</v>
      </c>
      <c r="AG5336" s="2">
        <f ca="1"/>
        <v>0.52304893676497799</v>
      </c>
      <c r="AH5336" s="2" t="str">
        <f ca="1"/>
        <v>Bad</v>
      </c>
    </row>
    <row r="5337" spans="2:34" x14ac:dyDescent="0.2">
      <c r="B5337" s="2">
        <f ca="1"/>
        <v>0.47741614569417945</v>
      </c>
      <c r="O5337" s="2">
        <f ca="1"/>
        <v>-0.17882277006884362</v>
      </c>
      <c r="X5337" s="2">
        <f ca="1"/>
        <v>37.510208283417853</v>
      </c>
      <c r="AG5337" s="2">
        <f ca="1"/>
        <v>0.80693446802392965</v>
      </c>
      <c r="AH5337" s="2" t="str">
        <f ca="1"/>
        <v>Bad</v>
      </c>
    </row>
    <row r="5338" spans="2:34" x14ac:dyDescent="0.2">
      <c r="B5338" s="2">
        <f ca="1"/>
        <v>0.56605937681982033</v>
      </c>
      <c r="O5338" s="2">
        <f ca="1"/>
        <v>0.2987343529811809</v>
      </c>
      <c r="X5338" s="2">
        <f ca="1"/>
        <v>61.934717268618478</v>
      </c>
      <c r="AG5338" s="2">
        <f ca="1"/>
        <v>0.6045782823315029</v>
      </c>
      <c r="AH5338" s="2" t="str">
        <f ca="1"/>
        <v>Bad</v>
      </c>
    </row>
    <row r="5339" spans="2:34" x14ac:dyDescent="0.2">
      <c r="B5339" s="2">
        <f ca="1"/>
        <v>0.90529463781104225</v>
      </c>
      <c r="O5339" s="2">
        <f ca="1"/>
        <v>-1.7883091193947578</v>
      </c>
      <c r="X5339" s="2">
        <f ca="1"/>
        <v>65.428030168397783</v>
      </c>
      <c r="AG5339" s="2">
        <f ca="1"/>
        <v>0.1251146485876875</v>
      </c>
      <c r="AH5339" s="2" t="str">
        <f ca="1"/>
        <v>OK</v>
      </c>
    </row>
    <row r="5340" spans="2:34" x14ac:dyDescent="0.2">
      <c r="B5340" s="2">
        <f ca="1"/>
        <v>0.7632134315379504</v>
      </c>
      <c r="O5340" s="2">
        <f ca="1"/>
        <v>0.30116903216441698</v>
      </c>
      <c r="X5340" s="2">
        <f ca="1"/>
        <v>29.430542937437774</v>
      </c>
      <c r="AG5340" s="2">
        <f ca="1"/>
        <v>0.49397933823086948</v>
      </c>
      <c r="AH5340" s="2" t="str">
        <f ca="1"/>
        <v>Bad</v>
      </c>
    </row>
    <row r="5341" spans="2:34" x14ac:dyDescent="0.2">
      <c r="B5341" s="2">
        <f ca="1"/>
        <v>6.8774791653466227E-2</v>
      </c>
      <c r="O5341" s="2">
        <f ca="1"/>
        <v>0.61042229880238519</v>
      </c>
      <c r="X5341" s="2">
        <f ca="1"/>
        <v>37.804683144830967</v>
      </c>
      <c r="AG5341" s="2">
        <f ca="1"/>
        <v>0.59023773876394348</v>
      </c>
      <c r="AH5341" s="2" t="str">
        <f ca="1"/>
        <v>Bad</v>
      </c>
    </row>
    <row r="5342" spans="2:34" x14ac:dyDescent="0.2">
      <c r="B5342" s="2">
        <f ca="1"/>
        <v>0.59970007719878815</v>
      </c>
      <c r="O5342" s="2">
        <f ca="1"/>
        <v>0.54582411305366141</v>
      </c>
      <c r="X5342" s="2">
        <f ca="1"/>
        <v>45.792164857992759</v>
      </c>
      <c r="AG5342" s="2">
        <f ca="1"/>
        <v>0.56142568210285893</v>
      </c>
      <c r="AH5342" s="2" t="str">
        <f ca="1"/>
        <v>Bad</v>
      </c>
    </row>
    <row r="5343" spans="2:34" x14ac:dyDescent="0.2">
      <c r="B5343" s="2">
        <f ca="1"/>
        <v>0.61480795342247307</v>
      </c>
      <c r="O5343" s="2">
        <f ca="1"/>
        <v>-0.64047847448980288</v>
      </c>
      <c r="X5343" s="2">
        <f ca="1"/>
        <v>26.112541696800267</v>
      </c>
      <c r="AG5343" s="2">
        <f ca="1"/>
        <v>0.20999435397728261</v>
      </c>
      <c r="AH5343" s="2" t="str">
        <f ca="1"/>
        <v>OK</v>
      </c>
    </row>
    <row r="5344" spans="2:34" x14ac:dyDescent="0.2">
      <c r="B5344" s="2">
        <f ca="1"/>
        <v>0.35932460536513799</v>
      </c>
      <c r="O5344" s="2">
        <f ca="1"/>
        <v>-1.0062606643648897</v>
      </c>
      <c r="X5344" s="2">
        <f ca="1"/>
        <v>54.86152480208662</v>
      </c>
      <c r="AG5344" s="2">
        <f ca="1"/>
        <v>0.73426641284606919</v>
      </c>
      <c r="AH5344" s="2" t="str">
        <f ca="1"/>
        <v>Bad</v>
      </c>
    </row>
    <row r="5345" spans="2:34" x14ac:dyDescent="0.2">
      <c r="B5345" s="2">
        <f ca="1"/>
        <v>0.5036662429210963</v>
      </c>
      <c r="O5345" s="2">
        <f ca="1"/>
        <v>2.323660688381703</v>
      </c>
      <c r="X5345" s="2">
        <f ca="1"/>
        <v>24.381031655507744</v>
      </c>
      <c r="AG5345" s="2">
        <f ca="1"/>
        <v>0.40286691191731849</v>
      </c>
      <c r="AH5345" s="2" t="str">
        <f ca="1"/>
        <v>Bad</v>
      </c>
    </row>
    <row r="5346" spans="2:34" x14ac:dyDescent="0.2">
      <c r="B5346" s="2">
        <f ca="1"/>
        <v>0.42322073914610869</v>
      </c>
      <c r="O5346" s="2">
        <f ca="1"/>
        <v>0.85183983002682706</v>
      </c>
      <c r="X5346" s="2">
        <f ca="1"/>
        <v>30.504815468145068</v>
      </c>
      <c r="AG5346" s="2">
        <f ca="1"/>
        <v>0.37516322314122519</v>
      </c>
      <c r="AH5346" s="2" t="str">
        <f ca="1"/>
        <v>OK</v>
      </c>
    </row>
    <row r="5347" spans="2:34" x14ac:dyDescent="0.2">
      <c r="B5347" s="2">
        <f ca="1"/>
        <v>0.60111038718932597</v>
      </c>
      <c r="O5347" s="2">
        <f ca="1"/>
        <v>0.58137433496654156</v>
      </c>
      <c r="X5347" s="2">
        <f ca="1"/>
        <v>35.095087202778537</v>
      </c>
      <c r="AG5347" s="2">
        <f ca="1"/>
        <v>0.52324647682018632</v>
      </c>
      <c r="AH5347" s="2" t="str">
        <f ca="1"/>
        <v>Bad</v>
      </c>
    </row>
    <row r="5348" spans="2:34" x14ac:dyDescent="0.2">
      <c r="B5348" s="2">
        <f ca="1"/>
        <v>0.63090404405451928</v>
      </c>
      <c r="O5348" s="2">
        <f ca="1"/>
        <v>-0.22252300129292185</v>
      </c>
      <c r="X5348" s="2">
        <f ca="1"/>
        <v>48.225768777499447</v>
      </c>
      <c r="AG5348" s="2">
        <f ca="1"/>
        <v>0.58142610063589228</v>
      </c>
      <c r="AH5348" s="2" t="str">
        <f ca="1"/>
        <v>Bad</v>
      </c>
    </row>
    <row r="5349" spans="2:34" x14ac:dyDescent="0.2">
      <c r="B5349" s="2">
        <f ca="1"/>
        <v>0.53341893284661079</v>
      </c>
      <c r="O5349" s="2">
        <f ca="1"/>
        <v>0.70595037509119007</v>
      </c>
      <c r="X5349" s="2">
        <f ca="1"/>
        <v>67.747017979288614</v>
      </c>
      <c r="AG5349" s="2">
        <f ca="1"/>
        <v>0.64852701731020135</v>
      </c>
      <c r="AH5349" s="2" t="str">
        <f ca="1"/>
        <v>Bad</v>
      </c>
    </row>
    <row r="5350" spans="2:34" x14ac:dyDescent="0.2">
      <c r="B5350" s="2">
        <f ca="1"/>
        <v>0.54103026680654254</v>
      </c>
      <c r="O5350" s="2">
        <f ca="1"/>
        <v>-0.50821743354870275</v>
      </c>
      <c r="X5350" s="2">
        <f ca="1"/>
        <v>77.211422018972925</v>
      </c>
      <c r="AG5350" s="2">
        <f ca="1"/>
        <v>0.55958140326463912</v>
      </c>
      <c r="AH5350" s="2" t="str">
        <f ca="1"/>
        <v>Bad</v>
      </c>
    </row>
    <row r="5351" spans="2:34" x14ac:dyDescent="0.2">
      <c r="B5351" s="2">
        <f ca="1"/>
        <v>0.47639908143425402</v>
      </c>
      <c r="O5351" s="2">
        <f ca="1"/>
        <v>1.0981088596125268</v>
      </c>
      <c r="X5351" s="2">
        <f ca="1"/>
        <v>40.279623678700958</v>
      </c>
      <c r="AG5351" s="2">
        <f ca="1"/>
        <v>0.37941348349717408</v>
      </c>
      <c r="AH5351" s="2" t="str">
        <f ca="1"/>
        <v>OK</v>
      </c>
    </row>
    <row r="5352" spans="2:34" x14ac:dyDescent="0.2">
      <c r="B5352" s="2">
        <f ca="1"/>
        <v>0.24316091695169928</v>
      </c>
      <c r="O5352" s="2">
        <f ca="1"/>
        <v>-1.0852164883762301</v>
      </c>
      <c r="X5352" s="2">
        <f ca="1"/>
        <v>52.657542014362008</v>
      </c>
      <c r="AG5352" s="2">
        <f ca="1"/>
        <v>0.12244384949742471</v>
      </c>
      <c r="AH5352" s="2" t="str">
        <f ca="1"/>
        <v>OK</v>
      </c>
    </row>
    <row r="5353" spans="2:34" x14ac:dyDescent="0.2">
      <c r="B5353" s="2">
        <f ca="1"/>
        <v>0.48297658619242512</v>
      </c>
      <c r="O5353" s="2">
        <f ca="1"/>
        <v>1.4573455298325981</v>
      </c>
      <c r="X5353" s="2">
        <f ca="1"/>
        <v>75.233824759827016</v>
      </c>
      <c r="AG5353" s="2">
        <f ca="1"/>
        <v>0.89511713057071884</v>
      </c>
      <c r="AH5353" s="2" t="str">
        <f ca="1"/>
        <v>Bad</v>
      </c>
    </row>
    <row r="5354" spans="2:34" x14ac:dyDescent="0.2">
      <c r="B5354" s="2">
        <f ca="1"/>
        <v>0.13980223771234446</v>
      </c>
      <c r="O5354" s="2">
        <f ca="1"/>
        <v>-1.0769107397983568</v>
      </c>
      <c r="X5354" s="2">
        <f ca="1"/>
        <v>34.890573757696089</v>
      </c>
      <c r="AG5354" s="2">
        <f ca="1"/>
        <v>0.90541533656544182</v>
      </c>
      <c r="AH5354" s="2" t="str">
        <f ca="1"/>
        <v>Bad</v>
      </c>
    </row>
    <row r="5355" spans="2:34" x14ac:dyDescent="0.2">
      <c r="B5355" s="2">
        <f ca="1"/>
        <v>4.5701048931820587E-2</v>
      </c>
      <c r="O5355" s="2">
        <f ca="1"/>
        <v>0.69133048580756229</v>
      </c>
      <c r="X5355" s="2">
        <f ca="1"/>
        <v>26.889704697563666</v>
      </c>
      <c r="AG5355" s="2">
        <f ca="1"/>
        <v>8.5247955982000523E-2</v>
      </c>
      <c r="AH5355" s="2" t="str">
        <f ca="1"/>
        <v>OK</v>
      </c>
    </row>
    <row r="5356" spans="2:34" x14ac:dyDescent="0.2">
      <c r="B5356" s="2">
        <f ca="1"/>
        <v>0.43443017073877721</v>
      </c>
      <c r="O5356" s="2">
        <f ca="1"/>
        <v>-0.28264146650000416</v>
      </c>
      <c r="X5356" s="2">
        <f ca="1"/>
        <v>56.042144347026728</v>
      </c>
      <c r="AG5356" s="2">
        <f ca="1"/>
        <v>9.9931275624275617E-2</v>
      </c>
      <c r="AH5356" s="2" t="str">
        <f ca="1"/>
        <v>OK</v>
      </c>
    </row>
    <row r="5357" spans="2:34" x14ac:dyDescent="0.2">
      <c r="B5357" s="2">
        <f ca="1"/>
        <v>0.94700575280573274</v>
      </c>
      <c r="O5357" s="2">
        <f ca="1"/>
        <v>-2.4547727237944135</v>
      </c>
      <c r="X5357" s="2">
        <f ca="1"/>
        <v>80.993216832483455</v>
      </c>
      <c r="AG5357" s="2">
        <f ca="1"/>
        <v>0.7683217769269719</v>
      </c>
      <c r="AH5357" s="2" t="str">
        <f ca="1"/>
        <v>Bad</v>
      </c>
    </row>
    <row r="5358" spans="2:34" x14ac:dyDescent="0.2">
      <c r="B5358" s="2">
        <f ca="1"/>
        <v>0.75537901406669694</v>
      </c>
      <c r="O5358" s="2">
        <f ca="1"/>
        <v>-1.0525799036479884</v>
      </c>
      <c r="X5358" s="2">
        <f ca="1"/>
        <v>23.379791295037705</v>
      </c>
      <c r="AG5358" s="2">
        <f ca="1"/>
        <v>0.38295374335599663</v>
      </c>
      <c r="AH5358" s="2" t="str">
        <f ca="1"/>
        <v>OK</v>
      </c>
    </row>
    <row r="5359" spans="2:34" x14ac:dyDescent="0.2">
      <c r="B5359" s="2">
        <f ca="1"/>
        <v>0.14550283923648633</v>
      </c>
      <c r="O5359" s="2">
        <f ca="1"/>
        <v>0.33372935414644017</v>
      </c>
      <c r="X5359" s="2">
        <f ca="1"/>
        <v>64.076515546185078</v>
      </c>
      <c r="AG5359" s="2">
        <f ca="1"/>
        <v>0.41180619514267502</v>
      </c>
      <c r="AH5359" s="2" t="str">
        <f ca="1"/>
        <v>Bad</v>
      </c>
    </row>
    <row r="5360" spans="2:34" x14ac:dyDescent="0.2">
      <c r="B5360" s="2">
        <f ca="1"/>
        <v>0.30178164506481209</v>
      </c>
      <c r="O5360" s="2">
        <f ca="1"/>
        <v>-0.65918061131308736</v>
      </c>
      <c r="X5360" s="2">
        <f ca="1"/>
        <v>36.579063920004018</v>
      </c>
      <c r="AG5360" s="2">
        <f ca="1"/>
        <v>0.1099330820621669</v>
      </c>
      <c r="AH5360" s="2" t="str">
        <f ca="1"/>
        <v>OK</v>
      </c>
    </row>
    <row r="5361" spans="2:34" x14ac:dyDescent="0.2">
      <c r="B5361" s="2">
        <f ca="1"/>
        <v>6.8759508901092614E-2</v>
      </c>
      <c r="O5361" s="2">
        <f ca="1"/>
        <v>-0.54422226408625674</v>
      </c>
      <c r="X5361" s="2">
        <f ca="1"/>
        <v>41.055122284034169</v>
      </c>
      <c r="AG5361" s="2">
        <f ca="1"/>
        <v>0.9993398157705895</v>
      </c>
      <c r="AH5361" s="2" t="str">
        <f ca="1"/>
        <v>Bad</v>
      </c>
    </row>
    <row r="5362" spans="2:34" x14ac:dyDescent="0.2">
      <c r="B5362" s="2">
        <f ca="1"/>
        <v>0.38294604666810228</v>
      </c>
      <c r="O5362" s="2">
        <f ca="1"/>
        <v>1.8229476033716177</v>
      </c>
      <c r="X5362" s="2">
        <f ca="1"/>
        <v>33.466319136782488</v>
      </c>
      <c r="AG5362" s="2">
        <f ca="1"/>
        <v>6.2800848453877789E-2</v>
      </c>
      <c r="AH5362" s="2" t="str">
        <f ca="1"/>
        <v>OK</v>
      </c>
    </row>
    <row r="5363" spans="2:34" x14ac:dyDescent="0.2">
      <c r="B5363" s="2">
        <f ca="1"/>
        <v>0.72506290473043822</v>
      </c>
      <c r="O5363" s="2">
        <f ca="1"/>
        <v>-0.44449678086101285</v>
      </c>
      <c r="X5363" s="2">
        <f ca="1"/>
        <v>63.023673939033777</v>
      </c>
      <c r="AG5363" s="2">
        <f ca="1"/>
        <v>0.10031056416353601</v>
      </c>
      <c r="AH5363" s="2" t="str">
        <f ca="1"/>
        <v>OK</v>
      </c>
    </row>
    <row r="5364" spans="2:34" x14ac:dyDescent="0.2">
      <c r="B5364" s="2">
        <f ca="1"/>
        <v>0.57942130139374237</v>
      </c>
      <c r="O5364" s="2">
        <f ca="1"/>
        <v>-1.2703687742976213</v>
      </c>
      <c r="X5364" s="2">
        <f ca="1"/>
        <v>57.215867123312435</v>
      </c>
      <c r="AG5364" s="2">
        <f ca="1"/>
        <v>0.44311101369923223</v>
      </c>
      <c r="AH5364" s="2" t="str">
        <f ca="1"/>
        <v>Bad</v>
      </c>
    </row>
    <row r="5365" spans="2:34" x14ac:dyDescent="0.2">
      <c r="B5365" s="2">
        <f ca="1"/>
        <v>0.5226413851743632</v>
      </c>
      <c r="O5365" s="2">
        <f ca="1"/>
        <v>-0.44584243961269526</v>
      </c>
      <c r="X5365" s="2">
        <f ca="1"/>
        <v>34.407506569152837</v>
      </c>
      <c r="AG5365" s="2">
        <f ca="1"/>
        <v>0.5895282961522319</v>
      </c>
      <c r="AH5365" s="2" t="str">
        <f ca="1"/>
        <v>Bad</v>
      </c>
    </row>
    <row r="5366" spans="2:34" x14ac:dyDescent="0.2">
      <c r="B5366" s="2">
        <f ca="1"/>
        <v>0.8152240465396341</v>
      </c>
      <c r="O5366" s="2">
        <f ca="1"/>
        <v>-0.12890686350670505</v>
      </c>
      <c r="X5366" s="2">
        <f ca="1"/>
        <v>84.33018561537223</v>
      </c>
      <c r="AG5366" s="2">
        <f ca="1"/>
        <v>0.73136102588755625</v>
      </c>
      <c r="AH5366" s="2" t="str">
        <f ca="1"/>
        <v>Bad</v>
      </c>
    </row>
    <row r="5367" spans="2:34" x14ac:dyDescent="0.2">
      <c r="B5367" s="2">
        <f ca="1"/>
        <v>9.3000925103663201E-2</v>
      </c>
      <c r="O5367" s="2">
        <f ca="1"/>
        <v>0.34468402140430782</v>
      </c>
      <c r="X5367" s="2">
        <f ca="1"/>
        <v>33.747449756347855</v>
      </c>
      <c r="AG5367" s="2">
        <f ca="1"/>
        <v>0.95488578284461201</v>
      </c>
      <c r="AH5367" s="2" t="str">
        <f ca="1"/>
        <v>Bad</v>
      </c>
    </row>
    <row r="5368" spans="2:34" x14ac:dyDescent="0.2">
      <c r="B5368" s="2">
        <f ca="1"/>
        <v>0.47071654991490375</v>
      </c>
      <c r="O5368" s="2">
        <f ca="1"/>
        <v>-0.94965683858940886</v>
      </c>
      <c r="X5368" s="2">
        <f ca="1"/>
        <v>49.750731737264424</v>
      </c>
      <c r="AG5368" s="2">
        <f ca="1"/>
        <v>1.0228011087458189E-2</v>
      </c>
      <c r="AH5368" s="2" t="str">
        <f ca="1"/>
        <v>Good</v>
      </c>
    </row>
    <row r="5369" spans="2:34" x14ac:dyDescent="0.2">
      <c r="B5369" s="2">
        <f ca="1"/>
        <v>0.72831838878114619</v>
      </c>
      <c r="O5369" s="2">
        <f ca="1"/>
        <v>-1.073677328421579</v>
      </c>
      <c r="X5369" s="2">
        <f ca="1"/>
        <v>63.868705336556133</v>
      </c>
      <c r="AG5369" s="2">
        <f ca="1"/>
        <v>0.63052823395822055</v>
      </c>
      <c r="AH5369" s="2" t="str">
        <f ca="1"/>
        <v>Bad</v>
      </c>
    </row>
    <row r="5370" spans="2:34" x14ac:dyDescent="0.2">
      <c r="B5370" s="2">
        <f ca="1"/>
        <v>4.9603216139011863E-2</v>
      </c>
      <c r="O5370" s="2">
        <f ca="1"/>
        <v>-1.1423584431500422</v>
      </c>
      <c r="X5370" s="2">
        <f ca="1"/>
        <v>31.851343565449163</v>
      </c>
      <c r="AG5370" s="2">
        <f ca="1"/>
        <v>0.34844940788914358</v>
      </c>
      <c r="AH5370" s="2" t="str">
        <f ca="1"/>
        <v>OK</v>
      </c>
    </row>
    <row r="5371" spans="2:34" x14ac:dyDescent="0.2">
      <c r="B5371" s="2">
        <f ca="1"/>
        <v>0.11228089032440614</v>
      </c>
      <c r="O5371" s="2">
        <f ca="1"/>
        <v>1.673594406566312</v>
      </c>
      <c r="X5371" s="2">
        <f ca="1"/>
        <v>68.303328106584786</v>
      </c>
      <c r="AG5371" s="2">
        <f ca="1"/>
        <v>0.40095818299871633</v>
      </c>
      <c r="AH5371" s="2" t="str">
        <f ca="1"/>
        <v>Bad</v>
      </c>
    </row>
    <row r="5372" spans="2:34" x14ac:dyDescent="0.2">
      <c r="B5372" s="2">
        <f ca="1"/>
        <v>0.72569043020601831</v>
      </c>
      <c r="O5372" s="2">
        <f ca="1"/>
        <v>0.50731728077405647</v>
      </c>
      <c r="X5372" s="2">
        <f ca="1"/>
        <v>52.622089033078787</v>
      </c>
      <c r="AG5372" s="2">
        <f ca="1"/>
        <v>3.7469961006883601E-2</v>
      </c>
      <c r="AH5372" s="2" t="str">
        <f ca="1"/>
        <v>Good</v>
      </c>
    </row>
    <row r="5373" spans="2:34" x14ac:dyDescent="0.2">
      <c r="B5373" s="2">
        <f ca="1"/>
        <v>0.53148232432651366</v>
      </c>
      <c r="O5373" s="2">
        <f ca="1"/>
        <v>-1.1538463913387653</v>
      </c>
      <c r="X5373" s="2">
        <f ca="1"/>
        <v>51.516359010167761</v>
      </c>
      <c r="AG5373" s="2">
        <f ca="1"/>
        <v>0.56361458190434965</v>
      </c>
      <c r="AH5373" s="2" t="str">
        <f ca="1"/>
        <v>Bad</v>
      </c>
    </row>
    <row r="5374" spans="2:34" x14ac:dyDescent="0.2">
      <c r="B5374" s="2">
        <f ca="1"/>
        <v>5.4760953916241695E-2</v>
      </c>
      <c r="O5374" s="2">
        <f ca="1"/>
        <v>0.97444529838048577</v>
      </c>
      <c r="X5374" s="2">
        <f ca="1"/>
        <v>69.376939444515415</v>
      </c>
      <c r="AG5374" s="2">
        <f ca="1"/>
        <v>0.36537036606377749</v>
      </c>
      <c r="AH5374" s="2" t="str">
        <f ca="1"/>
        <v>OK</v>
      </c>
    </row>
    <row r="5375" spans="2:34" x14ac:dyDescent="0.2">
      <c r="B5375" s="2">
        <f ca="1"/>
        <v>0.12514857115981259</v>
      </c>
      <c r="O5375" s="2">
        <f ca="1"/>
        <v>-1.4828506146415814</v>
      </c>
      <c r="X5375" s="2">
        <f ca="1"/>
        <v>25.496152643825269</v>
      </c>
      <c r="AG5375" s="2">
        <f ca="1"/>
        <v>0.53446338638158641</v>
      </c>
      <c r="AH5375" s="2" t="str">
        <f ca="1"/>
        <v>Bad</v>
      </c>
    </row>
    <row r="5376" spans="2:34" x14ac:dyDescent="0.2">
      <c r="B5376" s="2">
        <f ca="1"/>
        <v>8.7516067340605019E-3</v>
      </c>
      <c r="O5376" s="2">
        <f ca="1"/>
        <v>0.92709931541906665</v>
      </c>
      <c r="X5376" s="2">
        <f ca="1"/>
        <v>46.152057189491074</v>
      </c>
      <c r="AG5376" s="2">
        <f ca="1"/>
        <v>0.95895600133331094</v>
      </c>
      <c r="AH5376" s="2" t="str">
        <f ca="1"/>
        <v>Bad</v>
      </c>
    </row>
    <row r="5377" spans="2:34" x14ac:dyDescent="0.2">
      <c r="B5377" s="2">
        <f ca="1"/>
        <v>0.64452934004036377</v>
      </c>
      <c r="O5377" s="2">
        <f ca="1"/>
        <v>-0.88919486364034273</v>
      </c>
      <c r="X5377" s="2">
        <f ca="1"/>
        <v>64.796097953278434</v>
      </c>
      <c r="AG5377" s="2">
        <f ca="1"/>
        <v>0.24340461370253141</v>
      </c>
      <c r="AH5377" s="2" t="str">
        <f ca="1"/>
        <v>OK</v>
      </c>
    </row>
    <row r="5378" spans="2:34" x14ac:dyDescent="0.2">
      <c r="B5378" s="2">
        <f ca="1"/>
        <v>0.44349508512635261</v>
      </c>
      <c r="O5378" s="2">
        <f ca="1"/>
        <v>0.48841986722157615</v>
      </c>
      <c r="X5378" s="2">
        <f ca="1"/>
        <v>53.879399473674823</v>
      </c>
      <c r="AG5378" s="2">
        <f ca="1"/>
        <v>0.61778340515674546</v>
      </c>
      <c r="AH5378" s="2" t="str">
        <f ca="1"/>
        <v>Bad</v>
      </c>
    </row>
    <row r="5379" spans="2:34" x14ac:dyDescent="0.2">
      <c r="B5379" s="2">
        <f ca="1"/>
        <v>0.50498444115380914</v>
      </c>
      <c r="O5379" s="2">
        <f ca="1"/>
        <v>7.5397342707325427E-2</v>
      </c>
      <c r="X5379" s="2">
        <f ca="1"/>
        <v>60.911793602819131</v>
      </c>
      <c r="AG5379" s="2">
        <f ca="1"/>
        <v>0.59898695555935189</v>
      </c>
      <c r="AH5379" s="2" t="str">
        <f ca="1"/>
        <v>Bad</v>
      </c>
    </row>
    <row r="5380" spans="2:34" x14ac:dyDescent="0.2">
      <c r="B5380" s="2">
        <f ca="1"/>
        <v>0.36090908788383191</v>
      </c>
      <c r="O5380" s="2">
        <f ca="1"/>
        <v>-0.85126972861543682</v>
      </c>
      <c r="X5380" s="2">
        <f ca="1"/>
        <v>78.297712157953796</v>
      </c>
      <c r="AG5380" s="2">
        <f ca="1"/>
        <v>0.24137631091199996</v>
      </c>
      <c r="AH5380" s="2" t="str">
        <f ca="1"/>
        <v>OK</v>
      </c>
    </row>
    <row r="5381" spans="2:34" x14ac:dyDescent="0.2">
      <c r="B5381" s="2">
        <f ca="1"/>
        <v>3.709887409266388E-2</v>
      </c>
      <c r="O5381" s="2">
        <f ca="1"/>
        <v>0.17536999695666347</v>
      </c>
      <c r="X5381" s="2">
        <f ca="1"/>
        <v>48.109430359639596</v>
      </c>
      <c r="AG5381" s="2">
        <f ca="1"/>
        <v>0.46280757797939698</v>
      </c>
      <c r="AH5381" s="2" t="str">
        <f ca="1"/>
        <v>Bad</v>
      </c>
    </row>
    <row r="5382" spans="2:34" x14ac:dyDescent="0.2">
      <c r="B5382" s="2">
        <f ca="1"/>
        <v>0.65149276636861897</v>
      </c>
      <c r="O5382" s="2">
        <f ca="1"/>
        <v>0.73505123206144107</v>
      </c>
      <c r="X5382" s="2">
        <f ca="1"/>
        <v>39.601942939954874</v>
      </c>
      <c r="AG5382" s="2">
        <f ca="1"/>
        <v>5.2241974061615348E-3</v>
      </c>
      <c r="AH5382" s="2" t="str">
        <f ca="1"/>
        <v>Good</v>
      </c>
    </row>
    <row r="5383" spans="2:34" x14ac:dyDescent="0.2">
      <c r="B5383" s="2">
        <f ca="1"/>
        <v>0.43388843512323794</v>
      </c>
      <c r="O5383" s="2">
        <f ca="1"/>
        <v>-0.7743605758734583</v>
      </c>
      <c r="X5383" s="2">
        <f ca="1"/>
        <v>48.65895109814182</v>
      </c>
      <c r="AG5383" s="2">
        <f ca="1"/>
        <v>0.57575319956709925</v>
      </c>
      <c r="AH5383" s="2" t="str">
        <f ca="1"/>
        <v>Bad</v>
      </c>
    </row>
    <row r="5384" spans="2:34" x14ac:dyDescent="0.2">
      <c r="B5384" s="2">
        <f ca="1"/>
        <v>0.69967180240389593</v>
      </c>
      <c r="O5384" s="2">
        <f ca="1"/>
        <v>-2.1922107466548195</v>
      </c>
      <c r="X5384" s="2">
        <f ca="1"/>
        <v>31.465919781775959</v>
      </c>
      <c r="AG5384" s="2">
        <f ca="1"/>
        <v>0.53434404476434416</v>
      </c>
      <c r="AH5384" s="2" t="str">
        <f ca="1"/>
        <v>Bad</v>
      </c>
    </row>
    <row r="5385" spans="2:34" x14ac:dyDescent="0.2">
      <c r="B5385" s="2">
        <f ca="1"/>
        <v>0.43964413515326006</v>
      </c>
      <c r="O5385" s="2">
        <f ca="1"/>
        <v>3.4707184406073587E-2</v>
      </c>
      <c r="X5385" s="2">
        <f ca="1"/>
        <v>116.09391090030286</v>
      </c>
      <c r="AG5385" s="2">
        <f ca="1"/>
        <v>0.79617982134448884</v>
      </c>
      <c r="AH5385" s="2" t="str">
        <f ca="1"/>
        <v>Bad</v>
      </c>
    </row>
    <row r="5386" spans="2:34" x14ac:dyDescent="0.2">
      <c r="B5386" s="2">
        <f ca="1"/>
        <v>0.28441452654096433</v>
      </c>
      <c r="O5386" s="2">
        <f ca="1"/>
        <v>0.33745680020581487</v>
      </c>
      <c r="X5386" s="2">
        <f ca="1"/>
        <v>55.735922294885462</v>
      </c>
      <c r="AG5386" s="2">
        <f ca="1"/>
        <v>0.25140787307137624</v>
      </c>
      <c r="AH5386" s="2" t="str">
        <f ca="1"/>
        <v>OK</v>
      </c>
    </row>
    <row r="5387" spans="2:34" x14ac:dyDescent="0.2">
      <c r="B5387" s="2">
        <f ca="1"/>
        <v>0.71435956652515276</v>
      </c>
      <c r="O5387" s="2">
        <f ca="1"/>
        <v>1.8646429176853792</v>
      </c>
      <c r="X5387" s="2">
        <f ca="1"/>
        <v>50.735742377008883</v>
      </c>
      <c r="AG5387" s="2">
        <f ca="1"/>
        <v>0.2387191870315537</v>
      </c>
      <c r="AH5387" s="2" t="str">
        <f ca="1"/>
        <v>OK</v>
      </c>
    </row>
    <row r="5388" spans="2:34" x14ac:dyDescent="0.2">
      <c r="B5388" s="2">
        <f ca="1"/>
        <v>0.19478478123560983</v>
      </c>
      <c r="O5388" s="2">
        <f ca="1"/>
        <v>-0.23638588946279504</v>
      </c>
      <c r="X5388" s="2">
        <f ca="1"/>
        <v>65.868292307297565</v>
      </c>
      <c r="AG5388" s="2">
        <f ca="1"/>
        <v>0.35330712668394626</v>
      </c>
      <c r="AH5388" s="2" t="str">
        <f ca="1"/>
        <v>OK</v>
      </c>
    </row>
    <row r="5389" spans="2:34" x14ac:dyDescent="0.2">
      <c r="B5389" s="2">
        <f ca="1"/>
        <v>0.72348482789893231</v>
      </c>
      <c r="O5389" s="2">
        <f ca="1"/>
        <v>0.61473348142813156</v>
      </c>
      <c r="X5389" s="2">
        <f ca="1"/>
        <v>60.772117528509057</v>
      </c>
      <c r="AG5389" s="2">
        <f ca="1"/>
        <v>0.47524673780729687</v>
      </c>
      <c r="AH5389" s="2" t="str">
        <f ca="1"/>
        <v>Bad</v>
      </c>
    </row>
    <row r="5390" spans="2:34" x14ac:dyDescent="0.2">
      <c r="B5390" s="2">
        <f ca="1"/>
        <v>0.99354479242075766</v>
      </c>
      <c r="O5390" s="2">
        <f ca="1"/>
        <v>-0.10264282029734527</v>
      </c>
      <c r="X5390" s="2">
        <f ca="1"/>
        <v>37.193257711438335</v>
      </c>
      <c r="AG5390" s="2">
        <f ca="1"/>
        <v>0.8236780040847862</v>
      </c>
      <c r="AH5390" s="2" t="str">
        <f ca="1"/>
        <v>Bad</v>
      </c>
    </row>
    <row r="5391" spans="2:34" x14ac:dyDescent="0.2">
      <c r="B5391" s="2">
        <f ca="1"/>
        <v>0.59863739490134504</v>
      </c>
      <c r="O5391" s="2">
        <f ca="1"/>
        <v>-0.17896065764781272</v>
      </c>
      <c r="X5391" s="2">
        <f ca="1"/>
        <v>36.692427678628896</v>
      </c>
      <c r="AG5391" s="2">
        <f ca="1"/>
        <v>0.57207405018807034</v>
      </c>
      <c r="AH5391" s="2" t="str">
        <f ca="1"/>
        <v>Bad</v>
      </c>
    </row>
    <row r="5392" spans="2:34" x14ac:dyDescent="0.2">
      <c r="B5392" s="2">
        <f ca="1"/>
        <v>0.454239705519208</v>
      </c>
      <c r="O5392" s="2">
        <f ca="1"/>
        <v>-0.87695238124103758</v>
      </c>
      <c r="X5392" s="2">
        <f ca="1"/>
        <v>46.482508311000828</v>
      </c>
      <c r="AG5392" s="2">
        <f ca="1"/>
        <v>0.11873864394304401</v>
      </c>
      <c r="AH5392" s="2" t="str">
        <f ca="1"/>
        <v>OK</v>
      </c>
    </row>
    <row r="5393" spans="2:34" x14ac:dyDescent="0.2">
      <c r="B5393" s="2">
        <f ca="1"/>
        <v>0.87627104148722301</v>
      </c>
      <c r="O5393" s="2">
        <f ca="1"/>
        <v>-1.9027307738210513</v>
      </c>
      <c r="X5393" s="2">
        <f ca="1"/>
        <v>47.831953807202943</v>
      </c>
      <c r="AG5393" s="2">
        <f ca="1"/>
        <v>0.21263057419715481</v>
      </c>
      <c r="AH5393" s="2" t="str">
        <f ca="1"/>
        <v>OK</v>
      </c>
    </row>
    <row r="5394" spans="2:34" x14ac:dyDescent="0.2">
      <c r="B5394" s="2">
        <f ca="1"/>
        <v>0.79959067681457308</v>
      </c>
      <c r="O5394" s="2">
        <f ca="1"/>
        <v>0.92907746681332182</v>
      </c>
      <c r="X5394" s="2">
        <f ca="1"/>
        <v>37.202261538358727</v>
      </c>
      <c r="AG5394" s="2">
        <f ca="1"/>
        <v>0.15344071020196637</v>
      </c>
      <c r="AH5394" s="2" t="str">
        <f ca="1"/>
        <v>OK</v>
      </c>
    </row>
    <row r="5395" spans="2:34" x14ac:dyDescent="0.2">
      <c r="B5395" s="2">
        <f ca="1"/>
        <v>0.64042554223478465</v>
      </c>
      <c r="O5395" s="2">
        <f ca="1"/>
        <v>1.0032147032396839</v>
      </c>
      <c r="X5395" s="2">
        <f ca="1"/>
        <v>47.674619903817501</v>
      </c>
      <c r="AG5395" s="2">
        <f ca="1"/>
        <v>0.58316409131094038</v>
      </c>
      <c r="AH5395" s="2" t="str">
        <f ca="1"/>
        <v>Bad</v>
      </c>
    </row>
    <row r="5396" spans="2:34" x14ac:dyDescent="0.2">
      <c r="B5396" s="2">
        <f ca="1"/>
        <v>0.94426602137201376</v>
      </c>
      <c r="O5396" s="2">
        <f ca="1"/>
        <v>1.0834473154813009</v>
      </c>
      <c r="X5396" s="2">
        <f ca="1"/>
        <v>53.21102278745623</v>
      </c>
      <c r="AG5396" s="2">
        <f ca="1"/>
        <v>0.46478179831300537</v>
      </c>
      <c r="AH5396" s="2" t="str">
        <f ca="1"/>
        <v>Bad</v>
      </c>
    </row>
    <row r="5397" spans="2:34" x14ac:dyDescent="0.2">
      <c r="B5397" s="2">
        <f ca="1"/>
        <v>8.0138096242229784E-2</v>
      </c>
      <c r="O5397" s="2">
        <f ca="1"/>
        <v>-0.17214871546780225</v>
      </c>
      <c r="X5397" s="2">
        <f ca="1"/>
        <v>76.230904552999277</v>
      </c>
      <c r="AG5397" s="2">
        <f ca="1"/>
        <v>0.60890923861716795</v>
      </c>
      <c r="AH5397" s="2" t="str">
        <f ca="1"/>
        <v>Bad</v>
      </c>
    </row>
    <row r="5398" spans="2:34" x14ac:dyDescent="0.2">
      <c r="B5398" s="2">
        <f ca="1"/>
        <v>0.22829519670045673</v>
      </c>
      <c r="O5398" s="2">
        <f ca="1"/>
        <v>0.85271306642070843</v>
      </c>
      <c r="X5398" s="2">
        <f ca="1"/>
        <v>59.358586936965693</v>
      </c>
      <c r="AG5398" s="2">
        <f ca="1"/>
        <v>2.9007453266749694E-2</v>
      </c>
      <c r="AH5398" s="2" t="str">
        <f ca="1"/>
        <v>Good</v>
      </c>
    </row>
    <row r="5399" spans="2:34" x14ac:dyDescent="0.2">
      <c r="B5399" s="2">
        <f ca="1"/>
        <v>0.33477329956395074</v>
      </c>
      <c r="O5399" s="2">
        <f ca="1"/>
        <v>0.6093680878572475</v>
      </c>
      <c r="X5399" s="2">
        <f ca="1"/>
        <v>27.48130207426464</v>
      </c>
      <c r="AG5399" s="2">
        <f ca="1"/>
        <v>0.10189592226619926</v>
      </c>
      <c r="AH5399" s="2" t="str">
        <f ca="1"/>
        <v>OK</v>
      </c>
    </row>
    <row r="5400" spans="2:34" x14ac:dyDescent="0.2">
      <c r="B5400" s="2">
        <f ca="1"/>
        <v>0.59023029446857467</v>
      </c>
      <c r="O5400" s="2">
        <f ca="1"/>
        <v>-0.17301361322287154</v>
      </c>
      <c r="X5400" s="2">
        <f ca="1"/>
        <v>49.684714558863831</v>
      </c>
      <c r="AG5400" s="2">
        <f ca="1"/>
        <v>0.70731574282747189</v>
      </c>
      <c r="AH5400" s="2" t="str">
        <f ca="1"/>
        <v>Bad</v>
      </c>
    </row>
    <row r="5401" spans="2:34" x14ac:dyDescent="0.2">
      <c r="B5401" s="2">
        <f ca="1"/>
        <v>9.9301717943294232E-3</v>
      </c>
      <c r="O5401" s="2">
        <f ca="1"/>
        <v>1.0814539413521185</v>
      </c>
      <c r="X5401" s="2">
        <f ca="1"/>
        <v>57.187424723194937</v>
      </c>
      <c r="AG5401" s="2">
        <f ca="1"/>
        <v>0.9792586283031568</v>
      </c>
      <c r="AH5401" s="2" t="str">
        <f ca="1"/>
        <v>Bad</v>
      </c>
    </row>
    <row r="5402" spans="2:34" x14ac:dyDescent="0.2">
      <c r="B5402" s="2">
        <f ca="1"/>
        <v>0.63003007626015695</v>
      </c>
      <c r="O5402" s="2">
        <f ca="1"/>
        <v>-0.79712924362843585</v>
      </c>
      <c r="X5402" s="2">
        <f ca="1"/>
        <v>81.50011465335507</v>
      </c>
      <c r="AG5402" s="2">
        <f ca="1"/>
        <v>0.70600575420595213</v>
      </c>
      <c r="AH5402" s="2" t="str">
        <f ca="1"/>
        <v>Bad</v>
      </c>
    </row>
    <row r="5403" spans="2:34" x14ac:dyDescent="0.2">
      <c r="B5403" s="2">
        <f ca="1"/>
        <v>0.62039154666355167</v>
      </c>
      <c r="O5403" s="2">
        <f ca="1"/>
        <v>-0.76681742485204696</v>
      </c>
      <c r="X5403" s="2">
        <f ca="1"/>
        <v>62.804228618565475</v>
      </c>
      <c r="AG5403" s="2">
        <f ca="1"/>
        <v>0.22268227201433755</v>
      </c>
      <c r="AH5403" s="2" t="str">
        <f ca="1"/>
        <v>OK</v>
      </c>
    </row>
    <row r="5404" spans="2:34" x14ac:dyDescent="0.2">
      <c r="B5404" s="2">
        <f ca="1"/>
        <v>0.91275781283320589</v>
      </c>
      <c r="O5404" s="2">
        <f ca="1"/>
        <v>-1.071229625390433</v>
      </c>
      <c r="X5404" s="2">
        <f ca="1"/>
        <v>52.838250990951906</v>
      </c>
      <c r="AG5404" s="2">
        <f ca="1"/>
        <v>0.86520624334601415</v>
      </c>
      <c r="AH5404" s="2" t="str">
        <f ca="1"/>
        <v>Bad</v>
      </c>
    </row>
    <row r="5405" spans="2:34" x14ac:dyDescent="0.2">
      <c r="B5405" s="2">
        <f ca="1"/>
        <v>0.35936693137520304</v>
      </c>
      <c r="O5405" s="2">
        <f ca="1"/>
        <v>-0.61423399790362254</v>
      </c>
      <c r="X5405" s="2">
        <f ca="1"/>
        <v>32.894400097612873</v>
      </c>
      <c r="AG5405" s="2">
        <f ca="1"/>
        <v>0.69783121775414125</v>
      </c>
      <c r="AH5405" s="2" t="str">
        <f ca="1"/>
        <v>Bad</v>
      </c>
    </row>
    <row r="5406" spans="2:34" x14ac:dyDescent="0.2">
      <c r="B5406" s="2">
        <f ca="1"/>
        <v>0.14529669661969402</v>
      </c>
      <c r="O5406" s="2">
        <f ca="1"/>
        <v>-6.1807806809260055E-2</v>
      </c>
      <c r="X5406" s="2">
        <f ca="1"/>
        <v>28.938497688274495</v>
      </c>
      <c r="AG5406" s="2">
        <f ca="1"/>
        <v>0.46788135293626687</v>
      </c>
      <c r="AH5406" s="2" t="str">
        <f ca="1"/>
        <v>Bad</v>
      </c>
    </row>
    <row r="5407" spans="2:34" x14ac:dyDescent="0.2">
      <c r="B5407" s="2">
        <f ca="1"/>
        <v>0.29847139446537652</v>
      </c>
      <c r="O5407" s="2">
        <f ca="1"/>
        <v>-0.74575250334120247</v>
      </c>
      <c r="X5407" s="2">
        <f ca="1"/>
        <v>70.92701994785439</v>
      </c>
      <c r="AG5407" s="2">
        <f ca="1"/>
        <v>0.4542105083881276</v>
      </c>
      <c r="AH5407" s="2" t="str">
        <f ca="1"/>
        <v>Bad</v>
      </c>
    </row>
    <row r="5408" spans="2:34" x14ac:dyDescent="0.2">
      <c r="B5408" s="2">
        <f ca="1"/>
        <v>0.5453710447756368</v>
      </c>
      <c r="O5408" s="2">
        <f ca="1"/>
        <v>2.4164652355798766</v>
      </c>
      <c r="X5408" s="2">
        <f ca="1"/>
        <v>52.139000137048512</v>
      </c>
      <c r="AG5408" s="2">
        <f ca="1"/>
        <v>0.91878339940254095</v>
      </c>
      <c r="AH5408" s="2" t="str">
        <f ca="1"/>
        <v>Bad</v>
      </c>
    </row>
    <row r="5409" spans="2:34" x14ac:dyDescent="0.2">
      <c r="B5409" s="2">
        <f ca="1"/>
        <v>0.53369455313551151</v>
      </c>
      <c r="O5409" s="2">
        <f ca="1"/>
        <v>1.0924261842411402</v>
      </c>
      <c r="X5409" s="2">
        <f ca="1"/>
        <v>41.379622086061033</v>
      </c>
      <c r="AG5409" s="2">
        <f ca="1"/>
        <v>0.99056609033229548</v>
      </c>
      <c r="AH5409" s="2" t="str">
        <f ca="1"/>
        <v>Bad</v>
      </c>
    </row>
    <row r="5410" spans="2:34" x14ac:dyDescent="0.2">
      <c r="B5410" s="2">
        <f ca="1"/>
        <v>0.34049889979091774</v>
      </c>
      <c r="O5410" s="2">
        <f ca="1"/>
        <v>0.31953095366436335</v>
      </c>
      <c r="X5410" s="2">
        <f ca="1"/>
        <v>46.499863895149566</v>
      </c>
      <c r="AG5410" s="2">
        <f ca="1"/>
        <v>0.9538121354056448</v>
      </c>
      <c r="AH5410" s="2" t="str">
        <f ca="1"/>
        <v>Bad</v>
      </c>
    </row>
    <row r="5411" spans="2:34" x14ac:dyDescent="0.2">
      <c r="B5411" s="2">
        <f ca="1"/>
        <v>0.82867429173266971</v>
      </c>
      <c r="O5411" s="2">
        <f ca="1"/>
        <v>0.54607567682219926</v>
      </c>
      <c r="X5411" s="2">
        <f ca="1"/>
        <v>47.291005466895129</v>
      </c>
      <c r="AG5411" s="2">
        <f ca="1"/>
        <v>0.18723631632500704</v>
      </c>
      <c r="AH5411" s="2" t="str">
        <f ca="1"/>
        <v>OK</v>
      </c>
    </row>
    <row r="5412" spans="2:34" x14ac:dyDescent="0.2">
      <c r="B5412" s="2">
        <f ca="1"/>
        <v>0.99186983038068055</v>
      </c>
      <c r="O5412" s="2">
        <f ca="1"/>
        <v>6.3053886884496063E-2</v>
      </c>
      <c r="X5412" s="2">
        <f ca="1"/>
        <v>43.997028769175728</v>
      </c>
      <c r="AG5412" s="2">
        <f ca="1"/>
        <v>0.45138249625764715</v>
      </c>
      <c r="AH5412" s="2" t="str">
        <f ca="1"/>
        <v>Bad</v>
      </c>
    </row>
    <row r="5413" spans="2:34" x14ac:dyDescent="0.2">
      <c r="B5413" s="2">
        <f ca="1"/>
        <v>0.45591841166284208</v>
      </c>
      <c r="O5413" s="2">
        <f ca="1"/>
        <v>2.3305408301587307</v>
      </c>
      <c r="X5413" s="2">
        <f ca="1"/>
        <v>81.165131239144785</v>
      </c>
      <c r="AG5413" s="2">
        <f ca="1"/>
        <v>0.97582282368581841</v>
      </c>
      <c r="AH5413" s="2" t="str">
        <f ca="1"/>
        <v>Bad</v>
      </c>
    </row>
    <row r="5414" spans="2:34" x14ac:dyDescent="0.2">
      <c r="B5414" s="2">
        <f ca="1"/>
        <v>0.32662645906692278</v>
      </c>
      <c r="O5414" s="2">
        <f ca="1"/>
        <v>0.37868508741816348</v>
      </c>
      <c r="X5414" s="2">
        <f ca="1"/>
        <v>68.904221074049346</v>
      </c>
      <c r="AG5414" s="2">
        <f ca="1"/>
        <v>0.60033425385911943</v>
      </c>
      <c r="AH5414" s="2" t="str">
        <f ca="1"/>
        <v>Bad</v>
      </c>
    </row>
    <row r="5415" spans="2:34" x14ac:dyDescent="0.2">
      <c r="B5415" s="2">
        <f ca="1"/>
        <v>1.1481531564486502E-2</v>
      </c>
      <c r="O5415" s="2">
        <f ca="1"/>
        <v>-0.75860422152128659</v>
      </c>
      <c r="X5415" s="2">
        <f ca="1"/>
        <v>91.838185920165841</v>
      </c>
      <c r="AG5415" s="2">
        <f ca="1"/>
        <v>6.7057376760912835E-3</v>
      </c>
      <c r="AH5415" s="2" t="str">
        <f ca="1"/>
        <v>Good</v>
      </c>
    </row>
    <row r="5416" spans="2:34" x14ac:dyDescent="0.2">
      <c r="B5416" s="2">
        <f ca="1"/>
        <v>0.93018706223090297</v>
      </c>
      <c r="O5416" s="2">
        <f ca="1"/>
        <v>-0.73327445026366866</v>
      </c>
      <c r="X5416" s="2">
        <f ca="1"/>
        <v>54.670879203820029</v>
      </c>
      <c r="AG5416" s="2">
        <f ca="1"/>
        <v>0.43770401363689793</v>
      </c>
      <c r="AH5416" s="2" t="str">
        <f ca="1"/>
        <v>Bad</v>
      </c>
    </row>
    <row r="5417" spans="2:34" x14ac:dyDescent="0.2">
      <c r="B5417" s="2">
        <f ca="1"/>
        <v>0.69771560964038182</v>
      </c>
      <c r="O5417" s="2">
        <f ca="1"/>
        <v>-0.68305937702643127</v>
      </c>
      <c r="X5417" s="2">
        <f ca="1"/>
        <v>27.624146145512256</v>
      </c>
      <c r="AG5417" s="2">
        <f ca="1"/>
        <v>0.91542713300568734</v>
      </c>
      <c r="AH5417" s="2" t="str">
        <f ca="1"/>
        <v>Bad</v>
      </c>
    </row>
    <row r="5418" spans="2:34" x14ac:dyDescent="0.2">
      <c r="B5418" s="2">
        <f ca="1"/>
        <v>0.76384737625611465</v>
      </c>
      <c r="O5418" s="2">
        <f ca="1"/>
        <v>-0.47818574633241628</v>
      </c>
      <c r="X5418" s="2">
        <f ca="1"/>
        <v>33.585394459952759</v>
      </c>
      <c r="AG5418" s="2">
        <f ca="1"/>
        <v>0.14506164153160883</v>
      </c>
      <c r="AH5418" s="2" t="str">
        <f ca="1"/>
        <v>OK</v>
      </c>
    </row>
    <row r="5419" spans="2:34" x14ac:dyDescent="0.2">
      <c r="B5419" s="2">
        <f ca="1"/>
        <v>5.9968032607937038E-2</v>
      </c>
      <c r="O5419" s="2">
        <f ca="1"/>
        <v>-1.1221959046106837</v>
      </c>
      <c r="X5419" s="2">
        <f ca="1"/>
        <v>86.820902736456247</v>
      </c>
      <c r="AG5419" s="2">
        <f ca="1"/>
        <v>0.18958467238045951</v>
      </c>
      <c r="AH5419" s="2" t="str">
        <f ca="1"/>
        <v>OK</v>
      </c>
    </row>
    <row r="5420" spans="2:34" x14ac:dyDescent="0.2">
      <c r="B5420" s="2">
        <f ca="1"/>
        <v>0.80559534552716405</v>
      </c>
      <c r="O5420" s="2">
        <f ca="1"/>
        <v>1.1815006390912448</v>
      </c>
      <c r="X5420" s="2">
        <f ca="1"/>
        <v>33.603447836593212</v>
      </c>
      <c r="AG5420" s="2">
        <f ca="1"/>
        <v>0.33249520265333543</v>
      </c>
      <c r="AH5420" s="2" t="str">
        <f ca="1"/>
        <v>OK</v>
      </c>
    </row>
    <row r="5421" spans="2:34" x14ac:dyDescent="0.2">
      <c r="B5421" s="2">
        <f ca="1"/>
        <v>0.37983100541485437</v>
      </c>
      <c r="O5421" s="2">
        <f ca="1"/>
        <v>-0.27082675902568654</v>
      </c>
      <c r="X5421" s="2">
        <f ca="1"/>
        <v>59.232851344821533</v>
      </c>
      <c r="AG5421" s="2">
        <f ca="1"/>
        <v>0.48294437436823046</v>
      </c>
      <c r="AH5421" s="2" t="str">
        <f ca="1"/>
        <v>Bad</v>
      </c>
    </row>
    <row r="5422" spans="2:34" x14ac:dyDescent="0.2">
      <c r="B5422" s="2">
        <f ca="1"/>
        <v>0.4511933800300072</v>
      </c>
      <c r="O5422" s="2">
        <f ca="1"/>
        <v>0.56622561558566165</v>
      </c>
      <c r="X5422" s="2">
        <f ca="1"/>
        <v>62.809653714430453</v>
      </c>
      <c r="AG5422" s="2">
        <f ca="1"/>
        <v>0.77983974263953892</v>
      </c>
      <c r="AH5422" s="2" t="str">
        <f ca="1"/>
        <v>Bad</v>
      </c>
    </row>
    <row r="5423" spans="2:34" x14ac:dyDescent="0.2">
      <c r="B5423" s="2">
        <f ca="1"/>
        <v>0.92142166674495152</v>
      </c>
      <c r="O5423" s="2">
        <f ca="1"/>
        <v>-0.22267940219096743</v>
      </c>
      <c r="X5423" s="2">
        <f ca="1"/>
        <v>49.817502085500308</v>
      </c>
      <c r="AG5423" s="2">
        <f ca="1"/>
        <v>2.6990438237998182E-2</v>
      </c>
      <c r="AH5423" s="2" t="str">
        <f ca="1"/>
        <v>Good</v>
      </c>
    </row>
    <row r="5424" spans="2:34" x14ac:dyDescent="0.2">
      <c r="B5424" s="2">
        <f ca="1"/>
        <v>0.41875085007942814</v>
      </c>
      <c r="O5424" s="2">
        <f ca="1"/>
        <v>0.1327693229884494</v>
      </c>
      <c r="X5424" s="2">
        <f ca="1"/>
        <v>60.096098547570548</v>
      </c>
      <c r="AG5424" s="2">
        <f ca="1"/>
        <v>0.76500173553322348</v>
      </c>
      <c r="AH5424" s="2" t="str">
        <f ca="1"/>
        <v>Bad</v>
      </c>
    </row>
    <row r="5425" spans="2:34" x14ac:dyDescent="0.2">
      <c r="B5425" s="2">
        <f ca="1"/>
        <v>0.30654160126471197</v>
      </c>
      <c r="O5425" s="2">
        <f ca="1"/>
        <v>3.1062449557291072</v>
      </c>
      <c r="X5425" s="2">
        <f ca="1"/>
        <v>30.06755883439288</v>
      </c>
      <c r="AG5425" s="2">
        <f ca="1"/>
        <v>0.89161738598706775</v>
      </c>
      <c r="AH5425" s="2" t="str">
        <f ca="1"/>
        <v>Bad</v>
      </c>
    </row>
    <row r="5426" spans="2:34" x14ac:dyDescent="0.2">
      <c r="B5426" s="2">
        <f ca="1"/>
        <v>0.94013270680747607</v>
      </c>
      <c r="O5426" s="2">
        <f ca="1"/>
        <v>-0.41882148416995635</v>
      </c>
      <c r="X5426" s="2">
        <f ca="1"/>
        <v>41.508877890538997</v>
      </c>
      <c r="AG5426" s="2">
        <f ca="1"/>
        <v>0.40101806916147753</v>
      </c>
      <c r="AH5426" s="2" t="str">
        <f ca="1"/>
        <v>Bad</v>
      </c>
    </row>
    <row r="5427" spans="2:34" x14ac:dyDescent="0.2">
      <c r="B5427" s="2">
        <f ca="1"/>
        <v>0.66426306204390229</v>
      </c>
      <c r="O5427" s="2">
        <f ca="1"/>
        <v>0.64107666961776133</v>
      </c>
      <c r="X5427" s="2">
        <f ca="1"/>
        <v>30.189929613943697</v>
      </c>
      <c r="AG5427" s="2">
        <f ca="1"/>
        <v>0.62459457922385297</v>
      </c>
      <c r="AH5427" s="2" t="str">
        <f ca="1"/>
        <v>Bad</v>
      </c>
    </row>
    <row r="5428" spans="2:34" x14ac:dyDescent="0.2">
      <c r="B5428" s="2">
        <f ca="1"/>
        <v>0.66849526475434851</v>
      </c>
      <c r="O5428" s="2">
        <f ca="1"/>
        <v>8.4211030406384335E-2</v>
      </c>
      <c r="X5428" s="2">
        <f ca="1"/>
        <v>62.859125977401163</v>
      </c>
      <c r="AG5428" s="2">
        <f ca="1"/>
        <v>0.49146529346042644</v>
      </c>
      <c r="AH5428" s="2" t="str">
        <f ca="1"/>
        <v>Bad</v>
      </c>
    </row>
    <row r="5429" spans="2:34" x14ac:dyDescent="0.2">
      <c r="B5429" s="2">
        <f ca="1"/>
        <v>0.43347316664591817</v>
      </c>
      <c r="O5429" s="2">
        <f ca="1"/>
        <v>1.7754130862017965</v>
      </c>
      <c r="X5429" s="2">
        <f ca="1"/>
        <v>62.447624678849714</v>
      </c>
      <c r="AG5429" s="2">
        <f ca="1"/>
        <v>0.38165957373260806</v>
      </c>
      <c r="AH5429" s="2" t="str">
        <f ca="1"/>
        <v>OK</v>
      </c>
    </row>
    <row r="5430" spans="2:34" x14ac:dyDescent="0.2">
      <c r="B5430" s="2">
        <f ca="1"/>
        <v>0.98836804772395581</v>
      </c>
      <c r="O5430" s="2">
        <f ca="1"/>
        <v>-1.0073044978416892</v>
      </c>
      <c r="X5430" s="2">
        <f ca="1"/>
        <v>41.232047795538833</v>
      </c>
      <c r="AG5430" s="2">
        <f ca="1"/>
        <v>0.33023994899715237</v>
      </c>
      <c r="AH5430" s="2" t="str">
        <f ca="1"/>
        <v>OK</v>
      </c>
    </row>
    <row r="5431" spans="2:34" x14ac:dyDescent="0.2">
      <c r="B5431" s="2">
        <f ca="1"/>
        <v>0.90721380510058069</v>
      </c>
      <c r="O5431" s="2">
        <f ca="1"/>
        <v>-0.54591383145363936</v>
      </c>
      <c r="X5431" s="2">
        <f ca="1"/>
        <v>27.499227667371301</v>
      </c>
      <c r="AG5431" s="2">
        <f ca="1"/>
        <v>5.7249859664355141E-2</v>
      </c>
      <c r="AH5431" s="2" t="str">
        <f ca="1"/>
        <v>OK</v>
      </c>
    </row>
    <row r="5432" spans="2:34" x14ac:dyDescent="0.2">
      <c r="B5432" s="2">
        <f ca="1"/>
        <v>9.1998889580521492E-2</v>
      </c>
      <c r="O5432" s="2">
        <f ca="1"/>
        <v>-0.55869242906660399</v>
      </c>
      <c r="X5432" s="2">
        <f ca="1"/>
        <v>38.263981097932827</v>
      </c>
      <c r="AG5432" s="2">
        <f ca="1"/>
        <v>0.92090366334969143</v>
      </c>
      <c r="AH5432" s="2" t="str">
        <f ca="1"/>
        <v>Bad</v>
      </c>
    </row>
    <row r="5433" spans="2:34" x14ac:dyDescent="0.2">
      <c r="B5433" s="2">
        <f ca="1"/>
        <v>0.56437517147908145</v>
      </c>
      <c r="O5433" s="2">
        <f ca="1"/>
        <v>0.56825027848232057</v>
      </c>
      <c r="X5433" s="2">
        <f ca="1"/>
        <v>44.156962545345444</v>
      </c>
      <c r="AG5433" s="2">
        <f ca="1"/>
        <v>0.61008607535912596</v>
      </c>
      <c r="AH5433" s="2" t="str">
        <f ca="1"/>
        <v>Bad</v>
      </c>
    </row>
    <row r="5434" spans="2:34" x14ac:dyDescent="0.2">
      <c r="B5434" s="2">
        <f ca="1"/>
        <v>0.22851427334383145</v>
      </c>
      <c r="O5434" s="2">
        <f ca="1"/>
        <v>-0.46848440613939002</v>
      </c>
      <c r="X5434" s="2">
        <f ca="1"/>
        <v>49.412987906854482</v>
      </c>
      <c r="AG5434" s="2">
        <f ca="1"/>
        <v>0.1826197160139913</v>
      </c>
      <c r="AH5434" s="2" t="str">
        <f ca="1"/>
        <v>OK</v>
      </c>
    </row>
    <row r="5435" spans="2:34" x14ac:dyDescent="0.2">
      <c r="B5435" s="2">
        <f ca="1"/>
        <v>0.30460528341854043</v>
      </c>
      <c r="O5435" s="2">
        <f ca="1"/>
        <v>-0.78921851867620973</v>
      </c>
      <c r="X5435" s="2">
        <f ca="1"/>
        <v>43.16584845459743</v>
      </c>
      <c r="AG5435" s="2">
        <f ca="1"/>
        <v>0.54125853881688601</v>
      </c>
      <c r="AH5435" s="2" t="str">
        <f ca="1"/>
        <v>Bad</v>
      </c>
    </row>
    <row r="5436" spans="2:34" x14ac:dyDescent="0.2">
      <c r="B5436" s="2">
        <f ca="1"/>
        <v>4.0584489353259201E-3</v>
      </c>
      <c r="O5436" s="2">
        <f ca="1"/>
        <v>-2.8146953650400628E-2</v>
      </c>
      <c r="X5436" s="2">
        <f ca="1"/>
        <v>50.927710695896387</v>
      </c>
      <c r="AG5436" s="2">
        <f ca="1"/>
        <v>0.30828103533537599</v>
      </c>
      <c r="AH5436" s="2" t="str">
        <f ca="1"/>
        <v>OK</v>
      </c>
    </row>
    <row r="5437" spans="2:34" x14ac:dyDescent="0.2">
      <c r="B5437" s="2">
        <f ca="1"/>
        <v>7.477925969663346E-3</v>
      </c>
      <c r="O5437" s="2">
        <f ca="1"/>
        <v>-1.0830778044798098E-2</v>
      </c>
      <c r="X5437" s="2">
        <f ca="1"/>
        <v>30.818755162514726</v>
      </c>
      <c r="AG5437" s="2">
        <f ca="1"/>
        <v>0.84826370237673987</v>
      </c>
      <c r="AH5437" s="2" t="str">
        <f ca="1"/>
        <v>Bad</v>
      </c>
    </row>
    <row r="5438" spans="2:34" x14ac:dyDescent="0.2">
      <c r="B5438" s="2">
        <f ca="1"/>
        <v>0.72201569830503765</v>
      </c>
      <c r="O5438" s="2">
        <f ca="1"/>
        <v>0.10144610283825438</v>
      </c>
      <c r="X5438" s="2">
        <f ca="1"/>
        <v>39.660551004722848</v>
      </c>
      <c r="AG5438" s="2">
        <f ca="1"/>
        <v>0.67884085448233855</v>
      </c>
      <c r="AH5438" s="2" t="str">
        <f ca="1"/>
        <v>Bad</v>
      </c>
    </row>
    <row r="5439" spans="2:34" x14ac:dyDescent="0.2">
      <c r="B5439" s="2">
        <f ca="1"/>
        <v>6.4042104174402148E-3</v>
      </c>
      <c r="O5439" s="2">
        <f ca="1"/>
        <v>-0.67861007932630235</v>
      </c>
      <c r="X5439" s="2">
        <f ca="1"/>
        <v>76.221968247955516</v>
      </c>
      <c r="AG5439" s="2">
        <f ca="1"/>
        <v>0.2866973137642479</v>
      </c>
      <c r="AH5439" s="2" t="str">
        <f ca="1"/>
        <v>OK</v>
      </c>
    </row>
    <row r="5440" spans="2:34" x14ac:dyDescent="0.2">
      <c r="B5440" s="2">
        <f ca="1"/>
        <v>3.7105497862235381E-2</v>
      </c>
      <c r="O5440" s="2">
        <f ca="1"/>
        <v>-1.593219738989903</v>
      </c>
      <c r="X5440" s="2">
        <f ca="1"/>
        <v>51.544262018583176</v>
      </c>
      <c r="AG5440" s="2">
        <f ca="1"/>
        <v>0.6922370933845774</v>
      </c>
      <c r="AH5440" s="2" t="str">
        <f ca="1"/>
        <v>Bad</v>
      </c>
    </row>
    <row r="5441" spans="2:34" x14ac:dyDescent="0.2">
      <c r="B5441" s="2">
        <f ca="1"/>
        <v>0.51246923601985661</v>
      </c>
      <c r="O5441" s="2">
        <f ca="1"/>
        <v>2.114839285161191</v>
      </c>
      <c r="X5441" s="2">
        <f ca="1"/>
        <v>83.177447819988558</v>
      </c>
      <c r="AG5441" s="2">
        <f ca="1"/>
        <v>0.21231647715164259</v>
      </c>
      <c r="AH5441" s="2" t="str">
        <f ca="1"/>
        <v>OK</v>
      </c>
    </row>
    <row r="5442" spans="2:34" x14ac:dyDescent="0.2">
      <c r="B5442" s="2">
        <f ca="1"/>
        <v>1.0614919026598946E-2</v>
      </c>
      <c r="O5442" s="2">
        <f ca="1"/>
        <v>-0.20315395961641081</v>
      </c>
      <c r="X5442" s="2">
        <f ca="1"/>
        <v>55.803393574010471</v>
      </c>
      <c r="AG5442" s="2">
        <f ca="1"/>
        <v>0.203122654252202</v>
      </c>
      <c r="AH5442" s="2" t="str">
        <f ca="1"/>
        <v>OK</v>
      </c>
    </row>
    <row r="5443" spans="2:34" x14ac:dyDescent="0.2">
      <c r="B5443" s="2">
        <f ca="1"/>
        <v>0.15202950498425105</v>
      </c>
      <c r="O5443" s="2">
        <f ca="1"/>
        <v>1.1796756826512678</v>
      </c>
      <c r="X5443" s="2">
        <f ca="1"/>
        <v>27.185464499512975</v>
      </c>
      <c r="AG5443" s="2">
        <f ca="1"/>
        <v>0.36731774829773078</v>
      </c>
      <c r="AH5443" s="2" t="str">
        <f ca="1"/>
        <v>OK</v>
      </c>
    </row>
    <row r="5444" spans="2:34" x14ac:dyDescent="0.2">
      <c r="B5444" s="2">
        <f ca="1"/>
        <v>0.38334002794438882</v>
      </c>
      <c r="O5444" s="2">
        <f ca="1"/>
        <v>0.81977324254489248</v>
      </c>
      <c r="X5444" s="2">
        <f ca="1"/>
        <v>35.837099680187599</v>
      </c>
      <c r="AG5444" s="2">
        <f ca="1"/>
        <v>0.15583417429129853</v>
      </c>
      <c r="AH5444" s="2" t="str">
        <f ca="1"/>
        <v>OK</v>
      </c>
    </row>
    <row r="5445" spans="2:34" x14ac:dyDescent="0.2">
      <c r="B5445" s="2">
        <f ca="1"/>
        <v>0.58165799630009407</v>
      </c>
      <c r="O5445" s="2">
        <f ca="1"/>
        <v>-0.98634320918764062</v>
      </c>
      <c r="X5445" s="2">
        <f ca="1"/>
        <v>24.802481931395914</v>
      </c>
      <c r="AG5445" s="2">
        <f ca="1"/>
        <v>0.46741381633869827</v>
      </c>
      <c r="AH5445" s="2" t="str">
        <f ca="1"/>
        <v>Bad</v>
      </c>
    </row>
    <row r="5446" spans="2:34" x14ac:dyDescent="0.2">
      <c r="B5446" s="2">
        <f ca="1"/>
        <v>0.50741363367191483</v>
      </c>
      <c r="O5446" s="2">
        <f ca="1"/>
        <v>-1.4178491069261328</v>
      </c>
      <c r="X5446" s="2">
        <f ca="1"/>
        <v>45.274982153508816</v>
      </c>
      <c r="AG5446" s="2">
        <f ca="1"/>
        <v>0.42710088405024993</v>
      </c>
      <c r="AH5446" s="2" t="str">
        <f ca="1"/>
        <v>Bad</v>
      </c>
    </row>
    <row r="5447" spans="2:34" x14ac:dyDescent="0.2">
      <c r="B5447" s="2">
        <f ca="1"/>
        <v>0.94112361520705168</v>
      </c>
      <c r="O5447" s="2">
        <f ca="1"/>
        <v>1.6080430167012481</v>
      </c>
      <c r="X5447" s="2">
        <f ca="1"/>
        <v>51.528245749941817</v>
      </c>
      <c r="AG5447" s="2">
        <f ca="1"/>
        <v>0.909928282776854</v>
      </c>
      <c r="AH5447" s="2" t="str">
        <f ca="1"/>
        <v>Bad</v>
      </c>
    </row>
    <row r="5448" spans="2:34" x14ac:dyDescent="0.2">
      <c r="B5448" s="2">
        <f ca="1"/>
        <v>0.4079833747798205</v>
      </c>
      <c r="O5448" s="2">
        <f ca="1"/>
        <v>-0.29829140815541216</v>
      </c>
      <c r="X5448" s="2">
        <f ca="1"/>
        <v>47.74346514816078</v>
      </c>
      <c r="AG5448" s="2">
        <f ca="1"/>
        <v>0.55931890566086184</v>
      </c>
      <c r="AH5448" s="2" t="str">
        <f ca="1"/>
        <v>Bad</v>
      </c>
    </row>
    <row r="5449" spans="2:34" x14ac:dyDescent="0.2">
      <c r="B5449" s="2">
        <f ca="1"/>
        <v>0.99128061226871056</v>
      </c>
      <c r="O5449" s="2">
        <f ca="1"/>
        <v>0.49004664749921195</v>
      </c>
      <c r="X5449" s="2">
        <f ca="1"/>
        <v>55.012684083550923</v>
      </c>
      <c r="AG5449" s="2">
        <f ca="1"/>
        <v>0.63740583254107164</v>
      </c>
      <c r="AH5449" s="2" t="str">
        <f ca="1"/>
        <v>Bad</v>
      </c>
    </row>
    <row r="5450" spans="2:34" x14ac:dyDescent="0.2">
      <c r="B5450" s="2">
        <f ca="1"/>
        <v>0.98257591130752941</v>
      </c>
      <c r="O5450" s="2">
        <f ca="1"/>
        <v>0.32548057811966941</v>
      </c>
      <c r="X5450" s="2">
        <f ca="1"/>
        <v>44.509314561930452</v>
      </c>
      <c r="AG5450" s="2">
        <f ca="1"/>
        <v>0.30283199476387046</v>
      </c>
      <c r="AH5450" s="2" t="str">
        <f ca="1"/>
        <v>OK</v>
      </c>
    </row>
    <row r="5451" spans="2:34" x14ac:dyDescent="0.2">
      <c r="B5451" s="2">
        <f ca="1"/>
        <v>0.13368736665101499</v>
      </c>
      <c r="O5451" s="2">
        <f ca="1"/>
        <v>-7.970717861558561E-3</v>
      </c>
      <c r="X5451" s="2">
        <f ca="1"/>
        <v>37.489816062838337</v>
      </c>
      <c r="AG5451" s="2">
        <f ca="1"/>
        <v>0.20136564596365414</v>
      </c>
      <c r="AH5451" s="2" t="str">
        <f ca="1"/>
        <v>OK</v>
      </c>
    </row>
    <row r="5452" spans="2:34" x14ac:dyDescent="0.2">
      <c r="B5452" s="2">
        <f ca="1"/>
        <v>0.34014611185208166</v>
      </c>
      <c r="O5452" s="2">
        <f ca="1"/>
        <v>1.0271599662199238</v>
      </c>
      <c r="X5452" s="2">
        <f ca="1"/>
        <v>70.954771648167039</v>
      </c>
      <c r="AG5452" s="2">
        <f ca="1"/>
        <v>0.44542111998032929</v>
      </c>
      <c r="AH5452" s="2" t="str">
        <f ca="1"/>
        <v>Bad</v>
      </c>
    </row>
    <row r="5453" spans="2:34" x14ac:dyDescent="0.2">
      <c r="B5453" s="2">
        <f ca="1"/>
        <v>0.4894265264626807</v>
      </c>
      <c r="O5453" s="2">
        <f ca="1"/>
        <v>0.25126877943873993</v>
      </c>
      <c r="X5453" s="2">
        <f ca="1"/>
        <v>55.614905349722541</v>
      </c>
      <c r="AG5453" s="2">
        <f ca="1"/>
        <v>0.99598006868237099</v>
      </c>
      <c r="AH5453" s="2" t="str">
        <f ca="1"/>
        <v>Bad</v>
      </c>
    </row>
    <row r="5454" spans="2:34" x14ac:dyDescent="0.2">
      <c r="B5454" s="2">
        <f ca="1"/>
        <v>0.23863265978899473</v>
      </c>
      <c r="O5454" s="2">
        <f ca="1"/>
        <v>-6.3029341748483986E-2</v>
      </c>
      <c r="X5454" s="2">
        <f ca="1"/>
        <v>53.570252897845293</v>
      </c>
      <c r="AG5454" s="2">
        <f ca="1"/>
        <v>0.28269302451846579</v>
      </c>
      <c r="AH5454" s="2" t="str">
        <f ca="1"/>
        <v>OK</v>
      </c>
    </row>
    <row r="5455" spans="2:34" x14ac:dyDescent="0.2">
      <c r="B5455" s="2">
        <f ca="1"/>
        <v>0.34639551937400359</v>
      </c>
      <c r="O5455" s="2">
        <f ca="1"/>
        <v>1.3257835837421876</v>
      </c>
      <c r="X5455" s="2">
        <f ca="1"/>
        <v>22.283130401450375</v>
      </c>
      <c r="AG5455" s="2">
        <f ca="1"/>
        <v>0.61687960889475679</v>
      </c>
      <c r="AH5455" s="2" t="str">
        <f ca="1"/>
        <v>Bad</v>
      </c>
    </row>
    <row r="5456" spans="2:34" x14ac:dyDescent="0.2">
      <c r="B5456" s="2">
        <f ca="1"/>
        <v>0.62036433149733838</v>
      </c>
      <c r="O5456" s="2">
        <f ca="1"/>
        <v>-0.66675845022771185</v>
      </c>
      <c r="X5456" s="2">
        <f ca="1"/>
        <v>34.452839562270547</v>
      </c>
      <c r="AG5456" s="2">
        <f ca="1"/>
        <v>0.87642537130050724</v>
      </c>
      <c r="AH5456" s="2" t="str">
        <f ca="1"/>
        <v>Bad</v>
      </c>
    </row>
    <row r="5457" spans="2:34" x14ac:dyDescent="0.2">
      <c r="B5457" s="2">
        <f ca="1"/>
        <v>0.28648282325994523</v>
      </c>
      <c r="O5457" s="2">
        <f ca="1"/>
        <v>0.99965089912236038</v>
      </c>
      <c r="X5457" s="2">
        <f ca="1"/>
        <v>36.495719071299774</v>
      </c>
      <c r="AG5457" s="2">
        <f ca="1"/>
        <v>0.89410262144039243</v>
      </c>
      <c r="AH5457" s="2" t="str">
        <f ca="1"/>
        <v>Bad</v>
      </c>
    </row>
    <row r="5458" spans="2:34" x14ac:dyDescent="0.2">
      <c r="B5458" s="2">
        <f ca="1"/>
        <v>0.27945987021542251</v>
      </c>
      <c r="O5458" s="2">
        <f ca="1"/>
        <v>-0.36021227807200656</v>
      </c>
      <c r="X5458" s="2">
        <f ca="1"/>
        <v>26.361846470352724</v>
      </c>
      <c r="AG5458" s="2">
        <f ca="1"/>
        <v>0.96057248298393416</v>
      </c>
      <c r="AH5458" s="2" t="str">
        <f ca="1"/>
        <v>Bad</v>
      </c>
    </row>
    <row r="5459" spans="2:34" x14ac:dyDescent="0.2">
      <c r="B5459" s="2">
        <f ca="1"/>
        <v>0.76214688903308914</v>
      </c>
      <c r="O5459" s="2">
        <f ca="1"/>
        <v>-1.5154070548488554</v>
      </c>
      <c r="X5459" s="2">
        <f ca="1"/>
        <v>51.528001579466121</v>
      </c>
      <c r="AG5459" s="2">
        <f ca="1"/>
        <v>0.25257914474265886</v>
      </c>
      <c r="AH5459" s="2" t="str">
        <f ca="1"/>
        <v>OK</v>
      </c>
    </row>
    <row r="5460" spans="2:34" x14ac:dyDescent="0.2">
      <c r="B5460" s="2">
        <f ca="1"/>
        <v>0.11752623018927943</v>
      </c>
      <c r="O5460" s="2">
        <f ca="1"/>
        <v>-2.098635423189477</v>
      </c>
      <c r="X5460" s="2">
        <f ca="1"/>
        <v>51.100159574920625</v>
      </c>
      <c r="AG5460" s="2">
        <f ca="1"/>
        <v>0.93527532197118779</v>
      </c>
      <c r="AH5460" s="2" t="str">
        <f ca="1"/>
        <v>Bad</v>
      </c>
    </row>
    <row r="5461" spans="2:34" x14ac:dyDescent="0.2">
      <c r="B5461" s="2">
        <f ca="1"/>
        <v>0.17470305657225116</v>
      </c>
      <c r="O5461" s="2">
        <f ca="1"/>
        <v>0.90674402519085406</v>
      </c>
      <c r="X5461" s="2">
        <f ca="1"/>
        <v>49.256747056436282</v>
      </c>
      <c r="AG5461" s="2">
        <f ca="1"/>
        <v>0.40520114062416046</v>
      </c>
      <c r="AH5461" s="2" t="str">
        <f ca="1"/>
        <v>Bad</v>
      </c>
    </row>
    <row r="5462" spans="2:34" x14ac:dyDescent="0.2">
      <c r="B5462" s="2">
        <f ca="1"/>
        <v>0.97656210549000044</v>
      </c>
      <c r="O5462" s="2">
        <f ca="1"/>
        <v>1.2078839460499575</v>
      </c>
      <c r="X5462" s="2">
        <f ca="1"/>
        <v>51.047723808237208</v>
      </c>
      <c r="AG5462" s="2">
        <f ca="1"/>
        <v>0.36639511847673756</v>
      </c>
      <c r="AH5462" s="2" t="str">
        <f ca="1"/>
        <v>OK</v>
      </c>
    </row>
    <row r="5463" spans="2:34" x14ac:dyDescent="0.2">
      <c r="B5463" s="2">
        <f ca="1"/>
        <v>0.80429214053513509</v>
      </c>
      <c r="O5463" s="2">
        <f ca="1"/>
        <v>-1.5505200978698375</v>
      </c>
      <c r="X5463" s="2">
        <f ca="1"/>
        <v>50.534672914816888</v>
      </c>
      <c r="AG5463" s="2">
        <f ca="1"/>
        <v>0.51584317809868607</v>
      </c>
      <c r="AH5463" s="2" t="str">
        <f ca="1"/>
        <v>Bad</v>
      </c>
    </row>
    <row r="5464" spans="2:34" x14ac:dyDescent="0.2">
      <c r="B5464" s="2">
        <f ca="1"/>
        <v>0.86686197324747472</v>
      </c>
      <c r="O5464" s="2">
        <f ca="1"/>
        <v>1.7125545569697618</v>
      </c>
      <c r="X5464" s="2">
        <f ca="1"/>
        <v>40.107711918757545</v>
      </c>
      <c r="AG5464" s="2">
        <f ca="1"/>
        <v>0.87121471099817582</v>
      </c>
      <c r="AH5464" s="2" t="str">
        <f ca="1"/>
        <v>Bad</v>
      </c>
    </row>
    <row r="5465" spans="2:34" x14ac:dyDescent="0.2">
      <c r="B5465" s="2">
        <f ca="1"/>
        <v>0.27621791686653507</v>
      </c>
      <c r="O5465" s="2">
        <f ca="1"/>
        <v>-0.45775567051735538</v>
      </c>
      <c r="X5465" s="2">
        <f ca="1"/>
        <v>50.895168593318814</v>
      </c>
      <c r="AG5465" s="2">
        <f ca="1"/>
        <v>0.3563305396494385</v>
      </c>
      <c r="AH5465" s="2" t="str">
        <f ca="1"/>
        <v>OK</v>
      </c>
    </row>
    <row r="5466" spans="2:34" x14ac:dyDescent="0.2">
      <c r="B5466" s="2">
        <f ca="1"/>
        <v>0.34805625640180726</v>
      </c>
      <c r="O5466" s="2">
        <f ca="1"/>
        <v>-0.39306876762068582</v>
      </c>
      <c r="X5466" s="2">
        <f ca="1"/>
        <v>44.671598798150008</v>
      </c>
      <c r="AG5466" s="2">
        <f ca="1"/>
        <v>0.64948919682808648</v>
      </c>
      <c r="AH5466" s="2" t="str">
        <f ca="1"/>
        <v>Bad</v>
      </c>
    </row>
    <row r="5467" spans="2:34" x14ac:dyDescent="0.2">
      <c r="B5467" s="2">
        <f ca="1"/>
        <v>0.68692201438479561</v>
      </c>
      <c r="O5467" s="2">
        <f ca="1"/>
        <v>-8.3468260972375155E-2</v>
      </c>
      <c r="X5467" s="2">
        <f ca="1"/>
        <v>62.021005597427134</v>
      </c>
      <c r="AG5467" s="2">
        <f ca="1"/>
        <v>0.4970390948404626</v>
      </c>
      <c r="AH5467" s="2" t="str">
        <f ca="1"/>
        <v>Bad</v>
      </c>
    </row>
    <row r="5468" spans="2:34" x14ac:dyDescent="0.2">
      <c r="B5468" s="2">
        <f ca="1"/>
        <v>0.40710067088627788</v>
      </c>
      <c r="O5468" s="2">
        <f ca="1"/>
        <v>8.377233315546212E-2</v>
      </c>
      <c r="X5468" s="2">
        <f ca="1"/>
        <v>43.203559177028652</v>
      </c>
      <c r="AG5468" s="2">
        <f ca="1"/>
        <v>0.45256684764455879</v>
      </c>
      <c r="AH5468" s="2" t="str">
        <f ca="1"/>
        <v>Bad</v>
      </c>
    </row>
    <row r="5469" spans="2:34" x14ac:dyDescent="0.2">
      <c r="B5469" s="2">
        <f ca="1"/>
        <v>0.3168911801355887</v>
      </c>
      <c r="O5469" s="2">
        <f ca="1"/>
        <v>-0.70285167165726625</v>
      </c>
      <c r="X5469" s="2">
        <f ca="1"/>
        <v>66.013844582572986</v>
      </c>
      <c r="AG5469" s="2">
        <f ca="1"/>
        <v>0.96760671578994994</v>
      </c>
      <c r="AH5469" s="2" t="str">
        <f ca="1"/>
        <v>Bad</v>
      </c>
    </row>
    <row r="5470" spans="2:34" x14ac:dyDescent="0.2">
      <c r="B5470" s="2">
        <f ca="1"/>
        <v>0.66013861323050826</v>
      </c>
      <c r="O5470" s="2">
        <f ca="1"/>
        <v>0.58120552667770897</v>
      </c>
      <c r="X5470" s="2">
        <f ca="1"/>
        <v>76.097803787557197</v>
      </c>
      <c r="AG5470" s="2">
        <f ca="1"/>
        <v>0.41181960522256245</v>
      </c>
      <c r="AH5470" s="2" t="str">
        <f ca="1"/>
        <v>Bad</v>
      </c>
    </row>
    <row r="5471" spans="2:34" x14ac:dyDescent="0.2">
      <c r="B5471" s="2">
        <f ca="1"/>
        <v>0.81007960978940985</v>
      </c>
      <c r="O5471" s="2">
        <f ca="1"/>
        <v>1.3535576210248175</v>
      </c>
      <c r="X5471" s="2">
        <f ca="1"/>
        <v>35.265438866749733</v>
      </c>
      <c r="AG5471" s="2">
        <f ca="1"/>
        <v>0.68260433263842835</v>
      </c>
      <c r="AH5471" s="2" t="str">
        <f ca="1"/>
        <v>Bad</v>
      </c>
    </row>
    <row r="5472" spans="2:34" x14ac:dyDescent="0.2">
      <c r="B5472" s="2">
        <f ca="1"/>
        <v>0.82042426343065555</v>
      </c>
      <c r="O5472" s="2">
        <f ca="1"/>
        <v>0.1171492844170085</v>
      </c>
      <c r="X5472" s="2">
        <f ca="1"/>
        <v>44.529582056327897</v>
      </c>
      <c r="AG5472" s="2">
        <f ca="1"/>
        <v>9.6714082329270923E-2</v>
      </c>
      <c r="AH5472" s="2" t="str">
        <f ca="1"/>
        <v>OK</v>
      </c>
    </row>
    <row r="5473" spans="2:34" x14ac:dyDescent="0.2">
      <c r="B5473" s="2">
        <f ca="1"/>
        <v>0.14898174183014801</v>
      </c>
      <c r="O5473" s="2">
        <f ca="1"/>
        <v>-0.20918712903332012</v>
      </c>
      <c r="X5473" s="2">
        <f ca="1"/>
        <v>66.990379600972318</v>
      </c>
      <c r="AG5473" s="2">
        <f ca="1"/>
        <v>0.45417839378271196</v>
      </c>
      <c r="AH5473" s="2" t="str">
        <f ca="1"/>
        <v>Bad</v>
      </c>
    </row>
    <row r="5474" spans="2:34" x14ac:dyDescent="0.2">
      <c r="B5474" s="2">
        <f ca="1"/>
        <v>0.37761611166092979</v>
      </c>
      <c r="O5474" s="2">
        <f ca="1"/>
        <v>-0.22342596647320495</v>
      </c>
      <c r="X5474" s="2">
        <f ca="1"/>
        <v>60.336728930891525</v>
      </c>
      <c r="AG5474" s="2">
        <f ca="1"/>
        <v>0.62872594158482564</v>
      </c>
      <c r="AH5474" s="2" t="str">
        <f ca="1"/>
        <v>Bad</v>
      </c>
    </row>
    <row r="5475" spans="2:34" x14ac:dyDescent="0.2">
      <c r="B5475" s="2">
        <f ca="1"/>
        <v>0.80515954909226228</v>
      </c>
      <c r="O5475" s="2">
        <f ca="1"/>
        <v>0.19976379505173184</v>
      </c>
      <c r="X5475" s="2">
        <f ca="1"/>
        <v>31.569891181573059</v>
      </c>
      <c r="AG5475" s="2">
        <f ca="1"/>
        <v>0.81752810890720373</v>
      </c>
      <c r="AH5475" s="2" t="str">
        <f ca="1"/>
        <v>Bad</v>
      </c>
    </row>
    <row r="5476" spans="2:34" x14ac:dyDescent="0.2">
      <c r="B5476" s="2">
        <f ca="1"/>
        <v>0.39508500033162086</v>
      </c>
      <c r="O5476" s="2">
        <f ca="1"/>
        <v>-1.5468165173730153</v>
      </c>
      <c r="X5476" s="2">
        <f ca="1"/>
        <v>70.867003930068293</v>
      </c>
      <c r="AG5476" s="2">
        <f ca="1"/>
        <v>0.76922620501151351</v>
      </c>
      <c r="AH5476" s="2" t="str">
        <f ca="1"/>
        <v>Bad</v>
      </c>
    </row>
    <row r="5477" spans="2:34" x14ac:dyDescent="0.2">
      <c r="B5477" s="2">
        <f ca="1"/>
        <v>0.61707318225148966</v>
      </c>
      <c r="O5477" s="2">
        <f ca="1"/>
        <v>0.13069132549210874</v>
      </c>
      <c r="X5477" s="2">
        <f ca="1"/>
        <v>41.623570122201357</v>
      </c>
      <c r="AG5477" s="2">
        <f ca="1"/>
        <v>0.84514082856333483</v>
      </c>
      <c r="AH5477" s="2" t="str">
        <f ca="1"/>
        <v>Bad</v>
      </c>
    </row>
    <row r="5478" spans="2:34" x14ac:dyDescent="0.2">
      <c r="B5478" s="2">
        <f ca="1"/>
        <v>7.0202406848479892E-2</v>
      </c>
      <c r="O5478" s="2">
        <f ca="1"/>
        <v>-0.97521775102171204</v>
      </c>
      <c r="X5478" s="2">
        <f ca="1"/>
        <v>48.005176890220199</v>
      </c>
      <c r="AG5478" s="2">
        <f ca="1"/>
        <v>0.87833248484211035</v>
      </c>
      <c r="AH5478" s="2" t="str">
        <f ca="1"/>
        <v>Bad</v>
      </c>
    </row>
    <row r="5479" spans="2:34" x14ac:dyDescent="0.2">
      <c r="B5479" s="2">
        <f ca="1"/>
        <v>0.68088758899619295</v>
      </c>
      <c r="O5479" s="2">
        <f ca="1"/>
        <v>-0.71513957480918056</v>
      </c>
      <c r="X5479" s="2">
        <f ca="1"/>
        <v>34.45940341933337</v>
      </c>
      <c r="AG5479" s="2">
        <f ca="1"/>
        <v>0.30402569469700014</v>
      </c>
      <c r="AH5479" s="2" t="str">
        <f ca="1"/>
        <v>OK</v>
      </c>
    </row>
    <row r="5480" spans="2:34" x14ac:dyDescent="0.2">
      <c r="B5480" s="2">
        <f ca="1"/>
        <v>0.80926040152682921</v>
      </c>
      <c r="O5480" s="2">
        <f ca="1"/>
        <v>-0.46511422966259824</v>
      </c>
      <c r="X5480" s="2">
        <f ca="1"/>
        <v>39.748145318811503</v>
      </c>
      <c r="AG5480" s="2">
        <f ca="1"/>
        <v>0.94984647394420096</v>
      </c>
      <c r="AH5480" s="2" t="str">
        <f ca="1"/>
        <v>Bad</v>
      </c>
    </row>
    <row r="5481" spans="2:34" x14ac:dyDescent="0.2">
      <c r="B5481" s="2">
        <f ca="1"/>
        <v>0.26411748641217447</v>
      </c>
      <c r="O5481" s="2">
        <f ca="1"/>
        <v>-0.74256119905578666</v>
      </c>
      <c r="X5481" s="2">
        <f ca="1"/>
        <v>59.593216970757695</v>
      </c>
      <c r="AG5481" s="2">
        <f ca="1"/>
        <v>0.30989711996293923</v>
      </c>
      <c r="AH5481" s="2" t="str">
        <f ca="1"/>
        <v>OK</v>
      </c>
    </row>
    <row r="5482" spans="2:34" x14ac:dyDescent="0.2">
      <c r="B5482" s="2">
        <f ca="1"/>
        <v>0.12995414582365528</v>
      </c>
      <c r="O5482" s="2">
        <f ca="1"/>
        <v>1.4447886971023949</v>
      </c>
      <c r="X5482" s="2">
        <f ca="1"/>
        <v>60.452998535709888</v>
      </c>
      <c r="AG5482" s="2">
        <f ca="1"/>
        <v>0.6110413714955012</v>
      </c>
      <c r="AH5482" s="2" t="str">
        <f ca="1"/>
        <v>Bad</v>
      </c>
    </row>
    <row r="5483" spans="2:34" x14ac:dyDescent="0.2">
      <c r="B5483" s="2">
        <f ca="1"/>
        <v>0.74748832723486358</v>
      </c>
      <c r="O5483" s="2">
        <f ca="1"/>
        <v>1.665632355966026</v>
      </c>
      <c r="X5483" s="2">
        <f ca="1"/>
        <v>46.614244738590031</v>
      </c>
      <c r="AG5483" s="2">
        <f ca="1"/>
        <v>0.45286728262378984</v>
      </c>
      <c r="AH5483" s="2" t="str">
        <f ca="1"/>
        <v>Bad</v>
      </c>
    </row>
    <row r="5484" spans="2:34" x14ac:dyDescent="0.2">
      <c r="B5484" s="2">
        <f ca="1"/>
        <v>0.43198521980621685</v>
      </c>
      <c r="O5484" s="2">
        <f ca="1"/>
        <v>-0.4978752441370094</v>
      </c>
      <c r="X5484" s="2">
        <f ca="1"/>
        <v>59.396742553543007</v>
      </c>
      <c r="AG5484" s="2">
        <f ca="1"/>
        <v>0.31368508089143887</v>
      </c>
      <c r="AH5484" s="2" t="str">
        <f ca="1"/>
        <v>OK</v>
      </c>
    </row>
    <row r="5485" spans="2:34" x14ac:dyDescent="0.2">
      <c r="B5485" s="2">
        <f ca="1"/>
        <v>0.73979530932135162</v>
      </c>
      <c r="O5485" s="2">
        <f ca="1"/>
        <v>0.83740988666036276</v>
      </c>
      <c r="X5485" s="2">
        <f ca="1"/>
        <v>60.866951441799657</v>
      </c>
      <c r="AG5485" s="2">
        <f ca="1"/>
        <v>0.75113276313156407</v>
      </c>
      <c r="AH5485" s="2" t="str">
        <f ca="1"/>
        <v>Bad</v>
      </c>
    </row>
    <row r="5486" spans="2:34" x14ac:dyDescent="0.2">
      <c r="B5486" s="2">
        <f ca="1"/>
        <v>0.11344775170451471</v>
      </c>
      <c r="O5486" s="2">
        <f ca="1"/>
        <v>-0.99670795089992981</v>
      </c>
      <c r="X5486" s="2">
        <f ca="1"/>
        <v>55.663913125302344</v>
      </c>
      <c r="AG5486" s="2">
        <f ca="1"/>
        <v>0.92742509043630839</v>
      </c>
      <c r="AH5486" s="2" t="str">
        <f ca="1"/>
        <v>Bad</v>
      </c>
    </row>
    <row r="5487" spans="2:34" x14ac:dyDescent="0.2">
      <c r="B5487" s="2">
        <f ca="1"/>
        <v>0.31147388900315232</v>
      </c>
      <c r="O5487" s="2">
        <f ca="1"/>
        <v>-1.4242047845989783</v>
      </c>
      <c r="X5487" s="2">
        <f ca="1"/>
        <v>34.637795651851157</v>
      </c>
      <c r="AG5487" s="2">
        <f ca="1"/>
        <v>0.83990687325066493</v>
      </c>
      <c r="AH5487" s="2" t="str">
        <f ca="1"/>
        <v>Bad</v>
      </c>
    </row>
    <row r="5488" spans="2:34" x14ac:dyDescent="0.2">
      <c r="B5488" s="2">
        <f ca="1"/>
        <v>0.25465792973519341</v>
      </c>
      <c r="O5488" s="2">
        <f ca="1"/>
        <v>3.2036506464182338E-2</v>
      </c>
      <c r="X5488" s="2">
        <f ca="1"/>
        <v>95.043848976916337</v>
      </c>
      <c r="AG5488" s="2">
        <f ca="1"/>
        <v>0.1556286029097802</v>
      </c>
      <c r="AH5488" s="2" t="str">
        <f ca="1"/>
        <v>OK</v>
      </c>
    </row>
    <row r="5489" spans="2:34" x14ac:dyDescent="0.2">
      <c r="B5489" s="2">
        <f ca="1"/>
        <v>0.63401787272148202</v>
      </c>
      <c r="O5489" s="2">
        <f ca="1"/>
        <v>-0.87707383221850022</v>
      </c>
      <c r="X5489" s="2">
        <f ca="1"/>
        <v>45.181676077974629</v>
      </c>
      <c r="AG5489" s="2">
        <f ca="1"/>
        <v>0.95982735373317052</v>
      </c>
      <c r="AH5489" s="2" t="str">
        <f ca="1"/>
        <v>Bad</v>
      </c>
    </row>
    <row r="5490" spans="2:34" x14ac:dyDescent="0.2">
      <c r="B5490" s="2">
        <f ca="1"/>
        <v>0.30919525407723403</v>
      </c>
      <c r="O5490" s="2">
        <f ca="1"/>
        <v>-0.33957670826062425</v>
      </c>
      <c r="X5490" s="2">
        <f ca="1"/>
        <v>50.71321929088532</v>
      </c>
      <c r="AG5490" s="2">
        <f ca="1"/>
        <v>0.67921823785835023</v>
      </c>
      <c r="AH5490" s="2" t="str">
        <f ca="1"/>
        <v>Bad</v>
      </c>
    </row>
    <row r="5491" spans="2:34" x14ac:dyDescent="0.2">
      <c r="B5491" s="2">
        <f ca="1"/>
        <v>0.14834061605172066</v>
      </c>
      <c r="O5491" s="2">
        <f ca="1"/>
        <v>1.1399825389114571E-2</v>
      </c>
      <c r="X5491" s="2">
        <f ca="1"/>
        <v>82.320447109926022</v>
      </c>
      <c r="AG5491" s="2">
        <f ca="1"/>
        <v>0.99445492762460996</v>
      </c>
      <c r="AH5491" s="2" t="str">
        <f ca="1"/>
        <v>Bad</v>
      </c>
    </row>
    <row r="5492" spans="2:34" x14ac:dyDescent="0.2">
      <c r="B5492" s="2">
        <f ca="1"/>
        <v>0.69887465105536362</v>
      </c>
      <c r="O5492" s="2">
        <f ca="1"/>
        <v>8.0996120817132852E-2</v>
      </c>
      <c r="X5492" s="2">
        <f ca="1"/>
        <v>59.288085576264407</v>
      </c>
      <c r="AG5492" s="2">
        <f ca="1"/>
        <v>0.73695963393293629</v>
      </c>
      <c r="AH5492" s="2" t="str">
        <f ca="1"/>
        <v>Bad</v>
      </c>
    </row>
    <row r="5493" spans="2:34" x14ac:dyDescent="0.2">
      <c r="B5493" s="2">
        <f ca="1"/>
        <v>0.55604799460397092</v>
      </c>
      <c r="O5493" s="2">
        <f ca="1"/>
        <v>-1.2723500078321146</v>
      </c>
      <c r="X5493" s="2">
        <f ca="1"/>
        <v>36.388650719937665</v>
      </c>
      <c r="AG5493" s="2">
        <f ca="1"/>
        <v>0.49620305305940793</v>
      </c>
      <c r="AH5493" s="2" t="str">
        <f ca="1"/>
        <v>Bad</v>
      </c>
    </row>
    <row r="5494" spans="2:34" x14ac:dyDescent="0.2">
      <c r="B5494" s="2">
        <f ca="1"/>
        <v>8.6017618569422583E-2</v>
      </c>
      <c r="O5494" s="2">
        <f ca="1"/>
        <v>0.90709909943533307</v>
      </c>
      <c r="X5494" s="2">
        <f ca="1"/>
        <v>51.862549956089183</v>
      </c>
      <c r="AG5494" s="2">
        <f ca="1"/>
        <v>0.35889033597554909</v>
      </c>
      <c r="AH5494" s="2" t="str">
        <f ca="1"/>
        <v>OK</v>
      </c>
    </row>
    <row r="5495" spans="2:34" x14ac:dyDescent="0.2">
      <c r="B5495" s="2">
        <f ca="1"/>
        <v>0.53988035379250565</v>
      </c>
      <c r="O5495" s="2">
        <f ca="1"/>
        <v>0.40438301480490263</v>
      </c>
      <c r="X5495" s="2">
        <f ca="1"/>
        <v>73.155753246720124</v>
      </c>
      <c r="AG5495" s="2">
        <f ca="1"/>
        <v>0.23326199162106587</v>
      </c>
      <c r="AH5495" s="2" t="str">
        <f ca="1"/>
        <v>OK</v>
      </c>
    </row>
    <row r="5496" spans="2:34" x14ac:dyDescent="0.2">
      <c r="B5496" s="2">
        <f ca="1"/>
        <v>4.4362801842674049E-2</v>
      </c>
      <c r="O5496" s="2">
        <f ca="1"/>
        <v>-0.40596950811906007</v>
      </c>
      <c r="X5496" s="2">
        <f ca="1"/>
        <v>76.454312652966053</v>
      </c>
      <c r="AG5496" s="2">
        <f ca="1"/>
        <v>0.48193626897189534</v>
      </c>
      <c r="AH5496" s="2" t="str">
        <f ca="1"/>
        <v>Bad</v>
      </c>
    </row>
    <row r="5497" spans="2:34" x14ac:dyDescent="0.2">
      <c r="B5497" s="2">
        <f ca="1"/>
        <v>0.13364874138900462</v>
      </c>
      <c r="O5497" s="2">
        <f ca="1"/>
        <v>-1.2375505793028445</v>
      </c>
      <c r="X5497" s="2">
        <f ca="1"/>
        <v>80.699633652605286</v>
      </c>
      <c r="AG5497" s="2">
        <f ca="1"/>
        <v>7.9503938994014645E-2</v>
      </c>
      <c r="AH5497" s="2" t="str">
        <f ca="1"/>
        <v>OK</v>
      </c>
    </row>
    <row r="5498" spans="2:34" x14ac:dyDescent="0.2">
      <c r="B5498" s="2">
        <f ca="1"/>
        <v>0.56493000166854301</v>
      </c>
      <c r="O5498" s="2">
        <f ca="1"/>
        <v>-2.0765586172836456E-2</v>
      </c>
      <c r="X5498" s="2">
        <f ca="1"/>
        <v>21.928498301879166</v>
      </c>
      <c r="AG5498" s="2">
        <f ca="1"/>
        <v>0.78143367630717853</v>
      </c>
      <c r="AH5498" s="2" t="str">
        <f ca="1"/>
        <v>Bad</v>
      </c>
    </row>
    <row r="5499" spans="2:34" x14ac:dyDescent="0.2">
      <c r="B5499" s="2">
        <f ca="1"/>
        <v>6.5057055844672362E-2</v>
      </c>
      <c r="O5499" s="2">
        <f ca="1"/>
        <v>-0.3967945781928095</v>
      </c>
      <c r="X5499" s="2">
        <f ca="1"/>
        <v>52.212819861400334</v>
      </c>
      <c r="AG5499" s="2">
        <f ca="1"/>
        <v>0.46429385837866821</v>
      </c>
      <c r="AH5499" s="2" t="str">
        <f ca="1"/>
        <v>Bad</v>
      </c>
    </row>
    <row r="5500" spans="2:34" x14ac:dyDescent="0.2">
      <c r="B5500" s="2">
        <f ca="1"/>
        <v>8.1363353425857099E-2</v>
      </c>
      <c r="O5500" s="2">
        <f ca="1"/>
        <v>1.3623768691694893</v>
      </c>
      <c r="X5500" s="2">
        <f ca="1"/>
        <v>71.729163213258786</v>
      </c>
      <c r="AG5500" s="2">
        <f ca="1"/>
        <v>0.42211169759332057</v>
      </c>
      <c r="AH5500" s="2" t="str">
        <f ca="1"/>
        <v>Bad</v>
      </c>
    </row>
    <row r="5501" spans="2:34" x14ac:dyDescent="0.2">
      <c r="B5501" s="2">
        <f ca="1"/>
        <v>0.49593146366959395</v>
      </c>
      <c r="O5501" s="2">
        <f ca="1"/>
        <v>1.0713503532036988</v>
      </c>
      <c r="X5501" s="2">
        <f ca="1"/>
        <v>58.017745477975112</v>
      </c>
      <c r="AG5501" s="2">
        <f ca="1"/>
        <v>0.6571197491100258</v>
      </c>
      <c r="AH5501" s="2" t="str">
        <f ca="1"/>
        <v>Bad</v>
      </c>
    </row>
    <row r="5502" spans="2:34" x14ac:dyDescent="0.2">
      <c r="B5502" s="2">
        <f ca="1"/>
        <v>0.39428529640630372</v>
      </c>
      <c r="O5502" s="2">
        <f ca="1"/>
        <v>-8.1389077801778148E-2</v>
      </c>
      <c r="X5502" s="2">
        <f ca="1"/>
        <v>56.751412840135956</v>
      </c>
      <c r="AG5502" s="2">
        <f ca="1"/>
        <v>0.44235600703698386</v>
      </c>
      <c r="AH5502" s="2" t="str">
        <f ca="1"/>
        <v>Bad</v>
      </c>
    </row>
    <row r="5503" spans="2:34" x14ac:dyDescent="0.2">
      <c r="B5503" s="2">
        <f ca="1"/>
        <v>0.12117140597978193</v>
      </c>
      <c r="O5503" s="2">
        <f ca="1"/>
        <v>-1.4464380472849958</v>
      </c>
      <c r="X5503" s="2">
        <f ca="1"/>
        <v>40.352927203794238</v>
      </c>
      <c r="AG5503" s="2">
        <f ca="1"/>
        <v>0.11532404044701661</v>
      </c>
      <c r="AH5503" s="2" t="str">
        <f ca="1"/>
        <v>OK</v>
      </c>
    </row>
    <row r="5504" spans="2:34" x14ac:dyDescent="0.2">
      <c r="B5504" s="2">
        <f ca="1"/>
        <v>0.86979511552990241</v>
      </c>
      <c r="O5504" s="2">
        <f ca="1"/>
        <v>-0.67536463372021438</v>
      </c>
      <c r="X5504" s="2">
        <f ca="1"/>
        <v>22.955775369898156</v>
      </c>
      <c r="AG5504" s="2">
        <f ca="1"/>
        <v>7.4197203506629616E-2</v>
      </c>
      <c r="AH5504" s="2" t="str">
        <f ca="1"/>
        <v>OK</v>
      </c>
    </row>
    <row r="5505" spans="2:34" x14ac:dyDescent="0.2">
      <c r="B5505" s="2">
        <f ca="1"/>
        <v>0.51743364379623702</v>
      </c>
      <c r="O5505" s="2">
        <f ca="1"/>
        <v>-7.464033358744207E-2</v>
      </c>
      <c r="X5505" s="2">
        <f ca="1"/>
        <v>43.650100262678123</v>
      </c>
      <c r="AG5505" s="2">
        <f ca="1"/>
        <v>0.64752897528321429</v>
      </c>
      <c r="AH5505" s="2" t="str">
        <f ca="1"/>
        <v>Bad</v>
      </c>
    </row>
    <row r="5506" spans="2:34" x14ac:dyDescent="0.2">
      <c r="B5506" s="2">
        <f ca="1"/>
        <v>0.26850152942551442</v>
      </c>
      <c r="O5506" s="2">
        <f ca="1"/>
        <v>0.3712107606633443</v>
      </c>
      <c r="X5506" s="2">
        <f ca="1"/>
        <v>63.976222167028176</v>
      </c>
      <c r="AG5506" s="2">
        <f ca="1"/>
        <v>0.67472261585966864</v>
      </c>
      <c r="AH5506" s="2" t="str">
        <f ca="1"/>
        <v>Bad</v>
      </c>
    </row>
    <row r="5507" spans="2:34" x14ac:dyDescent="0.2">
      <c r="B5507" s="2">
        <f ca="1"/>
        <v>0.35302465110384218</v>
      </c>
      <c r="O5507" s="2">
        <f ca="1"/>
        <v>-1.5807899525498839</v>
      </c>
      <c r="X5507" s="2">
        <f ca="1"/>
        <v>47.645408711211168</v>
      </c>
      <c r="AG5507" s="2">
        <f ca="1"/>
        <v>0.15140060005442213</v>
      </c>
      <c r="AH5507" s="2" t="str">
        <f ca="1"/>
        <v>OK</v>
      </c>
    </row>
    <row r="5508" spans="2:34" x14ac:dyDescent="0.2">
      <c r="B5508" s="2">
        <f ca="1"/>
        <v>0.15350382541837404</v>
      </c>
      <c r="O5508" s="2">
        <f ca="1"/>
        <v>0.44230908308784644</v>
      </c>
      <c r="X5508" s="2">
        <f ca="1"/>
        <v>68.756045199658843</v>
      </c>
      <c r="AG5508" s="2">
        <f ca="1"/>
        <v>5.4729326842041237E-2</v>
      </c>
      <c r="AH5508" s="2" t="str">
        <f ca="1"/>
        <v>OK</v>
      </c>
    </row>
    <row r="5509" spans="2:34" x14ac:dyDescent="0.2">
      <c r="B5509" s="2">
        <f ca="1"/>
        <v>0.70997884559173685</v>
      </c>
      <c r="O5509" s="2">
        <f ca="1"/>
        <v>-1.0750923708723492</v>
      </c>
      <c r="X5509" s="2">
        <f ca="1"/>
        <v>84.585377855087671</v>
      </c>
      <c r="AG5509" s="2">
        <f ca="1"/>
        <v>0.87498544859160687</v>
      </c>
      <c r="AH5509" s="2" t="str">
        <f ca="1"/>
        <v>Bad</v>
      </c>
    </row>
    <row r="5510" spans="2:34" x14ac:dyDescent="0.2">
      <c r="B5510" s="2">
        <f ca="1"/>
        <v>0.37777030429950509</v>
      </c>
      <c r="O5510" s="2">
        <f ca="1"/>
        <v>-1.1624306733928962</v>
      </c>
      <c r="X5510" s="2">
        <f ca="1"/>
        <v>45.447009147408664</v>
      </c>
      <c r="AG5510" s="2">
        <f ca="1"/>
        <v>0.8230630432426489</v>
      </c>
      <c r="AH5510" s="2" t="str">
        <f ca="1"/>
        <v>Bad</v>
      </c>
    </row>
    <row r="5511" spans="2:34" x14ac:dyDescent="0.2">
      <c r="B5511" s="2">
        <f ca="1"/>
        <v>0.89703283678239321</v>
      </c>
      <c r="O5511" s="2">
        <f ca="1"/>
        <v>-0.40624762370362505</v>
      </c>
      <c r="X5511" s="2">
        <f ca="1"/>
        <v>55.506947492145066</v>
      </c>
      <c r="AG5511" s="2">
        <f ca="1"/>
        <v>0.11706893014646469</v>
      </c>
      <c r="AH5511" s="2" t="str">
        <f ca="1"/>
        <v>OK</v>
      </c>
    </row>
    <row r="5512" spans="2:34" x14ac:dyDescent="0.2">
      <c r="B5512" s="2">
        <f ca="1"/>
        <v>0.38906819304709761</v>
      </c>
      <c r="O5512" s="2">
        <f ca="1"/>
        <v>0.8195009540068956</v>
      </c>
      <c r="X5512" s="2">
        <f ca="1"/>
        <v>40.701427854895151</v>
      </c>
      <c r="AG5512" s="2">
        <f ca="1"/>
        <v>0.31329401447915117</v>
      </c>
      <c r="AH5512" s="2" t="str">
        <f ca="1"/>
        <v>OK</v>
      </c>
    </row>
    <row r="5513" spans="2:34" x14ac:dyDescent="0.2">
      <c r="B5513" s="2">
        <f ca="1"/>
        <v>0.20827366842452277</v>
      </c>
      <c r="O5513" s="2">
        <f ca="1"/>
        <v>-0.5529367604034543</v>
      </c>
      <c r="X5513" s="2">
        <f ca="1"/>
        <v>47.567176606841869</v>
      </c>
      <c r="AG5513" s="2">
        <f ca="1"/>
        <v>0.63436382873823627</v>
      </c>
      <c r="AH5513" s="2" t="str">
        <f ca="1"/>
        <v>Bad</v>
      </c>
    </row>
    <row r="5514" spans="2:34" x14ac:dyDescent="0.2">
      <c r="B5514" s="2">
        <f ca="1"/>
        <v>0.98793283518998654</v>
      </c>
      <c r="O5514" s="2">
        <f ca="1"/>
        <v>-2.49825074751831</v>
      </c>
      <c r="X5514" s="2">
        <f ca="1"/>
        <v>47.06043187341659</v>
      </c>
      <c r="AG5514" s="2">
        <f ca="1"/>
        <v>0.49240847457251236</v>
      </c>
      <c r="AH5514" s="2" t="str">
        <f ca="1"/>
        <v>Bad</v>
      </c>
    </row>
    <row r="5515" spans="2:34" x14ac:dyDescent="0.2">
      <c r="B5515" s="2">
        <f ca="1"/>
        <v>0.40986410910846605</v>
      </c>
      <c r="O5515" s="2">
        <f ca="1"/>
        <v>-1.5109165703410778</v>
      </c>
      <c r="X5515" s="2">
        <f ca="1"/>
        <v>34.16038854110009</v>
      </c>
      <c r="AG5515" s="2">
        <f ca="1"/>
        <v>0.80150002095615425</v>
      </c>
      <c r="AH5515" s="2" t="str">
        <f ca="1"/>
        <v>Bad</v>
      </c>
    </row>
    <row r="5516" spans="2:34" x14ac:dyDescent="0.2">
      <c r="B5516" s="2">
        <f ca="1"/>
        <v>0.10186872426983218</v>
      </c>
      <c r="O5516" s="2">
        <f ca="1"/>
        <v>-0.95994467747539902</v>
      </c>
      <c r="X5516" s="2">
        <f ca="1"/>
        <v>56.33174198008188</v>
      </c>
      <c r="AG5516" s="2">
        <f ca="1"/>
        <v>0.74591691845705732</v>
      </c>
      <c r="AH5516" s="2" t="str">
        <f ca="1"/>
        <v>Bad</v>
      </c>
    </row>
    <row r="5517" spans="2:34" x14ac:dyDescent="0.2">
      <c r="B5517" s="2">
        <f ca="1"/>
        <v>0.92833448596244894</v>
      </c>
      <c r="O5517" s="2">
        <f ca="1"/>
        <v>-0.42615953238633353</v>
      </c>
      <c r="X5517" s="2">
        <f ca="1"/>
        <v>45.11710739513039</v>
      </c>
      <c r="AG5517" s="2">
        <f ca="1"/>
        <v>0.10457505776136888</v>
      </c>
      <c r="AH5517" s="2" t="str">
        <f ca="1"/>
        <v>OK</v>
      </c>
    </row>
    <row r="5518" spans="2:34" x14ac:dyDescent="0.2">
      <c r="B5518" s="2">
        <f ca="1"/>
        <v>0.95275449946622359</v>
      </c>
      <c r="O5518" s="2">
        <f ca="1"/>
        <v>1.6606859899935855</v>
      </c>
      <c r="X5518" s="2">
        <f ca="1"/>
        <v>49.822380857061638</v>
      </c>
      <c r="AG5518" s="2">
        <f ca="1"/>
        <v>0.91433271669941529</v>
      </c>
      <c r="AH5518" s="2" t="str">
        <f ca="1"/>
        <v>Bad</v>
      </c>
    </row>
    <row r="5519" spans="2:34" x14ac:dyDescent="0.2">
      <c r="B5519" s="2">
        <f ca="1"/>
        <v>0.82259845862947745</v>
      </c>
      <c r="O5519" s="2">
        <f ca="1"/>
        <v>-1.3333104526289743</v>
      </c>
      <c r="X5519" s="2">
        <f ca="1"/>
        <v>24.187880076491773</v>
      </c>
      <c r="AG5519" s="2">
        <f ca="1"/>
        <v>0.62477781716086156</v>
      </c>
      <c r="AH5519" s="2" t="str">
        <f ca="1"/>
        <v>Bad</v>
      </c>
    </row>
    <row r="5520" spans="2:34" x14ac:dyDescent="0.2">
      <c r="B5520" s="2">
        <f ca="1"/>
        <v>0.73610092957430551</v>
      </c>
      <c r="O5520" s="2">
        <f ca="1"/>
        <v>0.87207967882489956</v>
      </c>
      <c r="X5520" s="2">
        <f ca="1"/>
        <v>46.224704478262012</v>
      </c>
      <c r="AG5520" s="2">
        <f ca="1"/>
        <v>0.50057410627652232</v>
      </c>
      <c r="AH5520" s="2" t="str">
        <f ca="1"/>
        <v>Bad</v>
      </c>
    </row>
    <row r="5521" spans="2:34" x14ac:dyDescent="0.2">
      <c r="B5521" s="2">
        <f ca="1"/>
        <v>0.11196344858777341</v>
      </c>
      <c r="O5521" s="2">
        <f ca="1"/>
        <v>0.26394095956369745</v>
      </c>
      <c r="X5521" s="2">
        <f ca="1"/>
        <v>33.415562931085233</v>
      </c>
      <c r="AG5521" s="2">
        <f ca="1"/>
        <v>0.18318706926826356</v>
      </c>
      <c r="AH5521" s="2" t="str">
        <f ca="1"/>
        <v>OK</v>
      </c>
    </row>
    <row r="5522" spans="2:34" x14ac:dyDescent="0.2">
      <c r="B5522" s="2">
        <f ca="1"/>
        <v>0.9451763676928393</v>
      </c>
      <c r="O5522" s="2">
        <f ca="1"/>
        <v>0.58807706854528574</v>
      </c>
      <c r="X5522" s="2">
        <f ca="1"/>
        <v>38.459690984545915</v>
      </c>
      <c r="AG5522" s="2">
        <f ca="1"/>
        <v>0.45424410136106252</v>
      </c>
      <c r="AH5522" s="2" t="str">
        <f ca="1"/>
        <v>Bad</v>
      </c>
    </row>
    <row r="5523" spans="2:34" x14ac:dyDescent="0.2">
      <c r="B5523" s="2">
        <f ca="1"/>
        <v>0.35461685391028186</v>
      </c>
      <c r="O5523" s="2">
        <f ca="1"/>
        <v>-0.28214257738759485</v>
      </c>
      <c r="X5523" s="2">
        <f ca="1"/>
        <v>80.777367189906101</v>
      </c>
      <c r="AG5523" s="2">
        <f ca="1"/>
        <v>3.250989500345236E-2</v>
      </c>
      <c r="AH5523" s="2" t="str">
        <f ca="1"/>
        <v>Good</v>
      </c>
    </row>
    <row r="5524" spans="2:34" x14ac:dyDescent="0.2">
      <c r="B5524" s="2">
        <f ca="1"/>
        <v>0.60027442695666644</v>
      </c>
      <c r="O5524" s="2">
        <f ca="1"/>
        <v>0.44480380166657446</v>
      </c>
      <c r="X5524" s="2">
        <f ca="1"/>
        <v>76.172910779855698</v>
      </c>
      <c r="AG5524" s="2">
        <f ca="1"/>
        <v>0.37063762148535995</v>
      </c>
      <c r="AH5524" s="2" t="str">
        <f ca="1"/>
        <v>OK</v>
      </c>
    </row>
    <row r="5525" spans="2:34" x14ac:dyDescent="0.2">
      <c r="B5525" s="2">
        <f ca="1"/>
        <v>0.97086196625073229</v>
      </c>
      <c r="O5525" s="2">
        <f ca="1"/>
        <v>-0.96855658131014599</v>
      </c>
      <c r="X5525" s="2">
        <f ca="1"/>
        <v>43.58401552140765</v>
      </c>
      <c r="AG5525" s="2">
        <f ca="1"/>
        <v>0.42075532164599383</v>
      </c>
      <c r="AH5525" s="2" t="str">
        <f ca="1"/>
        <v>Bad</v>
      </c>
    </row>
    <row r="5526" spans="2:34" x14ac:dyDescent="0.2">
      <c r="B5526" s="2">
        <f ca="1"/>
        <v>0.56858328542303127</v>
      </c>
      <c r="O5526" s="2">
        <f ca="1"/>
        <v>-1.1445383393344217</v>
      </c>
      <c r="X5526" s="2">
        <f ca="1"/>
        <v>36.132956503967378</v>
      </c>
      <c r="AG5526" s="2">
        <f ca="1"/>
        <v>0.76619046979151118</v>
      </c>
      <c r="AH5526" s="2" t="str">
        <f ca="1"/>
        <v>Bad</v>
      </c>
    </row>
    <row r="5527" spans="2:34" x14ac:dyDescent="0.2">
      <c r="B5527" s="2">
        <f ca="1"/>
        <v>0.41487570357403425</v>
      </c>
      <c r="O5527" s="2">
        <f ca="1"/>
        <v>1.8348742981750039</v>
      </c>
      <c r="X5527" s="2">
        <f ca="1"/>
        <v>25.584190240386675</v>
      </c>
      <c r="AG5527" s="2">
        <f ca="1"/>
        <v>0.36877156937871081</v>
      </c>
      <c r="AH5527" s="2" t="str">
        <f ca="1"/>
        <v>OK</v>
      </c>
    </row>
    <row r="5528" spans="2:34" x14ac:dyDescent="0.2">
      <c r="B5528" s="2">
        <f ca="1"/>
        <v>0.40983563231400355</v>
      </c>
      <c r="O5528" s="2">
        <f ca="1"/>
        <v>-1.4167944600495961</v>
      </c>
      <c r="X5528" s="2">
        <f ca="1"/>
        <v>54.807338730731601</v>
      </c>
      <c r="AG5528" s="2">
        <f ca="1"/>
        <v>0.83366921825120999</v>
      </c>
      <c r="AH5528" s="2" t="str">
        <f ca="1"/>
        <v>Bad</v>
      </c>
    </row>
    <row r="5529" spans="2:34" x14ac:dyDescent="0.2">
      <c r="B5529" s="2">
        <f ca="1"/>
        <v>0.71134266498423271</v>
      </c>
      <c r="O5529" s="2">
        <f ca="1"/>
        <v>-2.0348753018499153</v>
      </c>
      <c r="X5529" s="2">
        <f ca="1"/>
        <v>101.56280333631388</v>
      </c>
      <c r="AG5529" s="2">
        <f ca="1"/>
        <v>0.96400045417714697</v>
      </c>
      <c r="AH5529" s="2" t="str">
        <f ca="1"/>
        <v>Bad</v>
      </c>
    </row>
    <row r="5530" spans="2:34" x14ac:dyDescent="0.2">
      <c r="B5530" s="2">
        <f ca="1"/>
        <v>0.55124393813833117</v>
      </c>
      <c r="O5530" s="2">
        <f ca="1"/>
        <v>1.0082651027543925E-2</v>
      </c>
      <c r="X5530" s="2">
        <f ca="1"/>
        <v>27.903003730437376</v>
      </c>
      <c r="AG5530" s="2">
        <f ca="1"/>
        <v>0.40562092040348596</v>
      </c>
      <c r="AH5530" s="2" t="str">
        <f ca="1"/>
        <v>Bad</v>
      </c>
    </row>
    <row r="5531" spans="2:34" x14ac:dyDescent="0.2">
      <c r="B5531" s="2">
        <f ca="1"/>
        <v>0.81356233896088859</v>
      </c>
      <c r="O5531" s="2">
        <f ca="1"/>
        <v>-0.87286426920266147</v>
      </c>
      <c r="X5531" s="2">
        <f ca="1"/>
        <v>42.72098599884194</v>
      </c>
      <c r="AG5531" s="2">
        <f ca="1"/>
        <v>0.36881360659305074</v>
      </c>
      <c r="AH5531" s="2" t="str">
        <f ca="1"/>
        <v>OK</v>
      </c>
    </row>
    <row r="5532" spans="2:34" x14ac:dyDescent="0.2">
      <c r="B5532" s="2">
        <f ca="1"/>
        <v>0.59214521477928028</v>
      </c>
      <c r="O5532" s="2">
        <f ca="1"/>
        <v>-2.319671598458994</v>
      </c>
      <c r="X5532" s="2">
        <f ca="1"/>
        <v>43.269537944555843</v>
      </c>
      <c r="AG5532" s="2">
        <f ca="1"/>
        <v>0.37165358433799733</v>
      </c>
      <c r="AH5532" s="2" t="str">
        <f ca="1"/>
        <v>OK</v>
      </c>
    </row>
    <row r="5533" spans="2:34" x14ac:dyDescent="0.2">
      <c r="B5533" s="2">
        <f ca="1"/>
        <v>0.23426081504501317</v>
      </c>
      <c r="O5533" s="2">
        <f ca="1"/>
        <v>0.29864112105038881</v>
      </c>
      <c r="X5533" s="2">
        <f ca="1"/>
        <v>35.131750460113246</v>
      </c>
      <c r="AG5533" s="2">
        <f ca="1"/>
        <v>0.82422594050137921</v>
      </c>
      <c r="AH5533" s="2" t="str">
        <f ca="1"/>
        <v>Bad</v>
      </c>
    </row>
    <row r="5534" spans="2:34" x14ac:dyDescent="0.2">
      <c r="B5534" s="2">
        <f ca="1"/>
        <v>0.76186357353485534</v>
      </c>
      <c r="O5534" s="2">
        <f ca="1"/>
        <v>-0.11735333391463129</v>
      </c>
      <c r="X5534" s="2">
        <f ca="1"/>
        <v>36.076101496467473</v>
      </c>
      <c r="AG5534" s="2">
        <f ca="1"/>
        <v>0.52301211608397913</v>
      </c>
      <c r="AH5534" s="2" t="str">
        <f ca="1"/>
        <v>Bad</v>
      </c>
    </row>
    <row r="5535" spans="2:34" x14ac:dyDescent="0.2">
      <c r="B5535" s="2">
        <f ca="1"/>
        <v>9.9994642363214759E-3</v>
      </c>
      <c r="O5535" s="2">
        <f ca="1"/>
        <v>-0.58268195411695167</v>
      </c>
      <c r="X5535" s="2">
        <f ca="1"/>
        <v>56.92007591795111</v>
      </c>
      <c r="AG5535" s="2">
        <f ca="1"/>
        <v>7.1088777603339315E-2</v>
      </c>
      <c r="AH5535" s="2" t="str">
        <f ca="1"/>
        <v>OK</v>
      </c>
    </row>
    <row r="5536" spans="2:34" x14ac:dyDescent="0.2">
      <c r="B5536" s="2">
        <f ca="1"/>
        <v>0.35696588922436145</v>
      </c>
      <c r="O5536" s="2">
        <f ca="1"/>
        <v>-1.0666451429951678</v>
      </c>
      <c r="X5536" s="2">
        <f ca="1"/>
        <v>53.600592857369797</v>
      </c>
      <c r="AG5536" s="2">
        <f ca="1"/>
        <v>0.73291649769644951</v>
      </c>
      <c r="AH5536" s="2" t="str">
        <f ca="1"/>
        <v>Bad</v>
      </c>
    </row>
    <row r="5537" spans="2:34" x14ac:dyDescent="0.2">
      <c r="B5537" s="2">
        <f ca="1"/>
        <v>0.13268501499111807</v>
      </c>
      <c r="O5537" s="2">
        <f ca="1"/>
        <v>1.6945596890936263</v>
      </c>
      <c r="X5537" s="2">
        <f ca="1"/>
        <v>55.398321002689954</v>
      </c>
      <c r="AG5537" s="2">
        <f ca="1"/>
        <v>2.709425046111269E-2</v>
      </c>
      <c r="AH5537" s="2" t="str">
        <f ca="1"/>
        <v>Good</v>
      </c>
    </row>
    <row r="5538" spans="2:34" x14ac:dyDescent="0.2">
      <c r="B5538" s="2">
        <f ca="1"/>
        <v>0.4689065572161597</v>
      </c>
      <c r="O5538" s="2">
        <f ca="1"/>
        <v>-0.67884483456171119</v>
      </c>
      <c r="X5538" s="2">
        <f ca="1"/>
        <v>43.655544207870818</v>
      </c>
      <c r="AG5538" s="2">
        <f ca="1"/>
        <v>6.5056829090061941E-2</v>
      </c>
      <c r="AH5538" s="2" t="str">
        <f ca="1"/>
        <v>OK</v>
      </c>
    </row>
    <row r="5539" spans="2:34" x14ac:dyDescent="0.2">
      <c r="B5539" s="2">
        <f ca="1"/>
        <v>0.42726048003898121</v>
      </c>
      <c r="O5539" s="2">
        <f ca="1"/>
        <v>-0.44980554342456452</v>
      </c>
      <c r="X5539" s="2">
        <f ca="1"/>
        <v>28.590983060022527</v>
      </c>
      <c r="AG5539" s="2">
        <f ca="1"/>
        <v>0.68552759664827789</v>
      </c>
      <c r="AH5539" s="2" t="str">
        <f ca="1"/>
        <v>Bad</v>
      </c>
    </row>
    <row r="5540" spans="2:34" x14ac:dyDescent="0.2">
      <c r="B5540" s="2">
        <f ca="1"/>
        <v>0.78226875372177185</v>
      </c>
      <c r="O5540" s="2">
        <f ca="1"/>
        <v>-0.90495613943140607</v>
      </c>
      <c r="X5540" s="2">
        <f ca="1"/>
        <v>21.896233942848244</v>
      </c>
      <c r="AG5540" s="2">
        <f ca="1"/>
        <v>0.51784856528772116</v>
      </c>
      <c r="AH5540" s="2" t="str">
        <f ca="1"/>
        <v>Bad</v>
      </c>
    </row>
    <row r="5541" spans="2:34" x14ac:dyDescent="0.2">
      <c r="B5541" s="2">
        <f ca="1"/>
        <v>0.81756801561299319</v>
      </c>
      <c r="O5541" s="2">
        <f ca="1"/>
        <v>0.94592137944608423</v>
      </c>
      <c r="X5541" s="2">
        <f ca="1"/>
        <v>38.673477610761694</v>
      </c>
      <c r="AG5541" s="2">
        <f ca="1"/>
        <v>0.70012918314537709</v>
      </c>
      <c r="AH5541" s="2" t="str">
        <f ca="1"/>
        <v>Bad</v>
      </c>
    </row>
    <row r="5542" spans="2:34" x14ac:dyDescent="0.2">
      <c r="B5542" s="2">
        <f ca="1"/>
        <v>0.36147460353340199</v>
      </c>
      <c r="O5542" s="2">
        <f ca="1"/>
        <v>0.56022348259060761</v>
      </c>
      <c r="X5542" s="2">
        <f ca="1"/>
        <v>40.757882958818925</v>
      </c>
      <c r="AG5542" s="2">
        <f ca="1"/>
        <v>0.55212138176959291</v>
      </c>
      <c r="AH5542" s="2" t="str">
        <f ca="1"/>
        <v>Bad</v>
      </c>
    </row>
    <row r="5543" spans="2:34" x14ac:dyDescent="0.2">
      <c r="B5543" s="2">
        <f ca="1"/>
        <v>1.261180776692461E-2</v>
      </c>
      <c r="O5543" s="2">
        <f ca="1"/>
        <v>0.7358472098748724</v>
      </c>
      <c r="X5543" s="2">
        <f ca="1"/>
        <v>72.622061547345908</v>
      </c>
      <c r="AG5543" s="2">
        <f ca="1"/>
        <v>0.45384731948506896</v>
      </c>
      <c r="AH5543" s="2" t="str">
        <f ca="1"/>
        <v>Bad</v>
      </c>
    </row>
    <row r="5544" spans="2:34" x14ac:dyDescent="0.2">
      <c r="B5544" s="2">
        <f ca="1"/>
        <v>0.21806816006876462</v>
      </c>
      <c r="O5544" s="2">
        <f ca="1"/>
        <v>-0.37992585218347852</v>
      </c>
      <c r="X5544" s="2">
        <f ca="1"/>
        <v>22.41948339098052</v>
      </c>
      <c r="AG5544" s="2">
        <f ca="1"/>
        <v>0.63294874034990767</v>
      </c>
      <c r="AH5544" s="2" t="str">
        <f ca="1"/>
        <v>Bad</v>
      </c>
    </row>
    <row r="5545" spans="2:34" x14ac:dyDescent="0.2">
      <c r="B5545" s="2">
        <f ca="1"/>
        <v>0.40020602421537332</v>
      </c>
      <c r="O5545" s="2">
        <f ca="1"/>
        <v>-0.3941186096107126</v>
      </c>
      <c r="X5545" s="2">
        <f ca="1"/>
        <v>45.304024920077836</v>
      </c>
      <c r="AG5545" s="2">
        <f ca="1"/>
        <v>1.591791133383369E-3</v>
      </c>
      <c r="AH5545" s="2" t="str">
        <f ca="1"/>
        <v>Good</v>
      </c>
    </row>
    <row r="5546" spans="2:34" x14ac:dyDescent="0.2">
      <c r="B5546" s="2">
        <f ca="1"/>
        <v>0.82369798358248048</v>
      </c>
      <c r="O5546" s="2">
        <f ca="1"/>
        <v>0.29656572438094791</v>
      </c>
      <c r="X5546" s="2">
        <f ca="1"/>
        <v>56.588703594763174</v>
      </c>
      <c r="AG5546" s="2">
        <f ca="1"/>
        <v>0.97492338008275325</v>
      </c>
      <c r="AH5546" s="2" t="str">
        <f ca="1"/>
        <v>Bad</v>
      </c>
    </row>
    <row r="5547" spans="2:34" x14ac:dyDescent="0.2">
      <c r="B5547" s="2">
        <f ca="1"/>
        <v>0.81828017349722049</v>
      </c>
      <c r="O5547" s="2">
        <f ca="1"/>
        <v>-0.22246776651236735</v>
      </c>
      <c r="X5547" s="2">
        <f ca="1"/>
        <v>53.834637141892749</v>
      </c>
      <c r="AG5547" s="2">
        <f ca="1"/>
        <v>0.23166185328733468</v>
      </c>
      <c r="AH5547" s="2" t="str">
        <f ca="1"/>
        <v>OK</v>
      </c>
    </row>
    <row r="5548" spans="2:34" x14ac:dyDescent="0.2">
      <c r="B5548" s="2">
        <f ca="1"/>
        <v>0.61422565285239639</v>
      </c>
      <c r="O5548" s="2">
        <f ca="1"/>
        <v>-0.45973063841736916</v>
      </c>
      <c r="X5548" s="2">
        <f ca="1"/>
        <v>25.911267935648226</v>
      </c>
      <c r="AG5548" s="2">
        <f ca="1"/>
        <v>0.7319527610858616</v>
      </c>
      <c r="AH5548" s="2" t="str">
        <f ca="1"/>
        <v>Bad</v>
      </c>
    </row>
    <row r="5549" spans="2:34" x14ac:dyDescent="0.2">
      <c r="B5549" s="2">
        <f ca="1"/>
        <v>0.30044513610079804</v>
      </c>
      <c r="O5549" s="2">
        <f ca="1"/>
        <v>-1.3438256267475086</v>
      </c>
      <c r="X5549" s="2">
        <f ca="1"/>
        <v>54.586117405983131</v>
      </c>
      <c r="AG5549" s="2">
        <f ca="1"/>
        <v>0.44690797106759828</v>
      </c>
      <c r="AH5549" s="2" t="str">
        <f ca="1"/>
        <v>Bad</v>
      </c>
    </row>
    <row r="5550" spans="2:34" x14ac:dyDescent="0.2">
      <c r="B5550" s="2">
        <f ca="1"/>
        <v>0.55388009838982377</v>
      </c>
      <c r="O5550" s="2">
        <f ca="1"/>
        <v>-0.98303866621962754</v>
      </c>
      <c r="X5550" s="2">
        <f ca="1"/>
        <v>92.229163962811953</v>
      </c>
      <c r="AG5550" s="2">
        <f ca="1"/>
        <v>0.27565418193380009</v>
      </c>
      <c r="AH5550" s="2" t="str">
        <f ca="1"/>
        <v>OK</v>
      </c>
    </row>
    <row r="5551" spans="2:34" x14ac:dyDescent="0.2">
      <c r="B5551" s="2">
        <f ca="1"/>
        <v>0.1889291781390261</v>
      </c>
      <c r="O5551" s="2">
        <f ca="1"/>
        <v>0.73928239008788887</v>
      </c>
      <c r="X5551" s="2">
        <f ca="1"/>
        <v>57.63816973003469</v>
      </c>
      <c r="AG5551" s="2">
        <f ca="1"/>
        <v>2.4493492510303971E-2</v>
      </c>
      <c r="AH5551" s="2" t="str">
        <f ca="1"/>
        <v>Good</v>
      </c>
    </row>
    <row r="5552" spans="2:34" x14ac:dyDescent="0.2">
      <c r="B5552" s="2">
        <f ca="1"/>
        <v>0.2595562426303597</v>
      </c>
      <c r="O5552" s="2">
        <f ca="1"/>
        <v>-2.9761917589793463E-2</v>
      </c>
      <c r="X5552" s="2">
        <f ca="1"/>
        <v>29.507844352714937</v>
      </c>
      <c r="AG5552" s="2">
        <f ca="1"/>
        <v>0.14329684902161688</v>
      </c>
      <c r="AH5552" s="2" t="str">
        <f ca="1"/>
        <v>OK</v>
      </c>
    </row>
    <row r="5553" spans="2:34" x14ac:dyDescent="0.2">
      <c r="B5553" s="2">
        <f ca="1"/>
        <v>0.30167561219668615</v>
      </c>
      <c r="O5553" s="2">
        <f ca="1"/>
        <v>1.21354511904743</v>
      </c>
      <c r="X5553" s="2">
        <f ca="1"/>
        <v>43.254939266849718</v>
      </c>
      <c r="AG5553" s="2">
        <f ca="1"/>
        <v>0.97143143436335877</v>
      </c>
      <c r="AH5553" s="2" t="str">
        <f ca="1"/>
        <v>Bad</v>
      </c>
    </row>
    <row r="5554" spans="2:34" x14ac:dyDescent="0.2">
      <c r="B5554" s="2">
        <f ca="1"/>
        <v>0.1577831785739412</v>
      </c>
      <c r="O5554" s="2">
        <f ca="1"/>
        <v>0.49446264711166293</v>
      </c>
      <c r="X5554" s="2">
        <f ca="1"/>
        <v>28.83486998130849</v>
      </c>
      <c r="AG5554" s="2">
        <f ca="1"/>
        <v>0.15517408912038344</v>
      </c>
      <c r="AH5554" s="2" t="str">
        <f ca="1"/>
        <v>OK</v>
      </c>
    </row>
    <row r="5555" spans="2:34" x14ac:dyDescent="0.2">
      <c r="B5555" s="2">
        <f ca="1"/>
        <v>0.71770347290129166</v>
      </c>
      <c r="O5555" s="2">
        <f ca="1"/>
        <v>0.161389361415572</v>
      </c>
      <c r="X5555" s="2">
        <f ca="1"/>
        <v>38.07525769242875</v>
      </c>
      <c r="AG5555" s="2">
        <f ca="1"/>
        <v>0.43914030115845404</v>
      </c>
      <c r="AH5555" s="2" t="str">
        <f ca="1"/>
        <v>Bad</v>
      </c>
    </row>
    <row r="5556" spans="2:34" x14ac:dyDescent="0.2">
      <c r="B5556" s="2">
        <f ca="1"/>
        <v>0.79032528114552658</v>
      </c>
      <c r="O5556" s="2">
        <f ca="1"/>
        <v>-1.9962296565548954</v>
      </c>
      <c r="X5556" s="2">
        <f ca="1"/>
        <v>44.111725569784291</v>
      </c>
      <c r="AG5556" s="2">
        <f ca="1"/>
        <v>0.67980354940316778</v>
      </c>
      <c r="AH5556" s="2" t="str">
        <f ca="1"/>
        <v>Bad</v>
      </c>
    </row>
    <row r="5557" spans="2:34" x14ac:dyDescent="0.2">
      <c r="B5557" s="2">
        <f ca="1"/>
        <v>0.94116592620428396</v>
      </c>
      <c r="O5557" s="2">
        <f ca="1"/>
        <v>1.3227858067606206</v>
      </c>
      <c r="X5557" s="2">
        <f ca="1"/>
        <v>20.140190947181726</v>
      </c>
      <c r="AG5557" s="2">
        <f ca="1"/>
        <v>0.52506074143748394</v>
      </c>
      <c r="AH5557" s="2" t="str">
        <f ca="1"/>
        <v>Bad</v>
      </c>
    </row>
    <row r="5558" spans="2:34" x14ac:dyDescent="0.2">
      <c r="B5558" s="2">
        <f ca="1"/>
        <v>0.10824369211831408</v>
      </c>
      <c r="O5558" s="2">
        <f ca="1"/>
        <v>-0.22123479352567146</v>
      </c>
      <c r="X5558" s="2">
        <f ca="1"/>
        <v>63.442700622566846</v>
      </c>
      <c r="AG5558" s="2">
        <f ca="1"/>
        <v>9.6214919280463995E-2</v>
      </c>
      <c r="AH5558" s="2" t="str">
        <f ca="1"/>
        <v>OK</v>
      </c>
    </row>
    <row r="5559" spans="2:34" x14ac:dyDescent="0.2">
      <c r="B5559" s="2">
        <f ca="1"/>
        <v>0.94270688542635073</v>
      </c>
      <c r="O5559" s="2">
        <f ca="1"/>
        <v>-2.1797419561860392</v>
      </c>
      <c r="X5559" s="2">
        <f ca="1"/>
        <v>36.08028010030533</v>
      </c>
      <c r="AG5559" s="2">
        <f ca="1"/>
        <v>0.47869910338773325</v>
      </c>
      <c r="AH5559" s="2" t="str">
        <f ca="1"/>
        <v>Bad</v>
      </c>
    </row>
    <row r="5560" spans="2:34" x14ac:dyDescent="0.2">
      <c r="B5560" s="2">
        <f ca="1"/>
        <v>0.30872414972713536</v>
      </c>
      <c r="O5560" s="2">
        <f ca="1"/>
        <v>-6.3151821030724586E-2</v>
      </c>
      <c r="X5560" s="2">
        <f ca="1"/>
        <v>57.140295833830699</v>
      </c>
      <c r="AG5560" s="2">
        <f ca="1"/>
        <v>0.22124043039423746</v>
      </c>
      <c r="AH5560" s="2" t="str">
        <f ca="1"/>
        <v>OK</v>
      </c>
    </row>
    <row r="5561" spans="2:34" x14ac:dyDescent="0.2">
      <c r="B5561" s="2">
        <f ca="1"/>
        <v>8.647209777098408E-2</v>
      </c>
      <c r="O5561" s="2">
        <f ca="1"/>
        <v>1.713421913790028</v>
      </c>
      <c r="X5561" s="2">
        <f ca="1"/>
        <v>46.816783513617615</v>
      </c>
      <c r="AG5561" s="2">
        <f ca="1"/>
        <v>0.83109226278066872</v>
      </c>
      <c r="AH5561" s="2" t="str">
        <f ca="1"/>
        <v>Bad</v>
      </c>
    </row>
    <row r="5562" spans="2:34" x14ac:dyDescent="0.2">
      <c r="B5562" s="2">
        <f ca="1"/>
        <v>0.81116515212304474</v>
      </c>
      <c r="O5562" s="2">
        <f ca="1"/>
        <v>0.78376560731291545</v>
      </c>
      <c r="X5562" s="2">
        <f ca="1"/>
        <v>34.343715146054514</v>
      </c>
      <c r="AG5562" s="2">
        <f ca="1"/>
        <v>0.46828530987719463</v>
      </c>
      <c r="AH5562" s="2" t="str">
        <f ca="1"/>
        <v>Bad</v>
      </c>
    </row>
    <row r="5563" spans="2:34" x14ac:dyDescent="0.2">
      <c r="B5563" s="2">
        <f ca="1"/>
        <v>0.46907560689850936</v>
      </c>
      <c r="O5563" s="2">
        <f ca="1"/>
        <v>1.3789108112537156</v>
      </c>
      <c r="X5563" s="2">
        <f ca="1"/>
        <v>51.386611756974773</v>
      </c>
      <c r="AG5563" s="2">
        <f ca="1"/>
        <v>0.21207674647881203</v>
      </c>
      <c r="AH5563" s="2" t="str">
        <f ca="1"/>
        <v>OK</v>
      </c>
    </row>
    <row r="5564" spans="2:34" x14ac:dyDescent="0.2">
      <c r="B5564" s="2">
        <f ca="1"/>
        <v>0.9563690985339921</v>
      </c>
      <c r="O5564" s="2">
        <f ca="1"/>
        <v>9.5008864750992961E-2</v>
      </c>
      <c r="X5564" s="2">
        <f ca="1"/>
        <v>49.443336606724941</v>
      </c>
      <c r="AG5564" s="2">
        <f ca="1"/>
        <v>0.77266673557968812</v>
      </c>
      <c r="AH5564" s="2" t="str">
        <f ca="1"/>
        <v>Bad</v>
      </c>
    </row>
    <row r="5565" spans="2:34" x14ac:dyDescent="0.2">
      <c r="B5565" s="2">
        <f ca="1"/>
        <v>0.63446288937704565</v>
      </c>
      <c r="O5565" s="2">
        <f ca="1"/>
        <v>1.7683234188172619E-2</v>
      </c>
      <c r="X5565" s="2">
        <f ca="1"/>
        <v>34.141433378459638</v>
      </c>
      <c r="AG5565" s="2">
        <f ca="1"/>
        <v>0.5475784848077565</v>
      </c>
      <c r="AH5565" s="2" t="str">
        <f ca="1"/>
        <v>Bad</v>
      </c>
    </row>
    <row r="5566" spans="2:34" x14ac:dyDescent="0.2">
      <c r="B5566" s="2">
        <f ca="1"/>
        <v>0.9168876547556768</v>
      </c>
      <c r="O5566" s="2">
        <f ca="1"/>
        <v>-0.73673305167094194</v>
      </c>
      <c r="X5566" s="2">
        <f ca="1"/>
        <v>48.211162154048246</v>
      </c>
      <c r="AG5566" s="2">
        <f ca="1"/>
        <v>0.39151281609240907</v>
      </c>
      <c r="AH5566" s="2" t="str">
        <f ca="1"/>
        <v>OK</v>
      </c>
    </row>
    <row r="5567" spans="2:34" x14ac:dyDescent="0.2">
      <c r="B5567" s="2">
        <f ca="1"/>
        <v>0.68946711697003349</v>
      </c>
      <c r="O5567" s="2">
        <f ca="1"/>
        <v>1.6761967680875394</v>
      </c>
      <c r="X5567" s="2">
        <f ca="1"/>
        <v>33.969167481630635</v>
      </c>
      <c r="AG5567" s="2">
        <f ca="1"/>
        <v>0.33442845301326263</v>
      </c>
      <c r="AH5567" s="2" t="str">
        <f ca="1"/>
        <v>OK</v>
      </c>
    </row>
    <row r="5568" spans="2:34" x14ac:dyDescent="0.2">
      <c r="B5568" s="2">
        <f ca="1"/>
        <v>0.67681700240981724</v>
      </c>
      <c r="O5568" s="2">
        <f ca="1"/>
        <v>0.55054644818749865</v>
      </c>
      <c r="X5568" s="2">
        <f ca="1"/>
        <v>41.160915074376618</v>
      </c>
      <c r="AG5568" s="2">
        <f ca="1"/>
        <v>0.58889028205386906</v>
      </c>
      <c r="AH5568" s="2" t="str">
        <f ca="1"/>
        <v>Bad</v>
      </c>
    </row>
    <row r="5569" spans="2:34" x14ac:dyDescent="0.2">
      <c r="B5569" s="2">
        <f ca="1"/>
        <v>0.90214829544682384</v>
      </c>
      <c r="O5569" s="2">
        <f ca="1"/>
        <v>-0.69864086221057164</v>
      </c>
      <c r="X5569" s="2">
        <f ca="1"/>
        <v>42.619453938386727</v>
      </c>
      <c r="AG5569" s="2">
        <f ca="1"/>
        <v>0.70124846229206961</v>
      </c>
      <c r="AH5569" s="2" t="str">
        <f ca="1"/>
        <v>Bad</v>
      </c>
    </row>
    <row r="5570" spans="2:34" x14ac:dyDescent="0.2">
      <c r="B5570" s="2">
        <f ca="1"/>
        <v>0.20476056034870171</v>
      </c>
      <c r="O5570" s="2">
        <f ca="1"/>
        <v>-1.6956896172484226</v>
      </c>
      <c r="X5570" s="2">
        <f ca="1"/>
        <v>48.616669286020652</v>
      </c>
      <c r="AG5570" s="2">
        <f ca="1"/>
        <v>0.96404914961265997</v>
      </c>
      <c r="AH5570" s="2" t="str">
        <f ca="1"/>
        <v>Bad</v>
      </c>
    </row>
    <row r="5571" spans="2:34" x14ac:dyDescent="0.2">
      <c r="B5571" s="2">
        <f ca="1"/>
        <v>0.90423459702786069</v>
      </c>
      <c r="O5571" s="2">
        <f ca="1"/>
        <v>2.5370732188452254</v>
      </c>
      <c r="X5571" s="2">
        <f ca="1"/>
        <v>66.232313142906534</v>
      </c>
      <c r="AG5571" s="2">
        <f ca="1"/>
        <v>0.48621515174843633</v>
      </c>
      <c r="AH5571" s="2" t="str">
        <f ca="1"/>
        <v>Bad</v>
      </c>
    </row>
    <row r="5572" spans="2:34" x14ac:dyDescent="0.2">
      <c r="B5572" s="2">
        <f ca="1"/>
        <v>0.68122682108959798</v>
      </c>
      <c r="O5572" s="2">
        <f ca="1"/>
        <v>0.79223566103859044</v>
      </c>
      <c r="X5572" s="2">
        <f ca="1"/>
        <v>20.205005152508111</v>
      </c>
      <c r="AG5572" s="2">
        <f ca="1"/>
        <v>0.83333291687215905</v>
      </c>
      <c r="AH5572" s="2" t="str">
        <f ca="1"/>
        <v>Bad</v>
      </c>
    </row>
    <row r="5573" spans="2:34" x14ac:dyDescent="0.2">
      <c r="B5573" s="2">
        <f ca="1"/>
        <v>0.40400007806298022</v>
      </c>
      <c r="O5573" s="2">
        <f ca="1"/>
        <v>1.7682577563736783</v>
      </c>
      <c r="X5573" s="2">
        <f ca="1"/>
        <v>55.996135598862679</v>
      </c>
      <c r="AG5573" s="2">
        <f ca="1"/>
        <v>0.84918500253801454</v>
      </c>
      <c r="AH5573" s="2" t="str">
        <f ca="1"/>
        <v>Bad</v>
      </c>
    </row>
    <row r="5574" spans="2:34" x14ac:dyDescent="0.2">
      <c r="B5574" s="2">
        <f ca="1"/>
        <v>0.68059207248973386</v>
      </c>
      <c r="O5574" s="2">
        <f ca="1"/>
        <v>0.1346803882447356</v>
      </c>
      <c r="X5574" s="2">
        <f ca="1"/>
        <v>53.425593374965395</v>
      </c>
      <c r="AG5574" s="2">
        <f ca="1"/>
        <v>0.48265354649000147</v>
      </c>
      <c r="AH5574" s="2" t="str">
        <f ca="1"/>
        <v>Bad</v>
      </c>
    </row>
    <row r="5575" spans="2:34" x14ac:dyDescent="0.2">
      <c r="B5575" s="2">
        <f ca="1"/>
        <v>0.81337894896593799</v>
      </c>
      <c r="O5575" s="2">
        <f ca="1"/>
        <v>0.14905011816961963</v>
      </c>
      <c r="X5575" s="2">
        <f ca="1"/>
        <v>56.433593460888567</v>
      </c>
      <c r="AG5575" s="2">
        <f ca="1"/>
        <v>3.9380143127731415E-2</v>
      </c>
      <c r="AH5575" s="2" t="str">
        <f ca="1"/>
        <v>Good</v>
      </c>
    </row>
    <row r="5576" spans="2:34" x14ac:dyDescent="0.2">
      <c r="B5576" s="2">
        <f ca="1"/>
        <v>0.72767627387601785</v>
      </c>
      <c r="O5576" s="2">
        <f ca="1"/>
        <v>8.6462364954943208E-2</v>
      </c>
      <c r="X5576" s="2">
        <f ca="1"/>
        <v>54.816914384512259</v>
      </c>
      <c r="AG5576" s="2">
        <f ca="1"/>
        <v>6.1758479029590196E-2</v>
      </c>
      <c r="AH5576" s="2" t="str">
        <f ca="1"/>
        <v>OK</v>
      </c>
    </row>
    <row r="5577" spans="2:34" x14ac:dyDescent="0.2">
      <c r="B5577" s="2">
        <f ca="1"/>
        <v>0.72354048440094498</v>
      </c>
      <c r="O5577" s="2">
        <f ca="1"/>
        <v>-1.1702086582180862</v>
      </c>
      <c r="X5577" s="2">
        <f ca="1"/>
        <v>56.014991737290401</v>
      </c>
      <c r="AG5577" s="2">
        <f ca="1"/>
        <v>0.80963739155789405</v>
      </c>
      <c r="AH5577" s="2" t="str">
        <f ca="1"/>
        <v>Bad</v>
      </c>
    </row>
    <row r="5578" spans="2:34" x14ac:dyDescent="0.2">
      <c r="B5578" s="2">
        <f ca="1"/>
        <v>0.9629089513945901</v>
      </c>
      <c r="O5578" s="2">
        <f ca="1"/>
        <v>0.7927315828671565</v>
      </c>
      <c r="X5578" s="2">
        <f ca="1"/>
        <v>30.608521461094583</v>
      </c>
      <c r="AG5578" s="2">
        <f ca="1"/>
        <v>0.43635793848475579</v>
      </c>
      <c r="AH5578" s="2" t="str">
        <f ca="1"/>
        <v>Bad</v>
      </c>
    </row>
    <row r="5579" spans="2:34" x14ac:dyDescent="0.2">
      <c r="B5579" s="2">
        <f ca="1"/>
        <v>0.81934488620978008</v>
      </c>
      <c r="O5579" s="2">
        <f ca="1"/>
        <v>-0.40474861090103753</v>
      </c>
      <c r="X5579" s="2">
        <f ca="1"/>
        <v>46.613695004635233</v>
      </c>
      <c r="AG5579" s="2">
        <f ca="1"/>
        <v>0.9940958163243736</v>
      </c>
      <c r="AH5579" s="2" t="str">
        <f ca="1"/>
        <v>Bad</v>
      </c>
    </row>
    <row r="5580" spans="2:34" x14ac:dyDescent="0.2">
      <c r="B5580" s="2">
        <f ca="1"/>
        <v>0.49100296815759403</v>
      </c>
      <c r="O5580" s="2">
        <f ca="1"/>
        <v>-0.29823685046643228</v>
      </c>
      <c r="X5580" s="2">
        <f ca="1"/>
        <v>36.075015397196857</v>
      </c>
      <c r="AG5580" s="2">
        <f ca="1"/>
        <v>0.41120394083420186</v>
      </c>
      <c r="AH5580" s="2" t="str">
        <f ca="1"/>
        <v>Bad</v>
      </c>
    </row>
    <row r="5581" spans="2:34" x14ac:dyDescent="0.2">
      <c r="B5581" s="2">
        <f ca="1"/>
        <v>0.75365839572120108</v>
      </c>
      <c r="O5581" s="2">
        <f ca="1"/>
        <v>0.73526526792786551</v>
      </c>
      <c r="X5581" s="2">
        <f ca="1"/>
        <v>32.577151200987217</v>
      </c>
      <c r="AG5581" s="2">
        <f ca="1"/>
        <v>0.77726984876603389</v>
      </c>
      <c r="AH5581" s="2" t="str">
        <f ca="1"/>
        <v>Bad</v>
      </c>
    </row>
    <row r="5582" spans="2:34" x14ac:dyDescent="0.2">
      <c r="B5582" s="2">
        <f ca="1"/>
        <v>0.25565496842717694</v>
      </c>
      <c r="O5582" s="2">
        <f ca="1"/>
        <v>0.16404486047618683</v>
      </c>
      <c r="X5582" s="2">
        <f ca="1"/>
        <v>39.601880475646439</v>
      </c>
      <c r="AG5582" s="2">
        <f ca="1"/>
        <v>0.71414331417067523</v>
      </c>
      <c r="AH5582" s="2" t="str">
        <f ca="1"/>
        <v>Bad</v>
      </c>
    </row>
    <row r="5583" spans="2:34" x14ac:dyDescent="0.2">
      <c r="B5583" s="2">
        <f ca="1"/>
        <v>0.46229252824233047</v>
      </c>
      <c r="O5583" s="2">
        <f ca="1"/>
        <v>-1.5654499031388884</v>
      </c>
      <c r="X5583" s="2">
        <f ca="1"/>
        <v>37.277987181536218</v>
      </c>
      <c r="AG5583" s="2">
        <f ca="1"/>
        <v>0.92271965781513043</v>
      </c>
      <c r="AH5583" s="2" t="str">
        <f ca="1"/>
        <v>Bad</v>
      </c>
    </row>
    <row r="5584" spans="2:34" x14ac:dyDescent="0.2">
      <c r="B5584" s="2">
        <f ca="1"/>
        <v>0.60162278850001205</v>
      </c>
      <c r="O5584" s="2">
        <f ca="1"/>
        <v>-0.45912758462990927</v>
      </c>
      <c r="X5584" s="2">
        <f ca="1"/>
        <v>47.577460056808292</v>
      </c>
      <c r="AG5584" s="2">
        <f ca="1"/>
        <v>0.3787982323206569</v>
      </c>
      <c r="AH5584" s="2" t="str">
        <f ca="1"/>
        <v>OK</v>
      </c>
    </row>
    <row r="5585" spans="2:34" x14ac:dyDescent="0.2">
      <c r="B5585" s="2">
        <f ca="1"/>
        <v>0.19791441778782581</v>
      </c>
      <c r="O5585" s="2">
        <f ca="1"/>
        <v>-0.94324516214455467</v>
      </c>
      <c r="X5585" s="2">
        <f ca="1"/>
        <v>57.257225286279464</v>
      </c>
      <c r="AG5585" s="2">
        <f ca="1"/>
        <v>0.7646574671500812</v>
      </c>
      <c r="AH5585" s="2" t="str">
        <f ca="1"/>
        <v>Bad</v>
      </c>
    </row>
    <row r="5586" spans="2:34" x14ac:dyDescent="0.2">
      <c r="B5586" s="2">
        <f ca="1"/>
        <v>0.50321433064482091</v>
      </c>
      <c r="O5586" s="2">
        <f ca="1"/>
        <v>2.6115110985266639</v>
      </c>
      <c r="X5586" s="2">
        <f ca="1"/>
        <v>23.297435563539</v>
      </c>
      <c r="AG5586" s="2">
        <f ca="1"/>
        <v>0.46543994682783008</v>
      </c>
      <c r="AH5586" s="2" t="str">
        <f ca="1"/>
        <v>Bad</v>
      </c>
    </row>
    <row r="5587" spans="2:34" x14ac:dyDescent="0.2">
      <c r="B5587" s="2">
        <f ca="1"/>
        <v>0.93455673822444374</v>
      </c>
      <c r="O5587" s="2">
        <f ca="1"/>
        <v>-3.5452550262895173</v>
      </c>
      <c r="X5587" s="2">
        <f ca="1"/>
        <v>45.538982094607768</v>
      </c>
      <c r="AG5587" s="2">
        <f ca="1"/>
        <v>0.40682665709932619</v>
      </c>
      <c r="AH5587" s="2" t="str">
        <f ca="1"/>
        <v>Bad</v>
      </c>
    </row>
    <row r="5588" spans="2:34" x14ac:dyDescent="0.2">
      <c r="B5588" s="2">
        <f ca="1"/>
        <v>0.80205345898442659</v>
      </c>
      <c r="O5588" s="2">
        <f ca="1"/>
        <v>-0.93955104015882318</v>
      </c>
      <c r="X5588" s="2">
        <f ca="1"/>
        <v>72.259535227346078</v>
      </c>
      <c r="AG5588" s="2">
        <f ca="1"/>
        <v>0.95393058180773838</v>
      </c>
      <c r="AH5588" s="2" t="str">
        <f ca="1"/>
        <v>Bad</v>
      </c>
    </row>
    <row r="5589" spans="2:34" x14ac:dyDescent="0.2">
      <c r="B5589" s="2">
        <f ca="1"/>
        <v>0.64017241185052143</v>
      </c>
      <c r="O5589" s="2">
        <f ca="1"/>
        <v>-2.7802271299693346E-2</v>
      </c>
      <c r="X5589" s="2">
        <f ca="1"/>
        <v>55.904849016328896</v>
      </c>
      <c r="AG5589" s="2">
        <f ca="1"/>
        <v>0.84135383998062663</v>
      </c>
      <c r="AH5589" s="2" t="str">
        <f ca="1"/>
        <v>Bad</v>
      </c>
    </row>
    <row r="5590" spans="2:34" x14ac:dyDescent="0.2">
      <c r="B5590" s="2">
        <f ca="1"/>
        <v>3.1178812291542624E-2</v>
      </c>
      <c r="O5590" s="2">
        <f ca="1"/>
        <v>1.3306770520709617</v>
      </c>
      <c r="X5590" s="2">
        <f ca="1"/>
        <v>68.585111862535157</v>
      </c>
      <c r="AG5590" s="2">
        <f ca="1"/>
        <v>0.75244722339390502</v>
      </c>
      <c r="AH5590" s="2" t="str">
        <f ca="1"/>
        <v>Bad</v>
      </c>
    </row>
    <row r="5591" spans="2:34" x14ac:dyDescent="0.2">
      <c r="B5591" s="2">
        <f ca="1"/>
        <v>0.63867012545249358</v>
      </c>
      <c r="O5591" s="2">
        <f ca="1"/>
        <v>-1.0840606980053236</v>
      </c>
      <c r="X5591" s="2">
        <f ca="1"/>
        <v>36.234674005603949</v>
      </c>
      <c r="AG5591" s="2">
        <f ca="1"/>
        <v>0.12934898596409528</v>
      </c>
      <c r="AH5591" s="2" t="str">
        <f ca="1"/>
        <v>OK</v>
      </c>
    </row>
    <row r="5592" spans="2:34" x14ac:dyDescent="0.2">
      <c r="B5592" s="2">
        <f ca="1"/>
        <v>7.8625673215257263E-2</v>
      </c>
      <c r="O5592" s="2">
        <f ca="1"/>
        <v>2.5030066053630682</v>
      </c>
      <c r="X5592" s="2">
        <f ca="1"/>
        <v>34.131614100887091</v>
      </c>
      <c r="AG5592" s="2">
        <f ca="1"/>
        <v>7.6522307106208665E-2</v>
      </c>
      <c r="AH5592" s="2" t="str">
        <f ca="1"/>
        <v>OK</v>
      </c>
    </row>
    <row r="5593" spans="2:34" x14ac:dyDescent="0.2">
      <c r="B5593" s="2">
        <f ca="1"/>
        <v>0.30002786572715334</v>
      </c>
      <c r="O5593" s="2">
        <f ca="1"/>
        <v>1.9684692686900656</v>
      </c>
      <c r="X5593" s="2">
        <f ca="1"/>
        <v>50.519030213860788</v>
      </c>
      <c r="AG5593" s="2">
        <f ca="1"/>
        <v>0.83834652373469631</v>
      </c>
      <c r="AH5593" s="2" t="str">
        <f ca="1"/>
        <v>Bad</v>
      </c>
    </row>
    <row r="5594" spans="2:34" x14ac:dyDescent="0.2">
      <c r="B5594" s="2">
        <f ca="1"/>
        <v>0.89449199397695445</v>
      </c>
      <c r="O5594" s="2">
        <f ca="1"/>
        <v>-2.2436768609775215</v>
      </c>
      <c r="X5594" s="2">
        <f ca="1"/>
        <v>73.331861107795859</v>
      </c>
      <c r="AG5594" s="2">
        <f ca="1"/>
        <v>0.27769150471398008</v>
      </c>
      <c r="AH5594" s="2" t="str">
        <f ca="1"/>
        <v>OK</v>
      </c>
    </row>
    <row r="5595" spans="2:34" x14ac:dyDescent="0.2">
      <c r="B5595" s="2">
        <f ca="1"/>
        <v>0.40253667551310546</v>
      </c>
      <c r="O5595" s="2">
        <f ca="1"/>
        <v>-0.10162907339879027</v>
      </c>
      <c r="X5595" s="2">
        <f ca="1"/>
        <v>53.374282554318768</v>
      </c>
      <c r="AG5595" s="2">
        <f ca="1"/>
        <v>0.30027576613603824</v>
      </c>
      <c r="AH5595" s="2" t="str">
        <f ca="1"/>
        <v>OK</v>
      </c>
    </row>
    <row r="5596" spans="2:34" x14ac:dyDescent="0.2">
      <c r="B5596" s="2">
        <f ca="1"/>
        <v>0.14981519039196423</v>
      </c>
      <c r="O5596" s="2">
        <f ca="1"/>
        <v>0.38231875285983824</v>
      </c>
      <c r="X5596" s="2">
        <f ca="1"/>
        <v>51.719862241742376</v>
      </c>
      <c r="AG5596" s="2">
        <f ca="1"/>
        <v>0.28094294131565434</v>
      </c>
      <c r="AH5596" s="2" t="str">
        <f ca="1"/>
        <v>OK</v>
      </c>
    </row>
    <row r="5597" spans="2:34" x14ac:dyDescent="0.2">
      <c r="B5597" s="2">
        <f ca="1"/>
        <v>0.14121986188752755</v>
      </c>
      <c r="O5597" s="2">
        <f ca="1"/>
        <v>0.20471959926107983</v>
      </c>
      <c r="X5597" s="2">
        <f ca="1"/>
        <v>32.854021723759629</v>
      </c>
      <c r="AG5597" s="2">
        <f ca="1"/>
        <v>0.47859731398407557</v>
      </c>
      <c r="AH5597" s="2" t="str">
        <f ca="1"/>
        <v>Bad</v>
      </c>
    </row>
    <row r="5598" spans="2:34" x14ac:dyDescent="0.2">
      <c r="B5598" s="2">
        <f ca="1"/>
        <v>0.29162530029862288</v>
      </c>
      <c r="O5598" s="2">
        <f ca="1"/>
        <v>-1.2541771033043905</v>
      </c>
      <c r="X5598" s="2">
        <f ca="1"/>
        <v>48.109157284947202</v>
      </c>
      <c r="AG5598" s="2">
        <f ca="1"/>
        <v>0.74774365940549092</v>
      </c>
      <c r="AH5598" s="2" t="str">
        <f ca="1"/>
        <v>Bad</v>
      </c>
    </row>
    <row r="5599" spans="2:34" x14ac:dyDescent="0.2">
      <c r="B5599" s="2">
        <f ca="1"/>
        <v>0.26938662456652152</v>
      </c>
      <c r="O5599" s="2">
        <f ca="1"/>
        <v>-1.528338520980677</v>
      </c>
      <c r="X5599" s="2">
        <f ca="1"/>
        <v>56.819706031381997</v>
      </c>
      <c r="AG5599" s="2">
        <f ca="1"/>
        <v>0.88440147839330141</v>
      </c>
      <c r="AH5599" s="2" t="str">
        <f ca="1"/>
        <v>Bad</v>
      </c>
    </row>
    <row r="5600" spans="2:34" x14ac:dyDescent="0.2">
      <c r="B5600" s="2">
        <f ca="1"/>
        <v>0.51015871532315726</v>
      </c>
      <c r="O5600" s="2">
        <f ca="1"/>
        <v>-7.0447088246830384E-4</v>
      </c>
      <c r="X5600" s="2">
        <f ca="1"/>
        <v>84.528022037614335</v>
      </c>
      <c r="AG5600" s="2">
        <f ca="1"/>
        <v>0.14886480795959911</v>
      </c>
      <c r="AH5600" s="2" t="str">
        <f ca="1"/>
        <v>OK</v>
      </c>
    </row>
    <row r="5601" spans="2:34" x14ac:dyDescent="0.2">
      <c r="B5601" s="2">
        <f ca="1"/>
        <v>0.74086375682886141</v>
      </c>
      <c r="O5601" s="2">
        <f ca="1"/>
        <v>-0.21622924783015782</v>
      </c>
      <c r="X5601" s="2">
        <f ca="1"/>
        <v>57.331657728951413</v>
      </c>
      <c r="AG5601" s="2">
        <f ca="1"/>
        <v>7.3169197230824157E-2</v>
      </c>
      <c r="AH5601" s="2" t="str">
        <f ca="1"/>
        <v>OK</v>
      </c>
    </row>
    <row r="5602" spans="2:34" x14ac:dyDescent="0.2">
      <c r="B5602" s="2">
        <f ca="1"/>
        <v>0.3815180465381709</v>
      </c>
      <c r="O5602" s="2">
        <f ca="1"/>
        <v>-0.49276256246443423</v>
      </c>
      <c r="X5602" s="2">
        <f ca="1"/>
        <v>20.418978823641474</v>
      </c>
      <c r="AG5602" s="2">
        <f ca="1"/>
        <v>5.8665515153133008E-2</v>
      </c>
      <c r="AH5602" s="2" t="str">
        <f ca="1"/>
        <v>OK</v>
      </c>
    </row>
    <row r="5603" spans="2:34" x14ac:dyDescent="0.2">
      <c r="B5603" s="2">
        <f ca="1"/>
        <v>2.7313996413200314E-2</v>
      </c>
      <c r="O5603" s="2">
        <f ca="1"/>
        <v>-1.1458706793304696</v>
      </c>
      <c r="X5603" s="2">
        <f ca="1"/>
        <v>42.063453541732301</v>
      </c>
      <c r="AG5603" s="2">
        <f ca="1"/>
        <v>0.10240438685471598</v>
      </c>
      <c r="AH5603" s="2" t="str">
        <f ca="1"/>
        <v>OK</v>
      </c>
    </row>
    <row r="5604" spans="2:34" x14ac:dyDescent="0.2">
      <c r="B5604" s="2">
        <f ca="1"/>
        <v>0.33728122870033705</v>
      </c>
      <c r="O5604" s="2">
        <f ca="1"/>
        <v>0.54134570131689763</v>
      </c>
      <c r="X5604" s="2">
        <f ca="1"/>
        <v>43.298014364264041</v>
      </c>
      <c r="AG5604" s="2">
        <f ca="1"/>
        <v>0.9897905670015803</v>
      </c>
      <c r="AH5604" s="2" t="str">
        <f ca="1"/>
        <v>Bad</v>
      </c>
    </row>
    <row r="5605" spans="2:34" x14ac:dyDescent="0.2">
      <c r="B5605" s="2">
        <f ca="1"/>
        <v>0.22808636521981707</v>
      </c>
      <c r="O5605" s="2">
        <f ca="1"/>
        <v>0.32779932289186747</v>
      </c>
      <c r="X5605" s="2">
        <f ca="1"/>
        <v>48.579461005669771</v>
      </c>
      <c r="AG5605" s="2">
        <f ca="1"/>
        <v>0.10939395901878424</v>
      </c>
      <c r="AH5605" s="2" t="str">
        <f ca="1"/>
        <v>OK</v>
      </c>
    </row>
    <row r="5606" spans="2:34" x14ac:dyDescent="0.2">
      <c r="B5606" s="2">
        <f ca="1"/>
        <v>0.52870313144494263</v>
      </c>
      <c r="O5606" s="2">
        <f ca="1"/>
        <v>1.8611619588908919</v>
      </c>
      <c r="X5606" s="2">
        <f ca="1"/>
        <v>80.581238718657389</v>
      </c>
      <c r="AG5606" s="2">
        <f ca="1"/>
        <v>0.41758206267242537</v>
      </c>
      <c r="AH5606" s="2" t="str">
        <f ca="1"/>
        <v>Bad</v>
      </c>
    </row>
    <row r="5607" spans="2:34" x14ac:dyDescent="0.2">
      <c r="B5607" s="2">
        <f ca="1"/>
        <v>0.65525820245772781</v>
      </c>
      <c r="O5607" s="2">
        <f ca="1"/>
        <v>-0.80739569314720816</v>
      </c>
      <c r="X5607" s="2">
        <f ca="1"/>
        <v>47.947262102236266</v>
      </c>
      <c r="AG5607" s="2">
        <f ca="1"/>
        <v>0.99625274375722062</v>
      </c>
      <c r="AH5607" s="2" t="str">
        <f ca="1"/>
        <v>Bad</v>
      </c>
    </row>
    <row r="5608" spans="2:34" x14ac:dyDescent="0.2">
      <c r="B5608" s="2">
        <f ca="1"/>
        <v>0.11928226862195768</v>
      </c>
      <c r="O5608" s="2">
        <f ca="1"/>
        <v>-0.26572823719062599</v>
      </c>
      <c r="X5608" s="2">
        <f ca="1"/>
        <v>43.105508911826583</v>
      </c>
      <c r="AG5608" s="2">
        <f ca="1"/>
        <v>0.67483544525319283</v>
      </c>
      <c r="AH5608" s="2" t="str">
        <f ca="1"/>
        <v>Bad</v>
      </c>
    </row>
    <row r="5609" spans="2:34" x14ac:dyDescent="0.2">
      <c r="B5609" s="2">
        <f ca="1"/>
        <v>0.35568942101801548</v>
      </c>
      <c r="O5609" s="2">
        <f ca="1"/>
        <v>0.64709297170160907</v>
      </c>
      <c r="X5609" s="2">
        <f ca="1"/>
        <v>31.537181363456547</v>
      </c>
      <c r="AG5609" s="2">
        <f ca="1"/>
        <v>0.57812336273640508</v>
      </c>
      <c r="AH5609" s="2" t="str">
        <f ca="1"/>
        <v>Bad</v>
      </c>
    </row>
    <row r="5610" spans="2:34" x14ac:dyDescent="0.2">
      <c r="B5610" s="2">
        <f ca="1"/>
        <v>0.57866111186801161</v>
      </c>
      <c r="O5610" s="2">
        <f ca="1"/>
        <v>-0.3146156573020899</v>
      </c>
      <c r="X5610" s="2">
        <f ca="1"/>
        <v>43.109089535261766</v>
      </c>
      <c r="AG5610" s="2">
        <f ca="1"/>
        <v>0.39166215162581786</v>
      </c>
      <c r="AH5610" s="2" t="str">
        <f ca="1"/>
        <v>OK</v>
      </c>
    </row>
    <row r="5611" spans="2:34" x14ac:dyDescent="0.2">
      <c r="B5611" s="2">
        <f ca="1"/>
        <v>0.44999869935902059</v>
      </c>
      <c r="O5611" s="2">
        <f ca="1"/>
        <v>1.2577847163405176</v>
      </c>
      <c r="X5611" s="2">
        <f ca="1"/>
        <v>70.564510403576335</v>
      </c>
      <c r="AG5611" s="2">
        <f ca="1"/>
        <v>0.9986441755675215</v>
      </c>
      <c r="AH5611" s="2" t="str">
        <f ca="1"/>
        <v>Bad</v>
      </c>
    </row>
    <row r="5612" spans="2:34" x14ac:dyDescent="0.2">
      <c r="B5612" s="2">
        <f ca="1"/>
        <v>0.27789798028473944</v>
      </c>
      <c r="O5612" s="2">
        <f ca="1"/>
        <v>0.11364981103904274</v>
      </c>
      <c r="X5612" s="2">
        <f ca="1"/>
        <v>73.109132433074166</v>
      </c>
      <c r="AG5612" s="2">
        <f ca="1"/>
        <v>0.56484166173461214</v>
      </c>
      <c r="AH5612" s="2" t="str">
        <f ca="1"/>
        <v>Bad</v>
      </c>
    </row>
    <row r="5613" spans="2:34" x14ac:dyDescent="0.2">
      <c r="B5613" s="2">
        <f ca="1"/>
        <v>0.10614511680623662</v>
      </c>
      <c r="O5613" s="2">
        <f ca="1"/>
        <v>0.61269334259409236</v>
      </c>
      <c r="X5613" s="2">
        <f ca="1"/>
        <v>57.824221151297593</v>
      </c>
      <c r="AG5613" s="2">
        <f ca="1"/>
        <v>0.43764106258921975</v>
      </c>
      <c r="AH5613" s="2" t="str">
        <f ca="1"/>
        <v>Bad</v>
      </c>
    </row>
    <row r="5614" spans="2:34" x14ac:dyDescent="0.2">
      <c r="B5614" s="2">
        <f ca="1"/>
        <v>0.50436225126243506</v>
      </c>
      <c r="O5614" s="2">
        <f ca="1"/>
        <v>-1.4324497767252613</v>
      </c>
      <c r="X5614" s="2">
        <f ca="1"/>
        <v>34.523503039692606</v>
      </c>
      <c r="AG5614" s="2">
        <f ca="1"/>
        <v>0.62316515705929509</v>
      </c>
      <c r="AH5614" s="2" t="str">
        <f ca="1"/>
        <v>Bad</v>
      </c>
    </row>
    <row r="5615" spans="2:34" x14ac:dyDescent="0.2">
      <c r="B5615" s="2">
        <f ca="1"/>
        <v>0.38800074786585093</v>
      </c>
      <c r="O5615" s="2">
        <f ca="1"/>
        <v>0.95221349343184347</v>
      </c>
      <c r="X5615" s="2">
        <f ca="1"/>
        <v>52.307798579812889</v>
      </c>
      <c r="AG5615" s="2">
        <f ca="1"/>
        <v>0.64707286059286484</v>
      </c>
      <c r="AH5615" s="2" t="str">
        <f ca="1"/>
        <v>Bad</v>
      </c>
    </row>
    <row r="5616" spans="2:34" x14ac:dyDescent="0.2">
      <c r="B5616" s="2">
        <f ca="1"/>
        <v>0.2698446475604912</v>
      </c>
      <c r="O5616" s="2">
        <f ca="1"/>
        <v>-1.7476353563065699</v>
      </c>
      <c r="X5616" s="2">
        <f ca="1"/>
        <v>51.043019192824495</v>
      </c>
      <c r="AG5616" s="2">
        <f ca="1"/>
        <v>0.10710962946117486</v>
      </c>
      <c r="AH5616" s="2" t="str">
        <f ca="1"/>
        <v>OK</v>
      </c>
    </row>
    <row r="5617" spans="2:34" x14ac:dyDescent="0.2">
      <c r="B5617" s="2">
        <f ca="1"/>
        <v>0.57939321154680856</v>
      </c>
      <c r="O5617" s="2">
        <f ca="1"/>
        <v>0.40604147922370643</v>
      </c>
      <c r="X5617" s="2">
        <f ca="1"/>
        <v>32.548049246085625</v>
      </c>
      <c r="AG5617" s="2">
        <f ca="1"/>
        <v>0.53995197711896759</v>
      </c>
      <c r="AH5617" s="2" t="str">
        <f ca="1"/>
        <v>Bad</v>
      </c>
    </row>
    <row r="5618" spans="2:34" x14ac:dyDescent="0.2">
      <c r="B5618" s="2">
        <f ca="1"/>
        <v>0.63516632060576184</v>
      </c>
      <c r="O5618" s="2">
        <f ca="1"/>
        <v>-0.61845713928553714</v>
      </c>
      <c r="X5618" s="2">
        <f ca="1"/>
        <v>51.772874759704059</v>
      </c>
      <c r="AG5618" s="2">
        <f ca="1"/>
        <v>0.10888418675556299</v>
      </c>
      <c r="AH5618" s="2" t="str">
        <f ca="1"/>
        <v>OK</v>
      </c>
    </row>
    <row r="5619" spans="2:34" x14ac:dyDescent="0.2">
      <c r="B5619" s="2">
        <f ca="1"/>
        <v>0.77580148977010155</v>
      </c>
      <c r="O5619" s="2">
        <f ca="1"/>
        <v>-0.71054030685971015</v>
      </c>
      <c r="X5619" s="2">
        <f ca="1"/>
        <v>61.706670229205855</v>
      </c>
      <c r="AG5619" s="2">
        <f ca="1"/>
        <v>9.4131433066459325E-2</v>
      </c>
      <c r="AH5619" s="2" t="str">
        <f ca="1"/>
        <v>OK</v>
      </c>
    </row>
    <row r="5620" spans="2:34" x14ac:dyDescent="0.2">
      <c r="B5620" s="2">
        <f ca="1"/>
        <v>0.20320885016561574</v>
      </c>
      <c r="O5620" s="2">
        <f ca="1"/>
        <v>0.53661074318761082</v>
      </c>
      <c r="X5620" s="2">
        <f ca="1"/>
        <v>35.972617892356766</v>
      </c>
      <c r="AG5620" s="2">
        <f ca="1"/>
        <v>0.62869926395308218</v>
      </c>
      <c r="AH5620" s="2" t="str">
        <f ca="1"/>
        <v>Bad</v>
      </c>
    </row>
    <row r="5621" spans="2:34" x14ac:dyDescent="0.2">
      <c r="B5621" s="2">
        <f ca="1"/>
        <v>0.65337290469308518</v>
      </c>
      <c r="O5621" s="2">
        <f ca="1"/>
        <v>-0.226933018995439</v>
      </c>
      <c r="X5621" s="2">
        <f ca="1"/>
        <v>68.350275274693246</v>
      </c>
      <c r="AG5621" s="2">
        <f ca="1"/>
        <v>0.80526059865725053</v>
      </c>
      <c r="AH5621" s="2" t="str">
        <f ca="1"/>
        <v>Bad</v>
      </c>
    </row>
    <row r="5622" spans="2:34" x14ac:dyDescent="0.2">
      <c r="B5622" s="2">
        <f ca="1"/>
        <v>0.28232608000902748</v>
      </c>
      <c r="O5622" s="2">
        <f ca="1"/>
        <v>1.1113774549852382</v>
      </c>
      <c r="X5622" s="2">
        <f ca="1"/>
        <v>27.514581366806485</v>
      </c>
      <c r="AG5622" s="2">
        <f ca="1"/>
        <v>0.13011205760228539</v>
      </c>
      <c r="AH5622" s="2" t="str">
        <f ca="1"/>
        <v>OK</v>
      </c>
    </row>
    <row r="5623" spans="2:34" x14ac:dyDescent="0.2">
      <c r="B5623" s="2">
        <f ca="1"/>
        <v>0.31749119568971707</v>
      </c>
      <c r="O5623" s="2">
        <f ca="1"/>
        <v>1.2415997850072966</v>
      </c>
      <c r="X5623" s="2">
        <f ca="1"/>
        <v>59.428290630778349</v>
      </c>
      <c r="AG5623" s="2">
        <f ca="1"/>
        <v>0.12458239851597908</v>
      </c>
      <c r="AH5623" s="2" t="str">
        <f ca="1"/>
        <v>OK</v>
      </c>
    </row>
    <row r="5624" spans="2:34" x14ac:dyDescent="0.2">
      <c r="B5624" s="2">
        <f ca="1"/>
        <v>0.38742482628363573</v>
      </c>
      <c r="O5624" s="2">
        <f ca="1"/>
        <v>-1.5021662496672119</v>
      </c>
      <c r="X5624" s="2">
        <f ca="1"/>
        <v>56.491734930908734</v>
      </c>
      <c r="AG5624" s="2">
        <f ca="1"/>
        <v>0.24534173539777582</v>
      </c>
      <c r="AH5624" s="2" t="str">
        <f ca="1"/>
        <v>OK</v>
      </c>
    </row>
    <row r="5625" spans="2:34" x14ac:dyDescent="0.2">
      <c r="B5625" s="2">
        <f ca="1"/>
        <v>0.36747684919998158</v>
      </c>
      <c r="O5625" s="2">
        <f ca="1"/>
        <v>1.3115182066151978</v>
      </c>
      <c r="X5625" s="2">
        <f ca="1"/>
        <v>35.292820028003518</v>
      </c>
      <c r="AG5625" s="2">
        <f ca="1"/>
        <v>0.94573285158432263</v>
      </c>
      <c r="AH5625" s="2" t="str">
        <f ca="1"/>
        <v>Bad</v>
      </c>
    </row>
    <row r="5626" spans="2:34" x14ac:dyDescent="0.2">
      <c r="B5626" s="2">
        <f ca="1"/>
        <v>0.96992697728848509</v>
      </c>
      <c r="O5626" s="2">
        <f ca="1"/>
        <v>0.50033234505360547</v>
      </c>
      <c r="X5626" s="2">
        <f ca="1"/>
        <v>54.164774154483418</v>
      </c>
      <c r="AG5626" s="2">
        <f ca="1"/>
        <v>0.10507868818294241</v>
      </c>
      <c r="AH5626" s="2" t="str">
        <f ca="1"/>
        <v>OK</v>
      </c>
    </row>
    <row r="5627" spans="2:34" x14ac:dyDescent="0.2">
      <c r="B5627" s="2">
        <f ca="1"/>
        <v>0.30780854594313878</v>
      </c>
      <c r="O5627" s="2">
        <f ca="1"/>
        <v>-1.1167172372296783</v>
      </c>
      <c r="X5627" s="2">
        <f ca="1"/>
        <v>45.131992676753462</v>
      </c>
      <c r="AG5627" s="2">
        <f ca="1"/>
        <v>0.22987763029179775</v>
      </c>
      <c r="AH5627" s="2" t="str">
        <f ca="1"/>
        <v>OK</v>
      </c>
    </row>
    <row r="5628" spans="2:34" x14ac:dyDescent="0.2">
      <c r="B5628" s="2">
        <f ca="1"/>
        <v>0.10281311722733633</v>
      </c>
      <c r="O5628" s="2">
        <f ca="1"/>
        <v>-1.2320864756107381</v>
      </c>
      <c r="X5628" s="2">
        <f ca="1"/>
        <v>56.867713155972162</v>
      </c>
      <c r="AG5628" s="2">
        <f ca="1"/>
        <v>1.291680585361088E-2</v>
      </c>
      <c r="AH5628" s="2" t="str">
        <f ca="1"/>
        <v>Good</v>
      </c>
    </row>
    <row r="5629" spans="2:34" x14ac:dyDescent="0.2">
      <c r="B5629" s="2">
        <f ca="1"/>
        <v>0.94334469598024251</v>
      </c>
      <c r="O5629" s="2">
        <f ca="1"/>
        <v>-0.76930272244369791</v>
      </c>
      <c r="X5629" s="2">
        <f ca="1"/>
        <v>38.274313354144965</v>
      </c>
      <c r="AG5629" s="2">
        <f ca="1"/>
        <v>0.73523486494375412</v>
      </c>
      <c r="AH5629" s="2" t="str">
        <f ca="1"/>
        <v>Bad</v>
      </c>
    </row>
    <row r="5630" spans="2:34" x14ac:dyDescent="0.2">
      <c r="B5630" s="2">
        <f ca="1"/>
        <v>0.75400489542896709</v>
      </c>
      <c r="O5630" s="2">
        <f ca="1"/>
        <v>0.44001601754415731</v>
      </c>
      <c r="X5630" s="2">
        <f ca="1"/>
        <v>28.397061936483396</v>
      </c>
      <c r="AG5630" s="2">
        <f ca="1"/>
        <v>0.3724652490090008</v>
      </c>
      <c r="AH5630" s="2" t="str">
        <f ca="1"/>
        <v>OK</v>
      </c>
    </row>
    <row r="5631" spans="2:34" x14ac:dyDescent="0.2">
      <c r="B5631" s="2">
        <f ca="1"/>
        <v>0.96969539628058166</v>
      </c>
      <c r="O5631" s="2">
        <f ca="1"/>
        <v>-0.65852179348269524</v>
      </c>
      <c r="X5631" s="2">
        <f ca="1"/>
        <v>65.656090751169586</v>
      </c>
      <c r="AG5631" s="2">
        <f ca="1"/>
        <v>0.38525682869156364</v>
      </c>
      <c r="AH5631" s="2" t="str">
        <f ca="1"/>
        <v>OK</v>
      </c>
    </row>
    <row r="5632" spans="2:34" x14ac:dyDescent="0.2">
      <c r="B5632" s="2">
        <f ca="1"/>
        <v>0.61434650585256279</v>
      </c>
      <c r="O5632" s="2">
        <f ca="1"/>
        <v>-2.0100346474006207E-2</v>
      </c>
      <c r="X5632" s="2">
        <f ca="1"/>
        <v>64.1231644447207</v>
      </c>
      <c r="AG5632" s="2">
        <f ca="1"/>
        <v>0.22007658451900713</v>
      </c>
      <c r="AH5632" s="2" t="str">
        <f ca="1"/>
        <v>OK</v>
      </c>
    </row>
    <row r="5633" spans="2:34" x14ac:dyDescent="0.2">
      <c r="B5633" s="2">
        <f ca="1"/>
        <v>0.64854622614074953</v>
      </c>
      <c r="O5633" s="2">
        <f ca="1"/>
        <v>0.91500770398205578</v>
      </c>
      <c r="X5633" s="2">
        <f ca="1"/>
        <v>17.480913442359125</v>
      </c>
      <c r="AG5633" s="2">
        <f ca="1"/>
        <v>0.49266411394210508</v>
      </c>
      <c r="AH5633" s="2" t="str">
        <f ca="1"/>
        <v>Bad</v>
      </c>
    </row>
    <row r="5634" spans="2:34" x14ac:dyDescent="0.2">
      <c r="B5634" s="2">
        <f ca="1"/>
        <v>0.37644824515195285</v>
      </c>
      <c r="O5634" s="2">
        <f ca="1"/>
        <v>-2.5677004784041273</v>
      </c>
      <c r="X5634" s="2">
        <f ca="1"/>
        <v>56.698471690214269</v>
      </c>
      <c r="AG5634" s="2">
        <f ca="1"/>
        <v>0.90069067494359012</v>
      </c>
      <c r="AH5634" s="2" t="str">
        <f ca="1"/>
        <v>Bad</v>
      </c>
    </row>
    <row r="5635" spans="2:34" x14ac:dyDescent="0.2">
      <c r="B5635" s="2">
        <f ca="1"/>
        <v>9.7334764612089675E-2</v>
      </c>
      <c r="O5635" s="2">
        <f ca="1"/>
        <v>0.10491234229699518</v>
      </c>
      <c r="X5635" s="2">
        <f ca="1"/>
        <v>77.929511157086907</v>
      </c>
      <c r="AG5635" s="2">
        <f ca="1"/>
        <v>0.99689031516217863</v>
      </c>
      <c r="AH5635" s="2" t="str">
        <f ca="1"/>
        <v>Bad</v>
      </c>
    </row>
    <row r="5636" spans="2:34" x14ac:dyDescent="0.2">
      <c r="B5636" s="2">
        <f ca="1"/>
        <v>0.96088892649771118</v>
      </c>
      <c r="O5636" s="2">
        <f ca="1"/>
        <v>-0.8764301891933447</v>
      </c>
      <c r="X5636" s="2">
        <f ca="1"/>
        <v>22.671872415168181</v>
      </c>
      <c r="AG5636" s="2">
        <f ca="1"/>
        <v>0.91398937379593592</v>
      </c>
      <c r="AH5636" s="2" t="str">
        <f ca="1"/>
        <v>Bad</v>
      </c>
    </row>
    <row r="5637" spans="2:34" x14ac:dyDescent="0.2">
      <c r="B5637" s="2">
        <f ca="1"/>
        <v>1.5265397613237308E-2</v>
      </c>
      <c r="O5637" s="2">
        <f ca="1"/>
        <v>-9.1340832155059337E-2</v>
      </c>
      <c r="X5637" s="2">
        <f ca="1"/>
        <v>51.944230971005155</v>
      </c>
      <c r="AG5637" s="2">
        <f ca="1"/>
        <v>0.22975980825199538</v>
      </c>
      <c r="AH5637" s="2" t="str">
        <f ca="1"/>
        <v>OK</v>
      </c>
    </row>
    <row r="5638" spans="2:34" x14ac:dyDescent="0.2">
      <c r="B5638" s="2">
        <f ca="1"/>
        <v>0.3810345352692841</v>
      </c>
      <c r="O5638" s="2">
        <f ca="1"/>
        <v>-0.15959341400723179</v>
      </c>
      <c r="X5638" s="2">
        <f ca="1"/>
        <v>31.607978701922775</v>
      </c>
      <c r="AG5638" s="2">
        <f ca="1"/>
        <v>0.54297986439363788</v>
      </c>
      <c r="AH5638" s="2" t="str">
        <f ca="1"/>
        <v>Bad</v>
      </c>
    </row>
    <row r="5639" spans="2:34" x14ac:dyDescent="0.2">
      <c r="B5639" s="2">
        <f ca="1"/>
        <v>0.41275146630456505</v>
      </c>
      <c r="O5639" s="2">
        <f ca="1"/>
        <v>-0.42249924660909105</v>
      </c>
      <c r="X5639" s="2">
        <f ca="1"/>
        <v>50.32214986236967</v>
      </c>
      <c r="AG5639" s="2">
        <f ca="1"/>
        <v>0.70530721437934529</v>
      </c>
      <c r="AH5639" s="2" t="str">
        <f ca="1"/>
        <v>Bad</v>
      </c>
    </row>
    <row r="5640" spans="2:34" x14ac:dyDescent="0.2">
      <c r="B5640" s="2">
        <f ca="1"/>
        <v>0.97720097687148288</v>
      </c>
      <c r="O5640" s="2">
        <f ca="1"/>
        <v>4.3903240542977423E-2</v>
      </c>
      <c r="X5640" s="2">
        <f ca="1"/>
        <v>65.74241102056537</v>
      </c>
      <c r="AG5640" s="2">
        <f ca="1"/>
        <v>3.3892794780946867E-2</v>
      </c>
      <c r="AH5640" s="2" t="str">
        <f ca="1"/>
        <v>Good</v>
      </c>
    </row>
    <row r="5641" spans="2:34" x14ac:dyDescent="0.2">
      <c r="B5641" s="2">
        <f ca="1"/>
        <v>0.56594126731724526</v>
      </c>
      <c r="O5641" s="2">
        <f ca="1"/>
        <v>0.4251557850888979</v>
      </c>
      <c r="X5641" s="2">
        <f ca="1"/>
        <v>57.093826114172799</v>
      </c>
      <c r="AG5641" s="2">
        <f ca="1"/>
        <v>0.81741177143069721</v>
      </c>
      <c r="AH5641" s="2" t="str">
        <f ca="1"/>
        <v>Bad</v>
      </c>
    </row>
    <row r="5642" spans="2:34" x14ac:dyDescent="0.2">
      <c r="B5642" s="2">
        <f ca="1"/>
        <v>0.55255609678317752</v>
      </c>
      <c r="O5642" s="2">
        <f ca="1"/>
        <v>0.18679672698799091</v>
      </c>
      <c r="X5642" s="2">
        <f ca="1"/>
        <v>33.810780639004605</v>
      </c>
      <c r="AG5642" s="2">
        <f ca="1"/>
        <v>0.55391063739330071</v>
      </c>
      <c r="AH5642" s="2" t="str">
        <f ca="1"/>
        <v>Bad</v>
      </c>
    </row>
    <row r="5643" spans="2:34" x14ac:dyDescent="0.2">
      <c r="B5643" s="2">
        <f ca="1"/>
        <v>0.66715858540421769</v>
      </c>
      <c r="O5643" s="2">
        <f ca="1"/>
        <v>0.69346181284342379</v>
      </c>
      <c r="X5643" s="2">
        <f ca="1"/>
        <v>50.115525733164148</v>
      </c>
      <c r="AG5643" s="2">
        <f ca="1"/>
        <v>0.78574427128359092</v>
      </c>
      <c r="AH5643" s="2" t="str">
        <f ca="1"/>
        <v>Bad</v>
      </c>
    </row>
    <row r="5644" spans="2:34" x14ac:dyDescent="0.2">
      <c r="B5644" s="2">
        <f ca="1"/>
        <v>0.38134336504750221</v>
      </c>
      <c r="O5644" s="2">
        <f ca="1"/>
        <v>0.56962812910776295</v>
      </c>
      <c r="X5644" s="2">
        <f ca="1"/>
        <v>37.887682978893487</v>
      </c>
      <c r="AG5644" s="2">
        <f ca="1"/>
        <v>0.73767284377908138</v>
      </c>
      <c r="AH5644" s="2" t="str">
        <f ca="1"/>
        <v>Bad</v>
      </c>
    </row>
    <row r="5645" spans="2:34" x14ac:dyDescent="0.2">
      <c r="B5645" s="2">
        <f ca="1"/>
        <v>0.56204670154794112</v>
      </c>
      <c r="O5645" s="2">
        <f ca="1"/>
        <v>-1.4608763493448533</v>
      </c>
      <c r="X5645" s="2">
        <f ca="1"/>
        <v>70.418911438152477</v>
      </c>
      <c r="AG5645" s="2">
        <f ca="1"/>
        <v>0.6746786544174137</v>
      </c>
      <c r="AH5645" s="2" t="str">
        <f ca="1"/>
        <v>Bad</v>
      </c>
    </row>
    <row r="5646" spans="2:34" x14ac:dyDescent="0.2">
      <c r="B5646" s="2">
        <f ca="1"/>
        <v>0.47616286259788199</v>
      </c>
      <c r="O5646" s="2">
        <f ca="1"/>
        <v>-0.72424116778709224</v>
      </c>
      <c r="X5646" s="2">
        <f ca="1"/>
        <v>36.381158833759059</v>
      </c>
      <c r="AG5646" s="2">
        <f ca="1"/>
        <v>5.8573274090931715E-3</v>
      </c>
      <c r="AH5646" s="2" t="str">
        <f ca="1"/>
        <v>Good</v>
      </c>
    </row>
    <row r="5647" spans="2:34" x14ac:dyDescent="0.2">
      <c r="B5647" s="2">
        <f ca="1"/>
        <v>0.93816446263823083</v>
      </c>
      <c r="O5647" s="2">
        <f ca="1"/>
        <v>0.46380032928175868</v>
      </c>
      <c r="X5647" s="2">
        <f ca="1"/>
        <v>43.091665776707153</v>
      </c>
      <c r="AG5647" s="2">
        <f ca="1"/>
        <v>0.50827512829346522</v>
      </c>
      <c r="AH5647" s="2" t="str">
        <f ca="1"/>
        <v>Bad</v>
      </c>
    </row>
    <row r="5648" spans="2:34" x14ac:dyDescent="0.2">
      <c r="B5648" s="2">
        <f ca="1"/>
        <v>9.2465818344948936E-3</v>
      </c>
      <c r="O5648" s="2">
        <f ca="1"/>
        <v>0.29264171901648178</v>
      </c>
      <c r="X5648" s="2">
        <f ca="1"/>
        <v>58.285738078605263</v>
      </c>
      <c r="AG5648" s="2">
        <f ca="1"/>
        <v>0.35072399094043361</v>
      </c>
      <c r="AH5648" s="2" t="str">
        <f ca="1"/>
        <v>OK</v>
      </c>
    </row>
    <row r="5649" spans="2:34" x14ac:dyDescent="0.2">
      <c r="B5649" s="2">
        <f ca="1"/>
        <v>0.50285683029430484</v>
      </c>
      <c r="O5649" s="2">
        <f ca="1"/>
        <v>-0.55433735601633038</v>
      </c>
      <c r="X5649" s="2">
        <f ca="1"/>
        <v>91.370720512391173</v>
      </c>
      <c r="AG5649" s="2">
        <f ca="1"/>
        <v>0.6936432620834696</v>
      </c>
      <c r="AH5649" s="2" t="str">
        <f ca="1"/>
        <v>Bad</v>
      </c>
    </row>
    <row r="5650" spans="2:34" x14ac:dyDescent="0.2">
      <c r="B5650" s="2">
        <f ca="1"/>
        <v>6.0866065316522056E-2</v>
      </c>
      <c r="O5650" s="2">
        <f ca="1"/>
        <v>-0.86110225636607873</v>
      </c>
      <c r="X5650" s="2">
        <f ca="1"/>
        <v>43.777441337640241</v>
      </c>
      <c r="AG5650" s="2">
        <f ca="1"/>
        <v>0.80727345636145342</v>
      </c>
      <c r="AH5650" s="2" t="str">
        <f ca="1"/>
        <v>Bad</v>
      </c>
    </row>
    <row r="5651" spans="2:34" x14ac:dyDescent="0.2">
      <c r="B5651" s="2">
        <f ca="1"/>
        <v>0.51995339298497778</v>
      </c>
      <c r="O5651" s="2">
        <f ca="1"/>
        <v>0.23082559260990537</v>
      </c>
      <c r="X5651" s="2">
        <f ca="1"/>
        <v>38.049494482568129</v>
      </c>
      <c r="AG5651" s="2">
        <f ca="1"/>
        <v>4.7618417950020309E-2</v>
      </c>
      <c r="AH5651" s="2" t="str">
        <f ca="1"/>
        <v>Good</v>
      </c>
    </row>
    <row r="5652" spans="2:34" x14ac:dyDescent="0.2">
      <c r="B5652" s="2">
        <f ca="1"/>
        <v>0.26712531141079565</v>
      </c>
      <c r="O5652" s="2">
        <f ca="1"/>
        <v>0.64782505526536127</v>
      </c>
      <c r="X5652" s="2">
        <f ca="1"/>
        <v>61.254974718400284</v>
      </c>
      <c r="AG5652" s="2">
        <f ca="1"/>
        <v>0.98853035792778732</v>
      </c>
      <c r="AH5652" s="2" t="str">
        <f ca="1"/>
        <v>Bad</v>
      </c>
    </row>
    <row r="5653" spans="2:34" x14ac:dyDescent="0.2">
      <c r="B5653" s="2">
        <f ca="1"/>
        <v>0.17415400110939627</v>
      </c>
      <c r="O5653" s="2">
        <f ca="1"/>
        <v>-1.0318044521348009</v>
      </c>
      <c r="X5653" s="2">
        <f ca="1"/>
        <v>47.14071677355021</v>
      </c>
      <c r="AG5653" s="2">
        <f ca="1"/>
        <v>0.29523039486942682</v>
      </c>
      <c r="AH5653" s="2" t="str">
        <f ca="1"/>
        <v>OK</v>
      </c>
    </row>
    <row r="5654" spans="2:34" x14ac:dyDescent="0.2">
      <c r="B5654" s="2">
        <f ca="1"/>
        <v>0.64470293721896188</v>
      </c>
      <c r="O5654" s="2">
        <f ca="1"/>
        <v>0.23736695040484515</v>
      </c>
      <c r="X5654" s="2">
        <f ca="1"/>
        <v>54.126699063832262</v>
      </c>
      <c r="AG5654" s="2">
        <f ca="1"/>
        <v>0.66823002932703068</v>
      </c>
      <c r="AH5654" s="2" t="str">
        <f ca="1"/>
        <v>Bad</v>
      </c>
    </row>
    <row r="5655" spans="2:34" x14ac:dyDescent="0.2">
      <c r="B5655" s="2">
        <f ca="1"/>
        <v>0.81032962948589171</v>
      </c>
      <c r="O5655" s="2">
        <f ca="1"/>
        <v>0.43063089377457914</v>
      </c>
      <c r="X5655" s="2">
        <f ca="1"/>
        <v>57.087288148520436</v>
      </c>
      <c r="AG5655" s="2">
        <f ca="1"/>
        <v>3.0548854840810602E-3</v>
      </c>
      <c r="AH5655" s="2" t="str">
        <f ca="1"/>
        <v>Good</v>
      </c>
    </row>
    <row r="5656" spans="2:34" x14ac:dyDescent="0.2">
      <c r="B5656" s="2">
        <f ca="1"/>
        <v>0.1794154537662056</v>
      </c>
      <c r="O5656" s="2">
        <f ca="1"/>
        <v>0.54211888522234686</v>
      </c>
      <c r="X5656" s="2">
        <f ca="1"/>
        <v>58.662320390596754</v>
      </c>
      <c r="AG5656" s="2">
        <f ca="1"/>
        <v>8.4357275154480327E-2</v>
      </c>
      <c r="AH5656" s="2" t="str">
        <f ca="1"/>
        <v>OK</v>
      </c>
    </row>
    <row r="5657" spans="2:34" x14ac:dyDescent="0.2">
      <c r="B5657" s="2">
        <f ca="1"/>
        <v>0.33494127282485553</v>
      </c>
      <c r="O5657" s="2">
        <f ca="1"/>
        <v>3.5731902207421923E-2</v>
      </c>
      <c r="X5657" s="2">
        <f ca="1"/>
        <v>39.451568967645187</v>
      </c>
      <c r="AG5657" s="2">
        <f ca="1"/>
        <v>0.36866677256828462</v>
      </c>
      <c r="AH5657" s="2" t="str">
        <f ca="1"/>
        <v>OK</v>
      </c>
    </row>
    <row r="5658" spans="2:34" x14ac:dyDescent="0.2">
      <c r="B5658" s="2">
        <f ca="1"/>
        <v>0.35497997043243301</v>
      </c>
      <c r="O5658" s="2">
        <f ca="1"/>
        <v>-0.14001858146226528</v>
      </c>
      <c r="X5658" s="2">
        <f ca="1"/>
        <v>35.570597362455501</v>
      </c>
      <c r="AG5658" s="2">
        <f ca="1"/>
        <v>1.5582162061187788E-2</v>
      </c>
      <c r="AH5658" s="2" t="str">
        <f ca="1"/>
        <v>Good</v>
      </c>
    </row>
    <row r="5659" spans="2:34" x14ac:dyDescent="0.2">
      <c r="B5659" s="2">
        <f ca="1"/>
        <v>0.70806043073331559</v>
      </c>
      <c r="O5659" s="2">
        <f ca="1"/>
        <v>-0.56527871928616769</v>
      </c>
      <c r="X5659" s="2">
        <f ca="1"/>
        <v>60.018404688545573</v>
      </c>
      <c r="AG5659" s="2">
        <f ca="1"/>
        <v>0.67791786667907372</v>
      </c>
      <c r="AH5659" s="2" t="str">
        <f ca="1"/>
        <v>Bad</v>
      </c>
    </row>
    <row r="5660" spans="2:34" x14ac:dyDescent="0.2">
      <c r="B5660" s="2">
        <f ca="1"/>
        <v>0.41057831123389921</v>
      </c>
      <c r="O5660" s="2">
        <f ca="1"/>
        <v>0.36768672440945327</v>
      </c>
      <c r="X5660" s="2">
        <f ca="1"/>
        <v>27.131573489915365</v>
      </c>
      <c r="AG5660" s="2">
        <f ca="1"/>
        <v>4.3013015836572688E-3</v>
      </c>
      <c r="AH5660" s="2" t="str">
        <f ca="1"/>
        <v>Good</v>
      </c>
    </row>
    <row r="5661" spans="2:34" x14ac:dyDescent="0.2">
      <c r="B5661" s="2">
        <f ca="1"/>
        <v>4.2858569415668901E-2</v>
      </c>
      <c r="O5661" s="2">
        <f ca="1"/>
        <v>1.610891861913781E-2</v>
      </c>
      <c r="X5661" s="2">
        <f ca="1"/>
        <v>65.4508790049711</v>
      </c>
      <c r="AG5661" s="2">
        <f ca="1"/>
        <v>0.66812364847200167</v>
      </c>
      <c r="AH5661" s="2" t="str">
        <f ca="1"/>
        <v>Bad</v>
      </c>
    </row>
    <row r="5662" spans="2:34" x14ac:dyDescent="0.2">
      <c r="B5662" s="2">
        <f ca="1"/>
        <v>0.98979597126164864</v>
      </c>
      <c r="O5662" s="2">
        <f ca="1"/>
        <v>-0.44460364630253024</v>
      </c>
      <c r="X5662" s="2">
        <f ca="1"/>
        <v>70.12663199319455</v>
      </c>
      <c r="AG5662" s="2">
        <f ca="1"/>
        <v>0.17416908827772093</v>
      </c>
      <c r="AH5662" s="2" t="str">
        <f ca="1"/>
        <v>OK</v>
      </c>
    </row>
    <row r="5663" spans="2:34" x14ac:dyDescent="0.2">
      <c r="B5663" s="2">
        <f ca="1"/>
        <v>0.89771185383410201</v>
      </c>
      <c r="O5663" s="2">
        <f ca="1"/>
        <v>-1.0195918110882733</v>
      </c>
      <c r="X5663" s="2">
        <f ca="1"/>
        <v>35.274150972000662</v>
      </c>
      <c r="AG5663" s="2">
        <f ca="1"/>
        <v>0.2366241862572207</v>
      </c>
      <c r="AH5663" s="2" t="str">
        <f ca="1"/>
        <v>OK</v>
      </c>
    </row>
    <row r="5664" spans="2:34" x14ac:dyDescent="0.2">
      <c r="B5664" s="2">
        <f ca="1"/>
        <v>3.1735817357017027E-2</v>
      </c>
      <c r="O5664" s="2">
        <f ca="1"/>
        <v>-0.23593542295854369</v>
      </c>
      <c r="X5664" s="2">
        <f ca="1"/>
        <v>60.759718372635312</v>
      </c>
      <c r="AG5664" s="2">
        <f ca="1"/>
        <v>0.89096980348581023</v>
      </c>
      <c r="AH5664" s="2" t="str">
        <f ca="1"/>
        <v>Bad</v>
      </c>
    </row>
    <row r="5665" spans="2:34" x14ac:dyDescent="0.2">
      <c r="B5665" s="2">
        <f ca="1"/>
        <v>0.68465515776025088</v>
      </c>
      <c r="O5665" s="2">
        <f ca="1"/>
        <v>-1.8008683085928614</v>
      </c>
      <c r="X5665" s="2">
        <f ca="1"/>
        <v>57.39663809792102</v>
      </c>
      <c r="AG5665" s="2">
        <f ca="1"/>
        <v>0.16002543270937797</v>
      </c>
      <c r="AH5665" s="2" t="str">
        <f ca="1"/>
        <v>OK</v>
      </c>
    </row>
    <row r="5666" spans="2:34" x14ac:dyDescent="0.2">
      <c r="B5666" s="2">
        <f ca="1"/>
        <v>0.95407861100855174</v>
      </c>
      <c r="O5666" s="2">
        <f ca="1"/>
        <v>0.14410846812245948</v>
      </c>
      <c r="X5666" s="2">
        <f ca="1"/>
        <v>31.087330885894513</v>
      </c>
      <c r="AG5666" s="2">
        <f ca="1"/>
        <v>0.46941703926175893</v>
      </c>
      <c r="AH5666" s="2" t="str">
        <f ca="1"/>
        <v>Bad</v>
      </c>
    </row>
    <row r="5667" spans="2:34" x14ac:dyDescent="0.2">
      <c r="B5667" s="2">
        <f ca="1"/>
        <v>0.25230379943478409</v>
      </c>
      <c r="O5667" s="2">
        <f ca="1"/>
        <v>0.8576390434751141</v>
      </c>
      <c r="X5667" s="2">
        <f ca="1"/>
        <v>53.787240471654115</v>
      </c>
      <c r="AG5667" s="2">
        <f ca="1"/>
        <v>0.90399099283779338</v>
      </c>
      <c r="AH5667" s="2" t="str">
        <f ca="1"/>
        <v>Bad</v>
      </c>
    </row>
    <row r="5668" spans="2:34" x14ac:dyDescent="0.2">
      <c r="B5668" s="2">
        <f ca="1"/>
        <v>0.23573082423599723</v>
      </c>
      <c r="O5668" s="2">
        <f ca="1"/>
        <v>1.0497569053072189</v>
      </c>
      <c r="X5668" s="2">
        <f ca="1"/>
        <v>49.833298727390698</v>
      </c>
      <c r="AG5668" s="2">
        <f ca="1"/>
        <v>1.4087894821066538E-2</v>
      </c>
      <c r="AH5668" s="2" t="str">
        <f ca="1"/>
        <v>Good</v>
      </c>
    </row>
    <row r="5669" spans="2:34" x14ac:dyDescent="0.2">
      <c r="B5669" s="2">
        <f ca="1"/>
        <v>0.25291033137283425</v>
      </c>
      <c r="O5669" s="2">
        <f ca="1"/>
        <v>0.73178956878486578</v>
      </c>
      <c r="X5669" s="2">
        <f ca="1"/>
        <v>52.105309669914007</v>
      </c>
      <c r="AG5669" s="2">
        <f ca="1"/>
        <v>0.96912001555219085</v>
      </c>
      <c r="AH5669" s="2" t="str">
        <f ca="1"/>
        <v>Bad</v>
      </c>
    </row>
    <row r="5670" spans="2:34" x14ac:dyDescent="0.2">
      <c r="B5670" s="2">
        <f ca="1"/>
        <v>0.19961592258229999</v>
      </c>
      <c r="O5670" s="2">
        <f ca="1"/>
        <v>-1.3308336114092965</v>
      </c>
      <c r="X5670" s="2">
        <f ca="1"/>
        <v>51.936418155759355</v>
      </c>
      <c r="AG5670" s="2">
        <f ca="1"/>
        <v>0.34740097940661352</v>
      </c>
      <c r="AH5670" s="2" t="str">
        <f ca="1"/>
        <v>OK</v>
      </c>
    </row>
    <row r="5671" spans="2:34" x14ac:dyDescent="0.2">
      <c r="B5671" s="2">
        <f ca="1"/>
        <v>0.34515972125167216</v>
      </c>
      <c r="O5671" s="2">
        <f ca="1"/>
        <v>0.85956355079433955</v>
      </c>
      <c r="X5671" s="2">
        <f ca="1"/>
        <v>37.121729867388268</v>
      </c>
      <c r="AG5671" s="2">
        <f ca="1"/>
        <v>0.4230531846786838</v>
      </c>
      <c r="AH5671" s="2" t="str">
        <f ca="1"/>
        <v>Bad</v>
      </c>
    </row>
    <row r="5672" spans="2:34" x14ac:dyDescent="0.2">
      <c r="B5672" s="2">
        <f ca="1"/>
        <v>0.98482743921371574</v>
      </c>
      <c r="O5672" s="2">
        <f ca="1"/>
        <v>1.0158412251002673</v>
      </c>
      <c r="X5672" s="2">
        <f ca="1"/>
        <v>42.790534783586544</v>
      </c>
      <c r="AG5672" s="2">
        <f ca="1"/>
        <v>5.5193480917572035E-2</v>
      </c>
      <c r="AH5672" s="2" t="str">
        <f ca="1"/>
        <v>OK</v>
      </c>
    </row>
    <row r="5673" spans="2:34" x14ac:dyDescent="0.2">
      <c r="B5673" s="2">
        <f ca="1"/>
        <v>0.95407741553711212</v>
      </c>
      <c r="O5673" s="2">
        <f ca="1"/>
        <v>0.52420662435467669</v>
      </c>
      <c r="X5673" s="2">
        <f ca="1"/>
        <v>68.445149299335966</v>
      </c>
      <c r="AG5673" s="2">
        <f ca="1"/>
        <v>0.35300491627745023</v>
      </c>
      <c r="AH5673" s="2" t="str">
        <f ca="1"/>
        <v>OK</v>
      </c>
    </row>
    <row r="5674" spans="2:34" x14ac:dyDescent="0.2">
      <c r="B5674" s="2">
        <f ca="1"/>
        <v>0.45749064241111737</v>
      </c>
      <c r="O5674" s="2">
        <f ca="1"/>
        <v>1.3003853969915837</v>
      </c>
      <c r="X5674" s="2">
        <f ca="1"/>
        <v>28.795563008973314</v>
      </c>
      <c r="AG5674" s="2">
        <f ca="1"/>
        <v>0.99829373631661733</v>
      </c>
      <c r="AH5674" s="2" t="str">
        <f ca="1"/>
        <v>Bad</v>
      </c>
    </row>
    <row r="5675" spans="2:34" x14ac:dyDescent="0.2">
      <c r="B5675" s="2">
        <f ca="1"/>
        <v>0.67020408943031029</v>
      </c>
      <c r="O5675" s="2">
        <f ca="1"/>
        <v>0.36684177156490644</v>
      </c>
      <c r="X5675" s="2">
        <f ca="1"/>
        <v>54.926016392742618</v>
      </c>
      <c r="AG5675" s="2">
        <f ca="1"/>
        <v>0.40708130154199829</v>
      </c>
      <c r="AH5675" s="2" t="str">
        <f ca="1"/>
        <v>Bad</v>
      </c>
    </row>
    <row r="5676" spans="2:34" x14ac:dyDescent="0.2">
      <c r="B5676" s="2">
        <f ca="1"/>
        <v>0.62578169508405379</v>
      </c>
      <c r="O5676" s="2">
        <f ca="1"/>
        <v>-0.90285209600565486</v>
      </c>
      <c r="X5676" s="2">
        <f ca="1"/>
        <v>47.312186523289611</v>
      </c>
      <c r="AG5676" s="2">
        <f ca="1"/>
        <v>0.50210056430350858</v>
      </c>
      <c r="AH5676" s="2" t="str">
        <f ca="1"/>
        <v>Bad</v>
      </c>
    </row>
    <row r="5677" spans="2:34" x14ac:dyDescent="0.2">
      <c r="B5677" s="2">
        <f ca="1"/>
        <v>0.29406966752337271</v>
      </c>
      <c r="O5677" s="2">
        <f ca="1"/>
        <v>0.65687293124237245</v>
      </c>
      <c r="X5677" s="2">
        <f ca="1"/>
        <v>55.509396498712185</v>
      </c>
      <c r="AG5677" s="2">
        <f ca="1"/>
        <v>0.7350987571707186</v>
      </c>
      <c r="AH5677" s="2" t="str">
        <f ca="1"/>
        <v>Bad</v>
      </c>
    </row>
    <row r="5678" spans="2:34" x14ac:dyDescent="0.2">
      <c r="B5678" s="2">
        <f ca="1"/>
        <v>0.36977844441777719</v>
      </c>
      <c r="O5678" s="2">
        <f ca="1"/>
        <v>1.7364934559737608</v>
      </c>
      <c r="X5678" s="2">
        <f ca="1"/>
        <v>40.971014405406677</v>
      </c>
      <c r="AG5678" s="2">
        <f ca="1"/>
        <v>0.50635880055416194</v>
      </c>
      <c r="AH5678" s="2" t="str">
        <f ca="1"/>
        <v>Bad</v>
      </c>
    </row>
    <row r="5679" spans="2:34" x14ac:dyDescent="0.2">
      <c r="B5679" s="2">
        <f ca="1"/>
        <v>0.25779560295612947</v>
      </c>
      <c r="O5679" s="2">
        <f ca="1"/>
        <v>-8.4430913063355428E-2</v>
      </c>
      <c r="X5679" s="2">
        <f ca="1"/>
        <v>77.074213982217913</v>
      </c>
      <c r="AG5679" s="2">
        <f ca="1"/>
        <v>8.8723260222137501E-2</v>
      </c>
      <c r="AH5679" s="2" t="str">
        <f ca="1"/>
        <v>OK</v>
      </c>
    </row>
    <row r="5680" spans="2:34" x14ac:dyDescent="0.2">
      <c r="B5680" s="2">
        <f ca="1"/>
        <v>3.399334530635123E-3</v>
      </c>
      <c r="O5680" s="2">
        <f ca="1"/>
        <v>1.311960760893969</v>
      </c>
      <c r="X5680" s="2">
        <f ca="1"/>
        <v>52.913384684161443</v>
      </c>
      <c r="AG5680" s="2">
        <f ca="1"/>
        <v>0.79646471735160063</v>
      </c>
      <c r="AH5680" s="2" t="str">
        <f ca="1"/>
        <v>Bad</v>
      </c>
    </row>
    <row r="5681" spans="2:34" x14ac:dyDescent="0.2">
      <c r="B5681" s="2">
        <f ca="1"/>
        <v>0.89216448139811333</v>
      </c>
      <c r="O5681" s="2">
        <f ca="1"/>
        <v>-0.38153499992747686</v>
      </c>
      <c r="X5681" s="2">
        <f ca="1"/>
        <v>38.311967808662509</v>
      </c>
      <c r="AG5681" s="2">
        <f ca="1"/>
        <v>0.84194543417056833</v>
      </c>
      <c r="AH5681" s="2" t="str">
        <f ca="1"/>
        <v>Bad</v>
      </c>
    </row>
    <row r="5682" spans="2:34" x14ac:dyDescent="0.2">
      <c r="B5682" s="2">
        <f ca="1"/>
        <v>0.27408728185300801</v>
      </c>
      <c r="O5682" s="2">
        <f ca="1"/>
        <v>-0.46318291993020116</v>
      </c>
      <c r="X5682" s="2">
        <f ca="1"/>
        <v>57.823627020303839</v>
      </c>
      <c r="AG5682" s="2">
        <f ca="1"/>
        <v>0.63701784469245792</v>
      </c>
      <c r="AH5682" s="2" t="str">
        <f ca="1"/>
        <v>Bad</v>
      </c>
    </row>
    <row r="5683" spans="2:34" x14ac:dyDescent="0.2">
      <c r="B5683" s="2">
        <f ca="1"/>
        <v>0.72878923353367364</v>
      </c>
      <c r="O5683" s="2">
        <f ca="1"/>
        <v>1.6975015390130244</v>
      </c>
      <c r="X5683" s="2">
        <f ca="1"/>
        <v>51.651330005889591</v>
      </c>
      <c r="AG5683" s="2">
        <f ca="1"/>
        <v>0.87703395372326565</v>
      </c>
      <c r="AH5683" s="2" t="str">
        <f ca="1"/>
        <v>Bad</v>
      </c>
    </row>
    <row r="5684" spans="2:34" x14ac:dyDescent="0.2">
      <c r="B5684" s="2">
        <f ca="1"/>
        <v>0.57448394238905709</v>
      </c>
      <c r="O5684" s="2">
        <f ca="1"/>
        <v>1.7502306975015183</v>
      </c>
      <c r="X5684" s="2">
        <f ca="1"/>
        <v>25.195126546086453</v>
      </c>
      <c r="AG5684" s="2">
        <f ca="1"/>
        <v>0.83071313875525554</v>
      </c>
      <c r="AH5684" s="2" t="str">
        <f ca="1"/>
        <v>Bad</v>
      </c>
    </row>
    <row r="5685" spans="2:34" x14ac:dyDescent="0.2">
      <c r="B5685" s="2">
        <f ca="1"/>
        <v>4.1553528631250725E-3</v>
      </c>
      <c r="O5685" s="2">
        <f ca="1"/>
        <v>0.35372279016866814</v>
      </c>
      <c r="X5685" s="2">
        <f ca="1"/>
        <v>50.645651879463628</v>
      </c>
      <c r="AG5685" s="2">
        <f ca="1"/>
        <v>0.50157924466084491</v>
      </c>
      <c r="AH5685" s="2" t="str">
        <f ca="1"/>
        <v>Bad</v>
      </c>
    </row>
    <row r="5686" spans="2:34" x14ac:dyDescent="0.2">
      <c r="B5686" s="2">
        <f ca="1"/>
        <v>0.37538886133728067</v>
      </c>
      <c r="O5686" s="2">
        <f ca="1"/>
        <v>7.98473117395508E-2</v>
      </c>
      <c r="X5686" s="2">
        <f ca="1"/>
        <v>24.077168605675105</v>
      </c>
      <c r="AG5686" s="2">
        <f ca="1"/>
        <v>0.70554700416981109</v>
      </c>
      <c r="AH5686" s="2" t="str">
        <f ca="1"/>
        <v>Bad</v>
      </c>
    </row>
    <row r="5687" spans="2:34" x14ac:dyDescent="0.2">
      <c r="B5687" s="2">
        <f ca="1"/>
        <v>0.12339720488634209</v>
      </c>
      <c r="O5687" s="2">
        <f ca="1"/>
        <v>-7.4121919398286495E-2</v>
      </c>
      <c r="X5687" s="2">
        <f ca="1"/>
        <v>44.278778919203617</v>
      </c>
      <c r="AG5687" s="2">
        <f ca="1"/>
        <v>0.7458197467173755</v>
      </c>
      <c r="AH5687" s="2" t="str">
        <f ca="1"/>
        <v>Bad</v>
      </c>
    </row>
    <row r="5688" spans="2:34" x14ac:dyDescent="0.2">
      <c r="B5688" s="2">
        <f ca="1"/>
        <v>0.747049221329112</v>
      </c>
      <c r="O5688" s="2">
        <f ca="1"/>
        <v>-1.1983866691430032</v>
      </c>
      <c r="X5688" s="2">
        <f ca="1"/>
        <v>48.038555188667559</v>
      </c>
      <c r="AG5688" s="2">
        <f ca="1"/>
        <v>0.9767509084044439</v>
      </c>
      <c r="AH5688" s="2" t="str">
        <f ca="1"/>
        <v>Bad</v>
      </c>
    </row>
    <row r="5689" spans="2:34" x14ac:dyDescent="0.2">
      <c r="B5689" s="2">
        <f ca="1"/>
        <v>8.4463585559770848E-3</v>
      </c>
      <c r="O5689" s="2">
        <f ca="1"/>
        <v>-1.7622902315930604</v>
      </c>
      <c r="X5689" s="2">
        <f ca="1"/>
        <v>40.054142845751258</v>
      </c>
      <c r="AG5689" s="2">
        <f ca="1"/>
        <v>0.96583238843879027</v>
      </c>
      <c r="AH5689" s="2" t="str">
        <f ca="1"/>
        <v>Bad</v>
      </c>
    </row>
    <row r="5690" spans="2:34" x14ac:dyDescent="0.2">
      <c r="B5690" s="2">
        <f ca="1"/>
        <v>0.2485549460951757</v>
      </c>
      <c r="O5690" s="2">
        <f ca="1"/>
        <v>-2.0415274344667153E-2</v>
      </c>
      <c r="X5690" s="2">
        <f ca="1"/>
        <v>69.166598673569354</v>
      </c>
      <c r="AG5690" s="2">
        <f ca="1"/>
        <v>0.24253081326494863</v>
      </c>
      <c r="AH5690" s="2" t="str">
        <f ca="1"/>
        <v>OK</v>
      </c>
    </row>
    <row r="5691" spans="2:34" x14ac:dyDescent="0.2">
      <c r="B5691" s="2">
        <f ca="1"/>
        <v>0.21113711180704242</v>
      </c>
      <c r="O5691" s="2">
        <f ca="1"/>
        <v>-0.57436648120335465</v>
      </c>
      <c r="X5691" s="2">
        <f ca="1"/>
        <v>51.118713583711106</v>
      </c>
      <c r="AG5691" s="2">
        <f ca="1"/>
        <v>0.53746404076015519</v>
      </c>
      <c r="AH5691" s="2" t="str">
        <f ca="1"/>
        <v>Bad</v>
      </c>
    </row>
    <row r="5692" spans="2:34" x14ac:dyDescent="0.2">
      <c r="B5692" s="2">
        <f ca="1"/>
        <v>0.29340581369367058</v>
      </c>
      <c r="O5692" s="2">
        <f ca="1"/>
        <v>1.3989069105675613</v>
      </c>
      <c r="X5692" s="2">
        <f ca="1"/>
        <v>30.031831197789742</v>
      </c>
      <c r="AG5692" s="2">
        <f ca="1"/>
        <v>0.29927317791061658</v>
      </c>
      <c r="AH5692" s="2" t="str">
        <f ca="1"/>
        <v>OK</v>
      </c>
    </row>
    <row r="5693" spans="2:34" x14ac:dyDescent="0.2">
      <c r="B5693" s="2">
        <f ca="1"/>
        <v>0.21641692632521403</v>
      </c>
      <c r="O5693" s="2">
        <f ca="1"/>
        <v>0.42764324328682141</v>
      </c>
      <c r="X5693" s="2">
        <f ca="1"/>
        <v>55.439261548631208</v>
      </c>
      <c r="AG5693" s="2">
        <f ca="1"/>
        <v>0.30087500293815816</v>
      </c>
      <c r="AH5693" s="2" t="str">
        <f ca="1"/>
        <v>OK</v>
      </c>
    </row>
    <row r="5694" spans="2:34" x14ac:dyDescent="0.2">
      <c r="B5694" s="2">
        <f ca="1"/>
        <v>0.34297873619675046</v>
      </c>
      <c r="O5694" s="2">
        <f ca="1"/>
        <v>-1.1553417143953368</v>
      </c>
      <c r="X5694" s="2">
        <f ca="1"/>
        <v>39.370393347174371</v>
      </c>
      <c r="AG5694" s="2">
        <f ca="1"/>
        <v>0.44009194087052284</v>
      </c>
      <c r="AH5694" s="2" t="str">
        <f ca="1"/>
        <v>Bad</v>
      </c>
    </row>
    <row r="5695" spans="2:34" x14ac:dyDescent="0.2">
      <c r="B5695" s="2">
        <f ca="1"/>
        <v>0.83554480762163386</v>
      </c>
      <c r="O5695" s="2">
        <f ca="1"/>
        <v>1.3866528937839946</v>
      </c>
      <c r="X5695" s="2">
        <f ca="1"/>
        <v>72.336655889327361</v>
      </c>
      <c r="AG5695" s="2">
        <f ca="1"/>
        <v>0.60158548507756571</v>
      </c>
      <c r="AH5695" s="2" t="str">
        <f ca="1"/>
        <v>Bad</v>
      </c>
    </row>
    <row r="5696" spans="2:34" x14ac:dyDescent="0.2">
      <c r="B5696" s="2">
        <f ca="1"/>
        <v>0.62715386414666408</v>
      </c>
      <c r="O5696" s="2">
        <f ca="1"/>
        <v>0.16133426103976181</v>
      </c>
      <c r="X5696" s="2">
        <f ca="1"/>
        <v>51.404969375336023</v>
      </c>
      <c r="AG5696" s="2">
        <f ca="1"/>
        <v>5.797264251153722E-2</v>
      </c>
      <c r="AH5696" s="2" t="str">
        <f ca="1"/>
        <v>OK</v>
      </c>
    </row>
    <row r="5697" spans="2:34" x14ac:dyDescent="0.2">
      <c r="B5697" s="2">
        <f ca="1"/>
        <v>0.99064078468094863</v>
      </c>
      <c r="O5697" s="2">
        <f ca="1"/>
        <v>-0.1836356186924463</v>
      </c>
      <c r="X5697" s="2">
        <f ca="1"/>
        <v>32.297530218275746</v>
      </c>
      <c r="AG5697" s="2">
        <f ca="1"/>
        <v>0.24815345825961854</v>
      </c>
      <c r="AH5697" s="2" t="str">
        <f ca="1"/>
        <v>OK</v>
      </c>
    </row>
    <row r="5698" spans="2:34" x14ac:dyDescent="0.2">
      <c r="B5698" s="2">
        <f ca="1"/>
        <v>0.7716015487883372</v>
      </c>
      <c r="O5698" s="2">
        <f ca="1"/>
        <v>5.6097834240325044E-2</v>
      </c>
      <c r="X5698" s="2">
        <f ca="1"/>
        <v>35.330763323694775</v>
      </c>
      <c r="AG5698" s="2">
        <f ca="1"/>
        <v>0.21604713871505599</v>
      </c>
      <c r="AH5698" s="2" t="str">
        <f ca="1"/>
        <v>OK</v>
      </c>
    </row>
    <row r="5699" spans="2:34" x14ac:dyDescent="0.2">
      <c r="B5699" s="2">
        <f ca="1"/>
        <v>0.10316172554199432</v>
      </c>
      <c r="O5699" s="2">
        <f ca="1"/>
        <v>-0.46989537162672429</v>
      </c>
      <c r="X5699" s="2">
        <f ca="1"/>
        <v>49.002539371273826</v>
      </c>
      <c r="AG5699" s="2">
        <f ca="1"/>
        <v>0.63295721429886087</v>
      </c>
      <c r="AH5699" s="2" t="str">
        <f ca="1"/>
        <v>Bad</v>
      </c>
    </row>
    <row r="5700" spans="2:34" x14ac:dyDescent="0.2">
      <c r="B5700" s="2">
        <f ca="1"/>
        <v>0.99018876308865766</v>
      </c>
      <c r="O5700" s="2">
        <f ca="1"/>
        <v>0.42014874584437334</v>
      </c>
      <c r="X5700" s="2">
        <f ca="1"/>
        <v>44.034504478642511</v>
      </c>
      <c r="AG5700" s="2">
        <f ca="1"/>
        <v>0.30758494667267855</v>
      </c>
      <c r="AH5700" s="2" t="str">
        <f ca="1"/>
        <v>OK</v>
      </c>
    </row>
    <row r="5701" spans="2:34" x14ac:dyDescent="0.2">
      <c r="B5701" s="2">
        <f ca="1"/>
        <v>0.56292981903517458</v>
      </c>
      <c r="O5701" s="2">
        <f ca="1"/>
        <v>0.85015629313983154</v>
      </c>
      <c r="X5701" s="2">
        <f ca="1"/>
        <v>47.350775641151998</v>
      </c>
      <c r="AG5701" s="2">
        <f ca="1"/>
        <v>0.50464592737173009</v>
      </c>
      <c r="AH5701" s="2" t="str">
        <f ca="1"/>
        <v>Bad</v>
      </c>
    </row>
    <row r="5702" spans="2:34" x14ac:dyDescent="0.2">
      <c r="B5702" s="2">
        <f ca="1"/>
        <v>0.46363260250111837</v>
      </c>
      <c r="O5702" s="2">
        <f ca="1"/>
        <v>-0.32586641838323738</v>
      </c>
      <c r="X5702" s="2">
        <f ca="1"/>
        <v>17.149599114757898</v>
      </c>
      <c r="AG5702" s="2">
        <f ca="1"/>
        <v>0.64055563983472985</v>
      </c>
      <c r="AH5702" s="2" t="str">
        <f ca="1"/>
        <v>Bad</v>
      </c>
    </row>
    <row r="5703" spans="2:34" x14ac:dyDescent="0.2">
      <c r="B5703" s="2">
        <f ca="1"/>
        <v>0.36461943340024217</v>
      </c>
      <c r="O5703" s="2">
        <f ca="1"/>
        <v>-1.067085305140639</v>
      </c>
      <c r="X5703" s="2">
        <f ca="1"/>
        <v>60.512324132658236</v>
      </c>
      <c r="AG5703" s="2">
        <f ca="1"/>
        <v>0.55032534951178702</v>
      </c>
      <c r="AH5703" s="2" t="str">
        <f ca="1"/>
        <v>Bad</v>
      </c>
    </row>
    <row r="5704" spans="2:34" x14ac:dyDescent="0.2">
      <c r="B5704" s="2">
        <f ca="1"/>
        <v>0.82906332099279156</v>
      </c>
      <c r="O5704" s="2">
        <f ca="1"/>
        <v>-0.45797802555736361</v>
      </c>
      <c r="X5704" s="2">
        <f ca="1"/>
        <v>42.439232403845892</v>
      </c>
      <c r="AG5704" s="2">
        <f ca="1"/>
        <v>0.11719717136580798</v>
      </c>
      <c r="AH5704" s="2" t="str">
        <f ca="1"/>
        <v>OK</v>
      </c>
    </row>
    <row r="5705" spans="2:34" x14ac:dyDescent="0.2">
      <c r="B5705" s="2">
        <f ca="1"/>
        <v>0.3152508639655629</v>
      </c>
      <c r="O5705" s="2">
        <f ca="1"/>
        <v>0.48335586423423343</v>
      </c>
      <c r="X5705" s="2">
        <f ca="1"/>
        <v>70.407112004317312</v>
      </c>
      <c r="AG5705" s="2">
        <f ca="1"/>
        <v>0.56911824759383967</v>
      </c>
      <c r="AH5705" s="2" t="str">
        <f ca="1"/>
        <v>Bad</v>
      </c>
    </row>
    <row r="5706" spans="2:34" x14ac:dyDescent="0.2">
      <c r="B5706" s="2">
        <f ca="1"/>
        <v>0.72660778803536896</v>
      </c>
      <c r="O5706" s="2">
        <f ca="1"/>
        <v>-2.715740156236604E-2</v>
      </c>
      <c r="X5706" s="2">
        <f ca="1"/>
        <v>59.803204129041262</v>
      </c>
      <c r="AG5706" s="2">
        <f ca="1"/>
        <v>0.63006352149969458</v>
      </c>
      <c r="AH5706" s="2" t="str">
        <f ca="1"/>
        <v>Bad</v>
      </c>
    </row>
    <row r="5707" spans="2:34" x14ac:dyDescent="0.2">
      <c r="B5707" s="2">
        <f ca="1"/>
        <v>9.7054195739243454E-2</v>
      </c>
      <c r="O5707" s="2">
        <f ca="1"/>
        <v>-1.2104886016158423</v>
      </c>
      <c r="X5707" s="2">
        <f ca="1"/>
        <v>64.863693089182334</v>
      </c>
      <c r="AG5707" s="2">
        <f ca="1"/>
        <v>0.31629844711562338</v>
      </c>
      <c r="AH5707" s="2" t="str">
        <f ca="1"/>
        <v>OK</v>
      </c>
    </row>
    <row r="5708" spans="2:34" x14ac:dyDescent="0.2">
      <c r="B5708" s="2">
        <f ca="1"/>
        <v>0.79441016090250938</v>
      </c>
      <c r="O5708" s="2">
        <f ca="1"/>
        <v>-0.44579843943757963</v>
      </c>
      <c r="X5708" s="2">
        <f ca="1"/>
        <v>44.383834546057102</v>
      </c>
      <c r="AG5708" s="2">
        <f ca="1"/>
        <v>0.97267475294764161</v>
      </c>
      <c r="AH5708" s="2" t="str">
        <f ca="1"/>
        <v>Bad</v>
      </c>
    </row>
    <row r="5709" spans="2:34" x14ac:dyDescent="0.2">
      <c r="B5709" s="2">
        <f ca="1"/>
        <v>0.93804398979852532</v>
      </c>
      <c r="O5709" s="2">
        <f ca="1"/>
        <v>0.68635464848235173</v>
      </c>
      <c r="X5709" s="2">
        <f ca="1"/>
        <v>25.503927002167579</v>
      </c>
      <c r="AG5709" s="2">
        <f ca="1"/>
        <v>0.68108414043590182</v>
      </c>
      <c r="AH5709" s="2" t="str">
        <f ca="1"/>
        <v>Bad</v>
      </c>
    </row>
    <row r="5710" spans="2:34" x14ac:dyDescent="0.2">
      <c r="B5710" s="2">
        <f ca="1"/>
        <v>0.58312137225360128</v>
      </c>
      <c r="O5710" s="2">
        <f ca="1"/>
        <v>-7.2320719276132123E-2</v>
      </c>
      <c r="X5710" s="2">
        <f ca="1"/>
        <v>42.11726335474075</v>
      </c>
      <c r="AG5710" s="2">
        <f ca="1"/>
        <v>0.52174757219261547</v>
      </c>
      <c r="AH5710" s="2" t="str">
        <f ca="1"/>
        <v>Bad</v>
      </c>
    </row>
    <row r="5711" spans="2:34" x14ac:dyDescent="0.2">
      <c r="B5711" s="2">
        <f ca="1"/>
        <v>0.62332840847293847</v>
      </c>
      <c r="O5711" s="2">
        <f ca="1"/>
        <v>-1.2567701274545733</v>
      </c>
      <c r="X5711" s="2">
        <f ca="1"/>
        <v>34.204095519428257</v>
      </c>
      <c r="AG5711" s="2">
        <f ca="1"/>
        <v>0.94101574152669554</v>
      </c>
      <c r="AH5711" s="2" t="str">
        <f ca="1"/>
        <v>Bad</v>
      </c>
    </row>
    <row r="5712" spans="2:34" x14ac:dyDescent="0.2">
      <c r="B5712" s="2">
        <f ca="1"/>
        <v>2.8195897998284369E-3</v>
      </c>
      <c r="O5712" s="2">
        <f ca="1"/>
        <v>-0.65523657998321572</v>
      </c>
      <c r="X5712" s="2">
        <f ca="1"/>
        <v>51.183529047286946</v>
      </c>
      <c r="AG5712" s="2">
        <f ca="1"/>
        <v>0.96861586011710799</v>
      </c>
      <c r="AH5712" s="2" t="str">
        <f ca="1"/>
        <v>Bad</v>
      </c>
    </row>
    <row r="5713" spans="2:34" x14ac:dyDescent="0.2">
      <c r="B5713" s="2">
        <f ca="1"/>
        <v>0.26070923920976652</v>
      </c>
      <c r="O5713" s="2">
        <f ca="1"/>
        <v>-1.691907895625574E-3</v>
      </c>
      <c r="X5713" s="2">
        <f ca="1"/>
        <v>46.758423621023212</v>
      </c>
      <c r="AG5713" s="2">
        <f ca="1"/>
        <v>0.19111449747740372</v>
      </c>
      <c r="AH5713" s="2" t="str">
        <f ca="1"/>
        <v>OK</v>
      </c>
    </row>
    <row r="5714" spans="2:34" x14ac:dyDescent="0.2">
      <c r="B5714" s="2">
        <f ca="1"/>
        <v>0.34690656818932464</v>
      </c>
      <c r="O5714" s="2">
        <f ca="1"/>
        <v>2.5911202677565175</v>
      </c>
      <c r="X5714" s="2">
        <f ca="1"/>
        <v>47.866270833329274</v>
      </c>
      <c r="AG5714" s="2">
        <f ca="1"/>
        <v>0.13113832637484246</v>
      </c>
      <c r="AH5714" s="2" t="str">
        <f ca="1"/>
        <v>OK</v>
      </c>
    </row>
    <row r="5715" spans="2:34" x14ac:dyDescent="0.2">
      <c r="B5715" s="2">
        <f ca="1"/>
        <v>0.54849516996303804</v>
      </c>
      <c r="O5715" s="2">
        <f ca="1"/>
        <v>-0.52960848516202319</v>
      </c>
      <c r="X5715" s="2">
        <f ca="1"/>
        <v>16.135302881355209</v>
      </c>
      <c r="AG5715" s="2">
        <f ca="1"/>
        <v>0.82553365137688739</v>
      </c>
      <c r="AH5715" s="2" t="str">
        <f ca="1"/>
        <v>Bad</v>
      </c>
    </row>
    <row r="5716" spans="2:34" x14ac:dyDescent="0.2">
      <c r="B5716" s="2">
        <f ca="1"/>
        <v>0.77575366046842698</v>
      </c>
      <c r="O5716" s="2">
        <f ca="1"/>
        <v>1.6910782885078137</v>
      </c>
      <c r="X5716" s="2">
        <f ca="1"/>
        <v>45.539228179173151</v>
      </c>
      <c r="AG5716" s="2">
        <f ca="1"/>
        <v>0.82468752282656466</v>
      </c>
      <c r="AH5716" s="2" t="str">
        <f ca="1"/>
        <v>Bad</v>
      </c>
    </row>
    <row r="5717" spans="2:34" x14ac:dyDescent="0.2">
      <c r="B5717" s="2">
        <f ca="1"/>
        <v>0.96454047046965319</v>
      </c>
      <c r="O5717" s="2">
        <f ca="1"/>
        <v>-0.3033367253076612</v>
      </c>
      <c r="X5717" s="2">
        <f ca="1"/>
        <v>76.617468954121009</v>
      </c>
      <c r="AG5717" s="2">
        <f ca="1"/>
        <v>0.55730702815282296</v>
      </c>
      <c r="AH5717" s="2" t="str">
        <f ca="1"/>
        <v>Bad</v>
      </c>
    </row>
    <row r="5718" spans="2:34" x14ac:dyDescent="0.2">
      <c r="B5718" s="2">
        <f ca="1"/>
        <v>0.74301489527459252</v>
      </c>
      <c r="O5718" s="2">
        <f ca="1"/>
        <v>0.24099999797379984</v>
      </c>
      <c r="X5718" s="2">
        <f ca="1"/>
        <v>32.609270990802706</v>
      </c>
      <c r="AG5718" s="2">
        <f ca="1"/>
        <v>0.14734433408223357</v>
      </c>
      <c r="AH5718" s="2" t="str">
        <f ca="1"/>
        <v>OK</v>
      </c>
    </row>
    <row r="5719" spans="2:34" x14ac:dyDescent="0.2">
      <c r="B5719" s="2">
        <f ca="1"/>
        <v>0.18269228381108471</v>
      </c>
      <c r="O5719" s="2">
        <f ca="1"/>
        <v>0.94947704434635716</v>
      </c>
      <c r="X5719" s="2">
        <f ca="1"/>
        <v>64.163596379212336</v>
      </c>
      <c r="AG5719" s="2">
        <f ca="1"/>
        <v>0.83603940152054301</v>
      </c>
      <c r="AH5719" s="2" t="str">
        <f ca="1"/>
        <v>Bad</v>
      </c>
    </row>
    <row r="5720" spans="2:34" x14ac:dyDescent="0.2">
      <c r="B5720" s="2">
        <f ca="1"/>
        <v>0.54744209124861931</v>
      </c>
      <c r="O5720" s="2">
        <f ca="1"/>
        <v>-1.037917056234039</v>
      </c>
      <c r="X5720" s="2">
        <f ca="1"/>
        <v>57.74331927613089</v>
      </c>
      <c r="AG5720" s="2">
        <f ca="1"/>
        <v>0.43909508965076616</v>
      </c>
      <c r="AH5720" s="2" t="str">
        <f ca="1"/>
        <v>Bad</v>
      </c>
    </row>
    <row r="5721" spans="2:34" x14ac:dyDescent="0.2">
      <c r="B5721" s="2">
        <f ca="1"/>
        <v>0.3216012698354751</v>
      </c>
      <c r="O5721" s="2">
        <f ca="1"/>
        <v>0.8156020627759194</v>
      </c>
      <c r="X5721" s="2">
        <f ca="1"/>
        <v>82.736921599216956</v>
      </c>
      <c r="AG5721" s="2">
        <f ca="1"/>
        <v>0.42930589903053251</v>
      </c>
      <c r="AH5721" s="2" t="str">
        <f ca="1"/>
        <v>Bad</v>
      </c>
    </row>
    <row r="5722" spans="2:34" x14ac:dyDescent="0.2">
      <c r="B5722" s="2">
        <f ca="1"/>
        <v>0.6689184392575378</v>
      </c>
      <c r="O5722" s="2">
        <f ca="1"/>
        <v>-1.202642210979916</v>
      </c>
      <c r="X5722" s="2">
        <f ca="1"/>
        <v>52.605334465864118</v>
      </c>
      <c r="AG5722" s="2">
        <f ca="1"/>
        <v>0.35952401765659392</v>
      </c>
      <c r="AH5722" s="2" t="str">
        <f ca="1"/>
        <v>OK</v>
      </c>
    </row>
    <row r="5723" spans="2:34" x14ac:dyDescent="0.2">
      <c r="B5723" s="2">
        <f ca="1"/>
        <v>0.85921815769034238</v>
      </c>
      <c r="O5723" s="2">
        <f ca="1"/>
        <v>0.39908898343436477</v>
      </c>
      <c r="X5723" s="2">
        <f ca="1"/>
        <v>38.091650723444793</v>
      </c>
      <c r="AG5723" s="2">
        <f ca="1"/>
        <v>0.92599222872749865</v>
      </c>
      <c r="AH5723" s="2" t="str">
        <f ca="1"/>
        <v>Bad</v>
      </c>
    </row>
    <row r="5724" spans="2:34" x14ac:dyDescent="0.2">
      <c r="B5724" s="2">
        <f ca="1"/>
        <v>0.60410757430333462</v>
      </c>
      <c r="O5724" s="2">
        <f ca="1"/>
        <v>-2.1116055471985042</v>
      </c>
      <c r="X5724" s="2">
        <f ca="1"/>
        <v>46.004417590288014</v>
      </c>
      <c r="AG5724" s="2">
        <f ca="1"/>
        <v>0.26850595574767566</v>
      </c>
      <c r="AH5724" s="2" t="str">
        <f ca="1"/>
        <v>OK</v>
      </c>
    </row>
    <row r="5725" spans="2:34" x14ac:dyDescent="0.2">
      <c r="B5725" s="2">
        <f ca="1"/>
        <v>0.64947979007118306</v>
      </c>
      <c r="O5725" s="2">
        <f ca="1"/>
        <v>-0.67722223476000631</v>
      </c>
      <c r="X5725" s="2">
        <f ca="1"/>
        <v>58.247322566865051</v>
      </c>
      <c r="AG5725" s="2">
        <f ca="1"/>
        <v>0.57514385392497425</v>
      </c>
      <c r="AH5725" s="2" t="str">
        <f ca="1"/>
        <v>Bad</v>
      </c>
    </row>
    <row r="5726" spans="2:34" x14ac:dyDescent="0.2">
      <c r="B5726" s="2">
        <f ca="1"/>
        <v>0.74302654704076598</v>
      </c>
      <c r="O5726" s="2">
        <f ca="1"/>
        <v>-1.4391305480419132</v>
      </c>
      <c r="X5726" s="2">
        <f ca="1"/>
        <v>42.629874784380625</v>
      </c>
      <c r="AG5726" s="2">
        <f ca="1"/>
        <v>0.28430002474639693</v>
      </c>
      <c r="AH5726" s="2" t="str">
        <f ca="1"/>
        <v>OK</v>
      </c>
    </row>
    <row r="5727" spans="2:34" x14ac:dyDescent="0.2">
      <c r="B5727" s="2">
        <f ca="1"/>
        <v>0.61447750265838108</v>
      </c>
      <c r="O5727" s="2">
        <f ca="1"/>
        <v>-0.10526635788827372</v>
      </c>
      <c r="X5727" s="2">
        <f ca="1"/>
        <v>41.425415273910431</v>
      </c>
      <c r="AG5727" s="2">
        <f ca="1"/>
        <v>0.30199011430464107</v>
      </c>
      <c r="AH5727" s="2" t="str">
        <f ca="1"/>
        <v>OK</v>
      </c>
    </row>
    <row r="5728" spans="2:34" x14ac:dyDescent="0.2">
      <c r="B5728" s="2">
        <f ca="1"/>
        <v>0.34266792341049257</v>
      </c>
      <c r="O5728" s="2">
        <f ca="1"/>
        <v>-0.37353869197304562</v>
      </c>
      <c r="X5728" s="2">
        <f ca="1"/>
        <v>59.988659627117009</v>
      </c>
      <c r="AG5728" s="2">
        <f ca="1"/>
        <v>0.50742690014650438</v>
      </c>
      <c r="AH5728" s="2" t="str">
        <f ca="1"/>
        <v>Bad</v>
      </c>
    </row>
    <row r="5729" spans="2:34" x14ac:dyDescent="0.2">
      <c r="B5729" s="2">
        <f ca="1"/>
        <v>4.9018749928787075E-2</v>
      </c>
      <c r="O5729" s="2">
        <f ca="1"/>
        <v>-0.80792275005077596</v>
      </c>
      <c r="X5729" s="2">
        <f ca="1"/>
        <v>77.690686649211372</v>
      </c>
      <c r="AG5729" s="2">
        <f ca="1"/>
        <v>0.62105791209674521</v>
      </c>
      <c r="AH5729" s="2" t="str">
        <f ca="1"/>
        <v>Bad</v>
      </c>
    </row>
    <row r="5730" spans="2:34" x14ac:dyDescent="0.2">
      <c r="B5730" s="2">
        <f ca="1"/>
        <v>0.11675830163618484</v>
      </c>
      <c r="O5730" s="2">
        <f ca="1"/>
        <v>0.34024591485295153</v>
      </c>
      <c r="X5730" s="2">
        <f ca="1"/>
        <v>85.786516177821696</v>
      </c>
      <c r="AG5730" s="2">
        <f ca="1"/>
        <v>0.70164507337821869</v>
      </c>
      <c r="AH5730" s="2" t="str">
        <f ca="1"/>
        <v>Bad</v>
      </c>
    </row>
    <row r="5731" spans="2:34" x14ac:dyDescent="0.2">
      <c r="B5731" s="2">
        <f ca="1"/>
        <v>0.13779403947463664</v>
      </c>
      <c r="O5731" s="2">
        <f ca="1"/>
        <v>-0.74128201960198048</v>
      </c>
      <c r="X5731" s="2">
        <f ca="1"/>
        <v>49.003694629042947</v>
      </c>
      <c r="AG5731" s="2">
        <f ca="1"/>
        <v>0.96541502531116108</v>
      </c>
      <c r="AH5731" s="2" t="str">
        <f ca="1"/>
        <v>Bad</v>
      </c>
    </row>
    <row r="5732" spans="2:34" x14ac:dyDescent="0.2">
      <c r="B5732" s="2">
        <f ca="1"/>
        <v>0.50445278800245941</v>
      </c>
      <c r="O5732" s="2">
        <f ca="1"/>
        <v>-1.315903155966512</v>
      </c>
      <c r="X5732" s="2">
        <f ca="1"/>
        <v>29.731087046759946</v>
      </c>
      <c r="AG5732" s="2">
        <f ca="1"/>
        <v>0.49669703439535007</v>
      </c>
      <c r="AH5732" s="2" t="str">
        <f ca="1"/>
        <v>Bad</v>
      </c>
    </row>
    <row r="5733" spans="2:34" x14ac:dyDescent="0.2">
      <c r="B5733" s="2">
        <f ca="1"/>
        <v>0.18121837527016416</v>
      </c>
      <c r="O5733" s="2">
        <f ca="1"/>
        <v>-1.0773232812933267</v>
      </c>
      <c r="X5733" s="2">
        <f ca="1"/>
        <v>42.747553031737681</v>
      </c>
      <c r="AG5733" s="2">
        <f ca="1"/>
        <v>0.7057862452472401</v>
      </c>
      <c r="AH5733" s="2" t="str">
        <f ca="1"/>
        <v>Bad</v>
      </c>
    </row>
    <row r="5734" spans="2:34" x14ac:dyDescent="0.2">
      <c r="B5734" s="2">
        <f ca="1"/>
        <v>0.49272846720473007</v>
      </c>
      <c r="O5734" s="2">
        <f ca="1"/>
        <v>-7.3759460692284923E-2</v>
      </c>
      <c r="X5734" s="2">
        <f ca="1"/>
        <v>23.741459983207299</v>
      </c>
      <c r="AG5734" s="2">
        <f ca="1"/>
        <v>0.22381547129266988</v>
      </c>
      <c r="AH5734" s="2" t="str">
        <f ca="1"/>
        <v>OK</v>
      </c>
    </row>
    <row r="5735" spans="2:34" x14ac:dyDescent="0.2">
      <c r="B5735" s="2">
        <f ca="1"/>
        <v>0.47017258259145001</v>
      </c>
      <c r="O5735" s="2">
        <f ca="1"/>
        <v>0.38246662348974536</v>
      </c>
      <c r="X5735" s="2">
        <f ca="1"/>
        <v>46.351620937296232</v>
      </c>
      <c r="AG5735" s="2">
        <f ca="1"/>
        <v>0.3539486759795416</v>
      </c>
      <c r="AH5735" s="2" t="str">
        <f ca="1"/>
        <v>OK</v>
      </c>
    </row>
    <row r="5736" spans="2:34" x14ac:dyDescent="0.2">
      <c r="B5736" s="2">
        <f ca="1"/>
        <v>0.40395344173422032</v>
      </c>
      <c r="O5736" s="2">
        <f ca="1"/>
        <v>-0.45327749471234957</v>
      </c>
      <c r="X5736" s="2">
        <f ca="1"/>
        <v>40.641456814183854</v>
      </c>
      <c r="AG5736" s="2">
        <f ca="1"/>
        <v>0.14046360155695958</v>
      </c>
      <c r="AH5736" s="2" t="str">
        <f ca="1"/>
        <v>OK</v>
      </c>
    </row>
    <row r="5737" spans="2:34" x14ac:dyDescent="0.2">
      <c r="B5737" s="2">
        <f ca="1"/>
        <v>0.59751947739058209</v>
      </c>
      <c r="O5737" s="2">
        <f ca="1"/>
        <v>-1.4051662738899324</v>
      </c>
      <c r="X5737" s="2">
        <f ca="1"/>
        <v>31.107075561010944</v>
      </c>
      <c r="AG5737" s="2">
        <f ca="1"/>
        <v>0.82675465576527762</v>
      </c>
      <c r="AH5737" s="2" t="str">
        <f ca="1"/>
        <v>Bad</v>
      </c>
    </row>
    <row r="5738" spans="2:34" x14ac:dyDescent="0.2">
      <c r="B5738" s="2">
        <f ca="1"/>
        <v>0.18571967008853552</v>
      </c>
      <c r="O5738" s="2">
        <f ca="1"/>
        <v>1.3062856559481204</v>
      </c>
      <c r="X5738" s="2">
        <f ca="1"/>
        <v>58.926877669055784</v>
      </c>
      <c r="AG5738" s="2">
        <f ca="1"/>
        <v>0.51670871403767737</v>
      </c>
      <c r="AH5738" s="2" t="str">
        <f ca="1"/>
        <v>Bad</v>
      </c>
    </row>
    <row r="5739" spans="2:34" x14ac:dyDescent="0.2">
      <c r="B5739" s="2">
        <f ca="1"/>
        <v>8.8917909304804477E-2</v>
      </c>
      <c r="O5739" s="2">
        <f ca="1"/>
        <v>-2.0989535710882641</v>
      </c>
      <c r="X5739" s="2">
        <f ca="1"/>
        <v>51.915795250090902</v>
      </c>
      <c r="AG5739" s="2">
        <f ca="1"/>
        <v>0.95525871947404939</v>
      </c>
      <c r="AH5739" s="2" t="str">
        <f ca="1"/>
        <v>Bad</v>
      </c>
    </row>
    <row r="5740" spans="2:34" x14ac:dyDescent="0.2">
      <c r="B5740" s="2">
        <f ca="1"/>
        <v>0.47075608871555752</v>
      </c>
      <c r="O5740" s="2">
        <f ca="1"/>
        <v>0.48128878251347718</v>
      </c>
      <c r="X5740" s="2">
        <f ca="1"/>
        <v>34.794239336095863</v>
      </c>
      <c r="AG5740" s="2">
        <f ca="1"/>
        <v>0.12198439283738804</v>
      </c>
      <c r="AH5740" s="2" t="str">
        <f ca="1"/>
        <v>OK</v>
      </c>
    </row>
    <row r="5741" spans="2:34" x14ac:dyDescent="0.2">
      <c r="B5741" s="2">
        <f ca="1"/>
        <v>0.1565329729770133</v>
      </c>
      <c r="O5741" s="2">
        <f ca="1"/>
        <v>0.3646059089715602</v>
      </c>
      <c r="X5741" s="2">
        <f ca="1"/>
        <v>71.049936423527711</v>
      </c>
      <c r="AG5741" s="2">
        <f ca="1"/>
        <v>0.32567215026860308</v>
      </c>
      <c r="AH5741" s="2" t="str">
        <f ca="1"/>
        <v>OK</v>
      </c>
    </row>
    <row r="5742" spans="2:34" x14ac:dyDescent="0.2">
      <c r="B5742" s="2">
        <f ca="1"/>
        <v>8.0845723754319199E-2</v>
      </c>
      <c r="O5742" s="2">
        <f ca="1"/>
        <v>-1.7911742578903878</v>
      </c>
      <c r="X5742" s="2">
        <f ca="1"/>
        <v>42.75472867278333</v>
      </c>
      <c r="AG5742" s="2">
        <f ca="1"/>
        <v>0.9352626640663626</v>
      </c>
      <c r="AH5742" s="2" t="str">
        <f ca="1"/>
        <v>Bad</v>
      </c>
    </row>
    <row r="5743" spans="2:34" x14ac:dyDescent="0.2">
      <c r="B5743" s="2">
        <f ca="1"/>
        <v>0.90363157882782263</v>
      </c>
      <c r="O5743" s="2">
        <f ca="1"/>
        <v>1.2677830565118819</v>
      </c>
      <c r="X5743" s="2">
        <f ca="1"/>
        <v>45.650642469066646</v>
      </c>
      <c r="AG5743" s="2">
        <f ca="1"/>
        <v>0.2979350656884785</v>
      </c>
      <c r="AH5743" s="2" t="str">
        <f ca="1"/>
        <v>OK</v>
      </c>
    </row>
    <row r="5744" spans="2:34" x14ac:dyDescent="0.2">
      <c r="B5744" s="2">
        <f ca="1"/>
        <v>0.59559680613795929</v>
      </c>
      <c r="O5744" s="2">
        <f ca="1"/>
        <v>1.0897834911880786</v>
      </c>
      <c r="X5744" s="2">
        <f ca="1"/>
        <v>54.953546371672353</v>
      </c>
      <c r="AG5744" s="2">
        <f ca="1"/>
        <v>0.69137536464948357</v>
      </c>
      <c r="AH5744" s="2" t="str">
        <f ca="1"/>
        <v>Bad</v>
      </c>
    </row>
    <row r="5745" spans="2:34" x14ac:dyDescent="0.2">
      <c r="B5745" s="2">
        <f ca="1"/>
        <v>0.9621391934268233</v>
      </c>
      <c r="O5745" s="2">
        <f ca="1"/>
        <v>0.66684180265417925</v>
      </c>
      <c r="X5745" s="2">
        <f ca="1"/>
        <v>42.3407320773442</v>
      </c>
      <c r="AG5745" s="2">
        <f ca="1"/>
        <v>0.41667263890120454</v>
      </c>
      <c r="AH5745" s="2" t="str">
        <f ca="1"/>
        <v>Bad</v>
      </c>
    </row>
    <row r="5746" spans="2:34" x14ac:dyDescent="0.2">
      <c r="B5746" s="2">
        <f ca="1"/>
        <v>0.74731488570804805</v>
      </c>
      <c r="O5746" s="2">
        <f ca="1"/>
        <v>0.10889591353820291</v>
      </c>
      <c r="X5746" s="2">
        <f ca="1"/>
        <v>32.166030668574727</v>
      </c>
      <c r="AG5746" s="2">
        <f ca="1"/>
        <v>9.9607378337096542E-2</v>
      </c>
      <c r="AH5746" s="2" t="str">
        <f ca="1"/>
        <v>OK</v>
      </c>
    </row>
    <row r="5747" spans="2:34" x14ac:dyDescent="0.2">
      <c r="B5747" s="2">
        <f ca="1"/>
        <v>0.68169847545294804</v>
      </c>
      <c r="O5747" s="2">
        <f ca="1"/>
        <v>-0.6003777138427685</v>
      </c>
      <c r="X5747" s="2">
        <f ca="1"/>
        <v>62.705811763958373</v>
      </c>
      <c r="AG5747" s="2">
        <f ca="1"/>
        <v>3.1201053087202446E-2</v>
      </c>
      <c r="AH5747" s="2" t="str">
        <f ca="1"/>
        <v>Good</v>
      </c>
    </row>
    <row r="5748" spans="2:34" x14ac:dyDescent="0.2">
      <c r="B5748" s="2">
        <f ca="1"/>
        <v>0.30570456918715405</v>
      </c>
      <c r="O5748" s="2">
        <f ca="1"/>
        <v>1.9539064423766828</v>
      </c>
      <c r="X5748" s="2">
        <f ca="1"/>
        <v>55.666822989786453</v>
      </c>
      <c r="AG5748" s="2">
        <f ca="1"/>
        <v>0.13125708742849773</v>
      </c>
      <c r="AH5748" s="2" t="str">
        <f ca="1"/>
        <v>OK</v>
      </c>
    </row>
    <row r="5749" spans="2:34" x14ac:dyDescent="0.2">
      <c r="B5749" s="2">
        <f ca="1"/>
        <v>0.24932674000388566</v>
      </c>
      <c r="O5749" s="2">
        <f ca="1"/>
        <v>-0.36863197830452615</v>
      </c>
      <c r="X5749" s="2">
        <f ca="1"/>
        <v>72.703888271295639</v>
      </c>
      <c r="AG5749" s="2">
        <f ca="1"/>
        <v>0.58614319575131213</v>
      </c>
      <c r="AH5749" s="2" t="str">
        <f ca="1"/>
        <v>Bad</v>
      </c>
    </row>
    <row r="5750" spans="2:34" x14ac:dyDescent="0.2">
      <c r="B5750" s="2">
        <f ca="1"/>
        <v>0.27967465080810583</v>
      </c>
      <c r="O5750" s="2">
        <f ca="1"/>
        <v>6.7507691758562055E-2</v>
      </c>
      <c r="X5750" s="2">
        <f ca="1"/>
        <v>66.75222280243517</v>
      </c>
      <c r="AG5750" s="2">
        <f ca="1"/>
        <v>0.43989231768100945</v>
      </c>
      <c r="AH5750" s="2" t="str">
        <f ca="1"/>
        <v>Bad</v>
      </c>
    </row>
    <row r="5751" spans="2:34" x14ac:dyDescent="0.2">
      <c r="B5751" s="2">
        <f ca="1"/>
        <v>0.85928058276639097</v>
      </c>
      <c r="O5751" s="2">
        <f ca="1"/>
        <v>-0.9000506009680227</v>
      </c>
      <c r="X5751" s="2">
        <f ca="1"/>
        <v>47.225708354652063</v>
      </c>
      <c r="AG5751" s="2">
        <f ca="1"/>
        <v>0.90945134583121723</v>
      </c>
      <c r="AH5751" s="2" t="str">
        <f ca="1"/>
        <v>Bad</v>
      </c>
    </row>
    <row r="5752" spans="2:34" x14ac:dyDescent="0.2">
      <c r="B5752" s="2">
        <f ca="1"/>
        <v>9.7530358258045569E-2</v>
      </c>
      <c r="O5752" s="2">
        <f ca="1"/>
        <v>2.4219827682049519E-3</v>
      </c>
      <c r="X5752" s="2">
        <f ca="1"/>
        <v>36.898331019370268</v>
      </c>
      <c r="AG5752" s="2">
        <f ca="1"/>
        <v>0.5744397221914177</v>
      </c>
      <c r="AH5752" s="2" t="str">
        <f ca="1"/>
        <v>Bad</v>
      </c>
    </row>
    <row r="5753" spans="2:34" x14ac:dyDescent="0.2">
      <c r="B5753" s="2">
        <f ca="1"/>
        <v>0.70637815051806485</v>
      </c>
      <c r="O5753" s="2">
        <f ca="1"/>
        <v>-0.73053578246209883</v>
      </c>
      <c r="X5753" s="2">
        <f ca="1"/>
        <v>60.03780357315766</v>
      </c>
      <c r="AG5753" s="2">
        <f ca="1"/>
        <v>0.25860089619081683</v>
      </c>
      <c r="AH5753" s="2" t="str">
        <f ca="1"/>
        <v>OK</v>
      </c>
    </row>
    <row r="5754" spans="2:34" x14ac:dyDescent="0.2">
      <c r="B5754" s="2">
        <f ca="1"/>
        <v>0.42315337148752641</v>
      </c>
      <c r="O5754" s="2">
        <f ca="1"/>
        <v>-2.0463008276932602</v>
      </c>
      <c r="X5754" s="2">
        <f ca="1"/>
        <v>76.712521501562051</v>
      </c>
      <c r="AG5754" s="2">
        <f ca="1"/>
        <v>0.78414096560452995</v>
      </c>
      <c r="AH5754" s="2" t="str">
        <f ca="1"/>
        <v>Bad</v>
      </c>
    </row>
    <row r="5755" spans="2:34" x14ac:dyDescent="0.2">
      <c r="B5755" s="2">
        <f ca="1"/>
        <v>0.43364291329222215</v>
      </c>
      <c r="O5755" s="2">
        <f ca="1"/>
        <v>1.9440162423887444</v>
      </c>
      <c r="X5755" s="2">
        <f ca="1"/>
        <v>31.279999386544755</v>
      </c>
      <c r="AG5755" s="2">
        <f ca="1"/>
        <v>0.9675091243330618</v>
      </c>
      <c r="AH5755" s="2" t="str">
        <f ca="1"/>
        <v>Bad</v>
      </c>
    </row>
    <row r="5756" spans="2:34" x14ac:dyDescent="0.2">
      <c r="B5756" s="2">
        <f ca="1"/>
        <v>0.60440302242798749</v>
      </c>
      <c r="O5756" s="2">
        <f ca="1"/>
        <v>0.36235188404463126</v>
      </c>
      <c r="X5756" s="2">
        <f ca="1"/>
        <v>53.742610400248012</v>
      </c>
      <c r="AG5756" s="2">
        <f ca="1"/>
        <v>0.8184043522870772</v>
      </c>
      <c r="AH5756" s="2" t="str">
        <f ca="1"/>
        <v>Bad</v>
      </c>
    </row>
    <row r="5757" spans="2:34" x14ac:dyDescent="0.2">
      <c r="B5757" s="2">
        <f ca="1"/>
        <v>0.24953010231352235</v>
      </c>
      <c r="O5757" s="2">
        <f ca="1"/>
        <v>0.92948875816577792</v>
      </c>
      <c r="X5757" s="2">
        <f ca="1"/>
        <v>30.394269296261832</v>
      </c>
      <c r="AG5757" s="2">
        <f ca="1"/>
        <v>0.1990646893232344</v>
      </c>
      <c r="AH5757" s="2" t="str">
        <f ca="1"/>
        <v>OK</v>
      </c>
    </row>
    <row r="5758" spans="2:34" x14ac:dyDescent="0.2">
      <c r="B5758" s="2">
        <f ca="1"/>
        <v>3.3154160030544055E-2</v>
      </c>
      <c r="O5758" s="2">
        <f ca="1"/>
        <v>0.62963547615877846</v>
      </c>
      <c r="X5758" s="2">
        <f ca="1"/>
        <v>63.682705018864148</v>
      </c>
      <c r="AG5758" s="2">
        <f ca="1"/>
        <v>0.18772296496376906</v>
      </c>
      <c r="AH5758" s="2" t="str">
        <f ca="1"/>
        <v>OK</v>
      </c>
    </row>
    <row r="5759" spans="2:34" x14ac:dyDescent="0.2">
      <c r="B5759" s="2">
        <f ca="1"/>
        <v>0.71526033396180821</v>
      </c>
      <c r="O5759" s="2">
        <f ca="1"/>
        <v>0.24277241925491408</v>
      </c>
      <c r="X5759" s="2">
        <f ca="1"/>
        <v>65.730309733718286</v>
      </c>
      <c r="AG5759" s="2">
        <f ca="1"/>
        <v>0.70248131864254093</v>
      </c>
      <c r="AH5759" s="2" t="str">
        <f ca="1"/>
        <v>Bad</v>
      </c>
    </row>
    <row r="5760" spans="2:34" x14ac:dyDescent="0.2">
      <c r="B5760" s="2">
        <f ca="1"/>
        <v>0.86464111822100054</v>
      </c>
      <c r="O5760" s="2">
        <f ca="1"/>
        <v>-1.3065235967674744</v>
      </c>
      <c r="X5760" s="2">
        <f ca="1"/>
        <v>49.176424884328007</v>
      </c>
      <c r="AG5760" s="2">
        <f ca="1"/>
        <v>0.4805429264298382</v>
      </c>
      <c r="AH5760" s="2" t="str">
        <f ca="1"/>
        <v>Bad</v>
      </c>
    </row>
    <row r="5761" spans="2:34" x14ac:dyDescent="0.2">
      <c r="B5761" s="2">
        <f ca="1"/>
        <v>0.20956691037505948</v>
      </c>
      <c r="O5761" s="2">
        <f ca="1"/>
        <v>-0.50919234810938951</v>
      </c>
      <c r="X5761" s="2">
        <f ca="1"/>
        <v>47.67879663517526</v>
      </c>
      <c r="AG5761" s="2">
        <f ca="1"/>
        <v>0.5943073374900405</v>
      </c>
      <c r="AH5761" s="2" t="str">
        <f ca="1"/>
        <v>Bad</v>
      </c>
    </row>
    <row r="5762" spans="2:34" x14ac:dyDescent="0.2">
      <c r="B5762" s="2">
        <f ca="1"/>
        <v>0.60432068797051985</v>
      </c>
      <c r="O5762" s="2">
        <f ca="1"/>
        <v>-4.0184946196029761E-2</v>
      </c>
      <c r="X5762" s="2">
        <f ca="1"/>
        <v>46.656377855168039</v>
      </c>
      <c r="AG5762" s="2">
        <f ca="1"/>
        <v>0.26159271509992088</v>
      </c>
      <c r="AH5762" s="2" t="str">
        <f ca="1"/>
        <v>OK</v>
      </c>
    </row>
    <row r="5763" spans="2:34" x14ac:dyDescent="0.2">
      <c r="B5763" s="2">
        <f ca="1"/>
        <v>0.29871833901453893</v>
      </c>
      <c r="O5763" s="2">
        <f ca="1"/>
        <v>-0.45695851897906065</v>
      </c>
      <c r="X5763" s="2">
        <f ca="1"/>
        <v>75.806688718119176</v>
      </c>
      <c r="AG5763" s="2">
        <f ca="1"/>
        <v>0.40888271119060571</v>
      </c>
      <c r="AH5763" s="2" t="str">
        <f ca="1"/>
        <v>Bad</v>
      </c>
    </row>
    <row r="5764" spans="2:34" x14ac:dyDescent="0.2">
      <c r="B5764" s="2">
        <f ca="1"/>
        <v>0.99696184678550814</v>
      </c>
      <c r="O5764" s="2">
        <f ca="1"/>
        <v>-1.9490838504927062</v>
      </c>
      <c r="X5764" s="2">
        <f ca="1"/>
        <v>59.966580830381062</v>
      </c>
      <c r="AG5764" s="2">
        <f ca="1"/>
        <v>0.87701777196132058</v>
      </c>
      <c r="AH5764" s="2" t="str">
        <f ca="1"/>
        <v>Bad</v>
      </c>
    </row>
    <row r="5765" spans="2:34" x14ac:dyDescent="0.2">
      <c r="B5765" s="2">
        <f ca="1"/>
        <v>0.48981497922126738</v>
      </c>
      <c r="O5765" s="2">
        <f ca="1"/>
        <v>-0.21180692303350712</v>
      </c>
      <c r="X5765" s="2">
        <f ca="1"/>
        <v>40.468986675216705</v>
      </c>
      <c r="AG5765" s="2">
        <f ca="1"/>
        <v>0.22425597284318632</v>
      </c>
      <c r="AH5765" s="2" t="str">
        <f ca="1"/>
        <v>OK</v>
      </c>
    </row>
    <row r="5766" spans="2:34" x14ac:dyDescent="0.2">
      <c r="B5766" s="2">
        <f ca="1"/>
        <v>0.38507800726971886</v>
      </c>
      <c r="O5766" s="2">
        <f ca="1"/>
        <v>0.21806607466081135</v>
      </c>
      <c r="X5766" s="2">
        <f ca="1"/>
        <v>44.602538088504105</v>
      </c>
      <c r="AG5766" s="2">
        <f ca="1"/>
        <v>0.87374090804381277</v>
      </c>
      <c r="AH5766" s="2" t="str">
        <f ca="1"/>
        <v>Bad</v>
      </c>
    </row>
    <row r="5767" spans="2:34" x14ac:dyDescent="0.2">
      <c r="B5767" s="2">
        <f ca="1"/>
        <v>0.39077416444780555</v>
      </c>
      <c r="O5767" s="2">
        <f ca="1"/>
        <v>0.28655596031773478</v>
      </c>
      <c r="X5767" s="2">
        <f ca="1"/>
        <v>61.286278897775261</v>
      </c>
      <c r="AG5767" s="2">
        <f ca="1"/>
        <v>0.99950139849897313</v>
      </c>
      <c r="AH5767" s="2" t="str">
        <f ca="1"/>
        <v>Bad</v>
      </c>
    </row>
    <row r="5768" spans="2:34" x14ac:dyDescent="0.2">
      <c r="B5768" s="2">
        <f ca="1"/>
        <v>0.26465365696575982</v>
      </c>
      <c r="O5768" s="2">
        <f ca="1"/>
        <v>-0.90992773611834776</v>
      </c>
      <c r="X5768" s="2">
        <f ca="1"/>
        <v>69.261077244720369</v>
      </c>
      <c r="AG5768" s="2">
        <f ca="1"/>
        <v>0.37572651831962744</v>
      </c>
      <c r="AH5768" s="2" t="str">
        <f ca="1"/>
        <v>OK</v>
      </c>
    </row>
    <row r="5769" spans="2:34" x14ac:dyDescent="0.2">
      <c r="B5769" s="2">
        <f ca="1"/>
        <v>0.55607357775657085</v>
      </c>
      <c r="O5769" s="2">
        <f ca="1"/>
        <v>-0.53485811556403373</v>
      </c>
      <c r="X5769" s="2">
        <f ca="1"/>
        <v>85.31112842756842</v>
      </c>
      <c r="AG5769" s="2">
        <f ca="1"/>
        <v>0.88404593543181065</v>
      </c>
      <c r="AH5769" s="2" t="str">
        <f ca="1"/>
        <v>Bad</v>
      </c>
    </row>
    <row r="5770" spans="2:34" x14ac:dyDescent="0.2">
      <c r="B5770" s="2">
        <f ca="1"/>
        <v>0.72707112454546863</v>
      </c>
      <c r="O5770" s="2">
        <f ca="1"/>
        <v>0.43396259452709479</v>
      </c>
      <c r="X5770" s="2">
        <f ca="1"/>
        <v>60.272382426255078</v>
      </c>
      <c r="AG5770" s="2">
        <f ca="1"/>
        <v>0.3131718366203482</v>
      </c>
      <c r="AH5770" s="2" t="str">
        <f ca="1"/>
        <v>OK</v>
      </c>
    </row>
    <row r="5771" spans="2:34" x14ac:dyDescent="0.2">
      <c r="B5771" s="2">
        <f ca="1"/>
        <v>0.13486335771948532</v>
      </c>
      <c r="O5771" s="2">
        <f ca="1"/>
        <v>-0.13401043389559342</v>
      </c>
      <c r="X5771" s="2">
        <f ca="1"/>
        <v>57.927088206202299</v>
      </c>
      <c r="AG5771" s="2">
        <f ca="1"/>
        <v>0.91643914966666595</v>
      </c>
      <c r="AH5771" s="2" t="str">
        <f ca="1"/>
        <v>Bad</v>
      </c>
    </row>
    <row r="5772" spans="2:34" x14ac:dyDescent="0.2">
      <c r="B5772" s="2">
        <f ca="1"/>
        <v>9.6776087089500029E-2</v>
      </c>
      <c r="O5772" s="2">
        <f ca="1"/>
        <v>0.35221852488803457</v>
      </c>
      <c r="X5772" s="2">
        <f ca="1"/>
        <v>33.663750537773865</v>
      </c>
      <c r="AG5772" s="2">
        <f ca="1"/>
        <v>0.49726996971933346</v>
      </c>
      <c r="AH5772" s="2" t="str">
        <f ca="1"/>
        <v>Bad</v>
      </c>
    </row>
    <row r="5773" spans="2:34" x14ac:dyDescent="0.2">
      <c r="B5773" s="2">
        <f ca="1"/>
        <v>4.8873666742350386E-2</v>
      </c>
      <c r="O5773" s="2">
        <f ca="1"/>
        <v>-1.5178388645274845</v>
      </c>
      <c r="X5773" s="2">
        <f ca="1"/>
        <v>66.694219113531361</v>
      </c>
      <c r="AG5773" s="2">
        <f ca="1"/>
        <v>0.76076387834926495</v>
      </c>
      <c r="AH5773" s="2" t="str">
        <f ca="1"/>
        <v>Bad</v>
      </c>
    </row>
    <row r="5774" spans="2:34" x14ac:dyDescent="0.2">
      <c r="B5774" s="2">
        <f ca="1"/>
        <v>0.81063998879858756</v>
      </c>
      <c r="O5774" s="2">
        <f ca="1"/>
        <v>1.3420255614890917</v>
      </c>
      <c r="X5774" s="2">
        <f ca="1"/>
        <v>24.344946522308678</v>
      </c>
      <c r="AG5774" s="2">
        <f ca="1"/>
        <v>0.74171289633371318</v>
      </c>
      <c r="AH5774" s="2" t="str">
        <f ca="1"/>
        <v>Bad</v>
      </c>
    </row>
    <row r="5775" spans="2:34" x14ac:dyDescent="0.2">
      <c r="B5775" s="2">
        <f ca="1"/>
        <v>0.5504847606694061</v>
      </c>
      <c r="O5775" s="2">
        <f ca="1"/>
        <v>-0.99218286522304888</v>
      </c>
      <c r="X5775" s="2">
        <f ca="1"/>
        <v>43.336587583779988</v>
      </c>
      <c r="AG5775" s="2">
        <f ca="1"/>
        <v>0.37743632301374208</v>
      </c>
      <c r="AH5775" s="2" t="str">
        <f ca="1"/>
        <v>OK</v>
      </c>
    </row>
    <row r="5776" spans="2:34" x14ac:dyDescent="0.2">
      <c r="B5776" s="2">
        <f ca="1"/>
        <v>0.21181747023321607</v>
      </c>
      <c r="O5776" s="2">
        <f ca="1"/>
        <v>-0.11047317029880187</v>
      </c>
      <c r="X5776" s="2">
        <f ca="1"/>
        <v>46.692062307930286</v>
      </c>
      <c r="AG5776" s="2">
        <f ca="1"/>
        <v>0.6098990234498054</v>
      </c>
      <c r="AH5776" s="2" t="str">
        <f ca="1"/>
        <v>Bad</v>
      </c>
    </row>
    <row r="5777" spans="2:34" x14ac:dyDescent="0.2">
      <c r="B5777" s="2">
        <f ca="1"/>
        <v>0.70288455890178647</v>
      </c>
      <c r="O5777" s="2">
        <f ca="1"/>
        <v>0.83375649958847631</v>
      </c>
      <c r="X5777" s="2">
        <f ca="1"/>
        <v>31.934671631711232</v>
      </c>
      <c r="AG5777" s="2">
        <f ca="1"/>
        <v>5.4086361074400235E-2</v>
      </c>
      <c r="AH5777" s="2" t="str">
        <f ca="1"/>
        <v>OK</v>
      </c>
    </row>
    <row r="5778" spans="2:34" x14ac:dyDescent="0.2">
      <c r="B5778" s="2">
        <f ca="1"/>
        <v>0.7776276503154218</v>
      </c>
      <c r="O5778" s="2">
        <f ca="1"/>
        <v>2.9326334366964764</v>
      </c>
      <c r="X5778" s="2">
        <f ca="1"/>
        <v>82.890287106822228</v>
      </c>
      <c r="AG5778" s="2">
        <f ca="1"/>
        <v>0.41119936459402018</v>
      </c>
      <c r="AH5778" s="2" t="str">
        <f ca="1"/>
        <v>Bad</v>
      </c>
    </row>
    <row r="5779" spans="2:34" x14ac:dyDescent="0.2">
      <c r="B5779" s="2">
        <f ca="1"/>
        <v>0.10479524603088874</v>
      </c>
      <c r="O5779" s="2">
        <f ca="1"/>
        <v>0.44506079512886276</v>
      </c>
      <c r="X5779" s="2">
        <f ca="1"/>
        <v>73.201151710177498</v>
      </c>
      <c r="AG5779" s="2">
        <f ca="1"/>
        <v>0.81350459741100623</v>
      </c>
      <c r="AH5779" s="2" t="str">
        <f ca="1"/>
        <v>Bad</v>
      </c>
    </row>
    <row r="5780" spans="2:34" x14ac:dyDescent="0.2">
      <c r="B5780" s="2">
        <f ca="1"/>
        <v>0.13208898279442405</v>
      </c>
      <c r="O5780" s="2">
        <f ca="1"/>
        <v>-0.55988972116502644</v>
      </c>
      <c r="X5780" s="2">
        <f ca="1"/>
        <v>57.908845464538715</v>
      </c>
      <c r="AG5780" s="2">
        <f ca="1"/>
        <v>0.71488451361959293</v>
      </c>
      <c r="AH5780" s="2" t="str">
        <f ca="1"/>
        <v>Bad</v>
      </c>
    </row>
    <row r="5781" spans="2:34" x14ac:dyDescent="0.2">
      <c r="B5781" s="2">
        <f ca="1"/>
        <v>0.28474744388340856</v>
      </c>
      <c r="O5781" s="2">
        <f ca="1"/>
        <v>-2.4670756905168989E-3</v>
      </c>
      <c r="X5781" s="2">
        <f ca="1"/>
        <v>53.024368853822367</v>
      </c>
      <c r="AG5781" s="2">
        <f ca="1"/>
        <v>7.5555933762405214E-2</v>
      </c>
      <c r="AH5781" s="2" t="str">
        <f ca="1"/>
        <v>OK</v>
      </c>
    </row>
    <row r="5782" spans="2:34" x14ac:dyDescent="0.2">
      <c r="B5782" s="2">
        <f ca="1"/>
        <v>0.8208759948227935</v>
      </c>
      <c r="O5782" s="2">
        <f ca="1"/>
        <v>1.4223029110326324</v>
      </c>
      <c r="X5782" s="2">
        <f ca="1"/>
        <v>59.961421214795379</v>
      </c>
      <c r="AG5782" s="2">
        <f ca="1"/>
        <v>0.9074876777154266</v>
      </c>
      <c r="AH5782" s="2" t="str">
        <f ca="1"/>
        <v>Bad</v>
      </c>
    </row>
    <row r="5783" spans="2:34" x14ac:dyDescent="0.2">
      <c r="B5783" s="2">
        <f ca="1"/>
        <v>0.20892995050454877</v>
      </c>
      <c r="O5783" s="2">
        <f ca="1"/>
        <v>-0.1485372152649273</v>
      </c>
      <c r="X5783" s="2">
        <f ca="1"/>
        <v>62.869636832639124</v>
      </c>
      <c r="AG5783" s="2">
        <f ca="1"/>
        <v>0.41702599360161718</v>
      </c>
      <c r="AH5783" s="2" t="str">
        <f ca="1"/>
        <v>Bad</v>
      </c>
    </row>
    <row r="5784" spans="2:34" x14ac:dyDescent="0.2">
      <c r="B5784" s="2">
        <f ca="1"/>
        <v>0.8281023908508256</v>
      </c>
      <c r="O5784" s="2">
        <f ca="1"/>
        <v>-1.0468557393223987</v>
      </c>
      <c r="X5784" s="2">
        <f ca="1"/>
        <v>36.727143388017161</v>
      </c>
      <c r="AG5784" s="2">
        <f ca="1"/>
        <v>0.5620502821675899</v>
      </c>
      <c r="AH5784" s="2" t="str">
        <f ca="1"/>
        <v>Bad</v>
      </c>
    </row>
    <row r="5785" spans="2:34" x14ac:dyDescent="0.2">
      <c r="B5785" s="2">
        <f ca="1"/>
        <v>0.37433040326437639</v>
      </c>
      <c r="O5785" s="2">
        <f ca="1"/>
        <v>-1.5884265739264407</v>
      </c>
      <c r="X5785" s="2">
        <f ca="1"/>
        <v>62.992833298753965</v>
      </c>
      <c r="AG5785" s="2">
        <f ca="1"/>
        <v>0.4609432120168977</v>
      </c>
      <c r="AH5785" s="2" t="str">
        <f ca="1"/>
        <v>Bad</v>
      </c>
    </row>
    <row r="5786" spans="2:34" x14ac:dyDescent="0.2">
      <c r="B5786" s="2">
        <f ca="1"/>
        <v>0.34458000682475554</v>
      </c>
      <c r="O5786" s="2">
        <f ca="1"/>
        <v>-0.34008420001423473</v>
      </c>
      <c r="X5786" s="2">
        <f ca="1"/>
        <v>69.739459929818324</v>
      </c>
      <c r="AG5786" s="2">
        <f ca="1"/>
        <v>0.17585165351450338</v>
      </c>
      <c r="AH5786" s="2" t="str">
        <f ca="1"/>
        <v>OK</v>
      </c>
    </row>
    <row r="5787" spans="2:34" x14ac:dyDescent="0.2">
      <c r="B5787" s="2">
        <f ca="1"/>
        <v>0.7566389997174654</v>
      </c>
      <c r="O5787" s="2">
        <f ca="1"/>
        <v>1.4011069078731075</v>
      </c>
      <c r="X5787" s="2">
        <f ca="1"/>
        <v>61.987699288553131</v>
      </c>
      <c r="AG5787" s="2">
        <f ca="1"/>
        <v>0.8984895082870985</v>
      </c>
      <c r="AH5787" s="2" t="str">
        <f ca="1"/>
        <v>Bad</v>
      </c>
    </row>
    <row r="5788" spans="2:34" x14ac:dyDescent="0.2">
      <c r="B5788" s="2">
        <f ca="1"/>
        <v>0.1235115544243115</v>
      </c>
      <c r="O5788" s="2">
        <f ca="1"/>
        <v>0.61187441122895991</v>
      </c>
      <c r="X5788" s="2">
        <f ca="1"/>
        <v>46.890826072607005</v>
      </c>
      <c r="AG5788" s="2">
        <f ca="1"/>
        <v>0.64829445143521247</v>
      </c>
      <c r="AH5788" s="2" t="str">
        <f ca="1"/>
        <v>Bad</v>
      </c>
    </row>
    <row r="5789" spans="2:34" x14ac:dyDescent="0.2">
      <c r="B5789" s="2">
        <f ca="1"/>
        <v>0.45550242300111399</v>
      </c>
      <c r="O5789" s="2">
        <f ca="1"/>
        <v>-0.86165752029049114</v>
      </c>
      <c r="X5789" s="2">
        <f ca="1"/>
        <v>29.42683080797773</v>
      </c>
      <c r="AG5789" s="2">
        <f ca="1"/>
        <v>0.11539578826524588</v>
      </c>
      <c r="AH5789" s="2" t="str">
        <f ca="1"/>
        <v>OK</v>
      </c>
    </row>
    <row r="5790" spans="2:34" x14ac:dyDescent="0.2">
      <c r="B5790" s="2">
        <f ca="1"/>
        <v>0.99612733687437149</v>
      </c>
      <c r="O5790" s="2">
        <f ca="1"/>
        <v>0.23545099073190556</v>
      </c>
      <c r="X5790" s="2">
        <f ca="1"/>
        <v>30.167597855209479</v>
      </c>
      <c r="AG5790" s="2">
        <f ca="1"/>
        <v>0.87947275325080954</v>
      </c>
      <c r="AH5790" s="2" t="str">
        <f ca="1"/>
        <v>Bad</v>
      </c>
    </row>
    <row r="5791" spans="2:34" x14ac:dyDescent="0.2">
      <c r="B5791" s="2">
        <f ca="1"/>
        <v>0.59409467502049895</v>
      </c>
      <c r="O5791" s="2">
        <f ca="1"/>
        <v>0.44340730774053222</v>
      </c>
      <c r="X5791" s="2">
        <f ca="1"/>
        <v>57.412607387669851</v>
      </c>
      <c r="AG5791" s="2">
        <f ca="1"/>
        <v>0.63689002202674305</v>
      </c>
      <c r="AH5791" s="2" t="str">
        <f ca="1"/>
        <v>Bad</v>
      </c>
    </row>
    <row r="5792" spans="2:34" x14ac:dyDescent="0.2">
      <c r="B5792" s="2">
        <f ca="1"/>
        <v>0.91261599603679144</v>
      </c>
      <c r="O5792" s="2">
        <f ca="1"/>
        <v>1.2922129221952157</v>
      </c>
      <c r="X5792" s="2">
        <f ca="1"/>
        <v>35.488353908915002</v>
      </c>
      <c r="AG5792" s="2">
        <f ca="1"/>
        <v>0.46129652878430405</v>
      </c>
      <c r="AH5792" s="2" t="str">
        <f ca="1"/>
        <v>Bad</v>
      </c>
    </row>
    <row r="5793" spans="2:34" x14ac:dyDescent="0.2">
      <c r="B5793" s="2">
        <f ca="1"/>
        <v>0.61162753717571228</v>
      </c>
      <c r="O5793" s="2">
        <f ca="1"/>
        <v>1.7695184464436706</v>
      </c>
      <c r="X5793" s="2">
        <f ca="1"/>
        <v>38.220529273721027</v>
      </c>
      <c r="AG5793" s="2">
        <f ca="1"/>
        <v>0.82142388646157816</v>
      </c>
      <c r="AH5793" s="2" t="str">
        <f ca="1"/>
        <v>Bad</v>
      </c>
    </row>
    <row r="5794" spans="2:34" x14ac:dyDescent="0.2">
      <c r="B5794" s="2">
        <f ca="1"/>
        <v>0.5854811718451518</v>
      </c>
      <c r="O5794" s="2">
        <f ca="1"/>
        <v>-2.0487910715035111</v>
      </c>
      <c r="X5794" s="2">
        <f ca="1"/>
        <v>39.364669602437658</v>
      </c>
      <c r="AG5794" s="2">
        <f ca="1"/>
        <v>0.69472614169334412</v>
      </c>
      <c r="AH5794" s="2" t="str">
        <f ca="1"/>
        <v>Bad</v>
      </c>
    </row>
    <row r="5795" spans="2:34" x14ac:dyDescent="0.2">
      <c r="B5795" s="2">
        <f ca="1"/>
        <v>0.82210545121444523</v>
      </c>
      <c r="O5795" s="2">
        <f ca="1"/>
        <v>1.2531244752125945</v>
      </c>
      <c r="X5795" s="2">
        <f ca="1"/>
        <v>24.090366520742808</v>
      </c>
      <c r="AG5795" s="2">
        <f ca="1"/>
        <v>0.34044533551328326</v>
      </c>
      <c r="AH5795" s="2" t="str">
        <f ca="1"/>
        <v>OK</v>
      </c>
    </row>
    <row r="5796" spans="2:34" x14ac:dyDescent="0.2">
      <c r="B5796" s="2">
        <f ca="1"/>
        <v>0.12706970430002662</v>
      </c>
      <c r="O5796" s="2">
        <f ca="1"/>
        <v>0.41065850590419606</v>
      </c>
      <c r="X5796" s="2">
        <f ca="1"/>
        <v>61.143076258062521</v>
      </c>
      <c r="AG5796" s="2">
        <f ca="1"/>
        <v>0.33385021583858365</v>
      </c>
      <c r="AH5796" s="2" t="str">
        <f ca="1"/>
        <v>OK</v>
      </c>
    </row>
    <row r="5797" spans="2:34" x14ac:dyDescent="0.2">
      <c r="B5797" s="2">
        <f ca="1"/>
        <v>0.2258477254218958</v>
      </c>
      <c r="O5797" s="2">
        <f ca="1"/>
        <v>8.0026439700697199E-2</v>
      </c>
      <c r="X5797" s="2">
        <f ca="1"/>
        <v>74.877800064326038</v>
      </c>
      <c r="AG5797" s="2">
        <f ca="1"/>
        <v>0.59304499707145353</v>
      </c>
      <c r="AH5797" s="2" t="str">
        <f ca="1"/>
        <v>Bad</v>
      </c>
    </row>
    <row r="5798" spans="2:34" x14ac:dyDescent="0.2">
      <c r="B5798" s="2">
        <f ca="1"/>
        <v>0.977918228600827</v>
      </c>
      <c r="O5798" s="2">
        <f ca="1"/>
        <v>1.8184089757448108</v>
      </c>
      <c r="X5798" s="2">
        <f ca="1"/>
        <v>43.336815007958542</v>
      </c>
      <c r="AG5798" s="2">
        <f ca="1"/>
        <v>0.77713837264485797</v>
      </c>
      <c r="AH5798" s="2" t="str">
        <f ca="1"/>
        <v>Bad</v>
      </c>
    </row>
    <row r="5799" spans="2:34" x14ac:dyDescent="0.2">
      <c r="B5799" s="2">
        <f ca="1"/>
        <v>0.42459804058232553</v>
      </c>
      <c r="O5799" s="2">
        <f ca="1"/>
        <v>0.73127714116760378</v>
      </c>
      <c r="X5799" s="2">
        <f ca="1"/>
        <v>75.826217436143367</v>
      </c>
      <c r="AG5799" s="2">
        <f ca="1"/>
        <v>0.11413988107063266</v>
      </c>
      <c r="AH5799" s="2" t="str">
        <f ca="1"/>
        <v>OK</v>
      </c>
    </row>
    <row r="5800" spans="2:34" x14ac:dyDescent="0.2">
      <c r="B5800" s="2">
        <f ca="1"/>
        <v>0.13673082213928933</v>
      </c>
      <c r="O5800" s="2">
        <f ca="1"/>
        <v>-0.4857023925770223</v>
      </c>
      <c r="X5800" s="2">
        <f ca="1"/>
        <v>46.013787333308215</v>
      </c>
      <c r="AG5800" s="2">
        <f ca="1"/>
        <v>0.14812785934229367</v>
      </c>
      <c r="AH5800" s="2" t="str">
        <f ca="1"/>
        <v>OK</v>
      </c>
    </row>
    <row r="5801" spans="2:34" x14ac:dyDescent="0.2">
      <c r="B5801" s="2">
        <f ca="1"/>
        <v>0.98459321618099338</v>
      </c>
      <c r="O5801" s="2">
        <f ca="1"/>
        <v>-0.67536264403890656</v>
      </c>
      <c r="X5801" s="2">
        <f ca="1"/>
        <v>67.220328896829301</v>
      </c>
      <c r="AG5801" s="2">
        <f ca="1"/>
        <v>0.72446873403680878</v>
      </c>
      <c r="AH5801" s="2" t="str">
        <f ca="1"/>
        <v>Bad</v>
      </c>
    </row>
    <row r="5802" spans="2:34" x14ac:dyDescent="0.2">
      <c r="B5802" s="2">
        <f ca="1"/>
        <v>1.5179614024647625E-2</v>
      </c>
      <c r="O5802" s="2">
        <f ca="1"/>
        <v>-2.0271063018357176</v>
      </c>
      <c r="X5802" s="2">
        <f ca="1"/>
        <v>57.535911600181969</v>
      </c>
      <c r="AG5802" s="2">
        <f ca="1"/>
        <v>0.82720763713885748</v>
      </c>
      <c r="AH5802" s="2" t="str">
        <f ca="1"/>
        <v>Bad</v>
      </c>
    </row>
    <row r="5803" spans="2:34" x14ac:dyDescent="0.2">
      <c r="B5803" s="2">
        <f ca="1"/>
        <v>0.17223706368653136</v>
      </c>
      <c r="O5803" s="2">
        <f ca="1"/>
        <v>-1.0902587146433353</v>
      </c>
      <c r="X5803" s="2">
        <f ca="1"/>
        <v>50.876266576087346</v>
      </c>
      <c r="AG5803" s="2">
        <f ca="1"/>
        <v>0.44858728235969481</v>
      </c>
      <c r="AH5803" s="2" t="str">
        <f ca="1"/>
        <v>Bad</v>
      </c>
    </row>
    <row r="5804" spans="2:34" x14ac:dyDescent="0.2">
      <c r="B5804" s="2">
        <f ca="1"/>
        <v>0.45583803862150507</v>
      </c>
      <c r="O5804" s="2">
        <f ca="1"/>
        <v>0.73350867167280809</v>
      </c>
      <c r="X5804" s="2">
        <f ca="1"/>
        <v>54.310558049433688</v>
      </c>
      <c r="AG5804" s="2">
        <f ca="1"/>
        <v>0.47823203522550295</v>
      </c>
      <c r="AH5804" s="2" t="str">
        <f ca="1"/>
        <v>Bad</v>
      </c>
    </row>
    <row r="5805" spans="2:34" x14ac:dyDescent="0.2">
      <c r="B5805" s="2">
        <f ca="1"/>
        <v>0.64070550005334193</v>
      </c>
      <c r="O5805" s="2">
        <f ca="1"/>
        <v>-0.49507500274712229</v>
      </c>
      <c r="X5805" s="2">
        <f ca="1"/>
        <v>71.478827851121167</v>
      </c>
      <c r="AG5805" s="2">
        <f ca="1"/>
        <v>0.92749987894244845</v>
      </c>
      <c r="AH5805" s="2" t="str">
        <f ca="1"/>
        <v>Bad</v>
      </c>
    </row>
    <row r="5806" spans="2:34" x14ac:dyDescent="0.2">
      <c r="B5806" s="2">
        <f ca="1"/>
        <v>0.11575882436416607</v>
      </c>
      <c r="O5806" s="2">
        <f ca="1"/>
        <v>-0.24148143448307424</v>
      </c>
      <c r="X5806" s="2">
        <f ca="1"/>
        <v>48.567074110269331</v>
      </c>
      <c r="AG5806" s="2">
        <f ca="1"/>
        <v>0.49836398299951634</v>
      </c>
      <c r="AH5806" s="2" t="str">
        <f ca="1"/>
        <v>Bad</v>
      </c>
    </row>
    <row r="5807" spans="2:34" x14ac:dyDescent="0.2">
      <c r="B5807" s="2">
        <f ca="1"/>
        <v>0.71372330119083971</v>
      </c>
      <c r="O5807" s="2">
        <f ca="1"/>
        <v>-0.23064643925277464</v>
      </c>
      <c r="X5807" s="2">
        <f ca="1"/>
        <v>57.274820833845524</v>
      </c>
      <c r="AG5807" s="2">
        <f ca="1"/>
        <v>4.4702708369872335E-2</v>
      </c>
      <c r="AH5807" s="2" t="str">
        <f ca="1"/>
        <v>Good</v>
      </c>
    </row>
    <row r="5808" spans="2:34" x14ac:dyDescent="0.2">
      <c r="B5808" s="2">
        <f ca="1"/>
        <v>0.83796973022786148</v>
      </c>
      <c r="O5808" s="2">
        <f ca="1"/>
        <v>-1.0361080812672201</v>
      </c>
      <c r="X5808" s="2">
        <f ca="1"/>
        <v>35.946349415705726</v>
      </c>
      <c r="AG5808" s="2">
        <f ca="1"/>
        <v>0.95294665169953441</v>
      </c>
      <c r="AH5808" s="2" t="str">
        <f ca="1"/>
        <v>Bad</v>
      </c>
    </row>
    <row r="5809" spans="2:34" x14ac:dyDescent="0.2">
      <c r="B5809" s="2">
        <f ca="1"/>
        <v>0.13292089693738185</v>
      </c>
      <c r="O5809" s="2">
        <f ca="1"/>
        <v>-5.1798649586738077E-2</v>
      </c>
      <c r="X5809" s="2">
        <f ca="1"/>
        <v>60.130102358195231</v>
      </c>
      <c r="AG5809" s="2">
        <f ca="1"/>
        <v>0.25695829215807664</v>
      </c>
      <c r="AH5809" s="2" t="str">
        <f ca="1"/>
        <v>OK</v>
      </c>
    </row>
    <row r="5810" spans="2:34" x14ac:dyDescent="0.2">
      <c r="B5810" s="2">
        <f ca="1"/>
        <v>0.2333364052121838</v>
      </c>
      <c r="O5810" s="2">
        <f ca="1"/>
        <v>-0.83730586684694996</v>
      </c>
      <c r="X5810" s="2">
        <f ca="1"/>
        <v>63.432795640221428</v>
      </c>
      <c r="AG5810" s="2">
        <f ca="1"/>
        <v>0.51138558189350047</v>
      </c>
      <c r="AH5810" s="2" t="str">
        <f ca="1"/>
        <v>Bad</v>
      </c>
    </row>
    <row r="5811" spans="2:34" x14ac:dyDescent="0.2">
      <c r="B5811" s="2">
        <f ca="1"/>
        <v>0.66868974160027483</v>
      </c>
      <c r="O5811" s="2">
        <f ca="1"/>
        <v>-0.51855745565855416</v>
      </c>
      <c r="X5811" s="2">
        <f ca="1"/>
        <v>61.691380643292817</v>
      </c>
      <c r="AG5811" s="2">
        <f ca="1"/>
        <v>0.4289613288662022</v>
      </c>
      <c r="AH5811" s="2" t="str">
        <f ca="1"/>
        <v>Bad</v>
      </c>
    </row>
    <row r="5812" spans="2:34" x14ac:dyDescent="0.2">
      <c r="B5812" s="2">
        <f ca="1"/>
        <v>0.41717639414386043</v>
      </c>
      <c r="O5812" s="2">
        <f ca="1"/>
        <v>0.11951601259253095</v>
      </c>
      <c r="X5812" s="2">
        <f ca="1"/>
        <v>86.637859996354024</v>
      </c>
      <c r="AG5812" s="2">
        <f ca="1"/>
        <v>2.7343332634455209E-3</v>
      </c>
      <c r="AH5812" s="2" t="str">
        <f ca="1"/>
        <v>Good</v>
      </c>
    </row>
    <row r="5813" spans="2:34" x14ac:dyDescent="0.2">
      <c r="B5813" s="2">
        <f ca="1"/>
        <v>0.61657082978051569</v>
      </c>
      <c r="O5813" s="2">
        <f ca="1"/>
        <v>5.7238402444308188E-2</v>
      </c>
      <c r="X5813" s="2">
        <f ca="1"/>
        <v>63.192873892777889</v>
      </c>
      <c r="AG5813" s="2">
        <f ca="1"/>
        <v>2.5668260787568231E-2</v>
      </c>
      <c r="AH5813" s="2" t="str">
        <f ca="1"/>
        <v>Good</v>
      </c>
    </row>
    <row r="5814" spans="2:34" x14ac:dyDescent="0.2">
      <c r="B5814" s="2">
        <f ca="1"/>
        <v>0.17359311952279866</v>
      </c>
      <c r="O5814" s="2">
        <f ca="1"/>
        <v>-1.3650506222418683</v>
      </c>
      <c r="X5814" s="2">
        <f ca="1"/>
        <v>90.66631068622344</v>
      </c>
      <c r="AG5814" s="2">
        <f ca="1"/>
        <v>2.9431704781678558E-2</v>
      </c>
      <c r="AH5814" s="2" t="str">
        <f ca="1"/>
        <v>Good</v>
      </c>
    </row>
    <row r="5815" spans="2:34" x14ac:dyDescent="0.2">
      <c r="B5815" s="2">
        <f ca="1"/>
        <v>0.87922664810773199</v>
      </c>
      <c r="O5815" s="2">
        <f ca="1"/>
        <v>-0.7940011312623757</v>
      </c>
      <c r="X5815" s="2">
        <f ca="1"/>
        <v>38.161256804646122</v>
      </c>
      <c r="AG5815" s="2">
        <f ca="1"/>
        <v>0.82875685392395448</v>
      </c>
      <c r="AH5815" s="2" t="str">
        <f ca="1"/>
        <v>Bad</v>
      </c>
    </row>
    <row r="5816" spans="2:34" x14ac:dyDescent="0.2">
      <c r="B5816" s="2">
        <f ca="1"/>
        <v>0.36536032271039165</v>
      </c>
      <c r="O5816" s="2">
        <f ca="1"/>
        <v>0.37181765992324134</v>
      </c>
      <c r="X5816" s="2">
        <f ca="1"/>
        <v>67.813697909650699</v>
      </c>
      <c r="AG5816" s="2">
        <f ca="1"/>
        <v>0.44406850355741212</v>
      </c>
      <c r="AH5816" s="2" t="str">
        <f ca="1"/>
        <v>Bad</v>
      </c>
    </row>
    <row r="5817" spans="2:34" x14ac:dyDescent="0.2">
      <c r="B5817" s="2">
        <f ca="1"/>
        <v>0.91434943175435812</v>
      </c>
      <c r="O5817" s="2">
        <f ca="1"/>
        <v>0.86638797334142514</v>
      </c>
      <c r="X5817" s="2">
        <f ca="1"/>
        <v>20.61742194877575</v>
      </c>
      <c r="AG5817" s="2">
        <f ca="1"/>
        <v>0.68209403234645127</v>
      </c>
      <c r="AH5817" s="2" t="str">
        <f ca="1"/>
        <v>Bad</v>
      </c>
    </row>
    <row r="5818" spans="2:34" x14ac:dyDescent="0.2">
      <c r="B5818" s="2">
        <f ca="1"/>
        <v>0.30624673842357386</v>
      </c>
      <c r="O5818" s="2">
        <f ca="1"/>
        <v>1.9303836420501492</v>
      </c>
      <c r="X5818" s="2">
        <f ca="1"/>
        <v>78.204970162740665</v>
      </c>
      <c r="AG5818" s="2">
        <f ca="1"/>
        <v>0.1705142979562686</v>
      </c>
      <c r="AH5818" s="2" t="str">
        <f ca="1"/>
        <v>OK</v>
      </c>
    </row>
    <row r="5819" spans="2:34" x14ac:dyDescent="0.2">
      <c r="B5819" s="2">
        <f ca="1"/>
        <v>0.36593975830676251</v>
      </c>
      <c r="O5819" s="2">
        <f ca="1"/>
        <v>-1.1560635679599094</v>
      </c>
      <c r="X5819" s="2">
        <f ca="1"/>
        <v>31.124915405215635</v>
      </c>
      <c r="AG5819" s="2">
        <f ca="1"/>
        <v>0.64658622552567224</v>
      </c>
      <c r="AH5819" s="2" t="str">
        <f ca="1"/>
        <v>Bad</v>
      </c>
    </row>
    <row r="5820" spans="2:34" x14ac:dyDescent="0.2">
      <c r="B5820" s="2">
        <f ca="1"/>
        <v>4.1662765081306841E-2</v>
      </c>
      <c r="O5820" s="2">
        <f ca="1"/>
        <v>0.29043149214116681</v>
      </c>
      <c r="X5820" s="2">
        <f ca="1"/>
        <v>55.818603442045557</v>
      </c>
      <c r="AG5820" s="2">
        <f ca="1"/>
        <v>0.98921318110778511</v>
      </c>
      <c r="AH5820" s="2" t="str">
        <f ca="1"/>
        <v>Bad</v>
      </c>
    </row>
    <row r="5821" spans="2:34" x14ac:dyDescent="0.2">
      <c r="B5821" s="2">
        <f ca="1"/>
        <v>0.10402658957445432</v>
      </c>
      <c r="O5821" s="2">
        <f ca="1"/>
        <v>-0.69873223306736088</v>
      </c>
      <c r="X5821" s="2">
        <f ca="1"/>
        <v>70.922101566578519</v>
      </c>
      <c r="AG5821" s="2">
        <f ca="1"/>
        <v>0.93413645186019334</v>
      </c>
      <c r="AH5821" s="2" t="str">
        <f ca="1"/>
        <v>Bad</v>
      </c>
    </row>
    <row r="5822" spans="2:34" x14ac:dyDescent="0.2">
      <c r="B5822" s="2">
        <f ca="1"/>
        <v>0.93473356245108685</v>
      </c>
      <c r="O5822" s="2">
        <f ca="1"/>
        <v>2.897237621594427E-2</v>
      </c>
      <c r="X5822" s="2">
        <f ca="1"/>
        <v>40.389148714371935</v>
      </c>
      <c r="AG5822" s="2">
        <f ca="1"/>
        <v>0.70572203923723964</v>
      </c>
      <c r="AH5822" s="2" t="str">
        <f ca="1"/>
        <v>Bad</v>
      </c>
    </row>
    <row r="5823" spans="2:34" x14ac:dyDescent="0.2">
      <c r="B5823" s="2">
        <f ca="1"/>
        <v>0.68522292987791711</v>
      </c>
      <c r="O5823" s="2">
        <f ca="1"/>
        <v>9.7771621397567052E-3</v>
      </c>
      <c r="X5823" s="2">
        <f ca="1"/>
        <v>79.385817276967771</v>
      </c>
      <c r="AG5823" s="2">
        <f ca="1"/>
        <v>4.2157414530404003E-2</v>
      </c>
      <c r="AH5823" s="2" t="str">
        <f ca="1"/>
        <v>Good</v>
      </c>
    </row>
    <row r="5824" spans="2:34" x14ac:dyDescent="0.2">
      <c r="B5824" s="2">
        <f ca="1"/>
        <v>0.88424149015558351</v>
      </c>
      <c r="O5824" s="2">
        <f ca="1"/>
        <v>-0.66885868279086513</v>
      </c>
      <c r="X5824" s="2">
        <f ca="1"/>
        <v>60.32447043235463</v>
      </c>
      <c r="AG5824" s="2">
        <f ca="1"/>
        <v>0.60345961129494241</v>
      </c>
      <c r="AH5824" s="2" t="str">
        <f ca="1"/>
        <v>Bad</v>
      </c>
    </row>
    <row r="5825" spans="2:34" x14ac:dyDescent="0.2">
      <c r="B5825" s="2">
        <f ca="1"/>
        <v>0.97439197015498147</v>
      </c>
      <c r="O5825" s="2">
        <f ca="1"/>
        <v>0.13508720170715796</v>
      </c>
      <c r="X5825" s="2">
        <f ca="1"/>
        <v>63.994690213987241</v>
      </c>
      <c r="AG5825" s="2">
        <f ca="1"/>
        <v>0.6686601012862794</v>
      </c>
      <c r="AH5825" s="2" t="str">
        <f ca="1"/>
        <v>Bad</v>
      </c>
    </row>
    <row r="5826" spans="2:34" x14ac:dyDescent="0.2">
      <c r="B5826" s="2">
        <f ca="1"/>
        <v>0.69406500909614288</v>
      </c>
      <c r="O5826" s="2">
        <f ca="1"/>
        <v>0.22731325265752655</v>
      </c>
      <c r="X5826" s="2">
        <f ca="1"/>
        <v>40.908452736809281</v>
      </c>
      <c r="AG5826" s="2">
        <f ca="1"/>
        <v>0.58462980930856623</v>
      </c>
      <c r="AH5826" s="2" t="str">
        <f ca="1"/>
        <v>Bad</v>
      </c>
    </row>
    <row r="5827" spans="2:34" x14ac:dyDescent="0.2">
      <c r="B5827" s="2">
        <f ca="1"/>
        <v>0.77316490180601227</v>
      </c>
      <c r="O5827" s="2">
        <f ca="1"/>
        <v>2.0700466866753531</v>
      </c>
      <c r="X5827" s="2">
        <f ca="1"/>
        <v>63.619683971536332</v>
      </c>
      <c r="AG5827" s="2">
        <f ca="1"/>
        <v>0.84166051924780549</v>
      </c>
      <c r="AH5827" s="2" t="str">
        <f ca="1"/>
        <v>Bad</v>
      </c>
    </row>
    <row r="5828" spans="2:34" x14ac:dyDescent="0.2">
      <c r="B5828" s="2">
        <f ca="1"/>
        <v>0.77642930715081615</v>
      </c>
      <c r="O5828" s="2">
        <f ca="1"/>
        <v>-0.23479140057198117</v>
      </c>
      <c r="X5828" s="2">
        <f ca="1"/>
        <v>71.698268500262955</v>
      </c>
      <c r="AG5828" s="2">
        <f ca="1"/>
        <v>0.32102846534490359</v>
      </c>
      <c r="AH5828" s="2" t="str">
        <f ca="1"/>
        <v>OK</v>
      </c>
    </row>
    <row r="5829" spans="2:34" x14ac:dyDescent="0.2">
      <c r="B5829" s="2">
        <f ca="1"/>
        <v>0.13391369565786859</v>
      </c>
      <c r="O5829" s="2">
        <f ca="1"/>
        <v>0.3993549215365455</v>
      </c>
      <c r="X5829" s="2">
        <f ca="1"/>
        <v>49.810181833896401</v>
      </c>
      <c r="AG5829" s="2">
        <f ca="1"/>
        <v>1.5243739842486503E-2</v>
      </c>
      <c r="AH5829" s="2" t="str">
        <f ca="1"/>
        <v>Good</v>
      </c>
    </row>
    <row r="5830" spans="2:34" x14ac:dyDescent="0.2">
      <c r="B5830" s="2">
        <f ca="1"/>
        <v>0.14432341741133192</v>
      </c>
      <c r="O5830" s="2">
        <f ca="1"/>
        <v>0.77105777161968914</v>
      </c>
      <c r="X5830" s="2">
        <f ca="1"/>
        <v>61.825295023600653</v>
      </c>
      <c r="AG5830" s="2">
        <f ca="1"/>
        <v>0.53633373616248581</v>
      </c>
      <c r="AH5830" s="2" t="str">
        <f ca="1"/>
        <v>Bad</v>
      </c>
    </row>
    <row r="5831" spans="2:34" x14ac:dyDescent="0.2">
      <c r="B5831" s="2">
        <f ca="1"/>
        <v>0.79074837336895243</v>
      </c>
      <c r="O5831" s="2">
        <f ca="1"/>
        <v>0.90475579662735517</v>
      </c>
      <c r="X5831" s="2">
        <f ca="1"/>
        <v>46.780560863213985</v>
      </c>
      <c r="AG5831" s="2">
        <f ca="1"/>
        <v>0.39921102353765159</v>
      </c>
      <c r="AH5831" s="2" t="str">
        <f ca="1"/>
        <v>OK</v>
      </c>
    </row>
    <row r="5832" spans="2:34" x14ac:dyDescent="0.2">
      <c r="B5832" s="2">
        <f ca="1"/>
        <v>0.26002677755562265</v>
      </c>
      <c r="O5832" s="2">
        <f ca="1"/>
        <v>-0.73743085860640845</v>
      </c>
      <c r="X5832" s="2">
        <f ca="1"/>
        <v>41.67052001169634</v>
      </c>
      <c r="AG5832" s="2">
        <f ca="1"/>
        <v>0.33856249878552713</v>
      </c>
      <c r="AH5832" s="2" t="str">
        <f ca="1"/>
        <v>OK</v>
      </c>
    </row>
    <row r="5833" spans="2:34" x14ac:dyDescent="0.2">
      <c r="B5833" s="2">
        <f ca="1"/>
        <v>6.4942757701522247E-2</v>
      </c>
      <c r="O5833" s="2">
        <f ca="1"/>
        <v>-0.65177572370815173</v>
      </c>
      <c r="X5833" s="2">
        <f ca="1"/>
        <v>45.492402483511043</v>
      </c>
      <c r="AG5833" s="2">
        <f ca="1"/>
        <v>0.10577987501895536</v>
      </c>
      <c r="AH5833" s="2" t="str">
        <f ca="1"/>
        <v>OK</v>
      </c>
    </row>
    <row r="5834" spans="2:34" x14ac:dyDescent="0.2">
      <c r="B5834" s="2">
        <f ca="1"/>
        <v>0.12389445996107074</v>
      </c>
      <c r="O5834" s="2">
        <f ca="1"/>
        <v>2.2382109735578113</v>
      </c>
      <c r="X5834" s="2">
        <f ca="1"/>
        <v>85.071602510685338</v>
      </c>
      <c r="AG5834" s="2">
        <f ca="1"/>
        <v>0.92418170550307588</v>
      </c>
      <c r="AH5834" s="2" t="str">
        <f ca="1"/>
        <v>Bad</v>
      </c>
    </row>
    <row r="5835" spans="2:34" x14ac:dyDescent="0.2">
      <c r="B5835" s="2">
        <f ca="1"/>
        <v>0.99509726606836124</v>
      </c>
      <c r="O5835" s="2">
        <f ca="1"/>
        <v>0.38436382475038589</v>
      </c>
      <c r="X5835" s="2">
        <f ca="1"/>
        <v>46.250689941261783</v>
      </c>
      <c r="AG5835" s="2">
        <f ca="1"/>
        <v>0.41979412109718117</v>
      </c>
      <c r="AH5835" s="2" t="str">
        <f ca="1"/>
        <v>Bad</v>
      </c>
    </row>
    <row r="5836" spans="2:34" x14ac:dyDescent="0.2">
      <c r="B5836" s="2">
        <f ca="1"/>
        <v>0.4983367955804856</v>
      </c>
      <c r="O5836" s="2">
        <f ca="1"/>
        <v>-0.10740783299364086</v>
      </c>
      <c r="X5836" s="2">
        <f ca="1"/>
        <v>71.390862724840048</v>
      </c>
      <c r="AG5836" s="2">
        <f ca="1"/>
        <v>0.92244705728294019</v>
      </c>
      <c r="AH5836" s="2" t="str">
        <f ca="1"/>
        <v>Bad</v>
      </c>
    </row>
    <row r="5837" spans="2:34" x14ac:dyDescent="0.2">
      <c r="B5837" s="2">
        <f ca="1"/>
        <v>0.59322711038086839</v>
      </c>
      <c r="O5837" s="2">
        <f ca="1"/>
        <v>0.90450487865928331</v>
      </c>
      <c r="X5837" s="2">
        <f ca="1"/>
        <v>81.546258668544425</v>
      </c>
      <c r="AG5837" s="2">
        <f ca="1"/>
        <v>0.41803441979907796</v>
      </c>
      <c r="AH5837" s="2" t="str">
        <f ca="1"/>
        <v>Bad</v>
      </c>
    </row>
    <row r="5838" spans="2:34" x14ac:dyDescent="0.2">
      <c r="B5838" s="2">
        <f ca="1"/>
        <v>0.92323195078151188</v>
      </c>
      <c r="O5838" s="2">
        <f ca="1"/>
        <v>-0.17132231215613281</v>
      </c>
      <c r="X5838" s="2">
        <f ca="1"/>
        <v>59.572566992316339</v>
      </c>
      <c r="AG5838" s="2">
        <f ca="1"/>
        <v>0.19245687118441657</v>
      </c>
      <c r="AH5838" s="2" t="str">
        <f ca="1"/>
        <v>OK</v>
      </c>
    </row>
    <row r="5839" spans="2:34" x14ac:dyDescent="0.2">
      <c r="B5839" s="2">
        <f ca="1"/>
        <v>0.69169612695829907</v>
      </c>
      <c r="O5839" s="2">
        <f ca="1"/>
        <v>-0.19591599630359816</v>
      </c>
      <c r="X5839" s="2">
        <f ca="1"/>
        <v>50.172960390425558</v>
      </c>
      <c r="AG5839" s="2">
        <f ca="1"/>
        <v>0.74251967177685985</v>
      </c>
      <c r="AH5839" s="2" t="str">
        <f ca="1"/>
        <v>Bad</v>
      </c>
    </row>
    <row r="5840" spans="2:34" x14ac:dyDescent="0.2">
      <c r="B5840" s="2">
        <f ca="1"/>
        <v>0.79908318022207991</v>
      </c>
      <c r="O5840" s="2">
        <f ca="1"/>
        <v>6.4165710675660584E-2</v>
      </c>
      <c r="X5840" s="2">
        <f ca="1"/>
        <v>53.077592706359198</v>
      </c>
      <c r="AG5840" s="2">
        <f ca="1"/>
        <v>8.9488126206124008E-2</v>
      </c>
      <c r="AH5840" s="2" t="str">
        <f ca="1"/>
        <v>OK</v>
      </c>
    </row>
    <row r="5841" spans="2:34" x14ac:dyDescent="0.2">
      <c r="B5841" s="2">
        <f ca="1"/>
        <v>0.98070005470587884</v>
      </c>
      <c r="O5841" s="2">
        <f ca="1"/>
        <v>-0.92608258029400636</v>
      </c>
      <c r="X5841" s="2">
        <f ca="1"/>
        <v>61.140087335667459</v>
      </c>
      <c r="AG5841" s="2">
        <f ca="1"/>
        <v>0.83394980382904937</v>
      </c>
      <c r="AH5841" s="2" t="str">
        <f ca="1"/>
        <v>Bad</v>
      </c>
    </row>
    <row r="5842" spans="2:34" x14ac:dyDescent="0.2">
      <c r="B5842" s="2">
        <f ca="1"/>
        <v>0.27930767269304191</v>
      </c>
      <c r="O5842" s="2">
        <f ca="1"/>
        <v>0.15833515868700593</v>
      </c>
      <c r="X5842" s="2">
        <f ca="1"/>
        <v>64.277487512588664</v>
      </c>
      <c r="AG5842" s="2">
        <f ca="1"/>
        <v>0.70738477270361866</v>
      </c>
      <c r="AH5842" s="2" t="str">
        <f ca="1"/>
        <v>Bad</v>
      </c>
    </row>
    <row r="5843" spans="2:34" x14ac:dyDescent="0.2">
      <c r="B5843" s="2">
        <f ca="1"/>
        <v>0.69267741024505969</v>
      </c>
      <c r="O5843" s="2">
        <f ca="1"/>
        <v>-0.86016370082646676</v>
      </c>
      <c r="X5843" s="2">
        <f ca="1"/>
        <v>54.979862781877699</v>
      </c>
      <c r="AG5843" s="2">
        <f ca="1"/>
        <v>0.61260183800692447</v>
      </c>
      <c r="AH5843" s="2" t="str">
        <f ca="1"/>
        <v>Bad</v>
      </c>
    </row>
    <row r="5844" spans="2:34" x14ac:dyDescent="0.2">
      <c r="B5844" s="2">
        <f ca="1"/>
        <v>0.96702004782586748</v>
      </c>
      <c r="O5844" s="2">
        <f ca="1"/>
        <v>-1.3037326845379635</v>
      </c>
      <c r="X5844" s="2">
        <f ca="1"/>
        <v>35.623691378415302</v>
      </c>
      <c r="AG5844" s="2">
        <f ca="1"/>
        <v>0.44966829864004287</v>
      </c>
      <c r="AH5844" s="2" t="str">
        <f ca="1"/>
        <v>Bad</v>
      </c>
    </row>
    <row r="5845" spans="2:34" x14ac:dyDescent="0.2">
      <c r="B5845" s="2">
        <f ca="1"/>
        <v>7.9150488051249468E-2</v>
      </c>
      <c r="O5845" s="2">
        <f ca="1"/>
        <v>-0.31377918599166144</v>
      </c>
      <c r="X5845" s="2">
        <f ca="1"/>
        <v>33.365276516474481</v>
      </c>
      <c r="AG5845" s="2">
        <f ca="1"/>
        <v>0.35589154343522522</v>
      </c>
      <c r="AH5845" s="2" t="str">
        <f ca="1"/>
        <v>OK</v>
      </c>
    </row>
    <row r="5846" spans="2:34" x14ac:dyDescent="0.2">
      <c r="B5846" s="2">
        <f ca="1"/>
        <v>0.62698601983745794</v>
      </c>
      <c r="O5846" s="2">
        <f ca="1"/>
        <v>1.0896469160471345</v>
      </c>
      <c r="X5846" s="2">
        <f ca="1"/>
        <v>43.33587820255498</v>
      </c>
      <c r="AG5846" s="2">
        <f ca="1"/>
        <v>0.79917200339411432</v>
      </c>
      <c r="AH5846" s="2" t="str">
        <f ca="1"/>
        <v>Bad</v>
      </c>
    </row>
    <row r="5847" spans="2:34" x14ac:dyDescent="0.2">
      <c r="B5847" s="2">
        <f ca="1"/>
        <v>0.26346279081606983</v>
      </c>
      <c r="O5847" s="2">
        <f ca="1"/>
        <v>-1.257720386558872</v>
      </c>
      <c r="X5847" s="2">
        <f ca="1"/>
        <v>34.470336035021447</v>
      </c>
      <c r="AG5847" s="2">
        <f ca="1"/>
        <v>0.56220808920766374</v>
      </c>
      <c r="AH5847" s="2" t="str">
        <f ca="1"/>
        <v>Bad</v>
      </c>
    </row>
    <row r="5848" spans="2:34" x14ac:dyDescent="0.2">
      <c r="B5848" s="2">
        <f ca="1"/>
        <v>0.20365143390092322</v>
      </c>
      <c r="O5848" s="2">
        <f ca="1"/>
        <v>-0.39781959151396706</v>
      </c>
      <c r="X5848" s="2">
        <f ca="1"/>
        <v>39.166566771714535</v>
      </c>
      <c r="AG5848" s="2">
        <f ca="1"/>
        <v>0.86323205004343495</v>
      </c>
      <c r="AH5848" s="2" t="str">
        <f ca="1"/>
        <v>Bad</v>
      </c>
    </row>
    <row r="5849" spans="2:34" x14ac:dyDescent="0.2">
      <c r="B5849" s="2">
        <f ca="1"/>
        <v>0.74561098361125655</v>
      </c>
      <c r="O5849" s="2">
        <f ca="1"/>
        <v>-0.79008458959711692</v>
      </c>
      <c r="X5849" s="2">
        <f ca="1"/>
        <v>39.636464966609168</v>
      </c>
      <c r="AG5849" s="2">
        <f ca="1"/>
        <v>0.4750663885891655</v>
      </c>
      <c r="AH5849" s="2" t="str">
        <f ca="1"/>
        <v>Bad</v>
      </c>
    </row>
    <row r="5850" spans="2:34" x14ac:dyDescent="0.2">
      <c r="B5850" s="2">
        <f ca="1"/>
        <v>0.35617835618377014</v>
      </c>
      <c r="O5850" s="2">
        <f ca="1"/>
        <v>0.10954624341174433</v>
      </c>
      <c r="X5850" s="2">
        <f ca="1"/>
        <v>36.86969415318422</v>
      </c>
      <c r="AG5850" s="2">
        <f ca="1"/>
        <v>0.14203248909108668</v>
      </c>
      <c r="AH5850" s="2" t="str">
        <f ca="1"/>
        <v>OK</v>
      </c>
    </row>
    <row r="5851" spans="2:34" x14ac:dyDescent="0.2">
      <c r="B5851" s="2">
        <f ca="1"/>
        <v>0.38003060672939992</v>
      </c>
      <c r="O5851" s="2">
        <f ca="1"/>
        <v>0.24545243327136956</v>
      </c>
      <c r="X5851" s="2">
        <f ca="1"/>
        <v>54.599667735153261</v>
      </c>
      <c r="AG5851" s="2">
        <f ca="1"/>
        <v>0.46203948982456144</v>
      </c>
      <c r="AH5851" s="2" t="str">
        <f ca="1"/>
        <v>Bad</v>
      </c>
    </row>
    <row r="5852" spans="2:34" x14ac:dyDescent="0.2">
      <c r="B5852" s="2">
        <f ca="1"/>
        <v>0.88922221384250477</v>
      </c>
      <c r="O5852" s="2">
        <f ca="1"/>
        <v>-0.24081737886427851</v>
      </c>
      <c r="X5852" s="2">
        <f ca="1"/>
        <v>76.264330171396381</v>
      </c>
      <c r="AG5852" s="2">
        <f ca="1"/>
        <v>0.84372775565038416</v>
      </c>
      <c r="AH5852" s="2" t="str">
        <f ca="1"/>
        <v>Bad</v>
      </c>
    </row>
    <row r="5853" spans="2:34" x14ac:dyDescent="0.2">
      <c r="B5853" s="2">
        <f ca="1"/>
        <v>0.8536316162275166</v>
      </c>
      <c r="O5853" s="2">
        <f ca="1"/>
        <v>1.4593565902127821</v>
      </c>
      <c r="X5853" s="2">
        <f ca="1"/>
        <v>65.843413596872367</v>
      </c>
      <c r="AG5853" s="2">
        <f ca="1"/>
        <v>0.89238258033692186</v>
      </c>
      <c r="AH5853" s="2" t="str">
        <f ca="1"/>
        <v>Bad</v>
      </c>
    </row>
    <row r="5854" spans="2:34" x14ac:dyDescent="0.2">
      <c r="B5854" s="2">
        <f ca="1"/>
        <v>0.75102764651958731</v>
      </c>
      <c r="O5854" s="2">
        <f ca="1"/>
        <v>1.0295513696026573</v>
      </c>
      <c r="X5854" s="2">
        <f ca="1"/>
        <v>27.124677135926746</v>
      </c>
      <c r="AG5854" s="2">
        <f ca="1"/>
        <v>0.52530654373131136</v>
      </c>
      <c r="AH5854" s="2" t="str">
        <f ca="1"/>
        <v>Bad</v>
      </c>
    </row>
    <row r="5855" spans="2:34" x14ac:dyDescent="0.2">
      <c r="B5855" s="2">
        <f ca="1"/>
        <v>0.9713492363556282</v>
      </c>
      <c r="O5855" s="2">
        <f ca="1"/>
        <v>0.51279462422009037</v>
      </c>
      <c r="X5855" s="2">
        <f ca="1"/>
        <v>27.03533299958405</v>
      </c>
      <c r="AG5855" s="2">
        <f ca="1"/>
        <v>0.84921939821136161</v>
      </c>
      <c r="AH5855" s="2" t="str">
        <f ca="1"/>
        <v>Bad</v>
      </c>
    </row>
    <row r="5856" spans="2:34" x14ac:dyDescent="0.2">
      <c r="B5856" s="2">
        <f ca="1"/>
        <v>0.611475542392383</v>
      </c>
      <c r="O5856" s="2">
        <f ca="1"/>
        <v>0.88909489570538225</v>
      </c>
      <c r="X5856" s="2">
        <f ca="1"/>
        <v>54.753434963616371</v>
      </c>
      <c r="AG5856" s="2">
        <f ca="1"/>
        <v>0.29777828739729673</v>
      </c>
      <c r="AH5856" s="2" t="str">
        <f ca="1"/>
        <v>OK</v>
      </c>
    </row>
    <row r="5857" spans="2:34" x14ac:dyDescent="0.2">
      <c r="B5857" s="2">
        <f ca="1"/>
        <v>0.73406357130164812</v>
      </c>
      <c r="O5857" s="2">
        <f ca="1"/>
        <v>-2.2089366876779764</v>
      </c>
      <c r="X5857" s="2">
        <f ca="1"/>
        <v>103.40073647186799</v>
      </c>
      <c r="AG5857" s="2">
        <f ca="1"/>
        <v>0.64532705108233701</v>
      </c>
      <c r="AH5857" s="2" t="str">
        <f ca="1"/>
        <v>Bad</v>
      </c>
    </row>
    <row r="5858" spans="2:34" x14ac:dyDescent="0.2">
      <c r="B5858" s="2">
        <f ca="1"/>
        <v>0.65239287999439766</v>
      </c>
      <c r="O5858" s="2">
        <f ca="1"/>
        <v>4.3706788897496567E-2</v>
      </c>
      <c r="X5858" s="2">
        <f ca="1"/>
        <v>70.573091710156945</v>
      </c>
      <c r="AG5858" s="2">
        <f ca="1"/>
        <v>0.62272730022459721</v>
      </c>
      <c r="AH5858" s="2" t="str">
        <f ca="1"/>
        <v>Bad</v>
      </c>
    </row>
    <row r="5859" spans="2:34" x14ac:dyDescent="0.2">
      <c r="B5859" s="2">
        <f ca="1"/>
        <v>0.34393464341585678</v>
      </c>
      <c r="O5859" s="2">
        <f ca="1"/>
        <v>0.62028156209458996</v>
      </c>
      <c r="X5859" s="2">
        <f ca="1"/>
        <v>46.428443464612094</v>
      </c>
      <c r="AG5859" s="2">
        <f ca="1"/>
        <v>0.45152056487404857</v>
      </c>
      <c r="AH5859" s="2" t="str">
        <f ca="1"/>
        <v>Bad</v>
      </c>
    </row>
    <row r="5860" spans="2:34" x14ac:dyDescent="0.2">
      <c r="B5860" s="2">
        <f ca="1"/>
        <v>0.90287247628595257</v>
      </c>
      <c r="O5860" s="2">
        <f ca="1"/>
        <v>-0.46148776876526243</v>
      </c>
      <c r="X5860" s="2">
        <f ca="1"/>
        <v>39.822056662235269</v>
      </c>
      <c r="AG5860" s="2">
        <f ca="1"/>
        <v>0.95306274873485863</v>
      </c>
      <c r="AH5860" s="2" t="str">
        <f ca="1"/>
        <v>Bad</v>
      </c>
    </row>
    <row r="5861" spans="2:34" x14ac:dyDescent="0.2">
      <c r="B5861" s="2">
        <f ca="1"/>
        <v>1.2008488056018507E-2</v>
      </c>
      <c r="O5861" s="2">
        <f ca="1"/>
        <v>0.48088224500039706</v>
      </c>
      <c r="X5861" s="2">
        <f ca="1"/>
        <v>41.231993685387977</v>
      </c>
      <c r="AG5861" s="2">
        <f ca="1"/>
        <v>0.26455500604157844</v>
      </c>
      <c r="AH5861" s="2" t="str">
        <f ca="1"/>
        <v>OK</v>
      </c>
    </row>
    <row r="5862" spans="2:34" x14ac:dyDescent="0.2">
      <c r="B5862" s="2">
        <f ca="1"/>
        <v>0.23338499930931778</v>
      </c>
      <c r="O5862" s="2">
        <f ca="1"/>
        <v>0.96568262403657756</v>
      </c>
      <c r="X5862" s="2">
        <f ca="1"/>
        <v>35.266073031404829</v>
      </c>
      <c r="AG5862" s="2">
        <f ca="1"/>
        <v>0.24187782674591563</v>
      </c>
      <c r="AH5862" s="2" t="str">
        <f ca="1"/>
        <v>OK</v>
      </c>
    </row>
    <row r="5863" spans="2:34" x14ac:dyDescent="0.2">
      <c r="B5863" s="2">
        <f ca="1"/>
        <v>0.53345362541931296</v>
      </c>
      <c r="O5863" s="2">
        <f ca="1"/>
        <v>-3.0153905482746692E-2</v>
      </c>
      <c r="X5863" s="2">
        <f ca="1"/>
        <v>68.879937733717611</v>
      </c>
      <c r="AG5863" s="2">
        <f ca="1"/>
        <v>0.14634937682252835</v>
      </c>
      <c r="AH5863" s="2" t="str">
        <f ca="1"/>
        <v>OK</v>
      </c>
    </row>
    <row r="5864" spans="2:34" x14ac:dyDescent="0.2">
      <c r="B5864" s="2">
        <f ca="1"/>
        <v>0.74267879246282353</v>
      </c>
      <c r="O5864" s="2">
        <f ca="1"/>
        <v>-0.53374388932833172</v>
      </c>
      <c r="X5864" s="2">
        <f ca="1"/>
        <v>47.305747451361967</v>
      </c>
      <c r="AG5864" s="2">
        <f ca="1"/>
        <v>8.9951565900355579E-2</v>
      </c>
      <c r="AH5864" s="2" t="str">
        <f ca="1"/>
        <v>OK</v>
      </c>
    </row>
    <row r="5865" spans="2:34" x14ac:dyDescent="0.2">
      <c r="B5865" s="2">
        <f ca="1"/>
        <v>0.52483958122545848</v>
      </c>
      <c r="O5865" s="2">
        <f ca="1"/>
        <v>-0.9299587901773958</v>
      </c>
      <c r="X5865" s="2">
        <f ca="1"/>
        <v>37.615629674501918</v>
      </c>
      <c r="AG5865" s="2">
        <f ca="1"/>
        <v>0.76545822483407111</v>
      </c>
      <c r="AH5865" s="2" t="str">
        <f ca="1"/>
        <v>Bad</v>
      </c>
    </row>
    <row r="5866" spans="2:34" x14ac:dyDescent="0.2">
      <c r="B5866" s="2">
        <f ca="1"/>
        <v>0.90049312000991333</v>
      </c>
      <c r="O5866" s="2">
        <f ca="1"/>
        <v>-0.32055431668959006</v>
      </c>
      <c r="X5866" s="2">
        <f ca="1"/>
        <v>37.575163428207041</v>
      </c>
      <c r="AG5866" s="2">
        <f ca="1"/>
        <v>0.94327436047755908</v>
      </c>
      <c r="AH5866" s="2" t="str">
        <f ca="1"/>
        <v>Bad</v>
      </c>
    </row>
    <row r="5867" spans="2:34" x14ac:dyDescent="0.2">
      <c r="B5867" s="2">
        <f ca="1"/>
        <v>1.897653790935605E-2</v>
      </c>
      <c r="O5867" s="2">
        <f ca="1"/>
        <v>2.4515239056893477E-2</v>
      </c>
      <c r="X5867" s="2">
        <f ca="1"/>
        <v>55.401808524194308</v>
      </c>
      <c r="AG5867" s="2">
        <f ca="1"/>
        <v>0.740476280239178</v>
      </c>
      <c r="AH5867" s="2" t="str">
        <f ca="1"/>
        <v>Bad</v>
      </c>
    </row>
    <row r="5868" spans="2:34" x14ac:dyDescent="0.2">
      <c r="B5868" s="2">
        <f ca="1"/>
        <v>0.42507512126072999</v>
      </c>
      <c r="O5868" s="2">
        <f ca="1"/>
        <v>0.1954603916829199</v>
      </c>
      <c r="X5868" s="2">
        <f ca="1"/>
        <v>38.289529629684658</v>
      </c>
      <c r="AG5868" s="2">
        <f ca="1"/>
        <v>0.34630198659204958</v>
      </c>
      <c r="AH5868" s="2" t="str">
        <f ca="1"/>
        <v>OK</v>
      </c>
    </row>
    <row r="5869" spans="2:34" x14ac:dyDescent="0.2">
      <c r="B5869" s="2">
        <f ca="1"/>
        <v>0.38814264077642369</v>
      </c>
      <c r="O5869" s="2">
        <f ca="1"/>
        <v>-1.0366154748889029</v>
      </c>
      <c r="X5869" s="2">
        <f ca="1"/>
        <v>85.388390913377918</v>
      </c>
      <c r="AG5869" s="2">
        <f ca="1"/>
        <v>2.6618345628957929E-2</v>
      </c>
      <c r="AH5869" s="2" t="str">
        <f ca="1"/>
        <v>Good</v>
      </c>
    </row>
    <row r="5870" spans="2:34" x14ac:dyDescent="0.2">
      <c r="B5870" s="2">
        <f ca="1"/>
        <v>0.61582717512533547</v>
      </c>
      <c r="O5870" s="2">
        <f ca="1"/>
        <v>-0.96293993180379622</v>
      </c>
      <c r="X5870" s="2">
        <f ca="1"/>
        <v>64.065570462558895</v>
      </c>
      <c r="AG5870" s="2">
        <f ca="1"/>
        <v>0.18641048131200377</v>
      </c>
      <c r="AH5870" s="2" t="str">
        <f ca="1"/>
        <v>OK</v>
      </c>
    </row>
    <row r="5871" spans="2:34" x14ac:dyDescent="0.2">
      <c r="B5871" s="2">
        <f ca="1"/>
        <v>0.6368517547123016</v>
      </c>
      <c r="O5871" s="2">
        <f ca="1"/>
        <v>0.23432384137935194</v>
      </c>
      <c r="X5871" s="2">
        <f ca="1"/>
        <v>40.730262183177729</v>
      </c>
      <c r="AG5871" s="2">
        <f ca="1"/>
        <v>0.12946506680565006</v>
      </c>
      <c r="AH5871" s="2" t="str">
        <f ca="1"/>
        <v>OK</v>
      </c>
    </row>
    <row r="5872" spans="2:34" x14ac:dyDescent="0.2">
      <c r="B5872" s="2">
        <f ca="1"/>
        <v>0.96889396947516371</v>
      </c>
      <c r="O5872" s="2">
        <f ca="1"/>
        <v>1.714333816006647</v>
      </c>
      <c r="X5872" s="2">
        <f ca="1"/>
        <v>54.123404241879868</v>
      </c>
      <c r="AG5872" s="2">
        <f ca="1"/>
        <v>0.7123093004646639</v>
      </c>
      <c r="AH5872" s="2" t="str">
        <f ca="1"/>
        <v>Bad</v>
      </c>
    </row>
    <row r="5873" spans="2:34" x14ac:dyDescent="0.2">
      <c r="B5873" s="2">
        <f ca="1"/>
        <v>0.52651625611171382</v>
      </c>
      <c r="O5873" s="2">
        <f ca="1"/>
        <v>-1.2035852881299902</v>
      </c>
      <c r="X5873" s="2">
        <f ca="1"/>
        <v>37.239745476887357</v>
      </c>
      <c r="AG5873" s="2">
        <f ca="1"/>
        <v>0.55085334190364899</v>
      </c>
      <c r="AH5873" s="2" t="str">
        <f ca="1"/>
        <v>Bad</v>
      </c>
    </row>
    <row r="5874" spans="2:34" x14ac:dyDescent="0.2">
      <c r="B5874" s="2">
        <f ca="1"/>
        <v>0.20096905896087969</v>
      </c>
      <c r="O5874" s="2">
        <f ca="1"/>
        <v>1.1280800406595717</v>
      </c>
      <c r="X5874" s="2">
        <f ca="1"/>
        <v>45.363106134430339</v>
      </c>
      <c r="AG5874" s="2">
        <f ca="1"/>
        <v>0.70838151060294052</v>
      </c>
      <c r="AH5874" s="2" t="str">
        <f ca="1"/>
        <v>Bad</v>
      </c>
    </row>
    <row r="5875" spans="2:34" x14ac:dyDescent="0.2">
      <c r="B5875" s="2">
        <f ca="1"/>
        <v>0.77789998331871435</v>
      </c>
      <c r="O5875" s="2">
        <f ca="1"/>
        <v>0.47658752288444084</v>
      </c>
      <c r="X5875" s="2">
        <f ca="1"/>
        <v>55.501597846647883</v>
      </c>
      <c r="AG5875" s="2">
        <f ca="1"/>
        <v>0.68856982801742261</v>
      </c>
      <c r="AH5875" s="2" t="str">
        <f ca="1"/>
        <v>Bad</v>
      </c>
    </row>
    <row r="5876" spans="2:34" x14ac:dyDescent="0.2">
      <c r="B5876" s="2">
        <f ca="1"/>
        <v>0.18118281231783517</v>
      </c>
      <c r="O5876" s="2">
        <f ca="1"/>
        <v>-0.95333299044654729</v>
      </c>
      <c r="X5876" s="2">
        <f ca="1"/>
        <v>66.215142650180312</v>
      </c>
      <c r="AG5876" s="2">
        <f ca="1"/>
        <v>0.69992103198658939</v>
      </c>
      <c r="AH5876" s="2" t="str">
        <f ca="1"/>
        <v>Bad</v>
      </c>
    </row>
    <row r="5877" spans="2:34" x14ac:dyDescent="0.2">
      <c r="B5877" s="2">
        <f ca="1"/>
        <v>0.1501080602829461</v>
      </c>
      <c r="O5877" s="2">
        <f ca="1"/>
        <v>0.66958987067215148</v>
      </c>
      <c r="X5877" s="2">
        <f ca="1"/>
        <v>58.442460883795036</v>
      </c>
      <c r="AG5877" s="2">
        <f ca="1"/>
        <v>0.69848633069828026</v>
      </c>
      <c r="AH5877" s="2" t="str">
        <f ca="1"/>
        <v>Bad</v>
      </c>
    </row>
    <row r="5878" spans="2:34" x14ac:dyDescent="0.2">
      <c r="B5878" s="2">
        <f ca="1"/>
        <v>0.85869955683310328</v>
      </c>
      <c r="O5878" s="2">
        <f ca="1"/>
        <v>0.89346384727894901</v>
      </c>
      <c r="X5878" s="2">
        <f ca="1"/>
        <v>49.712299947701794</v>
      </c>
      <c r="AG5878" s="2">
        <f ca="1"/>
        <v>9.4310665625343404E-3</v>
      </c>
      <c r="AH5878" s="2" t="str">
        <f ca="1"/>
        <v>Good</v>
      </c>
    </row>
    <row r="5879" spans="2:34" x14ac:dyDescent="0.2">
      <c r="B5879" s="2">
        <f ca="1"/>
        <v>0.83867300082274476</v>
      </c>
      <c r="O5879" s="2">
        <f ca="1"/>
        <v>-0.46138352539786248</v>
      </c>
      <c r="X5879" s="2">
        <f ca="1"/>
        <v>28.126672153686609</v>
      </c>
      <c r="AG5879" s="2">
        <f ca="1"/>
        <v>0.75013601553212839</v>
      </c>
      <c r="AH5879" s="2" t="str">
        <f ca="1"/>
        <v>Bad</v>
      </c>
    </row>
    <row r="5880" spans="2:34" x14ac:dyDescent="0.2">
      <c r="B5880" s="2">
        <f ca="1"/>
        <v>0.90109330027759316</v>
      </c>
      <c r="O5880" s="2">
        <f ca="1"/>
        <v>1.68236998921545</v>
      </c>
      <c r="X5880" s="2">
        <f ca="1"/>
        <v>39.466096816165468</v>
      </c>
      <c r="AG5880" s="2">
        <f ca="1"/>
        <v>2.2206401214028171E-2</v>
      </c>
      <c r="AH5880" s="2" t="str">
        <f ca="1"/>
        <v>Good</v>
      </c>
    </row>
    <row r="5881" spans="2:34" x14ac:dyDescent="0.2">
      <c r="B5881" s="2">
        <f ca="1"/>
        <v>4.7178542331149043E-2</v>
      </c>
      <c r="O5881" s="2">
        <f ca="1"/>
        <v>0.27754295077092994</v>
      </c>
      <c r="X5881" s="2">
        <f ca="1"/>
        <v>52.179053235644574</v>
      </c>
      <c r="AG5881" s="2">
        <f ca="1"/>
        <v>0.69310412569754098</v>
      </c>
      <c r="AH5881" s="2" t="str">
        <f ca="1"/>
        <v>Bad</v>
      </c>
    </row>
    <row r="5882" spans="2:34" x14ac:dyDescent="0.2">
      <c r="B5882" s="2">
        <f ca="1"/>
        <v>0.33048632368883091</v>
      </c>
      <c r="O5882" s="2">
        <f ca="1"/>
        <v>-1.7749318968333998</v>
      </c>
      <c r="X5882" s="2">
        <f ca="1"/>
        <v>70.613042668420803</v>
      </c>
      <c r="AG5882" s="2">
        <f ca="1"/>
        <v>0.55652966416770044</v>
      </c>
      <c r="AH5882" s="2" t="str">
        <f ca="1"/>
        <v>Bad</v>
      </c>
    </row>
    <row r="5883" spans="2:34" x14ac:dyDescent="0.2">
      <c r="B5883" s="2">
        <f ca="1"/>
        <v>0.5323691313543546</v>
      </c>
      <c r="O5883" s="2">
        <f ca="1"/>
        <v>0.97124328252516956</v>
      </c>
      <c r="X5883" s="2">
        <f ca="1"/>
        <v>45.390269849242564</v>
      </c>
      <c r="AG5883" s="2">
        <f ca="1"/>
        <v>0.6449170334935086</v>
      </c>
      <c r="AH5883" s="2" t="str">
        <f ca="1"/>
        <v>Bad</v>
      </c>
    </row>
    <row r="5884" spans="2:34" x14ac:dyDescent="0.2">
      <c r="B5884" s="2">
        <f ca="1"/>
        <v>9.8150568702497276E-2</v>
      </c>
      <c r="O5884" s="2">
        <f ca="1"/>
        <v>-2.555241988200712</v>
      </c>
      <c r="X5884" s="2">
        <f ca="1"/>
        <v>59.510860615482656</v>
      </c>
      <c r="AG5884" s="2">
        <f ca="1"/>
        <v>0.39735833234968077</v>
      </c>
      <c r="AH5884" s="2" t="str">
        <f ca="1"/>
        <v>OK</v>
      </c>
    </row>
    <row r="5885" spans="2:34" x14ac:dyDescent="0.2">
      <c r="B5885" s="2">
        <f ca="1"/>
        <v>0.66812272623722513</v>
      </c>
      <c r="O5885" s="2">
        <f ca="1"/>
        <v>-2.2578094871187315</v>
      </c>
      <c r="X5885" s="2">
        <f ca="1"/>
        <v>51.979432130749778</v>
      </c>
      <c r="AG5885" s="2">
        <f ca="1"/>
        <v>0.46191243491425893</v>
      </c>
      <c r="AH5885" s="2" t="str">
        <f ca="1"/>
        <v>Bad</v>
      </c>
    </row>
    <row r="5886" spans="2:34" x14ac:dyDescent="0.2">
      <c r="B5886" s="2">
        <f ca="1"/>
        <v>0.85624766539643438</v>
      </c>
      <c r="O5886" s="2">
        <f ca="1"/>
        <v>1.0141337978545062</v>
      </c>
      <c r="X5886" s="2">
        <f ca="1"/>
        <v>62.086570144593566</v>
      </c>
      <c r="AG5886" s="2">
        <f ca="1"/>
        <v>0.43302906205205494</v>
      </c>
      <c r="AH5886" s="2" t="str">
        <f ca="1"/>
        <v>Bad</v>
      </c>
    </row>
    <row r="5887" spans="2:34" x14ac:dyDescent="0.2">
      <c r="B5887" s="2">
        <f ca="1"/>
        <v>0.71030676427680506</v>
      </c>
      <c r="O5887" s="2">
        <f ca="1"/>
        <v>0.37334861334467939</v>
      </c>
      <c r="X5887" s="2">
        <f ca="1"/>
        <v>57.018358608550635</v>
      </c>
      <c r="AG5887" s="2">
        <f ca="1"/>
        <v>0.41339239989061038</v>
      </c>
      <c r="AH5887" s="2" t="str">
        <f ca="1"/>
        <v>Bad</v>
      </c>
    </row>
    <row r="5888" spans="2:34" x14ac:dyDescent="0.2">
      <c r="B5888" s="2">
        <f ca="1"/>
        <v>0.33937800859475131</v>
      </c>
      <c r="O5888" s="2">
        <f ca="1"/>
        <v>0.74363922306038555</v>
      </c>
      <c r="X5888" s="2">
        <f ca="1"/>
        <v>75.483569382679832</v>
      </c>
      <c r="AG5888" s="2">
        <f ca="1"/>
        <v>0.74620696461666336</v>
      </c>
      <c r="AH5888" s="2" t="str">
        <f ca="1"/>
        <v>Bad</v>
      </c>
    </row>
    <row r="5889" spans="2:34" x14ac:dyDescent="0.2">
      <c r="B5889" s="2">
        <f ca="1"/>
        <v>0.24872338870874877</v>
      </c>
      <c r="O5889" s="2">
        <f ca="1"/>
        <v>0.75182099149118642</v>
      </c>
      <c r="X5889" s="2">
        <f ca="1"/>
        <v>65.136508155707475</v>
      </c>
      <c r="AG5889" s="2">
        <f ca="1"/>
        <v>0.28924700769143574</v>
      </c>
      <c r="AH5889" s="2" t="str">
        <f ca="1"/>
        <v>OK</v>
      </c>
    </row>
    <row r="5890" spans="2:34" x14ac:dyDescent="0.2">
      <c r="B5890" s="2">
        <f ca="1"/>
        <v>0.85670488429353342</v>
      </c>
      <c r="O5890" s="2">
        <f ca="1"/>
        <v>-0.81964262051076253</v>
      </c>
      <c r="X5890" s="2">
        <f ca="1"/>
        <v>37.814944460421394</v>
      </c>
      <c r="AG5890" s="2">
        <f ca="1"/>
        <v>9.5131728680597272E-2</v>
      </c>
      <c r="AH5890" s="2" t="str">
        <f ca="1"/>
        <v>OK</v>
      </c>
    </row>
    <row r="5891" spans="2:34" x14ac:dyDescent="0.2">
      <c r="B5891" s="2">
        <f ca="1"/>
        <v>0.97746970977194336</v>
      </c>
      <c r="O5891" s="2">
        <f ca="1"/>
        <v>-1.2357752528671673</v>
      </c>
      <c r="X5891" s="2">
        <f ca="1"/>
        <v>62.910832956835321</v>
      </c>
      <c r="AG5891" s="2">
        <f ca="1"/>
        <v>9.6388697605104046E-2</v>
      </c>
      <c r="AH5891" s="2" t="str">
        <f ca="1"/>
        <v>OK</v>
      </c>
    </row>
    <row r="5892" spans="2:34" x14ac:dyDescent="0.2">
      <c r="B5892" s="2">
        <f ca="1"/>
        <v>0.74268795415297584</v>
      </c>
      <c r="O5892" s="2">
        <f ca="1"/>
        <v>-0.71408209670314804</v>
      </c>
      <c r="X5892" s="2">
        <f ca="1"/>
        <v>44.134161130721914</v>
      </c>
      <c r="AG5892" s="2">
        <f ca="1"/>
        <v>0.31585737041297723</v>
      </c>
      <c r="AH5892" s="2" t="str">
        <f ca="1"/>
        <v>OK</v>
      </c>
    </row>
    <row r="5893" spans="2:34" x14ac:dyDescent="0.2">
      <c r="B5893" s="2">
        <f ca="1"/>
        <v>0.89432380517067678</v>
      </c>
      <c r="O5893" s="2">
        <f ca="1"/>
        <v>-0.72112386588877708</v>
      </c>
      <c r="X5893" s="2">
        <f ca="1"/>
        <v>64.463758695040184</v>
      </c>
      <c r="AG5893" s="2">
        <f ca="1"/>
        <v>0.28062692855760418</v>
      </c>
      <c r="AH5893" s="2" t="str">
        <f ca="1"/>
        <v>OK</v>
      </c>
    </row>
    <row r="5894" spans="2:34" x14ac:dyDescent="0.2">
      <c r="B5894" s="2">
        <f ca="1"/>
        <v>0.89834869172124976</v>
      </c>
      <c r="O5894" s="2">
        <f ca="1"/>
        <v>0.70965056907399116</v>
      </c>
      <c r="X5894" s="2">
        <f ca="1"/>
        <v>45.441846431206194</v>
      </c>
      <c r="AG5894" s="2">
        <f ca="1"/>
        <v>0.52143293375022726</v>
      </c>
      <c r="AH5894" s="2" t="str">
        <f ca="1"/>
        <v>Bad</v>
      </c>
    </row>
    <row r="5895" spans="2:34" x14ac:dyDescent="0.2">
      <c r="B5895" s="2">
        <f ca="1"/>
        <v>0.73844372722253571</v>
      </c>
      <c r="O5895" s="2">
        <f ca="1"/>
        <v>0.21867336420097472</v>
      </c>
      <c r="X5895" s="2">
        <f ca="1"/>
        <v>56.19492968739722</v>
      </c>
      <c r="AG5895" s="2">
        <f ca="1"/>
        <v>8.6172627876255792E-2</v>
      </c>
      <c r="AH5895" s="2" t="str">
        <f ca="1"/>
        <v>OK</v>
      </c>
    </row>
    <row r="5896" spans="2:34" x14ac:dyDescent="0.2">
      <c r="B5896" s="2">
        <f ca="1"/>
        <v>0.53883211551199817</v>
      </c>
      <c r="O5896" s="2">
        <f ca="1"/>
        <v>0.41351624598891779</v>
      </c>
      <c r="X5896" s="2">
        <f ca="1"/>
        <v>62.440509483831619</v>
      </c>
      <c r="AG5896" s="2">
        <f ca="1"/>
        <v>0.92132943067985473</v>
      </c>
      <c r="AH5896" s="2" t="str">
        <f ca="1"/>
        <v>Bad</v>
      </c>
    </row>
    <row r="5897" spans="2:34" x14ac:dyDescent="0.2">
      <c r="B5897" s="2">
        <f ca="1"/>
        <v>0.27680738225362922</v>
      </c>
      <c r="O5897" s="2">
        <f ca="1"/>
        <v>-0.22381851120818913</v>
      </c>
      <c r="X5897" s="2">
        <f ca="1"/>
        <v>73.807736713404282</v>
      </c>
      <c r="AG5897" s="2">
        <f ca="1"/>
        <v>0.8272522381125198</v>
      </c>
      <c r="AH5897" s="2" t="str">
        <f ca="1"/>
        <v>Bad</v>
      </c>
    </row>
    <row r="5898" spans="2:34" x14ac:dyDescent="0.2">
      <c r="B5898" s="2">
        <f ca="1"/>
        <v>0.20919543837651555</v>
      </c>
      <c r="O5898" s="2">
        <f ca="1"/>
        <v>3.1475919814769551</v>
      </c>
      <c r="X5898" s="2">
        <f ca="1"/>
        <v>57.489573002767955</v>
      </c>
      <c r="AG5898" s="2">
        <f ca="1"/>
        <v>0.8568967190570167</v>
      </c>
      <c r="AH5898" s="2" t="str">
        <f ca="1"/>
        <v>Bad</v>
      </c>
    </row>
    <row r="5899" spans="2:34" x14ac:dyDescent="0.2">
      <c r="B5899" s="2">
        <f ca="1"/>
        <v>0.99734284591733213</v>
      </c>
      <c r="O5899" s="2">
        <f ca="1"/>
        <v>0.4065091642113744</v>
      </c>
      <c r="X5899" s="2">
        <f ca="1"/>
        <v>71.497114553942708</v>
      </c>
      <c r="AG5899" s="2">
        <f ca="1"/>
        <v>0.64871386195299352</v>
      </c>
      <c r="AH5899" s="2" t="str">
        <f ca="1"/>
        <v>Bad</v>
      </c>
    </row>
    <row r="5900" spans="2:34" x14ac:dyDescent="0.2">
      <c r="B5900" s="2">
        <f ca="1"/>
        <v>0.40810532342166361</v>
      </c>
      <c r="O5900" s="2">
        <f ca="1"/>
        <v>-0.56220166984562181</v>
      </c>
      <c r="X5900" s="2">
        <f ca="1"/>
        <v>32.007970522355571</v>
      </c>
      <c r="AG5900" s="2">
        <f ca="1"/>
        <v>0.31578750092229035</v>
      </c>
      <c r="AH5900" s="2" t="str">
        <f ca="1"/>
        <v>OK</v>
      </c>
    </row>
    <row r="5901" spans="2:34" x14ac:dyDescent="0.2">
      <c r="B5901" s="2">
        <f ca="1"/>
        <v>0.98777431035081276</v>
      </c>
      <c r="O5901" s="2">
        <f ca="1"/>
        <v>0.78627638688938473</v>
      </c>
      <c r="X5901" s="2">
        <f ca="1"/>
        <v>43.885152260533943</v>
      </c>
      <c r="AG5901" s="2">
        <f ca="1"/>
        <v>8.0970091434347635E-2</v>
      </c>
      <c r="AH5901" s="2" t="str">
        <f ca="1"/>
        <v>OK</v>
      </c>
    </row>
    <row r="5902" spans="2:34" x14ac:dyDescent="0.2">
      <c r="B5902" s="2">
        <f ca="1"/>
        <v>0.4660871212528086</v>
      </c>
      <c r="O5902" s="2">
        <f ca="1"/>
        <v>-9.8756657920319332E-2</v>
      </c>
      <c r="X5902" s="2">
        <f ca="1"/>
        <v>71.320181487192158</v>
      </c>
      <c r="AG5902" s="2">
        <f ca="1"/>
        <v>3.9662608315278014E-2</v>
      </c>
      <c r="AH5902" s="2" t="str">
        <f ca="1"/>
        <v>Good</v>
      </c>
    </row>
    <row r="5903" spans="2:34" x14ac:dyDescent="0.2">
      <c r="B5903" s="2">
        <f ca="1"/>
        <v>0.15314490227310107</v>
      </c>
      <c r="O5903" s="2">
        <f ca="1"/>
        <v>0.17509640451163153</v>
      </c>
      <c r="X5903" s="2">
        <f ca="1"/>
        <v>43.830626951918191</v>
      </c>
      <c r="AG5903" s="2">
        <f ca="1"/>
        <v>0.30127614733459751</v>
      </c>
      <c r="AH5903" s="2" t="str">
        <f ca="1"/>
        <v>OK</v>
      </c>
    </row>
    <row r="5904" spans="2:34" x14ac:dyDescent="0.2">
      <c r="B5904" s="2">
        <f ca="1"/>
        <v>0.48398987040415875</v>
      </c>
      <c r="O5904" s="2">
        <f ca="1"/>
        <v>0.47941484317500183</v>
      </c>
      <c r="X5904" s="2">
        <f ca="1"/>
        <v>52.855516168790473</v>
      </c>
      <c r="AG5904" s="2">
        <f ca="1"/>
        <v>0.94479339208000734</v>
      </c>
      <c r="AH5904" s="2" t="str">
        <f ca="1"/>
        <v>Bad</v>
      </c>
    </row>
    <row r="5905" spans="2:34" x14ac:dyDescent="0.2">
      <c r="B5905" s="2">
        <f ca="1"/>
        <v>0.61466283614952921</v>
      </c>
      <c r="O5905" s="2">
        <f ca="1"/>
        <v>1.6354026471627772</v>
      </c>
      <c r="X5905" s="2">
        <f ca="1"/>
        <v>69.021733306546352</v>
      </c>
      <c r="AG5905" s="2">
        <f ca="1"/>
        <v>2.5626961418523386E-2</v>
      </c>
      <c r="AH5905" s="2" t="str">
        <f ca="1"/>
        <v>Good</v>
      </c>
    </row>
    <row r="5906" spans="2:34" x14ac:dyDescent="0.2">
      <c r="B5906" s="2">
        <f ca="1"/>
        <v>0.8152867113998048</v>
      </c>
      <c r="O5906" s="2">
        <f ca="1"/>
        <v>0.50988163556293176</v>
      </c>
      <c r="X5906" s="2">
        <f ca="1"/>
        <v>22.506741764144884</v>
      </c>
      <c r="AG5906" s="2">
        <f ca="1"/>
        <v>0.56296273788295825</v>
      </c>
      <c r="AH5906" s="2" t="str">
        <f ca="1"/>
        <v>Bad</v>
      </c>
    </row>
    <row r="5907" spans="2:34" x14ac:dyDescent="0.2">
      <c r="B5907" s="2">
        <f ca="1"/>
        <v>0.77461160326519996</v>
      </c>
      <c r="O5907" s="2">
        <f ca="1"/>
        <v>-1.9248205322726974</v>
      </c>
      <c r="X5907" s="2">
        <f ca="1"/>
        <v>64.425037264561084</v>
      </c>
      <c r="AG5907" s="2">
        <f ca="1"/>
        <v>0.51979082292601775</v>
      </c>
      <c r="AH5907" s="2" t="str">
        <f ca="1"/>
        <v>Bad</v>
      </c>
    </row>
    <row r="5908" spans="2:34" x14ac:dyDescent="0.2">
      <c r="B5908" s="2">
        <f ca="1"/>
        <v>0.66572167993197473</v>
      </c>
      <c r="O5908" s="2">
        <f ca="1"/>
        <v>2.4596453409474171E-2</v>
      </c>
      <c r="X5908" s="2">
        <f ca="1"/>
        <v>47.320765288603326</v>
      </c>
      <c r="AG5908" s="2">
        <f ca="1"/>
        <v>0.80983651514777777</v>
      </c>
      <c r="AH5908" s="2" t="str">
        <f ca="1"/>
        <v>Bad</v>
      </c>
    </row>
    <row r="5909" spans="2:34" x14ac:dyDescent="0.2">
      <c r="B5909" s="2">
        <f ca="1"/>
        <v>0.22145031731636022</v>
      </c>
      <c r="O5909" s="2">
        <f ca="1"/>
        <v>-0.1235156887211821</v>
      </c>
      <c r="X5909" s="2">
        <f ca="1"/>
        <v>50.510522012236024</v>
      </c>
      <c r="AG5909" s="2">
        <f ca="1"/>
        <v>0.61260804949928405</v>
      </c>
      <c r="AH5909" s="2" t="str">
        <f ca="1"/>
        <v>Bad</v>
      </c>
    </row>
    <row r="5910" spans="2:34" x14ac:dyDescent="0.2">
      <c r="B5910" s="2">
        <f ca="1"/>
        <v>0.73050989382401044</v>
      </c>
      <c r="O5910" s="2">
        <f ca="1"/>
        <v>-0.61114633984331035</v>
      </c>
      <c r="X5910" s="2">
        <f ca="1"/>
        <v>42.337604631255267</v>
      </c>
      <c r="AG5910" s="2">
        <f ca="1"/>
        <v>0.94166552185072216</v>
      </c>
      <c r="AH5910" s="2" t="str">
        <f ca="1"/>
        <v>Bad</v>
      </c>
    </row>
    <row r="5911" spans="2:34" x14ac:dyDescent="0.2">
      <c r="B5911" s="2">
        <f ca="1"/>
        <v>0.27535225493838444</v>
      </c>
      <c r="O5911" s="2">
        <f ca="1"/>
        <v>0.8263133873233246</v>
      </c>
      <c r="X5911" s="2">
        <f ca="1"/>
        <v>61.561574017032363</v>
      </c>
      <c r="AG5911" s="2">
        <f ca="1"/>
        <v>0.15543336361971893</v>
      </c>
      <c r="AH5911" s="2" t="str">
        <f ca="1"/>
        <v>OK</v>
      </c>
    </row>
    <row r="5912" spans="2:34" x14ac:dyDescent="0.2">
      <c r="B5912" s="2">
        <f ca="1"/>
        <v>0.10115636348091472</v>
      </c>
      <c r="O5912" s="2">
        <f ca="1"/>
        <v>-1.1586338402093073</v>
      </c>
      <c r="X5912" s="2">
        <f ca="1"/>
        <v>63.784335168687505</v>
      </c>
      <c r="AG5912" s="2">
        <f ca="1"/>
        <v>0.52645097919411676</v>
      </c>
      <c r="AH5912" s="2" t="str">
        <f ca="1"/>
        <v>Bad</v>
      </c>
    </row>
    <row r="5913" spans="2:34" x14ac:dyDescent="0.2">
      <c r="B5913" s="2">
        <f ca="1"/>
        <v>0.81180496766820331</v>
      </c>
      <c r="O5913" s="2">
        <f ca="1"/>
        <v>2.5599728541878083E-2</v>
      </c>
      <c r="X5913" s="2">
        <f ca="1"/>
        <v>32.804415592907404</v>
      </c>
      <c r="AG5913" s="2">
        <f ca="1"/>
        <v>0.16503368029843024</v>
      </c>
      <c r="AH5913" s="2" t="str">
        <f ca="1"/>
        <v>OK</v>
      </c>
    </row>
    <row r="5914" spans="2:34" x14ac:dyDescent="0.2">
      <c r="B5914" s="2">
        <f ca="1"/>
        <v>0.89733516811919856</v>
      </c>
      <c r="O5914" s="2">
        <f ca="1"/>
        <v>-0.58997272397940248</v>
      </c>
      <c r="X5914" s="2">
        <f ca="1"/>
        <v>49.212419605593986</v>
      </c>
      <c r="AG5914" s="2">
        <f ca="1"/>
        <v>0.33727047442715863</v>
      </c>
      <c r="AH5914" s="2" t="str">
        <f ca="1"/>
        <v>OK</v>
      </c>
    </row>
    <row r="5915" spans="2:34" x14ac:dyDescent="0.2">
      <c r="B5915" s="2">
        <f ca="1"/>
        <v>0.68083225626300203</v>
      </c>
      <c r="O5915" s="2">
        <f ca="1"/>
        <v>0.29555347404057203</v>
      </c>
      <c r="X5915" s="2">
        <f ca="1"/>
        <v>40.626349318469565</v>
      </c>
      <c r="AG5915" s="2">
        <f ca="1"/>
        <v>0.19256733526493264</v>
      </c>
      <c r="AH5915" s="2" t="str">
        <f ca="1"/>
        <v>OK</v>
      </c>
    </row>
    <row r="5916" spans="2:34" x14ac:dyDescent="0.2">
      <c r="B5916" s="2">
        <f ca="1"/>
        <v>0.88474390206769971</v>
      </c>
      <c r="O5916" s="2">
        <f ca="1"/>
        <v>-0.55981832344628779</v>
      </c>
      <c r="X5916" s="2">
        <f ca="1"/>
        <v>44.639705866317748</v>
      </c>
      <c r="AG5916" s="2">
        <f ca="1"/>
        <v>0.14301152853215626</v>
      </c>
      <c r="AH5916" s="2" t="str">
        <f ca="1"/>
        <v>OK</v>
      </c>
    </row>
    <row r="5917" spans="2:34" x14ac:dyDescent="0.2">
      <c r="B5917" s="2">
        <f ca="1"/>
        <v>0.40816640614078126</v>
      </c>
      <c r="O5917" s="2">
        <f ca="1"/>
        <v>0.6822382158316167</v>
      </c>
      <c r="X5917" s="2">
        <f ca="1"/>
        <v>74.053073843318757</v>
      </c>
      <c r="AG5917" s="2">
        <f ca="1"/>
        <v>0.23886995187382132</v>
      </c>
      <c r="AH5917" s="2" t="str">
        <f ca="1"/>
        <v>OK</v>
      </c>
    </row>
    <row r="5918" spans="2:34" x14ac:dyDescent="0.2">
      <c r="B5918" s="2">
        <f ca="1"/>
        <v>0.22377635483118241</v>
      </c>
      <c r="O5918" s="2">
        <f ca="1"/>
        <v>-0.66694327232955875</v>
      </c>
      <c r="X5918" s="2">
        <f ca="1"/>
        <v>53.971897123631749</v>
      </c>
      <c r="AG5918" s="2">
        <f ca="1"/>
        <v>0.95156047018738077</v>
      </c>
      <c r="AH5918" s="2" t="str">
        <f ca="1"/>
        <v>Bad</v>
      </c>
    </row>
    <row r="5919" spans="2:34" x14ac:dyDescent="0.2">
      <c r="B5919" s="2">
        <f ca="1"/>
        <v>0.6818074183387044</v>
      </c>
      <c r="O5919" s="2">
        <f ca="1"/>
        <v>-2.6094426698789555</v>
      </c>
      <c r="X5919" s="2">
        <f ca="1"/>
        <v>41.187007618609748</v>
      </c>
      <c r="AG5919" s="2">
        <f ca="1"/>
        <v>0.34166064662955531</v>
      </c>
      <c r="AH5919" s="2" t="str">
        <f ca="1"/>
        <v>OK</v>
      </c>
    </row>
    <row r="5920" spans="2:34" x14ac:dyDescent="0.2">
      <c r="B5920" s="2">
        <f ca="1"/>
        <v>0.99569771611718072</v>
      </c>
      <c r="O5920" s="2">
        <f ca="1"/>
        <v>1.8214919077146647</v>
      </c>
      <c r="X5920" s="2">
        <f ca="1"/>
        <v>39.683572874141689</v>
      </c>
      <c r="AG5920" s="2">
        <f ca="1"/>
        <v>0.94516004434963774</v>
      </c>
      <c r="AH5920" s="2" t="str">
        <f ca="1"/>
        <v>Bad</v>
      </c>
    </row>
    <row r="5921" spans="2:34" x14ac:dyDescent="0.2">
      <c r="B5921" s="2">
        <f ca="1"/>
        <v>0.44002026783032089</v>
      </c>
      <c r="O5921" s="2">
        <f ca="1"/>
        <v>-0.58866466618304403</v>
      </c>
      <c r="X5921" s="2">
        <f ca="1"/>
        <v>49.391418835325432</v>
      </c>
      <c r="AG5921" s="2">
        <f ca="1"/>
        <v>0.9423679414970616</v>
      </c>
      <c r="AH5921" s="2" t="str">
        <f ca="1"/>
        <v>Bad</v>
      </c>
    </row>
    <row r="5922" spans="2:34" x14ac:dyDescent="0.2">
      <c r="B5922" s="2">
        <f ca="1"/>
        <v>0.11126930940795199</v>
      </c>
      <c r="O5922" s="2">
        <f ca="1"/>
        <v>0.3191875614720624</v>
      </c>
      <c r="X5922" s="2">
        <f ca="1"/>
        <v>44.026379592146881</v>
      </c>
      <c r="AG5922" s="2">
        <f ca="1"/>
        <v>0.62327988561650027</v>
      </c>
      <c r="AH5922" s="2" t="str">
        <f ca="1"/>
        <v>Bad</v>
      </c>
    </row>
    <row r="5923" spans="2:34" x14ac:dyDescent="0.2">
      <c r="B5923" s="2">
        <f ca="1"/>
        <v>3.160893122903885E-2</v>
      </c>
      <c r="O5923" s="2">
        <f ca="1"/>
        <v>1.1684318037289725</v>
      </c>
      <c r="X5923" s="2">
        <f ca="1"/>
        <v>32.608646582532785</v>
      </c>
      <c r="AG5923" s="2">
        <f ca="1"/>
        <v>0.8286103414830599</v>
      </c>
      <c r="AH5923" s="2" t="str">
        <f ca="1"/>
        <v>Bad</v>
      </c>
    </row>
    <row r="5924" spans="2:34" x14ac:dyDescent="0.2">
      <c r="B5924" s="2">
        <f ca="1"/>
        <v>0.67085823863378824</v>
      </c>
      <c r="O5924" s="2">
        <f ca="1"/>
        <v>0.78745453406969423</v>
      </c>
      <c r="X5924" s="2">
        <f ca="1"/>
        <v>42.120217433171305</v>
      </c>
      <c r="AG5924" s="2">
        <f ca="1"/>
        <v>0.77908881451445278</v>
      </c>
      <c r="AH5924" s="2" t="str">
        <f ca="1"/>
        <v>Bad</v>
      </c>
    </row>
    <row r="5925" spans="2:34" x14ac:dyDescent="0.2">
      <c r="B5925" s="2">
        <f ca="1"/>
        <v>0.44054879251142642</v>
      </c>
      <c r="O5925" s="2">
        <f ca="1"/>
        <v>-0.24115878919900693</v>
      </c>
      <c r="X5925" s="2">
        <f ca="1"/>
        <v>36.211053199166166</v>
      </c>
      <c r="AG5925" s="2">
        <f ca="1"/>
        <v>0.63225971112682489</v>
      </c>
      <c r="AH5925" s="2" t="str">
        <f ca="1"/>
        <v>Bad</v>
      </c>
    </row>
    <row r="5926" spans="2:34" x14ac:dyDescent="0.2">
      <c r="B5926" s="2">
        <f ca="1"/>
        <v>0.13726001881732253</v>
      </c>
      <c r="O5926" s="2">
        <f ca="1"/>
        <v>-0.87134603160383783</v>
      </c>
      <c r="X5926" s="2">
        <f ca="1"/>
        <v>47.505391424636642</v>
      </c>
      <c r="AG5926" s="2">
        <f ca="1"/>
        <v>0.81440912243867247</v>
      </c>
      <c r="AH5926" s="2" t="str">
        <f ca="1"/>
        <v>Bad</v>
      </c>
    </row>
    <row r="5927" spans="2:34" x14ac:dyDescent="0.2">
      <c r="B5927" s="2">
        <f ca="1"/>
        <v>0.23938537598299048</v>
      </c>
      <c r="O5927" s="2">
        <f ca="1"/>
        <v>0.39785093041125558</v>
      </c>
      <c r="X5927" s="2">
        <f ca="1"/>
        <v>51.475640056230631</v>
      </c>
      <c r="AG5927" s="2">
        <f ca="1"/>
        <v>0.12478858949323701</v>
      </c>
      <c r="AH5927" s="2" t="str">
        <f ca="1"/>
        <v>OK</v>
      </c>
    </row>
    <row r="5928" spans="2:34" x14ac:dyDescent="0.2">
      <c r="B5928" s="2">
        <f ca="1"/>
        <v>0.25198649587219846</v>
      </c>
      <c r="O5928" s="2">
        <f ca="1"/>
        <v>0.90096173641810073</v>
      </c>
      <c r="X5928" s="2">
        <f ca="1"/>
        <v>44.189894000538004</v>
      </c>
      <c r="AG5928" s="2">
        <f ca="1"/>
        <v>0.94119287718853983</v>
      </c>
      <c r="AH5928" s="2" t="str">
        <f ca="1"/>
        <v>Bad</v>
      </c>
    </row>
    <row r="5929" spans="2:34" x14ac:dyDescent="0.2">
      <c r="B5929" s="2">
        <f ca="1"/>
        <v>0.6017470519350443</v>
      </c>
      <c r="O5929" s="2">
        <f ca="1"/>
        <v>1.5305531796500793</v>
      </c>
      <c r="X5929" s="2">
        <f ca="1"/>
        <v>50.71882064887167</v>
      </c>
      <c r="AG5929" s="2">
        <f ca="1"/>
        <v>0.5132772918149866</v>
      </c>
      <c r="AH5929" s="2" t="str">
        <f ca="1"/>
        <v>Bad</v>
      </c>
    </row>
    <row r="5930" spans="2:34" x14ac:dyDescent="0.2">
      <c r="B5930" s="2">
        <f ca="1"/>
        <v>0.1298139377622527</v>
      </c>
      <c r="O5930" s="2">
        <f ca="1"/>
        <v>0.73624436915962854</v>
      </c>
      <c r="X5930" s="2">
        <f ca="1"/>
        <v>84.881115581460449</v>
      </c>
      <c r="AG5930" s="2">
        <f ca="1"/>
        <v>0.58509732581466412</v>
      </c>
      <c r="AH5930" s="2" t="str">
        <f ca="1"/>
        <v>Bad</v>
      </c>
    </row>
    <row r="5931" spans="2:34" x14ac:dyDescent="0.2">
      <c r="B5931" s="2">
        <f ca="1"/>
        <v>0.46279224972640298</v>
      </c>
      <c r="O5931" s="2">
        <f ca="1"/>
        <v>1.8784996198099708</v>
      </c>
      <c r="X5931" s="2">
        <f ca="1"/>
        <v>30.793459887819079</v>
      </c>
      <c r="AG5931" s="2">
        <f ca="1"/>
        <v>0.8967382773517687</v>
      </c>
      <c r="AH5931" s="2" t="str">
        <f ca="1"/>
        <v>Bad</v>
      </c>
    </row>
    <row r="5932" spans="2:34" x14ac:dyDescent="0.2">
      <c r="B5932" s="2">
        <f ca="1"/>
        <v>0.84582042379019895</v>
      </c>
      <c r="O5932" s="2">
        <f ca="1"/>
        <v>0.77545702241151016</v>
      </c>
      <c r="X5932" s="2">
        <f ca="1"/>
        <v>42.184030759713792</v>
      </c>
      <c r="AG5932" s="2">
        <f ca="1"/>
        <v>0.9792699660482036</v>
      </c>
      <c r="AH5932" s="2" t="str">
        <f ca="1"/>
        <v>Bad</v>
      </c>
    </row>
    <row r="5933" spans="2:34" x14ac:dyDescent="0.2">
      <c r="B5933" s="2">
        <f ca="1"/>
        <v>0.43233586223317877</v>
      </c>
      <c r="O5933" s="2">
        <f ca="1"/>
        <v>-0.37821601042036418</v>
      </c>
      <c r="X5933" s="2">
        <f ca="1"/>
        <v>95.106920762647817</v>
      </c>
      <c r="AG5933" s="2">
        <f ca="1"/>
        <v>0.32419282977061359</v>
      </c>
      <c r="AH5933" s="2" t="str">
        <f ca="1"/>
        <v>OK</v>
      </c>
    </row>
    <row r="5934" spans="2:34" x14ac:dyDescent="0.2">
      <c r="B5934" s="2">
        <f ca="1"/>
        <v>0.30617101804864411</v>
      </c>
      <c r="O5934" s="2">
        <f ca="1"/>
        <v>-0.3299183949132341</v>
      </c>
      <c r="X5934" s="2">
        <f ca="1"/>
        <v>60.433969105313096</v>
      </c>
      <c r="AG5934" s="2">
        <f ca="1"/>
        <v>0.99662029027835253</v>
      </c>
      <c r="AH5934" s="2" t="str">
        <f ca="1"/>
        <v>Bad</v>
      </c>
    </row>
    <row r="5935" spans="2:34" x14ac:dyDescent="0.2">
      <c r="B5935" s="2">
        <f ca="1"/>
        <v>2.922103548338173E-2</v>
      </c>
      <c r="O5935" s="2">
        <f ca="1"/>
        <v>-0.14003690509634484</v>
      </c>
      <c r="X5935" s="2">
        <f ca="1"/>
        <v>49.345105176146603</v>
      </c>
      <c r="AG5935" s="2">
        <f ca="1"/>
        <v>0.90479122256403599</v>
      </c>
      <c r="AH5935" s="2" t="str">
        <f ca="1"/>
        <v>Bad</v>
      </c>
    </row>
    <row r="5936" spans="2:34" x14ac:dyDescent="0.2">
      <c r="B5936" s="2">
        <f ca="1"/>
        <v>0.95888873818233811</v>
      </c>
      <c r="O5936" s="2">
        <f ca="1"/>
        <v>1.1010251159787299</v>
      </c>
      <c r="X5936" s="2">
        <f ca="1"/>
        <v>33.833252427590786</v>
      </c>
      <c r="AG5936" s="2">
        <f ca="1"/>
        <v>0.29424004006022431</v>
      </c>
      <c r="AH5936" s="2" t="str">
        <f ca="1"/>
        <v>OK</v>
      </c>
    </row>
    <row r="5937" spans="2:34" x14ac:dyDescent="0.2">
      <c r="B5937" s="2">
        <f ca="1"/>
        <v>0.29680479999428622</v>
      </c>
      <c r="O5937" s="2">
        <f ca="1"/>
        <v>-0.96360992302065673</v>
      </c>
      <c r="X5937" s="2">
        <f ca="1"/>
        <v>38.455174188572542</v>
      </c>
      <c r="AG5937" s="2">
        <f ca="1"/>
        <v>0.27499347740604296</v>
      </c>
      <c r="AH5937" s="2" t="str">
        <f ca="1"/>
        <v>OK</v>
      </c>
    </row>
    <row r="5938" spans="2:34" x14ac:dyDescent="0.2">
      <c r="B5938" s="2">
        <f ca="1"/>
        <v>0.64860461255935986</v>
      </c>
      <c r="O5938" s="2">
        <f ca="1"/>
        <v>-0.64337941023272327</v>
      </c>
      <c r="X5938" s="2">
        <f ca="1"/>
        <v>57.989984693713687</v>
      </c>
      <c r="AG5938" s="2">
        <f ca="1"/>
        <v>0.61432690245991073</v>
      </c>
      <c r="AH5938" s="2" t="str">
        <f ca="1"/>
        <v>Bad</v>
      </c>
    </row>
    <row r="5939" spans="2:34" x14ac:dyDescent="0.2">
      <c r="B5939" s="2">
        <f ca="1"/>
        <v>0.23188598046439468</v>
      </c>
      <c r="O5939" s="2">
        <f ca="1"/>
        <v>-0.27320418280782649</v>
      </c>
      <c r="X5939" s="2">
        <f ca="1"/>
        <v>47.611011321626584</v>
      </c>
      <c r="AG5939" s="2">
        <f ca="1"/>
        <v>0.52525861473914959</v>
      </c>
      <c r="AH5939" s="2" t="str">
        <f ca="1"/>
        <v>Bad</v>
      </c>
    </row>
    <row r="5940" spans="2:34" x14ac:dyDescent="0.2">
      <c r="B5940" s="2">
        <f ca="1"/>
        <v>9.7707378157896319E-2</v>
      </c>
      <c r="O5940" s="2">
        <f ca="1"/>
        <v>0.58290844359651706</v>
      </c>
      <c r="X5940" s="2">
        <f ca="1"/>
        <v>50.044163586159264</v>
      </c>
      <c r="AG5940" s="2">
        <f ca="1"/>
        <v>0.30153086254863504</v>
      </c>
      <c r="AH5940" s="2" t="str">
        <f ca="1"/>
        <v>OK</v>
      </c>
    </row>
    <row r="5941" spans="2:34" x14ac:dyDescent="0.2">
      <c r="B5941" s="2">
        <f ca="1"/>
        <v>0.95606418148829708</v>
      </c>
      <c r="O5941" s="2">
        <f ca="1"/>
        <v>-3.5326430888028192E-2</v>
      </c>
      <c r="X5941" s="2">
        <f ca="1"/>
        <v>36.451435486981261</v>
      </c>
      <c r="AG5941" s="2">
        <f ca="1"/>
        <v>0.28002905902406794</v>
      </c>
      <c r="AH5941" s="2" t="str">
        <f ca="1"/>
        <v>OK</v>
      </c>
    </row>
    <row r="5942" spans="2:34" x14ac:dyDescent="0.2">
      <c r="B5942" s="2">
        <f ca="1"/>
        <v>0.63200517103160037</v>
      </c>
      <c r="O5942" s="2">
        <f ca="1"/>
        <v>-1.1537250921290163</v>
      </c>
      <c r="X5942" s="2">
        <f ca="1"/>
        <v>77.607526352729934</v>
      </c>
      <c r="AG5942" s="2">
        <f ca="1"/>
        <v>0.90478430213212024</v>
      </c>
      <c r="AH5942" s="2" t="str">
        <f ca="1"/>
        <v>Bad</v>
      </c>
    </row>
    <row r="5943" spans="2:34" x14ac:dyDescent="0.2">
      <c r="B5943" s="2">
        <f ca="1"/>
        <v>0.72527098633093501</v>
      </c>
      <c r="O5943" s="2">
        <f ca="1"/>
        <v>-0.50960392384510755</v>
      </c>
      <c r="X5943" s="2">
        <f ca="1"/>
        <v>38.209678612698454</v>
      </c>
      <c r="AG5943" s="2">
        <f ca="1"/>
        <v>0.60070850052202474</v>
      </c>
      <c r="AH5943" s="2" t="str">
        <f ca="1"/>
        <v>Bad</v>
      </c>
    </row>
    <row r="5944" spans="2:34" x14ac:dyDescent="0.2">
      <c r="B5944" s="2">
        <f ca="1"/>
        <v>0.75803007582956328</v>
      </c>
      <c r="O5944" s="2">
        <f ca="1"/>
        <v>0.10302848835098651</v>
      </c>
      <c r="X5944" s="2">
        <f ca="1"/>
        <v>26.37798530262323</v>
      </c>
      <c r="AG5944" s="2">
        <f ca="1"/>
        <v>0.99143419584755876</v>
      </c>
      <c r="AH5944" s="2" t="str">
        <f ca="1"/>
        <v>Bad</v>
      </c>
    </row>
    <row r="5945" spans="2:34" x14ac:dyDescent="0.2">
      <c r="B5945" s="2">
        <f ca="1"/>
        <v>0.11280424282894175</v>
      </c>
      <c r="O5945" s="2">
        <f ca="1"/>
        <v>-0.50911714442444855</v>
      </c>
      <c r="X5945" s="2">
        <f ca="1"/>
        <v>30.3181190205853</v>
      </c>
      <c r="AG5945" s="2">
        <f ca="1"/>
        <v>0.79623841883179169</v>
      </c>
      <c r="AH5945" s="2" t="str">
        <f ca="1"/>
        <v>Bad</v>
      </c>
    </row>
    <row r="5946" spans="2:34" x14ac:dyDescent="0.2">
      <c r="B5946" s="2">
        <f ca="1"/>
        <v>0.57799495352509589</v>
      </c>
      <c r="O5946" s="2">
        <f ca="1"/>
        <v>1.2176779237967148</v>
      </c>
      <c r="X5946" s="2">
        <f ca="1"/>
        <v>57.077071694620557</v>
      </c>
      <c r="AG5946" s="2">
        <f ca="1"/>
        <v>0.14332054305754038</v>
      </c>
      <c r="AH5946" s="2" t="str">
        <f ca="1"/>
        <v>OK</v>
      </c>
    </row>
    <row r="5947" spans="2:34" x14ac:dyDescent="0.2">
      <c r="B5947" s="2">
        <f ca="1"/>
        <v>1.8411967709019983E-4</v>
      </c>
      <c r="O5947" s="2">
        <f ca="1"/>
        <v>-5.1547790870655662E-2</v>
      </c>
      <c r="X5947" s="2">
        <f ca="1"/>
        <v>43.016339734570685</v>
      </c>
      <c r="AG5947" s="2">
        <f ca="1"/>
        <v>0.70911027539087912</v>
      </c>
      <c r="AH5947" s="2" t="str">
        <f ca="1"/>
        <v>Bad</v>
      </c>
    </row>
    <row r="5948" spans="2:34" x14ac:dyDescent="0.2">
      <c r="B5948" s="2">
        <f ca="1"/>
        <v>0.73927487780989942</v>
      </c>
      <c r="O5948" s="2">
        <f ca="1"/>
        <v>-0.37333632091021118</v>
      </c>
      <c r="X5948" s="2">
        <f ca="1"/>
        <v>39.439514733335173</v>
      </c>
      <c r="AG5948" s="2">
        <f ca="1"/>
        <v>0.75063805711119214</v>
      </c>
      <c r="AH5948" s="2" t="str">
        <f ca="1"/>
        <v>Bad</v>
      </c>
    </row>
    <row r="5949" spans="2:34" x14ac:dyDescent="0.2">
      <c r="B5949" s="2">
        <f ca="1"/>
        <v>0.47803742646660496</v>
      </c>
      <c r="O5949" s="2">
        <f ca="1"/>
        <v>-1.926319503567872</v>
      </c>
      <c r="X5949" s="2">
        <f ca="1"/>
        <v>47.720112712903024</v>
      </c>
      <c r="AG5949" s="2">
        <f ca="1"/>
        <v>0.19191056252348848</v>
      </c>
      <c r="AH5949" s="2" t="str">
        <f ca="1"/>
        <v>OK</v>
      </c>
    </row>
    <row r="5950" spans="2:34" x14ac:dyDescent="0.2">
      <c r="B5950" s="2">
        <f ca="1"/>
        <v>0.34337019271882041</v>
      </c>
      <c r="O5950" s="2">
        <f ca="1"/>
        <v>0.29081867004301099</v>
      </c>
      <c r="X5950" s="2">
        <f ca="1"/>
        <v>21.120918826517411</v>
      </c>
      <c r="AG5950" s="2">
        <f ca="1"/>
        <v>4.6248827831675277E-2</v>
      </c>
      <c r="AH5950" s="2" t="str">
        <f ca="1"/>
        <v>Good</v>
      </c>
    </row>
    <row r="5951" spans="2:34" x14ac:dyDescent="0.2">
      <c r="B5951" s="2">
        <f ca="1"/>
        <v>0.98088824977555333</v>
      </c>
      <c r="O5951" s="2">
        <f ca="1"/>
        <v>0.56123604404638872</v>
      </c>
      <c r="X5951" s="2">
        <f ca="1"/>
        <v>47.182476367604252</v>
      </c>
      <c r="AG5951" s="2">
        <f ca="1"/>
        <v>0.73203384519501369</v>
      </c>
      <c r="AH5951" s="2" t="str">
        <f ca="1"/>
        <v>Bad</v>
      </c>
    </row>
    <row r="5952" spans="2:34" x14ac:dyDescent="0.2">
      <c r="B5952" s="2">
        <f ca="1"/>
        <v>0.33146802462701186</v>
      </c>
      <c r="O5952" s="2">
        <f ca="1"/>
        <v>3.769442257348065E-2</v>
      </c>
      <c r="X5952" s="2">
        <f ca="1"/>
        <v>47.528149267568118</v>
      </c>
      <c r="AG5952" s="2">
        <f ca="1"/>
        <v>8.5530210826560316E-2</v>
      </c>
      <c r="AH5952" s="2" t="str">
        <f ca="1"/>
        <v>OK</v>
      </c>
    </row>
    <row r="5953" spans="2:34" x14ac:dyDescent="0.2">
      <c r="B5953" s="2">
        <f ca="1"/>
        <v>0.41195277296328592</v>
      </c>
      <c r="O5953" s="2">
        <f ca="1"/>
        <v>-0.13660365989986936</v>
      </c>
      <c r="X5953" s="2">
        <f ca="1"/>
        <v>72.550244882802531</v>
      </c>
      <c r="AG5953" s="2">
        <f ca="1"/>
        <v>0.51239441732938085</v>
      </c>
      <c r="AH5953" s="2" t="str">
        <f ca="1"/>
        <v>Bad</v>
      </c>
    </row>
    <row r="5954" spans="2:34" x14ac:dyDescent="0.2">
      <c r="B5954" s="2">
        <f ca="1"/>
        <v>0.6246591015513836</v>
      </c>
      <c r="O5954" s="2">
        <f ca="1"/>
        <v>1.0385374129414169</v>
      </c>
      <c r="X5954" s="2">
        <f ca="1"/>
        <v>44.489041912640758</v>
      </c>
      <c r="AG5954" s="2">
        <f ca="1"/>
        <v>0.5162670079891416</v>
      </c>
      <c r="AH5954" s="2" t="str">
        <f ca="1"/>
        <v>Bad</v>
      </c>
    </row>
    <row r="5955" spans="2:34" x14ac:dyDescent="0.2">
      <c r="B5955" s="2">
        <f ca="1"/>
        <v>0.17841299810352518</v>
      </c>
      <c r="O5955" s="2">
        <f ca="1"/>
        <v>-1.5769836829509942</v>
      </c>
      <c r="X5955" s="2">
        <f ca="1"/>
        <v>73.520816333108485</v>
      </c>
      <c r="AG5955" s="2">
        <f ca="1"/>
        <v>0.74498574377014815</v>
      </c>
      <c r="AH5955" s="2" t="str">
        <f ca="1"/>
        <v>Bad</v>
      </c>
    </row>
    <row r="5956" spans="2:34" x14ac:dyDescent="0.2">
      <c r="B5956" s="2">
        <f ca="1"/>
        <v>0.69085183218298107</v>
      </c>
      <c r="O5956" s="2">
        <f ca="1"/>
        <v>-0.45005886384037253</v>
      </c>
      <c r="X5956" s="2">
        <f ca="1"/>
        <v>72.412066796528521</v>
      </c>
      <c r="AG5956" s="2">
        <f ca="1"/>
        <v>0.10616222481533222</v>
      </c>
      <c r="AH5956" s="2" t="str">
        <f ca="1"/>
        <v>OK</v>
      </c>
    </row>
    <row r="5957" spans="2:34" x14ac:dyDescent="0.2">
      <c r="B5957" s="2">
        <f ca="1"/>
        <v>0.42927904081051094</v>
      </c>
      <c r="O5957" s="2">
        <f ca="1"/>
        <v>-0.54577099030349652</v>
      </c>
      <c r="X5957" s="2">
        <f ca="1"/>
        <v>54.596001540920298</v>
      </c>
      <c r="AG5957" s="2">
        <f ca="1"/>
        <v>0.6696906467524506</v>
      </c>
      <c r="AH5957" s="2" t="str">
        <f ca="1"/>
        <v>Bad</v>
      </c>
    </row>
    <row r="5958" spans="2:34" x14ac:dyDescent="0.2">
      <c r="B5958" s="2">
        <f ca="1"/>
        <v>7.4914300435489967E-2</v>
      </c>
      <c r="O5958" s="2">
        <f ca="1"/>
        <v>-0.10371121549311904</v>
      </c>
      <c r="X5958" s="2">
        <f ca="1"/>
        <v>44.238474579298391</v>
      </c>
      <c r="AG5958" s="2">
        <f ca="1"/>
        <v>0.9663337625185624</v>
      </c>
      <c r="AH5958" s="2" t="str">
        <f ca="1"/>
        <v>Bad</v>
      </c>
    </row>
    <row r="5959" spans="2:34" x14ac:dyDescent="0.2">
      <c r="B5959" s="2">
        <f ca="1"/>
        <v>0.33862232910825951</v>
      </c>
      <c r="O5959" s="2">
        <f ca="1"/>
        <v>-0.7993759462903115</v>
      </c>
      <c r="X5959" s="2">
        <f ca="1"/>
        <v>34.082045948004009</v>
      </c>
      <c r="AG5959" s="2">
        <f ca="1"/>
        <v>0.20541581466948955</v>
      </c>
      <c r="AH5959" s="2" t="str">
        <f ca="1"/>
        <v>OK</v>
      </c>
    </row>
    <row r="5960" spans="2:34" x14ac:dyDescent="0.2">
      <c r="B5960" s="2">
        <f ca="1"/>
        <v>0.75792913832368769</v>
      </c>
      <c r="O5960" s="2">
        <f ca="1"/>
        <v>-1.4819047938074479</v>
      </c>
      <c r="X5960" s="2">
        <f ca="1"/>
        <v>53.4438605961749</v>
      </c>
      <c r="AG5960" s="2">
        <f ca="1"/>
        <v>0.89185910502934007</v>
      </c>
      <c r="AH5960" s="2" t="str">
        <f ca="1"/>
        <v>Bad</v>
      </c>
    </row>
    <row r="5961" spans="2:34" x14ac:dyDescent="0.2">
      <c r="B5961" s="2">
        <f ca="1"/>
        <v>0.77315117182972926</v>
      </c>
      <c r="O5961" s="2">
        <f ca="1"/>
        <v>1.8355525857001527</v>
      </c>
      <c r="X5961" s="2">
        <f ca="1"/>
        <v>42.473417451331699</v>
      </c>
      <c r="AG5961" s="2">
        <f ca="1"/>
        <v>0.61268721652529523</v>
      </c>
      <c r="AH5961" s="2" t="str">
        <f ca="1"/>
        <v>Bad</v>
      </c>
    </row>
    <row r="5962" spans="2:34" x14ac:dyDescent="0.2">
      <c r="B5962" s="2">
        <f ca="1"/>
        <v>0.69074137598005736</v>
      </c>
      <c r="O5962" s="2">
        <f ca="1"/>
        <v>0.28405449511680581</v>
      </c>
      <c r="X5962" s="2">
        <f ca="1"/>
        <v>56.058242021161924</v>
      </c>
      <c r="AG5962" s="2">
        <f ca="1"/>
        <v>0.94668533563830803</v>
      </c>
      <c r="AH5962" s="2" t="str">
        <f ca="1"/>
        <v>Bad</v>
      </c>
    </row>
    <row r="5963" spans="2:34" x14ac:dyDescent="0.2">
      <c r="B5963" s="2">
        <f ca="1"/>
        <v>8.8551567013993138E-2</v>
      </c>
      <c r="O5963" s="2">
        <f ca="1"/>
        <v>0.20385277607767135</v>
      </c>
      <c r="X5963" s="2">
        <f ca="1"/>
        <v>54.434653432688975</v>
      </c>
      <c r="AG5963" s="2">
        <f ca="1"/>
        <v>0.34649548744506875</v>
      </c>
      <c r="AH5963" s="2" t="str">
        <f ca="1"/>
        <v>OK</v>
      </c>
    </row>
    <row r="5964" spans="2:34" x14ac:dyDescent="0.2">
      <c r="B5964" s="2">
        <f ca="1"/>
        <v>0.86484350974496449</v>
      </c>
      <c r="O5964" s="2">
        <f ca="1"/>
        <v>-0.62358805810777673</v>
      </c>
      <c r="X5964" s="2">
        <f ca="1"/>
        <v>33.505393433101204</v>
      </c>
      <c r="AG5964" s="2">
        <f ca="1"/>
        <v>0.97320112481768128</v>
      </c>
      <c r="AH5964" s="2" t="str">
        <f ca="1"/>
        <v>Bad</v>
      </c>
    </row>
    <row r="5965" spans="2:34" x14ac:dyDescent="0.2">
      <c r="B5965" s="2">
        <f ca="1"/>
        <v>0.64373197433207463</v>
      </c>
      <c r="O5965" s="2">
        <f ca="1"/>
        <v>-8.9903021191542878E-2</v>
      </c>
      <c r="X5965" s="2">
        <f ca="1"/>
        <v>35.284140400191781</v>
      </c>
      <c r="AG5965" s="2">
        <f ca="1"/>
        <v>0.40272943194004407</v>
      </c>
      <c r="AH5965" s="2" t="str">
        <f ca="1"/>
        <v>Bad</v>
      </c>
    </row>
    <row r="5966" spans="2:34" x14ac:dyDescent="0.2">
      <c r="B5966" s="2">
        <f ca="1"/>
        <v>0.17071585044424897</v>
      </c>
      <c r="O5966" s="2">
        <f ca="1"/>
        <v>-0.942951006589966</v>
      </c>
      <c r="X5966" s="2">
        <f ca="1"/>
        <v>40.122059549068581</v>
      </c>
      <c r="AG5966" s="2">
        <f ca="1"/>
        <v>0.28491120112700208</v>
      </c>
      <c r="AH5966" s="2" t="str">
        <f ca="1"/>
        <v>OK</v>
      </c>
    </row>
    <row r="5967" spans="2:34" x14ac:dyDescent="0.2">
      <c r="B5967" s="2">
        <f ca="1"/>
        <v>0.88455610446121424</v>
      </c>
      <c r="O5967" s="2">
        <f ca="1"/>
        <v>-0.51086062370833596</v>
      </c>
      <c r="X5967" s="2">
        <f ca="1"/>
        <v>85.981582048729237</v>
      </c>
      <c r="AG5967" s="2">
        <f ca="1"/>
        <v>0.17385728562693203</v>
      </c>
      <c r="AH5967" s="2" t="str">
        <f ca="1"/>
        <v>OK</v>
      </c>
    </row>
    <row r="5968" spans="2:34" x14ac:dyDescent="0.2">
      <c r="B5968" s="2">
        <f ca="1"/>
        <v>0.91711113480653794</v>
      </c>
      <c r="O5968" s="2">
        <f ca="1"/>
        <v>-8.8613236288214395E-2</v>
      </c>
      <c r="X5968" s="2">
        <f ca="1"/>
        <v>77.617766590105447</v>
      </c>
      <c r="AG5968" s="2">
        <f ca="1"/>
        <v>0.12296578452542506</v>
      </c>
      <c r="AH5968" s="2" t="str">
        <f ca="1"/>
        <v>OK</v>
      </c>
    </row>
    <row r="5969" spans="2:34" x14ac:dyDescent="0.2">
      <c r="B5969" s="2">
        <f ca="1"/>
        <v>0.62091624095482922</v>
      </c>
      <c r="O5969" s="2">
        <f ca="1"/>
        <v>-0.30871534212075019</v>
      </c>
      <c r="X5969" s="2">
        <f ca="1"/>
        <v>35.277906045304142</v>
      </c>
      <c r="AG5969" s="2">
        <f ca="1"/>
        <v>0.83093937698990028</v>
      </c>
      <c r="AH5969" s="2" t="str">
        <f ca="1"/>
        <v>Bad</v>
      </c>
    </row>
    <row r="5970" spans="2:34" x14ac:dyDescent="0.2">
      <c r="B5970" s="2">
        <f ca="1"/>
        <v>0.1607962329494339</v>
      </c>
      <c r="O5970" s="2">
        <f ca="1"/>
        <v>1.0334469057340228</v>
      </c>
      <c r="X5970" s="2">
        <f ca="1"/>
        <v>48.69736489305582</v>
      </c>
      <c r="AG5970" s="2">
        <f ca="1"/>
        <v>0.3261319241621059</v>
      </c>
      <c r="AH5970" s="2" t="str">
        <f ca="1"/>
        <v>OK</v>
      </c>
    </row>
    <row r="5971" spans="2:34" x14ac:dyDescent="0.2">
      <c r="B5971" s="2">
        <f ca="1"/>
        <v>0.86907812513584637</v>
      </c>
      <c r="O5971" s="2">
        <f ca="1"/>
        <v>-0.71275744021678</v>
      </c>
      <c r="X5971" s="2">
        <f ca="1"/>
        <v>29.764965873068853</v>
      </c>
      <c r="AG5971" s="2">
        <f ca="1"/>
        <v>0.8858474357863666</v>
      </c>
      <c r="AH5971" s="2" t="str">
        <f ca="1"/>
        <v>Bad</v>
      </c>
    </row>
    <row r="5972" spans="2:34" x14ac:dyDescent="0.2">
      <c r="B5972" s="2">
        <f ca="1"/>
        <v>0.55471414150960285</v>
      </c>
      <c r="O5972" s="2">
        <f ca="1"/>
        <v>9.9455912541680999E-2</v>
      </c>
      <c r="X5972" s="2">
        <f ca="1"/>
        <v>90.886648692520637</v>
      </c>
      <c r="AG5972" s="2">
        <f ca="1"/>
        <v>0.47156706368439028</v>
      </c>
      <c r="AH5972" s="2" t="str">
        <f ca="1"/>
        <v>Bad</v>
      </c>
    </row>
    <row r="5973" spans="2:34" x14ac:dyDescent="0.2">
      <c r="B5973" s="2">
        <f ca="1"/>
        <v>0.27150351507043591</v>
      </c>
      <c r="O5973" s="2">
        <f ca="1"/>
        <v>-1.1033737402171888</v>
      </c>
      <c r="X5973" s="2">
        <f ca="1"/>
        <v>62.184154945083762</v>
      </c>
      <c r="AG5973" s="2">
        <f ca="1"/>
        <v>0.95661009350452764</v>
      </c>
      <c r="AH5973" s="2" t="str">
        <f ca="1"/>
        <v>Bad</v>
      </c>
    </row>
    <row r="5974" spans="2:34" x14ac:dyDescent="0.2">
      <c r="B5974" s="2">
        <f ca="1"/>
        <v>4.0709671634674427E-2</v>
      </c>
      <c r="O5974" s="2">
        <f ca="1"/>
        <v>2.2684381698783085</v>
      </c>
      <c r="X5974" s="2">
        <f ca="1"/>
        <v>39.761055198355088</v>
      </c>
      <c r="AG5974" s="2">
        <f ca="1"/>
        <v>0.1848392227691289</v>
      </c>
      <c r="AH5974" s="2" t="str">
        <f ca="1"/>
        <v>OK</v>
      </c>
    </row>
    <row r="5975" spans="2:34" x14ac:dyDescent="0.2">
      <c r="B5975" s="2">
        <f ca="1"/>
        <v>4.8520879023899122E-2</v>
      </c>
      <c r="O5975" s="2">
        <f ca="1"/>
        <v>0.26191620914967667</v>
      </c>
      <c r="X5975" s="2">
        <f ca="1"/>
        <v>40.178190715492889</v>
      </c>
      <c r="AG5975" s="2">
        <f ca="1"/>
        <v>0.34209003465218624</v>
      </c>
      <c r="AH5975" s="2" t="str">
        <f ca="1"/>
        <v>OK</v>
      </c>
    </row>
    <row r="5976" spans="2:34" x14ac:dyDescent="0.2">
      <c r="B5976" s="2">
        <f ca="1"/>
        <v>0.60608586259938901</v>
      </c>
      <c r="O5976" s="2">
        <f ca="1"/>
        <v>2.6859571048519473</v>
      </c>
      <c r="X5976" s="2">
        <f ca="1"/>
        <v>36.180683271064893</v>
      </c>
      <c r="AG5976" s="2">
        <f ca="1"/>
        <v>0.44607708214441177</v>
      </c>
      <c r="AH5976" s="2" t="str">
        <f ca="1"/>
        <v>Bad</v>
      </c>
    </row>
    <row r="5977" spans="2:34" x14ac:dyDescent="0.2">
      <c r="B5977" s="2">
        <f ca="1"/>
        <v>0.39266397902783567</v>
      </c>
      <c r="O5977" s="2">
        <f ca="1"/>
        <v>-0.76681307930543874</v>
      </c>
      <c r="X5977" s="2">
        <f ca="1"/>
        <v>62.185279992614575</v>
      </c>
      <c r="AG5977" s="2">
        <f ca="1"/>
        <v>0.15591316426854362</v>
      </c>
      <c r="AH5977" s="2" t="str">
        <f ca="1"/>
        <v>OK</v>
      </c>
    </row>
    <row r="5978" spans="2:34" x14ac:dyDescent="0.2">
      <c r="B5978" s="2">
        <f ca="1"/>
        <v>0.61140216008268045</v>
      </c>
      <c r="O5978" s="2">
        <f ca="1"/>
        <v>-0.10542716012003227</v>
      </c>
      <c r="X5978" s="2">
        <f ca="1"/>
        <v>49.709440819914477</v>
      </c>
      <c r="AG5978" s="2">
        <f ca="1"/>
        <v>0.5585851376739992</v>
      </c>
      <c r="AH5978" s="2" t="str">
        <f ca="1"/>
        <v>Bad</v>
      </c>
    </row>
    <row r="5979" spans="2:34" x14ac:dyDescent="0.2">
      <c r="B5979" s="2">
        <f ca="1"/>
        <v>0.34357006952837366</v>
      </c>
      <c r="O5979" s="2">
        <f ca="1"/>
        <v>-0.49187654175744006</v>
      </c>
      <c r="X5979" s="2">
        <f ca="1"/>
        <v>93.545158739813871</v>
      </c>
      <c r="AG5979" s="2">
        <f ca="1"/>
        <v>0.15652083416433515</v>
      </c>
      <c r="AH5979" s="2" t="str">
        <f ca="1"/>
        <v>OK</v>
      </c>
    </row>
    <row r="5980" spans="2:34" x14ac:dyDescent="0.2">
      <c r="B5980" s="2">
        <f ca="1"/>
        <v>0.43842950874824371</v>
      </c>
      <c r="O5980" s="2">
        <f ca="1"/>
        <v>1.1394247589915183</v>
      </c>
      <c r="X5980" s="2">
        <f ca="1"/>
        <v>55.058161608536565</v>
      </c>
      <c r="AG5980" s="2">
        <f ca="1"/>
        <v>0.93169003167334452</v>
      </c>
      <c r="AH5980" s="2" t="str">
        <f ca="1"/>
        <v>Bad</v>
      </c>
    </row>
    <row r="5981" spans="2:34" x14ac:dyDescent="0.2">
      <c r="B5981" s="2">
        <f ca="1"/>
        <v>0.97747229772079791</v>
      </c>
      <c r="O5981" s="2">
        <f ca="1"/>
        <v>-0.29843905027030204</v>
      </c>
      <c r="X5981" s="2">
        <f ca="1"/>
        <v>37.477110148152157</v>
      </c>
      <c r="AG5981" s="2">
        <f ca="1"/>
        <v>0.56215509354126247</v>
      </c>
      <c r="AH5981" s="2" t="str">
        <f ca="1"/>
        <v>Bad</v>
      </c>
    </row>
    <row r="5982" spans="2:34" x14ac:dyDescent="0.2">
      <c r="B5982" s="2">
        <f ca="1"/>
        <v>0.28225123244206674</v>
      </c>
      <c r="O5982" s="2">
        <f ca="1"/>
        <v>0.18363468998838658</v>
      </c>
      <c r="X5982" s="2">
        <f ca="1"/>
        <v>54.457850534653801</v>
      </c>
      <c r="AG5982" s="2">
        <f ca="1"/>
        <v>0.5464939845368606</v>
      </c>
      <c r="AH5982" s="2" t="str">
        <f ca="1"/>
        <v>Bad</v>
      </c>
    </row>
    <row r="5983" spans="2:34" x14ac:dyDescent="0.2">
      <c r="B5983" s="2">
        <f ca="1"/>
        <v>4.9712818978033813E-3</v>
      </c>
      <c r="O5983" s="2">
        <f ca="1"/>
        <v>-0.48478302028891401</v>
      </c>
      <c r="X5983" s="2">
        <f ca="1"/>
        <v>64.160664099239384</v>
      </c>
      <c r="AG5983" s="2">
        <f ca="1"/>
        <v>0.79623183758468907</v>
      </c>
      <c r="AH5983" s="2" t="str">
        <f ca="1"/>
        <v>Bad</v>
      </c>
    </row>
    <row r="5984" spans="2:34" x14ac:dyDescent="0.2">
      <c r="B5984" s="2">
        <f ca="1"/>
        <v>0.50233746984425176</v>
      </c>
      <c r="O5984" s="2">
        <f ca="1"/>
        <v>1.6653669889302376</v>
      </c>
      <c r="X5984" s="2">
        <f ca="1"/>
        <v>68.215209497339998</v>
      </c>
      <c r="AG5984" s="2">
        <f ca="1"/>
        <v>4.3013631390344198E-2</v>
      </c>
      <c r="AH5984" s="2" t="str">
        <f ca="1"/>
        <v>Good</v>
      </c>
    </row>
    <row r="5985" spans="2:34" x14ac:dyDescent="0.2">
      <c r="B5985" s="2">
        <f ca="1"/>
        <v>0.38633410705632532</v>
      </c>
      <c r="O5985" s="2">
        <f ca="1"/>
        <v>-0.44793887724390191</v>
      </c>
      <c r="X5985" s="2">
        <f ca="1"/>
        <v>35.951886613590382</v>
      </c>
      <c r="AG5985" s="2">
        <f ca="1"/>
        <v>0.92532195788290728</v>
      </c>
      <c r="AH5985" s="2" t="str">
        <f ca="1"/>
        <v>Bad</v>
      </c>
    </row>
    <row r="5986" spans="2:34" x14ac:dyDescent="0.2">
      <c r="B5986" s="2">
        <f ca="1"/>
        <v>0.97920014715323589</v>
      </c>
      <c r="O5986" s="2">
        <f ca="1"/>
        <v>1.2998036691205821</v>
      </c>
      <c r="X5986" s="2">
        <f ca="1"/>
        <v>45.881085179904304</v>
      </c>
      <c r="AG5986" s="2">
        <f ca="1"/>
        <v>0.16476304699624666</v>
      </c>
      <c r="AH5986" s="2" t="str">
        <f ca="1"/>
        <v>OK</v>
      </c>
    </row>
    <row r="5987" spans="2:34" x14ac:dyDescent="0.2">
      <c r="B5987" s="2">
        <f ca="1"/>
        <v>0.90443683061696145</v>
      </c>
      <c r="O5987" s="2">
        <f ca="1"/>
        <v>0.78371241504806133</v>
      </c>
      <c r="X5987" s="2">
        <f ca="1"/>
        <v>39.796531070379103</v>
      </c>
      <c r="AG5987" s="2">
        <f ca="1"/>
        <v>0.58147129608767756</v>
      </c>
      <c r="AH5987" s="2" t="str">
        <f ca="1"/>
        <v>Bad</v>
      </c>
    </row>
    <row r="5988" spans="2:34" x14ac:dyDescent="0.2">
      <c r="B5988" s="2">
        <f ca="1"/>
        <v>0.81288197738116597</v>
      </c>
      <c r="O5988" s="2">
        <f ca="1"/>
        <v>0.12264120510187466</v>
      </c>
      <c r="X5988" s="2">
        <f ca="1"/>
        <v>46.034351226573207</v>
      </c>
      <c r="AG5988" s="2">
        <f ca="1"/>
        <v>0.51750759297684334</v>
      </c>
      <c r="AH5988" s="2" t="str">
        <f ca="1"/>
        <v>Bad</v>
      </c>
    </row>
    <row r="5989" spans="2:34" x14ac:dyDescent="0.2">
      <c r="B5989" s="2">
        <f ca="1"/>
        <v>4.6879358672793359E-3</v>
      </c>
      <c r="O5989" s="2">
        <f ca="1"/>
        <v>-7.5353195177188595E-2</v>
      </c>
      <c r="X5989" s="2">
        <f ca="1"/>
        <v>44.613375380590156</v>
      </c>
      <c r="AG5989" s="2">
        <f ca="1"/>
        <v>0.66262074377507729</v>
      </c>
      <c r="AH5989" s="2" t="str">
        <f ca="1"/>
        <v>Bad</v>
      </c>
    </row>
    <row r="5990" spans="2:34" x14ac:dyDescent="0.2">
      <c r="B5990" s="2">
        <f ca="1"/>
        <v>0.85505131844497706</v>
      </c>
      <c r="O5990" s="2">
        <f ca="1"/>
        <v>-0.17903974359568625</v>
      </c>
      <c r="X5990" s="2">
        <f ca="1"/>
        <v>49.502636959658659</v>
      </c>
      <c r="AG5990" s="2">
        <f ca="1"/>
        <v>0.61939724657283812</v>
      </c>
      <c r="AH5990" s="2" t="str">
        <f ca="1"/>
        <v>Bad</v>
      </c>
    </row>
    <row r="5991" spans="2:34" x14ac:dyDescent="0.2">
      <c r="B5991" s="2">
        <f ca="1"/>
        <v>0.58987945403514686</v>
      </c>
      <c r="O5991" s="2">
        <f ca="1"/>
        <v>0.78174095173111868</v>
      </c>
      <c r="X5991" s="2">
        <f ca="1"/>
        <v>31.921399165944319</v>
      </c>
      <c r="AG5991" s="2">
        <f ca="1"/>
        <v>0.5974134475626991</v>
      </c>
      <c r="AH5991" s="2" t="str">
        <f ca="1"/>
        <v>Bad</v>
      </c>
    </row>
    <row r="5992" spans="2:34" x14ac:dyDescent="0.2">
      <c r="B5992" s="2">
        <f ca="1"/>
        <v>0.7663458412490558</v>
      </c>
      <c r="O5992" s="2">
        <f ca="1"/>
        <v>1.2030975507078232</v>
      </c>
      <c r="X5992" s="2">
        <f ca="1"/>
        <v>52.06121479235351</v>
      </c>
      <c r="AG5992" s="2">
        <f ca="1"/>
        <v>0.44847169686038457</v>
      </c>
      <c r="AH5992" s="2" t="str">
        <f ca="1"/>
        <v>Bad</v>
      </c>
    </row>
    <row r="5993" spans="2:34" x14ac:dyDescent="0.2">
      <c r="B5993" s="2">
        <f ca="1"/>
        <v>0.820134968675716</v>
      </c>
      <c r="O5993" s="2">
        <f ca="1"/>
        <v>1.8654028207306783</v>
      </c>
      <c r="X5993" s="2">
        <f ca="1"/>
        <v>44.642370215367862</v>
      </c>
      <c r="AG5993" s="2">
        <f ca="1"/>
        <v>0.70420195340181557</v>
      </c>
      <c r="AH5993" s="2" t="str">
        <f ca="1"/>
        <v>Bad</v>
      </c>
    </row>
    <row r="5994" spans="2:34" x14ac:dyDescent="0.2">
      <c r="B5994" s="2">
        <f ca="1"/>
        <v>0.20916026478127869</v>
      </c>
      <c r="O5994" s="2">
        <f ca="1"/>
        <v>-1.6851295831340607</v>
      </c>
      <c r="X5994" s="2">
        <f ca="1"/>
        <v>38.538807854405334</v>
      </c>
      <c r="AG5994" s="2">
        <f ca="1"/>
        <v>0.37873662318139578</v>
      </c>
      <c r="AH5994" s="2" t="str">
        <f ca="1"/>
        <v>OK</v>
      </c>
    </row>
    <row r="5995" spans="2:34" x14ac:dyDescent="0.2">
      <c r="B5995" s="2">
        <f ca="1"/>
        <v>0.42251981910818737</v>
      </c>
      <c r="O5995" s="2">
        <f ca="1"/>
        <v>-1.0507983618448158</v>
      </c>
      <c r="X5995" s="2">
        <f ca="1"/>
        <v>51.234538338878636</v>
      </c>
      <c r="AG5995" s="2">
        <f ca="1"/>
        <v>0.56209988740882832</v>
      </c>
      <c r="AH5995" s="2" t="str">
        <f ca="1"/>
        <v>Bad</v>
      </c>
    </row>
    <row r="5996" spans="2:34" x14ac:dyDescent="0.2">
      <c r="B5996" s="2">
        <f ca="1"/>
        <v>0.22744125710793628</v>
      </c>
      <c r="O5996" s="2">
        <f ca="1"/>
        <v>0.81880893978286096</v>
      </c>
      <c r="X5996" s="2">
        <f ca="1"/>
        <v>24.345233186496817</v>
      </c>
      <c r="AG5996" s="2">
        <f ca="1"/>
        <v>0.52104516751876084</v>
      </c>
      <c r="AH5996" s="2" t="str">
        <f ca="1"/>
        <v>Bad</v>
      </c>
    </row>
    <row r="5997" spans="2:34" x14ac:dyDescent="0.2">
      <c r="B5997" s="2">
        <f ca="1"/>
        <v>0.26954841389059325</v>
      </c>
      <c r="O5997" s="2">
        <f ca="1"/>
        <v>0.46203222595099797</v>
      </c>
      <c r="X5997" s="2">
        <f ca="1"/>
        <v>37.833416746986572</v>
      </c>
      <c r="AG5997" s="2">
        <f ca="1"/>
        <v>0.96939712939443234</v>
      </c>
      <c r="AH5997" s="2" t="str">
        <f ca="1"/>
        <v>Bad</v>
      </c>
    </row>
    <row r="5998" spans="2:34" x14ac:dyDescent="0.2">
      <c r="B5998" s="2">
        <f ca="1"/>
        <v>0.38864393716580903</v>
      </c>
      <c r="O5998" s="2">
        <f ca="1"/>
        <v>-0.42742201311534483</v>
      </c>
      <c r="X5998" s="2">
        <f ca="1"/>
        <v>42.144558661663616</v>
      </c>
      <c r="AG5998" s="2">
        <f ca="1"/>
        <v>0.75326101229213815</v>
      </c>
      <c r="AH5998" s="2" t="str">
        <f ca="1"/>
        <v>Bad</v>
      </c>
    </row>
    <row r="5999" spans="2:34" x14ac:dyDescent="0.2">
      <c r="B5999" s="2">
        <f ca="1"/>
        <v>5.4153322023377415E-2</v>
      </c>
      <c r="O5999" s="2">
        <f ca="1"/>
        <v>0.3804719889457297</v>
      </c>
      <c r="X5999" s="2">
        <f ca="1"/>
        <v>37.110616000796782</v>
      </c>
      <c r="AG5999" s="2">
        <f ca="1"/>
        <v>4.9301569596991168E-2</v>
      </c>
      <c r="AH5999" s="2" t="str">
        <f ca="1"/>
        <v>Good</v>
      </c>
    </row>
    <row r="6000" spans="2:34" x14ac:dyDescent="0.2">
      <c r="B6000" s="2">
        <f ca="1"/>
        <v>0.47308652570307785</v>
      </c>
      <c r="O6000" s="2">
        <f ca="1"/>
        <v>-0.31594198418562597</v>
      </c>
      <c r="X6000" s="2">
        <f ca="1"/>
        <v>41.723750459763842</v>
      </c>
      <c r="AG6000" s="2">
        <f ca="1"/>
        <v>0.54630005624930522</v>
      </c>
      <c r="AH6000" s="2" t="str">
        <f ca="1"/>
        <v>Bad</v>
      </c>
    </row>
    <row r="6001" spans="2:34" x14ac:dyDescent="0.2">
      <c r="B6001" s="2">
        <f ca="1"/>
        <v>0.95942384201335895</v>
      </c>
      <c r="O6001" s="2">
        <f ca="1"/>
        <v>7.4502640722661162E-2</v>
      </c>
      <c r="X6001" s="2">
        <f ca="1"/>
        <v>42.349628262445755</v>
      </c>
      <c r="AG6001" s="2">
        <f ca="1"/>
        <v>0.95950830323682834</v>
      </c>
      <c r="AH6001" s="2" t="str">
        <f ca="1"/>
        <v>Bad</v>
      </c>
    </row>
    <row r="6002" spans="2:34" x14ac:dyDescent="0.2">
      <c r="B6002" s="2">
        <f ca="1"/>
        <v>0.13966253912615323</v>
      </c>
      <c r="O6002" s="2">
        <f ca="1"/>
        <v>0.79211816077674135</v>
      </c>
      <c r="X6002" s="2">
        <f ca="1"/>
        <v>66.431138320027728</v>
      </c>
      <c r="AG6002" s="2">
        <f ca="1"/>
        <v>0.69036639956622903</v>
      </c>
      <c r="AH6002" s="2" t="str">
        <f ca="1"/>
        <v>Bad</v>
      </c>
    </row>
    <row r="6003" spans="2:34" x14ac:dyDescent="0.2">
      <c r="B6003" s="2">
        <f ca="1"/>
        <v>5.6626071241445697E-3</v>
      </c>
      <c r="O6003" s="2">
        <f ca="1"/>
        <v>-1.9002115638964847</v>
      </c>
      <c r="X6003" s="2">
        <f ca="1"/>
        <v>49.399202511095524</v>
      </c>
      <c r="AG6003" s="2">
        <f ca="1"/>
        <v>0.26314238753385255</v>
      </c>
      <c r="AH6003" s="2" t="str">
        <f ca="1"/>
        <v>OK</v>
      </c>
    </row>
    <row r="6004" spans="2:34" x14ac:dyDescent="0.2">
      <c r="B6004" s="2">
        <f ca="1"/>
        <v>0.28633546061455362</v>
      </c>
      <c r="O6004" s="2">
        <f ca="1"/>
        <v>0.31663380442948375</v>
      </c>
      <c r="X6004" s="2">
        <f ca="1"/>
        <v>81.766435064039229</v>
      </c>
      <c r="AG6004" s="2">
        <f ca="1"/>
        <v>0.78008774255005009</v>
      </c>
      <c r="AH6004" s="2" t="str">
        <f ca="1"/>
        <v>Bad</v>
      </c>
    </row>
    <row r="6005" spans="2:34" x14ac:dyDescent="0.2">
      <c r="B6005" s="2">
        <f ca="1"/>
        <v>0.55521733392167505</v>
      </c>
      <c r="O6005" s="2">
        <f ca="1"/>
        <v>-6.9638707667712352E-2</v>
      </c>
      <c r="X6005" s="2">
        <f ca="1"/>
        <v>73.999820585234744</v>
      </c>
      <c r="AG6005" s="2">
        <f ca="1"/>
        <v>0.11961883047401933</v>
      </c>
      <c r="AH6005" s="2" t="str">
        <f ca="1"/>
        <v>OK</v>
      </c>
    </row>
    <row r="6006" spans="2:34" x14ac:dyDescent="0.2">
      <c r="B6006" s="2">
        <f ca="1"/>
        <v>0.44690791986279188</v>
      </c>
      <c r="O6006" s="2">
        <f ca="1"/>
        <v>-2.788119799996255</v>
      </c>
      <c r="X6006" s="2">
        <f ca="1"/>
        <v>68.516169597362676</v>
      </c>
      <c r="AG6006" s="2">
        <f ca="1"/>
        <v>0.11753008781164476</v>
      </c>
      <c r="AH6006" s="2" t="str">
        <f ca="1"/>
        <v>OK</v>
      </c>
    </row>
    <row r="6007" spans="2:34" x14ac:dyDescent="0.2">
      <c r="B6007" s="2">
        <f ca="1"/>
        <v>0.83323113993867715</v>
      </c>
      <c r="O6007" s="2">
        <f ca="1"/>
        <v>6.8212651986033587E-2</v>
      </c>
      <c r="X6007" s="2">
        <f ca="1"/>
        <v>51.593453320613719</v>
      </c>
      <c r="AG6007" s="2">
        <f ca="1"/>
        <v>0.10458089395120296</v>
      </c>
      <c r="AH6007" s="2" t="str">
        <f ca="1"/>
        <v>OK</v>
      </c>
    </row>
    <row r="6008" spans="2:34" x14ac:dyDescent="0.2">
      <c r="B6008" s="2">
        <f ca="1"/>
        <v>0.23867166959716224</v>
      </c>
      <c r="O6008" s="2">
        <f ca="1"/>
        <v>-0.25457721261005284</v>
      </c>
      <c r="X6008" s="2">
        <f ca="1"/>
        <v>46.304273273095731</v>
      </c>
      <c r="AG6008" s="2">
        <f ca="1"/>
        <v>0.23389550306237061</v>
      </c>
      <c r="AH6008" s="2" t="str">
        <f ca="1"/>
        <v>OK</v>
      </c>
    </row>
    <row r="6009" spans="2:34" x14ac:dyDescent="0.2">
      <c r="B6009" s="2">
        <f ca="1"/>
        <v>0.99276008391814807</v>
      </c>
      <c r="O6009" s="2">
        <f ca="1"/>
        <v>0.55949070506086818</v>
      </c>
      <c r="X6009" s="2">
        <f ca="1"/>
        <v>42.159968358323468</v>
      </c>
      <c r="AG6009" s="2">
        <f ca="1"/>
        <v>0.8262040159355506</v>
      </c>
      <c r="AH6009" s="2" t="str">
        <f ca="1"/>
        <v>Bad</v>
      </c>
    </row>
    <row r="6010" spans="2:34" x14ac:dyDescent="0.2">
      <c r="B6010" s="2">
        <f ca="1"/>
        <v>0.655144130006303</v>
      </c>
      <c r="O6010" s="2">
        <f ca="1"/>
        <v>1.0546426052359492</v>
      </c>
      <c r="X6010" s="2">
        <f ca="1"/>
        <v>53.166067655560774</v>
      </c>
      <c r="AG6010" s="2">
        <f ca="1"/>
        <v>0.88020475013553168</v>
      </c>
      <c r="AH6010" s="2" t="str">
        <f ca="1"/>
        <v>Bad</v>
      </c>
    </row>
    <row r="6011" spans="2:34" x14ac:dyDescent="0.2">
      <c r="B6011" s="2">
        <f ca="1"/>
        <v>0.52096731423137377</v>
      </c>
      <c r="O6011" s="2">
        <f ca="1"/>
        <v>-1.5460807055655195</v>
      </c>
      <c r="X6011" s="2">
        <f ca="1"/>
        <v>26.089697014946942</v>
      </c>
      <c r="AG6011" s="2">
        <f ca="1"/>
        <v>0.34430766137634428</v>
      </c>
      <c r="AH6011" s="2" t="str">
        <f ca="1"/>
        <v>OK</v>
      </c>
    </row>
    <row r="6012" spans="2:34" x14ac:dyDescent="0.2">
      <c r="B6012" s="2">
        <f ca="1"/>
        <v>0.34956202391755231</v>
      </c>
      <c r="O6012" s="2">
        <f ca="1"/>
        <v>-1.1945441434163768</v>
      </c>
      <c r="X6012" s="2">
        <f ca="1"/>
        <v>37.97985367467993</v>
      </c>
      <c r="AG6012" s="2">
        <f ca="1"/>
        <v>0.74688522480414909</v>
      </c>
      <c r="AH6012" s="2" t="str">
        <f ca="1"/>
        <v>Bad</v>
      </c>
    </row>
    <row r="6013" spans="2:34" x14ac:dyDescent="0.2">
      <c r="B6013" s="2">
        <f ca="1"/>
        <v>0.18770858542317725</v>
      </c>
      <c r="O6013" s="2">
        <f ca="1"/>
        <v>-0.88979120087993302</v>
      </c>
      <c r="X6013" s="2">
        <f ca="1"/>
        <v>108.21706483290511</v>
      </c>
      <c r="AG6013" s="2">
        <f ca="1"/>
        <v>0.91783923960857061</v>
      </c>
      <c r="AH6013" s="2" t="str">
        <f ca="1"/>
        <v>Bad</v>
      </c>
    </row>
    <row r="6014" spans="2:34" x14ac:dyDescent="0.2">
      <c r="B6014" s="2">
        <f ca="1"/>
        <v>0.71522320929309346</v>
      </c>
      <c r="O6014" s="2">
        <f ca="1"/>
        <v>1.3945247852541942</v>
      </c>
      <c r="X6014" s="2">
        <f ca="1"/>
        <v>25.182737636529883</v>
      </c>
      <c r="AG6014" s="2">
        <f ca="1"/>
        <v>0.54945521701304889</v>
      </c>
      <c r="AH6014" s="2" t="str">
        <f ca="1"/>
        <v>Bad</v>
      </c>
    </row>
    <row r="6015" spans="2:34" x14ac:dyDescent="0.2">
      <c r="B6015" s="2">
        <f ca="1"/>
        <v>0.33705600508940914</v>
      </c>
      <c r="O6015" s="2">
        <f ca="1"/>
        <v>0.79542325118421309</v>
      </c>
      <c r="X6015" s="2">
        <f ca="1"/>
        <v>50.783357027894567</v>
      </c>
      <c r="AG6015" s="2">
        <f ca="1"/>
        <v>9.0003236559698552E-2</v>
      </c>
      <c r="AH6015" s="2" t="str">
        <f ca="1"/>
        <v>OK</v>
      </c>
    </row>
    <row r="6016" spans="2:34" x14ac:dyDescent="0.2">
      <c r="B6016" s="2">
        <f ca="1"/>
        <v>0.17800060429735853</v>
      </c>
      <c r="O6016" s="2">
        <f ca="1"/>
        <v>-2.2291088624356834</v>
      </c>
      <c r="X6016" s="2">
        <f ca="1"/>
        <v>89.862095227434438</v>
      </c>
      <c r="AG6016" s="2">
        <f ca="1"/>
        <v>0.79541690802282305</v>
      </c>
      <c r="AH6016" s="2" t="str">
        <f ca="1"/>
        <v>Bad</v>
      </c>
    </row>
    <row r="6017" spans="2:34" x14ac:dyDescent="0.2">
      <c r="B6017" s="2">
        <f ca="1"/>
        <v>0.65178585660914101</v>
      </c>
      <c r="O6017" s="2">
        <f ca="1"/>
        <v>1.6092300326422699</v>
      </c>
      <c r="X6017" s="2">
        <f ca="1"/>
        <v>38.556913498417941</v>
      </c>
      <c r="AG6017" s="2">
        <f ca="1"/>
        <v>0.20020050967913572</v>
      </c>
      <c r="AH6017" s="2" t="str">
        <f ca="1"/>
        <v>OK</v>
      </c>
    </row>
    <row r="6018" spans="2:34" x14ac:dyDescent="0.2">
      <c r="B6018" s="2">
        <f ca="1"/>
        <v>0.98872202149865851</v>
      </c>
      <c r="O6018" s="2">
        <f ca="1"/>
        <v>-0.67938831328173865</v>
      </c>
      <c r="X6018" s="2">
        <f ca="1"/>
        <v>27.838189377063124</v>
      </c>
      <c r="AG6018" s="2">
        <f ca="1"/>
        <v>0.18073579274598339</v>
      </c>
      <c r="AH6018" s="2" t="str">
        <f ca="1"/>
        <v>OK</v>
      </c>
    </row>
    <row r="6019" spans="2:34" x14ac:dyDescent="0.2">
      <c r="B6019" s="2">
        <f ca="1"/>
        <v>0.84356677812631786</v>
      </c>
      <c r="O6019" s="2">
        <f ca="1"/>
        <v>-0.474696610189413</v>
      </c>
      <c r="X6019" s="2">
        <f ca="1"/>
        <v>52.792882978510775</v>
      </c>
      <c r="AG6019" s="2">
        <f ca="1"/>
        <v>0.84694293256566855</v>
      </c>
      <c r="AH6019" s="2" t="str">
        <f ca="1"/>
        <v>Bad</v>
      </c>
    </row>
    <row r="6020" spans="2:34" x14ac:dyDescent="0.2">
      <c r="B6020" s="2">
        <f ca="1"/>
        <v>0.98436858461599708</v>
      </c>
      <c r="O6020" s="2">
        <f ca="1"/>
        <v>-0.27092824067330717</v>
      </c>
      <c r="X6020" s="2">
        <f ca="1"/>
        <v>25.536594271603445</v>
      </c>
      <c r="AG6020" s="2">
        <f ca="1"/>
        <v>0.36721217936692563</v>
      </c>
      <c r="AH6020" s="2" t="str">
        <f ca="1"/>
        <v>OK</v>
      </c>
    </row>
    <row r="6021" spans="2:34" x14ac:dyDescent="0.2">
      <c r="B6021" s="2">
        <f ca="1"/>
        <v>0.79853094486521892</v>
      </c>
      <c r="O6021" s="2">
        <f ca="1"/>
        <v>1.3753736553321296</v>
      </c>
      <c r="X6021" s="2">
        <f ca="1"/>
        <v>66.645615570267182</v>
      </c>
      <c r="AG6021" s="2">
        <f ca="1"/>
        <v>9.6047846689413241E-3</v>
      </c>
      <c r="AH6021" s="2" t="str">
        <f ca="1"/>
        <v>Good</v>
      </c>
    </row>
    <row r="6022" spans="2:34" x14ac:dyDescent="0.2">
      <c r="B6022" s="2">
        <f ca="1"/>
        <v>0.14663286472420789</v>
      </c>
      <c r="O6022" s="2">
        <f ca="1"/>
        <v>6.3093604628370829E-3</v>
      </c>
      <c r="X6022" s="2">
        <f ca="1"/>
        <v>65.240492164451325</v>
      </c>
      <c r="AG6022" s="2">
        <f ca="1"/>
        <v>0.36647375053264808</v>
      </c>
      <c r="AH6022" s="2" t="str">
        <f ca="1"/>
        <v>OK</v>
      </c>
    </row>
    <row r="6023" spans="2:34" x14ac:dyDescent="0.2">
      <c r="B6023" s="2">
        <f ca="1"/>
        <v>0.86771169367977063</v>
      </c>
      <c r="O6023" s="2">
        <f ca="1"/>
        <v>-0.65673303306771436</v>
      </c>
      <c r="X6023" s="2">
        <f ca="1"/>
        <v>74.492842752625791</v>
      </c>
      <c r="AG6023" s="2">
        <f ca="1"/>
        <v>0.51829639476465594</v>
      </c>
      <c r="AH6023" s="2" t="str">
        <f ca="1"/>
        <v>Bad</v>
      </c>
    </row>
    <row r="6024" spans="2:34" x14ac:dyDescent="0.2">
      <c r="B6024" s="2">
        <f ca="1"/>
        <v>0.92546099716141605</v>
      </c>
      <c r="O6024" s="2">
        <f ca="1"/>
        <v>-0.92083175202242562</v>
      </c>
      <c r="X6024" s="2">
        <f ca="1"/>
        <v>58.714847857252536</v>
      </c>
      <c r="AG6024" s="2">
        <f ca="1"/>
        <v>0.72137986329017822</v>
      </c>
      <c r="AH6024" s="2" t="str">
        <f ca="1"/>
        <v>Bad</v>
      </c>
    </row>
    <row r="6025" spans="2:34" x14ac:dyDescent="0.2">
      <c r="B6025" s="2">
        <f ca="1"/>
        <v>0.64322932937886623</v>
      </c>
      <c r="O6025" s="2">
        <f ca="1"/>
        <v>-0.22775481781609691</v>
      </c>
      <c r="X6025" s="2">
        <f ca="1"/>
        <v>49.825725886016613</v>
      </c>
      <c r="AG6025" s="2">
        <f ca="1"/>
        <v>0.47224843276283601</v>
      </c>
      <c r="AH6025" s="2" t="str">
        <f ca="1"/>
        <v>Bad</v>
      </c>
    </row>
    <row r="6026" spans="2:34" x14ac:dyDescent="0.2">
      <c r="B6026" s="2">
        <f ca="1"/>
        <v>0.11763399253299611</v>
      </c>
      <c r="O6026" s="2">
        <f ca="1"/>
        <v>-0.63162627487581369</v>
      </c>
      <c r="X6026" s="2">
        <f ca="1"/>
        <v>38.011133065109149</v>
      </c>
      <c r="AG6026" s="2">
        <f ca="1"/>
        <v>0.31270153185553973</v>
      </c>
      <c r="AH6026" s="2" t="str">
        <f ca="1"/>
        <v>OK</v>
      </c>
    </row>
    <row r="6027" spans="2:34" x14ac:dyDescent="0.2">
      <c r="B6027" s="2">
        <f ca="1"/>
        <v>0.69179872809707521</v>
      </c>
      <c r="O6027" s="2">
        <f ca="1"/>
        <v>-1.3577068542072386</v>
      </c>
      <c r="X6027" s="2">
        <f ca="1"/>
        <v>65.622446825261505</v>
      </c>
      <c r="AG6027" s="2">
        <f ca="1"/>
        <v>0.94976274440871578</v>
      </c>
      <c r="AH6027" s="2" t="str">
        <f ca="1"/>
        <v>Bad</v>
      </c>
    </row>
    <row r="6028" spans="2:34" x14ac:dyDescent="0.2">
      <c r="B6028" s="2">
        <f ca="1"/>
        <v>0.96241469522318757</v>
      </c>
      <c r="O6028" s="2">
        <f ca="1"/>
        <v>-0.28646519425638012</v>
      </c>
      <c r="X6028" s="2">
        <f ca="1"/>
        <v>37.280003340335796</v>
      </c>
      <c r="AG6028" s="2">
        <f ca="1"/>
        <v>0.11217569332470134</v>
      </c>
      <c r="AH6028" s="2" t="str">
        <f ca="1"/>
        <v>OK</v>
      </c>
    </row>
    <row r="6029" spans="2:34" x14ac:dyDescent="0.2">
      <c r="B6029" s="2">
        <f ca="1"/>
        <v>0.61809432630793415</v>
      </c>
      <c r="O6029" s="2">
        <f ca="1"/>
        <v>0.49990646083874402</v>
      </c>
      <c r="X6029" s="2">
        <f ca="1"/>
        <v>40.642907229672446</v>
      </c>
      <c r="AG6029" s="2">
        <f ca="1"/>
        <v>0.90273600776275886</v>
      </c>
      <c r="AH6029" s="2" t="str">
        <f ca="1"/>
        <v>Bad</v>
      </c>
    </row>
    <row r="6030" spans="2:34" x14ac:dyDescent="0.2">
      <c r="B6030" s="2">
        <f ca="1"/>
        <v>0.71325031463459898</v>
      </c>
      <c r="O6030" s="2">
        <f ca="1"/>
        <v>0.12787946353537016</v>
      </c>
      <c r="X6030" s="2">
        <f ca="1"/>
        <v>23.184670284965847</v>
      </c>
      <c r="AG6030" s="2">
        <f ca="1"/>
        <v>0.84502704384610294</v>
      </c>
      <c r="AH6030" s="2" t="str">
        <f ca="1"/>
        <v>Bad</v>
      </c>
    </row>
    <row r="6031" spans="2:34" x14ac:dyDescent="0.2">
      <c r="B6031" s="2">
        <f ca="1"/>
        <v>0.85088242585763663</v>
      </c>
      <c r="O6031" s="2">
        <f ca="1"/>
        <v>-0.15900238666024602</v>
      </c>
      <c r="X6031" s="2">
        <f ca="1"/>
        <v>46.447279184838052</v>
      </c>
      <c r="AG6031" s="2">
        <f ca="1"/>
        <v>0.91797876637738063</v>
      </c>
      <c r="AH6031" s="2" t="str">
        <f ca="1"/>
        <v>Bad</v>
      </c>
    </row>
    <row r="6032" spans="2:34" x14ac:dyDescent="0.2">
      <c r="B6032" s="2">
        <f ca="1"/>
        <v>0.26234846171169957</v>
      </c>
      <c r="O6032" s="2">
        <f ca="1"/>
        <v>-0.76312139946021484</v>
      </c>
      <c r="X6032" s="2">
        <f ca="1"/>
        <v>51.520892833445785</v>
      </c>
      <c r="AG6032" s="2">
        <f ca="1"/>
        <v>0.72646224787665159</v>
      </c>
      <c r="AH6032" s="2" t="str">
        <f ca="1"/>
        <v>Bad</v>
      </c>
    </row>
    <row r="6033" spans="2:34" x14ac:dyDescent="0.2">
      <c r="B6033" s="2">
        <f ca="1"/>
        <v>0.64564610334819506</v>
      </c>
      <c r="O6033" s="2">
        <f ca="1"/>
        <v>-1.1483596681555786</v>
      </c>
      <c r="X6033" s="2">
        <f ca="1"/>
        <v>49.190439578720429</v>
      </c>
      <c r="AG6033" s="2">
        <f ca="1"/>
        <v>0.80814734218021855</v>
      </c>
      <c r="AH6033" s="2" t="str">
        <f ca="1"/>
        <v>Bad</v>
      </c>
    </row>
    <row r="6034" spans="2:34" x14ac:dyDescent="0.2">
      <c r="B6034" s="2">
        <f ca="1"/>
        <v>0.98971430265430316</v>
      </c>
      <c r="O6034" s="2">
        <f ca="1"/>
        <v>0.71472089735835731</v>
      </c>
      <c r="X6034" s="2">
        <f ca="1"/>
        <v>54.640949705407323</v>
      </c>
      <c r="AG6034" s="2">
        <f ca="1"/>
        <v>0.75577994799557247</v>
      </c>
      <c r="AH6034" s="2" t="str">
        <f ca="1"/>
        <v>Bad</v>
      </c>
    </row>
    <row r="6035" spans="2:34" x14ac:dyDescent="0.2">
      <c r="B6035" s="2">
        <f ca="1"/>
        <v>0.14606013040748911</v>
      </c>
      <c r="O6035" s="2">
        <f ca="1"/>
        <v>1.0819732895716236</v>
      </c>
      <c r="X6035" s="2">
        <f ca="1"/>
        <v>61.309675797942432</v>
      </c>
      <c r="AG6035" s="2">
        <f ca="1"/>
        <v>4.0992970509897919E-2</v>
      </c>
      <c r="AH6035" s="2" t="str">
        <f ca="1"/>
        <v>Good</v>
      </c>
    </row>
    <row r="6036" spans="2:34" x14ac:dyDescent="0.2">
      <c r="B6036" s="2">
        <f ca="1"/>
        <v>0.43355899709271029</v>
      </c>
      <c r="O6036" s="2">
        <f ca="1"/>
        <v>-0.93386105149528054</v>
      </c>
      <c r="X6036" s="2">
        <f ca="1"/>
        <v>60.648975663426725</v>
      </c>
      <c r="AG6036" s="2">
        <f ca="1"/>
        <v>0.93133161690665367</v>
      </c>
      <c r="AH6036" s="2" t="str">
        <f ca="1"/>
        <v>Bad</v>
      </c>
    </row>
    <row r="6037" spans="2:34" x14ac:dyDescent="0.2">
      <c r="B6037" s="2">
        <f ca="1"/>
        <v>0.51552929737936903</v>
      </c>
      <c r="O6037" s="2">
        <f ca="1"/>
        <v>9.8975330915276119E-2</v>
      </c>
      <c r="X6037" s="2">
        <f ca="1"/>
        <v>62.876547201599109</v>
      </c>
      <c r="AG6037" s="2">
        <f ca="1"/>
        <v>0.22044291757045742</v>
      </c>
      <c r="AH6037" s="2" t="str">
        <f ca="1"/>
        <v>OK</v>
      </c>
    </row>
    <row r="6038" spans="2:34" x14ac:dyDescent="0.2">
      <c r="B6038" s="2">
        <f ca="1"/>
        <v>0.18305641102643655</v>
      </c>
      <c r="O6038" s="2">
        <f ca="1"/>
        <v>-9.8886918666305099E-2</v>
      </c>
      <c r="X6038" s="2">
        <f ca="1"/>
        <v>83.382321306656905</v>
      </c>
      <c r="AG6038" s="2">
        <f ca="1"/>
        <v>0.19421836909719437</v>
      </c>
      <c r="AH6038" s="2" t="str">
        <f ca="1"/>
        <v>OK</v>
      </c>
    </row>
    <row r="6039" spans="2:34" x14ac:dyDescent="0.2">
      <c r="B6039" s="2">
        <f ca="1"/>
        <v>0.64927618485969041</v>
      </c>
      <c r="O6039" s="2">
        <f ca="1"/>
        <v>0.16981812192117648</v>
      </c>
      <c r="X6039" s="2">
        <f ca="1"/>
        <v>53.867300096705073</v>
      </c>
      <c r="AG6039" s="2">
        <f ca="1"/>
        <v>0.13340105302640892</v>
      </c>
      <c r="AH6039" s="2" t="str">
        <f ca="1"/>
        <v>OK</v>
      </c>
    </row>
    <row r="6040" spans="2:34" x14ac:dyDescent="0.2">
      <c r="B6040" s="2">
        <f ca="1"/>
        <v>0.18711984495081158</v>
      </c>
      <c r="O6040" s="2">
        <f ca="1"/>
        <v>-0.84621379324741519</v>
      </c>
      <c r="X6040" s="2">
        <f ca="1"/>
        <v>41.508393251905098</v>
      </c>
      <c r="AG6040" s="2">
        <f ca="1"/>
        <v>0.65812678699840244</v>
      </c>
      <c r="AH6040" s="2" t="str">
        <f ca="1"/>
        <v>Bad</v>
      </c>
    </row>
    <row r="6041" spans="2:34" x14ac:dyDescent="0.2">
      <c r="B6041" s="2">
        <f ca="1"/>
        <v>0.12514556237600938</v>
      </c>
      <c r="O6041" s="2">
        <f ca="1"/>
        <v>0.8585204320336991</v>
      </c>
      <c r="X6041" s="2">
        <f ca="1"/>
        <v>36.751002042651635</v>
      </c>
      <c r="AG6041" s="2">
        <f ca="1"/>
        <v>0.78823676249779639</v>
      </c>
      <c r="AH6041" s="2" t="str">
        <f ca="1"/>
        <v>Bad</v>
      </c>
    </row>
    <row r="6042" spans="2:34" x14ac:dyDescent="0.2">
      <c r="B6042" s="2">
        <f ca="1"/>
        <v>0.10268184446601714</v>
      </c>
      <c r="O6042" s="2">
        <f ca="1"/>
        <v>1.163013373742765</v>
      </c>
      <c r="X6042" s="2">
        <f ca="1"/>
        <v>45.049115225410439</v>
      </c>
      <c r="AG6042" s="2">
        <f ca="1"/>
        <v>0.91887901491507273</v>
      </c>
      <c r="AH6042" s="2" t="str">
        <f ca="1"/>
        <v>Bad</v>
      </c>
    </row>
    <row r="6043" spans="2:34" x14ac:dyDescent="0.2">
      <c r="B6043" s="2">
        <f ca="1"/>
        <v>0.86690896422227048</v>
      </c>
      <c r="O6043" s="2">
        <f ca="1"/>
        <v>-1.1698474578406728</v>
      </c>
      <c r="X6043" s="2">
        <f ca="1"/>
        <v>36.3342142088106</v>
      </c>
      <c r="AG6043" s="2">
        <f ca="1"/>
        <v>0.36415783173635008</v>
      </c>
      <c r="AH6043" s="2" t="str">
        <f ca="1"/>
        <v>OK</v>
      </c>
    </row>
    <row r="6044" spans="2:34" x14ac:dyDescent="0.2">
      <c r="B6044" s="2">
        <f ca="1"/>
        <v>0.33075323294701042</v>
      </c>
      <c r="O6044" s="2">
        <f ca="1"/>
        <v>0.29132099902520181</v>
      </c>
      <c r="X6044" s="2">
        <f ca="1"/>
        <v>38.606507169312408</v>
      </c>
      <c r="AG6044" s="2">
        <f ca="1"/>
        <v>0.78528227868824785</v>
      </c>
      <c r="AH6044" s="2" t="str">
        <f ca="1"/>
        <v>Bad</v>
      </c>
    </row>
    <row r="6045" spans="2:34" x14ac:dyDescent="0.2">
      <c r="B6045" s="2">
        <f ca="1"/>
        <v>5.451199114415739E-2</v>
      </c>
      <c r="O6045" s="2">
        <f ca="1"/>
        <v>0.76561236829416435</v>
      </c>
      <c r="X6045" s="2">
        <f ca="1"/>
        <v>28.14936906111884</v>
      </c>
      <c r="AG6045" s="2">
        <f ca="1"/>
        <v>0.88795296596187212</v>
      </c>
      <c r="AH6045" s="2" t="str">
        <f ca="1"/>
        <v>Bad</v>
      </c>
    </row>
    <row r="6046" spans="2:34" x14ac:dyDescent="0.2">
      <c r="B6046" s="2">
        <f ca="1"/>
        <v>0.80211692923382527</v>
      </c>
      <c r="O6046" s="2">
        <f ca="1"/>
        <v>1.4224853735124221</v>
      </c>
      <c r="X6046" s="2">
        <f ca="1"/>
        <v>56.010598554879003</v>
      </c>
      <c r="AG6046" s="2">
        <f ca="1"/>
        <v>0.22913506428688368</v>
      </c>
      <c r="AH6046" s="2" t="str">
        <f ca="1"/>
        <v>OK</v>
      </c>
    </row>
    <row r="6047" spans="2:34" x14ac:dyDescent="0.2">
      <c r="B6047" s="2">
        <f ca="1"/>
        <v>0.73540635449504199</v>
      </c>
      <c r="O6047" s="2">
        <f ca="1"/>
        <v>-0.44155458500472133</v>
      </c>
      <c r="X6047" s="2">
        <f ca="1"/>
        <v>62.261576737462008</v>
      </c>
      <c r="AG6047" s="2">
        <f ca="1"/>
        <v>8.8058748376176332E-3</v>
      </c>
      <c r="AH6047" s="2" t="str">
        <f ca="1"/>
        <v>Good</v>
      </c>
    </row>
    <row r="6048" spans="2:34" x14ac:dyDescent="0.2">
      <c r="B6048" s="2">
        <f ca="1"/>
        <v>0.51128918352700503</v>
      </c>
      <c r="O6048" s="2">
        <f ca="1"/>
        <v>0.76906259081403738</v>
      </c>
      <c r="X6048" s="2">
        <f ca="1"/>
        <v>57.068435055154396</v>
      </c>
      <c r="AG6048" s="2">
        <f ca="1"/>
        <v>0.22630313829949933</v>
      </c>
      <c r="AH6048" s="2" t="str">
        <f ca="1"/>
        <v>OK</v>
      </c>
    </row>
    <row r="6049" spans="2:34" x14ac:dyDescent="0.2">
      <c r="B6049" s="2">
        <f ca="1"/>
        <v>1.5713887983554997E-2</v>
      </c>
      <c r="O6049" s="2">
        <f ca="1"/>
        <v>1.278889032139042</v>
      </c>
      <c r="X6049" s="2">
        <f ca="1"/>
        <v>43.860652487972786</v>
      </c>
      <c r="AG6049" s="2">
        <f ca="1"/>
        <v>0.61551203658225706</v>
      </c>
      <c r="AH6049" s="2" t="str">
        <f ca="1"/>
        <v>Bad</v>
      </c>
    </row>
    <row r="6050" spans="2:34" x14ac:dyDescent="0.2">
      <c r="B6050" s="2">
        <f ca="1"/>
        <v>0.62908243981270751</v>
      </c>
      <c r="O6050" s="2">
        <f ca="1"/>
        <v>1.0912459030388804</v>
      </c>
      <c r="X6050" s="2">
        <f ca="1"/>
        <v>36.612557450955407</v>
      </c>
      <c r="AG6050" s="2">
        <f ca="1"/>
        <v>0.16670944530019005</v>
      </c>
      <c r="AH6050" s="2" t="str">
        <f ca="1"/>
        <v>OK</v>
      </c>
    </row>
    <row r="6051" spans="2:34" x14ac:dyDescent="0.2">
      <c r="B6051" s="2">
        <f ca="1"/>
        <v>0.85892130748210671</v>
      </c>
      <c r="O6051" s="2">
        <f ca="1"/>
        <v>-1.022279827478866</v>
      </c>
      <c r="X6051" s="2">
        <f ca="1"/>
        <v>48.000665913174679</v>
      </c>
      <c r="AG6051" s="2">
        <f ca="1"/>
        <v>0.68870382436224165</v>
      </c>
      <c r="AH6051" s="2" t="str">
        <f ca="1"/>
        <v>Bad</v>
      </c>
    </row>
    <row r="6052" spans="2:34" x14ac:dyDescent="0.2">
      <c r="B6052" s="2">
        <f ca="1"/>
        <v>2.3923188132652262E-2</v>
      </c>
      <c r="O6052" s="2">
        <f ca="1"/>
        <v>-0.50713272934006681</v>
      </c>
      <c r="X6052" s="2">
        <f ca="1"/>
        <v>55.905082846000482</v>
      </c>
      <c r="AG6052" s="2">
        <f ca="1"/>
        <v>0.62232738571596236</v>
      </c>
      <c r="AH6052" s="2" t="str">
        <f ca="1"/>
        <v>Bad</v>
      </c>
    </row>
    <row r="6053" spans="2:34" x14ac:dyDescent="0.2">
      <c r="B6053" s="2">
        <f ca="1"/>
        <v>0.17157248299669114</v>
      </c>
      <c r="O6053" s="2">
        <f ca="1"/>
        <v>1.3465397431316554E-2</v>
      </c>
      <c r="X6053" s="2">
        <f ca="1"/>
        <v>42.921135664211867</v>
      </c>
      <c r="AG6053" s="2">
        <f ca="1"/>
        <v>0.37889294515880501</v>
      </c>
      <c r="AH6053" s="2" t="str">
        <f ca="1"/>
        <v>OK</v>
      </c>
    </row>
    <row r="6054" spans="2:34" x14ac:dyDescent="0.2">
      <c r="B6054" s="2">
        <f ca="1"/>
        <v>0.73055946726739385</v>
      </c>
      <c r="O6054" s="2">
        <f ca="1"/>
        <v>-6.3406786382183555E-2</v>
      </c>
      <c r="X6054" s="2">
        <f ca="1"/>
        <v>83.108366161632176</v>
      </c>
      <c r="AG6054" s="2">
        <f ca="1"/>
        <v>0.58188379522969469</v>
      </c>
      <c r="AH6054" s="2" t="str">
        <f ca="1"/>
        <v>Bad</v>
      </c>
    </row>
    <row r="6055" spans="2:34" x14ac:dyDescent="0.2">
      <c r="B6055" s="2">
        <f ca="1"/>
        <v>0.46003390836734459</v>
      </c>
      <c r="O6055" s="2">
        <f ca="1"/>
        <v>0.15581766203401248</v>
      </c>
      <c r="X6055" s="2">
        <f ca="1"/>
        <v>39.800991558097266</v>
      </c>
      <c r="AG6055" s="2">
        <f ca="1"/>
        <v>0.74855351216719268</v>
      </c>
      <c r="AH6055" s="2" t="str">
        <f ca="1"/>
        <v>Bad</v>
      </c>
    </row>
    <row r="6056" spans="2:34" x14ac:dyDescent="0.2">
      <c r="B6056" s="2">
        <f ca="1"/>
        <v>0.6444517280877553</v>
      </c>
      <c r="O6056" s="2">
        <f ca="1"/>
        <v>-1.4732061629249422</v>
      </c>
      <c r="X6056" s="2">
        <f ca="1"/>
        <v>90.527941214682102</v>
      </c>
      <c r="AG6056" s="2">
        <f ca="1"/>
        <v>0.88158446678198588</v>
      </c>
      <c r="AH6056" s="2" t="str">
        <f ca="1"/>
        <v>Bad</v>
      </c>
    </row>
    <row r="6057" spans="2:34" x14ac:dyDescent="0.2">
      <c r="B6057" s="2">
        <f ca="1"/>
        <v>2.7743128908617631E-2</v>
      </c>
      <c r="O6057" s="2">
        <f ca="1"/>
        <v>6.6579217691112608E-2</v>
      </c>
      <c r="X6057" s="2">
        <f ca="1"/>
        <v>55.649920978481575</v>
      </c>
      <c r="AG6057" s="2">
        <f ca="1"/>
        <v>0.17237329782031896</v>
      </c>
      <c r="AH6057" s="2" t="str">
        <f ca="1"/>
        <v>OK</v>
      </c>
    </row>
    <row r="6058" spans="2:34" x14ac:dyDescent="0.2">
      <c r="B6058" s="2">
        <f ca="1"/>
        <v>0.82172954337437298</v>
      </c>
      <c r="O6058" s="2">
        <f ca="1"/>
        <v>0.56585343964003765</v>
      </c>
      <c r="X6058" s="2">
        <f ca="1"/>
        <v>61.237004078955131</v>
      </c>
      <c r="AG6058" s="2">
        <f ca="1"/>
        <v>0.94790407366038076</v>
      </c>
      <c r="AH6058" s="2" t="str">
        <f ca="1"/>
        <v>Bad</v>
      </c>
    </row>
    <row r="6059" spans="2:34" x14ac:dyDescent="0.2">
      <c r="B6059" s="2">
        <f ca="1"/>
        <v>0.72789369953530292</v>
      </c>
      <c r="O6059" s="2">
        <f ca="1"/>
        <v>1.3121986863692523</v>
      </c>
      <c r="X6059" s="2">
        <f ca="1"/>
        <v>49.100997264529582</v>
      </c>
      <c r="AG6059" s="2">
        <f ca="1"/>
        <v>0.46422711681416606</v>
      </c>
      <c r="AH6059" s="2" t="str">
        <f ca="1"/>
        <v>Bad</v>
      </c>
    </row>
    <row r="6060" spans="2:34" x14ac:dyDescent="0.2">
      <c r="B6060" s="2">
        <f ca="1"/>
        <v>0.21496591661240516</v>
      </c>
      <c r="O6060" s="2">
        <f ca="1"/>
        <v>0.8654557039146813</v>
      </c>
      <c r="X6060" s="2">
        <f ca="1"/>
        <v>66.673516229055792</v>
      </c>
      <c r="AG6060" s="2">
        <f ca="1"/>
        <v>0.5907703822947632</v>
      </c>
      <c r="AH6060" s="2" t="str">
        <f ca="1"/>
        <v>Bad</v>
      </c>
    </row>
    <row r="6061" spans="2:34" x14ac:dyDescent="0.2">
      <c r="B6061" s="2">
        <f ca="1"/>
        <v>0.97867086343020637</v>
      </c>
      <c r="O6061" s="2">
        <f ca="1"/>
        <v>0.20223642550661886</v>
      </c>
      <c r="X6061" s="2">
        <f ca="1"/>
        <v>56.044365592186963</v>
      </c>
      <c r="AG6061" s="2">
        <f ca="1"/>
        <v>0.58255811074978747</v>
      </c>
      <c r="AH6061" s="2" t="str">
        <f ca="1"/>
        <v>Bad</v>
      </c>
    </row>
    <row r="6062" spans="2:34" x14ac:dyDescent="0.2">
      <c r="B6062" s="2">
        <f ca="1"/>
        <v>0.51537072747823998</v>
      </c>
      <c r="O6062" s="2">
        <f ca="1"/>
        <v>0.80560679210085995</v>
      </c>
      <c r="X6062" s="2">
        <f ca="1"/>
        <v>45.732761274057914</v>
      </c>
      <c r="AG6062" s="2">
        <f ca="1"/>
        <v>0.67344899363377575</v>
      </c>
      <c r="AH6062" s="2" t="str">
        <f ca="1"/>
        <v>Bad</v>
      </c>
    </row>
    <row r="6063" spans="2:34" x14ac:dyDescent="0.2">
      <c r="B6063" s="2">
        <f ca="1"/>
        <v>0.41453822623835412</v>
      </c>
      <c r="O6063" s="2">
        <f ca="1"/>
        <v>1.9183236731656614</v>
      </c>
      <c r="X6063" s="2">
        <f ca="1"/>
        <v>40.808704082068694</v>
      </c>
      <c r="AG6063" s="2">
        <f ca="1"/>
        <v>0.68040964304940887</v>
      </c>
      <c r="AH6063" s="2" t="str">
        <f ca="1"/>
        <v>Bad</v>
      </c>
    </row>
    <row r="6064" spans="2:34" x14ac:dyDescent="0.2">
      <c r="B6064" s="2">
        <f ca="1"/>
        <v>5.7560989487146941E-2</v>
      </c>
      <c r="O6064" s="2">
        <f ca="1"/>
        <v>-1.5878286789869234</v>
      </c>
      <c r="X6064" s="2">
        <f ca="1"/>
        <v>26.988324914951281</v>
      </c>
      <c r="AG6064" s="2">
        <f ca="1"/>
        <v>0.35431850513106689</v>
      </c>
      <c r="AH6064" s="2" t="str">
        <f ca="1"/>
        <v>OK</v>
      </c>
    </row>
    <row r="6065" spans="2:34" x14ac:dyDescent="0.2">
      <c r="B6065" s="2">
        <f ca="1"/>
        <v>0.85966492361003022</v>
      </c>
      <c r="O6065" s="2">
        <f ca="1"/>
        <v>3.8197511884263222E-2</v>
      </c>
      <c r="X6065" s="2">
        <f ca="1"/>
        <v>48.199327388846626</v>
      </c>
      <c r="AG6065" s="2">
        <f ca="1"/>
        <v>0.89196810284458272</v>
      </c>
      <c r="AH6065" s="2" t="str">
        <f ca="1"/>
        <v>Bad</v>
      </c>
    </row>
    <row r="6066" spans="2:34" x14ac:dyDescent="0.2">
      <c r="B6066" s="2">
        <f ca="1"/>
        <v>0.81369026367973252</v>
      </c>
      <c r="O6066" s="2">
        <f ca="1"/>
        <v>0.77569347523233345</v>
      </c>
      <c r="X6066" s="2">
        <f ca="1"/>
        <v>52.019889008194475</v>
      </c>
      <c r="AG6066" s="2">
        <f ca="1"/>
        <v>0.47053719803614658</v>
      </c>
      <c r="AH6066" s="2" t="str">
        <f ca="1"/>
        <v>Bad</v>
      </c>
    </row>
    <row r="6067" spans="2:34" x14ac:dyDescent="0.2">
      <c r="B6067" s="2">
        <f ca="1"/>
        <v>0.45716467778934966</v>
      </c>
      <c r="O6067" s="2">
        <f ca="1"/>
        <v>-1.4509742947383479</v>
      </c>
      <c r="X6067" s="2">
        <f ca="1"/>
        <v>41.196868571440881</v>
      </c>
      <c r="AG6067" s="2">
        <f ca="1"/>
        <v>0.35992873773487499</v>
      </c>
      <c r="AH6067" s="2" t="str">
        <f ca="1"/>
        <v>OK</v>
      </c>
    </row>
    <row r="6068" spans="2:34" x14ac:dyDescent="0.2">
      <c r="B6068" s="2">
        <f ca="1"/>
        <v>0.11134170151775935</v>
      </c>
      <c r="O6068" s="2">
        <f ca="1"/>
        <v>8.7354597648694923E-2</v>
      </c>
      <c r="X6068" s="2">
        <f ca="1"/>
        <v>34.595658305215892</v>
      </c>
      <c r="AG6068" s="2">
        <f ca="1"/>
        <v>0.90603580173040887</v>
      </c>
      <c r="AH6068" s="2" t="str">
        <f ca="1"/>
        <v>Bad</v>
      </c>
    </row>
    <row r="6069" spans="2:34" x14ac:dyDescent="0.2">
      <c r="B6069" s="2">
        <f ca="1"/>
        <v>0.39216679745880367</v>
      </c>
      <c r="O6069" s="2">
        <f ca="1"/>
        <v>0.25781166996355664</v>
      </c>
      <c r="X6069" s="2">
        <f ca="1"/>
        <v>59.360692031351682</v>
      </c>
      <c r="AG6069" s="2">
        <f ca="1"/>
        <v>0.66742153454861075</v>
      </c>
      <c r="AH6069" s="2" t="str">
        <f ca="1"/>
        <v>Bad</v>
      </c>
    </row>
    <row r="6070" spans="2:34" x14ac:dyDescent="0.2">
      <c r="B6070" s="2">
        <f ca="1"/>
        <v>2.9678809041262078E-2</v>
      </c>
      <c r="O6070" s="2">
        <f ca="1"/>
        <v>-0.51349963358070294</v>
      </c>
      <c r="X6070" s="2">
        <f ca="1"/>
        <v>48.977531721470548</v>
      </c>
      <c r="AG6070" s="2">
        <f ca="1"/>
        <v>0.72299435008848567</v>
      </c>
      <c r="AH6070" s="2" t="str">
        <f ca="1"/>
        <v>Bad</v>
      </c>
    </row>
    <row r="6071" spans="2:34" x14ac:dyDescent="0.2">
      <c r="B6071" s="2">
        <f ca="1"/>
        <v>0.15685029136728112</v>
      </c>
      <c r="O6071" s="2">
        <f ca="1"/>
        <v>1.7811415650203277</v>
      </c>
      <c r="X6071" s="2">
        <f ca="1"/>
        <v>42.313375126801958</v>
      </c>
      <c r="AG6071" s="2">
        <f ca="1"/>
        <v>0.45170765841714045</v>
      </c>
      <c r="AH6071" s="2" t="str">
        <f ca="1"/>
        <v>Bad</v>
      </c>
    </row>
    <row r="6072" spans="2:34" x14ac:dyDescent="0.2">
      <c r="B6072" s="2">
        <f ca="1"/>
        <v>1.6814489850894399E-2</v>
      </c>
      <c r="O6072" s="2">
        <f ca="1"/>
        <v>2.5736839664483209</v>
      </c>
      <c r="X6072" s="2">
        <f ca="1"/>
        <v>50.647124364217561</v>
      </c>
      <c r="AG6072" s="2">
        <f ca="1"/>
        <v>5.2956250167723429E-2</v>
      </c>
      <c r="AH6072" s="2" t="str">
        <f ca="1"/>
        <v>OK</v>
      </c>
    </row>
    <row r="6073" spans="2:34" x14ac:dyDescent="0.2">
      <c r="B6073" s="2">
        <f ca="1"/>
        <v>0.59119991229180435</v>
      </c>
      <c r="O6073" s="2">
        <f ca="1"/>
        <v>-0.75303453862850489</v>
      </c>
      <c r="X6073" s="2">
        <f ca="1"/>
        <v>101.50467202442005</v>
      </c>
      <c r="AG6073" s="2">
        <f ca="1"/>
        <v>0.50426172460020213</v>
      </c>
      <c r="AH6073" s="2" t="str">
        <f ca="1"/>
        <v>Bad</v>
      </c>
    </row>
    <row r="6074" spans="2:34" x14ac:dyDescent="0.2">
      <c r="B6074" s="2">
        <f ca="1"/>
        <v>0.35279255666788067</v>
      </c>
      <c r="O6074" s="2">
        <f ca="1"/>
        <v>-0.7502980132477346</v>
      </c>
      <c r="X6074" s="2">
        <f ca="1"/>
        <v>50.208339956498982</v>
      </c>
      <c r="AG6074" s="2">
        <f ca="1"/>
        <v>0.99255259205615043</v>
      </c>
      <c r="AH6074" s="2" t="str">
        <f ca="1"/>
        <v>Bad</v>
      </c>
    </row>
    <row r="6075" spans="2:34" x14ac:dyDescent="0.2">
      <c r="B6075" s="2">
        <f ca="1"/>
        <v>0.27436321539873543</v>
      </c>
      <c r="O6075" s="2">
        <f ca="1"/>
        <v>-1.3455797999082422</v>
      </c>
      <c r="X6075" s="2">
        <f ca="1"/>
        <v>37.690323465803338</v>
      </c>
      <c r="AG6075" s="2">
        <f ca="1"/>
        <v>0.75871139088997674</v>
      </c>
      <c r="AH6075" s="2" t="str">
        <f ca="1"/>
        <v>Bad</v>
      </c>
    </row>
    <row r="6076" spans="2:34" x14ac:dyDescent="0.2">
      <c r="B6076" s="2">
        <f ca="1"/>
        <v>0.47939797970119247</v>
      </c>
      <c r="O6076" s="2">
        <f ca="1"/>
        <v>7.627942783819526E-2</v>
      </c>
      <c r="X6076" s="2">
        <f ca="1"/>
        <v>34.840965806611067</v>
      </c>
      <c r="AG6076" s="2">
        <f ca="1"/>
        <v>0.2072998897573366</v>
      </c>
      <c r="AH6076" s="2" t="str">
        <f ca="1"/>
        <v>OK</v>
      </c>
    </row>
    <row r="6077" spans="2:34" x14ac:dyDescent="0.2">
      <c r="B6077" s="2">
        <f ca="1"/>
        <v>0.54766436764677251</v>
      </c>
      <c r="O6077" s="2">
        <f ca="1"/>
        <v>-1.3131738563504862</v>
      </c>
      <c r="X6077" s="2">
        <f ca="1"/>
        <v>26.771979036274015</v>
      </c>
      <c r="AG6077" s="2">
        <f ca="1"/>
        <v>0.28398614088014273</v>
      </c>
      <c r="AH6077" s="2" t="str">
        <f ca="1"/>
        <v>OK</v>
      </c>
    </row>
    <row r="6078" spans="2:34" x14ac:dyDescent="0.2">
      <c r="B6078" s="2">
        <f ca="1"/>
        <v>0.91559088789467125</v>
      </c>
      <c r="O6078" s="2">
        <f ca="1"/>
        <v>-1.1457000864682989</v>
      </c>
      <c r="X6078" s="2">
        <f ca="1"/>
        <v>65.596183160505021</v>
      </c>
      <c r="AG6078" s="2">
        <f ca="1"/>
        <v>0.76390549686779163</v>
      </c>
      <c r="AH6078" s="2" t="str">
        <f ca="1"/>
        <v>Bad</v>
      </c>
    </row>
    <row r="6079" spans="2:34" x14ac:dyDescent="0.2">
      <c r="B6079" s="2">
        <f ca="1"/>
        <v>0.83374735388976773</v>
      </c>
      <c r="O6079" s="2">
        <f ca="1"/>
        <v>0.99999658385047563</v>
      </c>
      <c r="X6079" s="2">
        <f ca="1"/>
        <v>29.679397185552236</v>
      </c>
      <c r="AG6079" s="2">
        <f ca="1"/>
        <v>0.18270824182620893</v>
      </c>
      <c r="AH6079" s="2" t="str">
        <f ca="1"/>
        <v>OK</v>
      </c>
    </row>
    <row r="6080" spans="2:34" x14ac:dyDescent="0.2">
      <c r="B6080" s="2">
        <f ca="1"/>
        <v>0.26889935180307201</v>
      </c>
      <c r="O6080" s="2">
        <f ca="1"/>
        <v>-9.1104978674585335E-2</v>
      </c>
      <c r="X6080" s="2">
        <f ca="1"/>
        <v>62.98391181020186</v>
      </c>
      <c r="AG6080" s="2">
        <f ca="1"/>
        <v>0.59671175007915878</v>
      </c>
      <c r="AH6080" s="2" t="str">
        <f ca="1"/>
        <v>Bad</v>
      </c>
    </row>
    <row r="6081" spans="2:34" x14ac:dyDescent="0.2">
      <c r="B6081" s="2">
        <f ca="1"/>
        <v>0.29531378984955325</v>
      </c>
      <c r="O6081" s="2">
        <f ca="1"/>
        <v>-2.1615923992118495</v>
      </c>
      <c r="X6081" s="2">
        <f ca="1"/>
        <v>32.002051202858311</v>
      </c>
      <c r="AG6081" s="2">
        <f ca="1"/>
        <v>0.53834153140932406</v>
      </c>
      <c r="AH6081" s="2" t="str">
        <f ca="1"/>
        <v>Bad</v>
      </c>
    </row>
    <row r="6082" spans="2:34" x14ac:dyDescent="0.2">
      <c r="B6082" s="2">
        <f ca="1"/>
        <v>0.76937507626781443</v>
      </c>
      <c r="O6082" s="2">
        <f ca="1"/>
        <v>-1.2821392053220031</v>
      </c>
      <c r="X6082" s="2">
        <f ca="1"/>
        <v>29.553353049485143</v>
      </c>
      <c r="AG6082" s="2">
        <f ca="1"/>
        <v>0.29071286254926387</v>
      </c>
      <c r="AH6082" s="2" t="str">
        <f ca="1"/>
        <v>OK</v>
      </c>
    </row>
    <row r="6083" spans="2:34" x14ac:dyDescent="0.2">
      <c r="B6083" s="2">
        <f ca="1"/>
        <v>0.7403969076546717</v>
      </c>
      <c r="O6083" s="2">
        <f ca="1"/>
        <v>-1.7479446197589077</v>
      </c>
      <c r="X6083" s="2">
        <f ca="1"/>
        <v>35.415820485962925</v>
      </c>
      <c r="AG6083" s="2">
        <f ca="1"/>
        <v>0.98922290568892812</v>
      </c>
      <c r="AH6083" s="2" t="str">
        <f ca="1"/>
        <v>Bad</v>
      </c>
    </row>
    <row r="6084" spans="2:34" x14ac:dyDescent="0.2">
      <c r="B6084" s="2">
        <f ca="1"/>
        <v>0.33173905483381372</v>
      </c>
      <c r="O6084" s="2">
        <f ca="1"/>
        <v>-0.70452833995831354</v>
      </c>
      <c r="X6084" s="2">
        <f ca="1"/>
        <v>52.109715526615297</v>
      </c>
      <c r="AG6084" s="2">
        <f ca="1"/>
        <v>0.62072461788801236</v>
      </c>
      <c r="AH6084" s="2" t="str">
        <f ca="1"/>
        <v>Bad</v>
      </c>
    </row>
    <row r="6085" spans="2:34" x14ac:dyDescent="0.2">
      <c r="B6085" s="2">
        <f ca="1"/>
        <v>0.53096159906002427</v>
      </c>
      <c r="O6085" s="2">
        <f ca="1"/>
        <v>-0.59849581355606762</v>
      </c>
      <c r="X6085" s="2">
        <f ca="1"/>
        <v>73.775864645558357</v>
      </c>
      <c r="AG6085" s="2">
        <f ca="1"/>
        <v>0.77329031896762057</v>
      </c>
      <c r="AH6085" s="2" t="str">
        <f ca="1"/>
        <v>Bad</v>
      </c>
    </row>
    <row r="6086" spans="2:34" x14ac:dyDescent="0.2">
      <c r="B6086" s="2">
        <f ca="1"/>
        <v>0.39372769524702012</v>
      </c>
      <c r="O6086" s="2">
        <f ca="1"/>
        <v>1.815075166967296</v>
      </c>
      <c r="X6086" s="2">
        <f ca="1"/>
        <v>70.035929542779087</v>
      </c>
      <c r="AG6086" s="2">
        <f ca="1"/>
        <v>0.84579156778812226</v>
      </c>
      <c r="AH6086" s="2" t="str">
        <f ca="1"/>
        <v>Bad</v>
      </c>
    </row>
    <row r="6087" spans="2:34" x14ac:dyDescent="0.2">
      <c r="B6087" s="2">
        <f ca="1"/>
        <v>0.53401182449563023</v>
      </c>
      <c r="O6087" s="2">
        <f ca="1"/>
        <v>-1.1416657852580654</v>
      </c>
      <c r="X6087" s="2">
        <f ca="1"/>
        <v>33.328691373189095</v>
      </c>
      <c r="AG6087" s="2">
        <f ca="1"/>
        <v>0.85619116837191767</v>
      </c>
      <c r="AH6087" s="2" t="str">
        <f ca="1"/>
        <v>Bad</v>
      </c>
    </row>
    <row r="6088" spans="2:34" x14ac:dyDescent="0.2">
      <c r="B6088" s="2">
        <f ca="1"/>
        <v>0.82272673898514803</v>
      </c>
      <c r="O6088" s="2">
        <f ca="1"/>
        <v>-0.19712334237514442</v>
      </c>
      <c r="X6088" s="2">
        <f ca="1"/>
        <v>42.648550129728605</v>
      </c>
      <c r="AG6088" s="2">
        <f ca="1"/>
        <v>0.51341631240418106</v>
      </c>
      <c r="AH6088" s="2" t="str">
        <f ca="1"/>
        <v>Bad</v>
      </c>
    </row>
    <row r="6089" spans="2:34" x14ac:dyDescent="0.2">
      <c r="B6089" s="2">
        <f ca="1"/>
        <v>0.14555168605191571</v>
      </c>
      <c r="O6089" s="2">
        <f ca="1"/>
        <v>1.2645421609269842</v>
      </c>
      <c r="X6089" s="2">
        <f ca="1"/>
        <v>39.402094855023265</v>
      </c>
      <c r="AG6089" s="2">
        <f ca="1"/>
        <v>0.50493417858888656</v>
      </c>
      <c r="AH6089" s="2" t="str">
        <f ca="1"/>
        <v>Bad</v>
      </c>
    </row>
    <row r="6090" spans="2:34" x14ac:dyDescent="0.2">
      <c r="B6090" s="2">
        <f ca="1"/>
        <v>0.9444517171089426</v>
      </c>
      <c r="O6090" s="2">
        <f ca="1"/>
        <v>-1.0406417387587246</v>
      </c>
      <c r="X6090" s="2">
        <f ca="1"/>
        <v>38.940946366778377</v>
      </c>
      <c r="AG6090" s="2">
        <f ca="1"/>
        <v>0.89737938163750841</v>
      </c>
      <c r="AH6090" s="2" t="str">
        <f ca="1"/>
        <v>Bad</v>
      </c>
    </row>
    <row r="6091" spans="2:34" x14ac:dyDescent="0.2">
      <c r="B6091" s="2">
        <f ca="1"/>
        <v>1.3620295723478115E-2</v>
      </c>
      <c r="O6091" s="2">
        <f ca="1"/>
        <v>2.1121907641670252</v>
      </c>
      <c r="X6091" s="2">
        <f ca="1"/>
        <v>27.093880740300168</v>
      </c>
      <c r="AG6091" s="2">
        <f ca="1"/>
        <v>0.12497011398119939</v>
      </c>
      <c r="AH6091" s="2" t="str">
        <f ca="1"/>
        <v>OK</v>
      </c>
    </row>
    <row r="6092" spans="2:34" x14ac:dyDescent="0.2">
      <c r="B6092" s="2">
        <f ca="1"/>
        <v>3.8995659846360331E-2</v>
      </c>
      <c r="O6092" s="2">
        <f ca="1"/>
        <v>0.25399623458567172</v>
      </c>
      <c r="X6092" s="2">
        <f ca="1"/>
        <v>58.042865880392746</v>
      </c>
      <c r="AG6092" s="2">
        <f ca="1"/>
        <v>0.91275425769109297</v>
      </c>
      <c r="AH6092" s="2" t="str">
        <f ca="1"/>
        <v>Bad</v>
      </c>
    </row>
    <row r="6093" spans="2:34" x14ac:dyDescent="0.2">
      <c r="B6093" s="2">
        <f ca="1"/>
        <v>0.14913457711156664</v>
      </c>
      <c r="O6093" s="2">
        <f ca="1"/>
        <v>0.15152969572099889</v>
      </c>
      <c r="X6093" s="2">
        <f ca="1"/>
        <v>36.824697205652818</v>
      </c>
      <c r="AG6093" s="2">
        <f ca="1"/>
        <v>0.14369523030853615</v>
      </c>
      <c r="AH6093" s="2" t="str">
        <f ca="1"/>
        <v>OK</v>
      </c>
    </row>
    <row r="6094" spans="2:34" x14ac:dyDescent="0.2">
      <c r="B6094" s="2">
        <f ca="1"/>
        <v>0.96067601628268307</v>
      </c>
      <c r="O6094" s="2">
        <f ca="1"/>
        <v>0.19429760402739268</v>
      </c>
      <c r="X6094" s="2">
        <f ca="1"/>
        <v>53.022165931928157</v>
      </c>
      <c r="AG6094" s="2">
        <f ca="1"/>
        <v>7.016687204863814E-2</v>
      </c>
      <c r="AH6094" s="2" t="str">
        <f ca="1"/>
        <v>OK</v>
      </c>
    </row>
    <row r="6095" spans="2:34" x14ac:dyDescent="0.2">
      <c r="B6095" s="2">
        <f ca="1"/>
        <v>0.72532628903761132</v>
      </c>
      <c r="O6095" s="2">
        <f ca="1"/>
        <v>1.4340330335401585</v>
      </c>
      <c r="X6095" s="2">
        <f ca="1"/>
        <v>54.216496754107752</v>
      </c>
      <c r="AG6095" s="2">
        <f ca="1"/>
        <v>0.63503324095677183</v>
      </c>
      <c r="AH6095" s="2" t="str">
        <f ca="1"/>
        <v>Bad</v>
      </c>
    </row>
    <row r="6096" spans="2:34" x14ac:dyDescent="0.2">
      <c r="B6096" s="2">
        <f ca="1"/>
        <v>0.74860637393093166</v>
      </c>
      <c r="O6096" s="2">
        <f ca="1"/>
        <v>-0.16229318705831852</v>
      </c>
      <c r="X6096" s="2">
        <f ca="1"/>
        <v>37.476376166873109</v>
      </c>
      <c r="AG6096" s="2">
        <f ca="1"/>
        <v>0.42949084228452006</v>
      </c>
      <c r="AH6096" s="2" t="str">
        <f ca="1"/>
        <v>Bad</v>
      </c>
    </row>
    <row r="6097" spans="2:34" x14ac:dyDescent="0.2">
      <c r="B6097" s="2">
        <f ca="1"/>
        <v>0.34182590708705285</v>
      </c>
      <c r="O6097" s="2">
        <f ca="1"/>
        <v>0.31792277459600354</v>
      </c>
      <c r="X6097" s="2">
        <f ca="1"/>
        <v>62.251655638812061</v>
      </c>
      <c r="AG6097" s="2">
        <f ca="1"/>
        <v>0.14236450089925334</v>
      </c>
      <c r="AH6097" s="2" t="str">
        <f ca="1"/>
        <v>OK</v>
      </c>
    </row>
    <row r="6098" spans="2:34" x14ac:dyDescent="0.2">
      <c r="B6098" s="2">
        <f ca="1"/>
        <v>0.67908063728346213</v>
      </c>
      <c r="O6098" s="2">
        <f ca="1"/>
        <v>1.3465089848990923</v>
      </c>
      <c r="X6098" s="2">
        <f ca="1"/>
        <v>36.836563102100243</v>
      </c>
      <c r="AG6098" s="2">
        <f ca="1"/>
        <v>0.92669025954950968</v>
      </c>
      <c r="AH6098" s="2" t="str">
        <f ca="1"/>
        <v>Bad</v>
      </c>
    </row>
    <row r="6099" spans="2:34" x14ac:dyDescent="0.2">
      <c r="B6099" s="2">
        <f ca="1"/>
        <v>5.0561763814764404E-2</v>
      </c>
      <c r="O6099" s="2">
        <f ca="1"/>
        <v>9.7605247785405566E-2</v>
      </c>
      <c r="X6099" s="2">
        <f ca="1"/>
        <v>56.492339771034274</v>
      </c>
      <c r="AG6099" s="2">
        <f ca="1"/>
        <v>0.39655373278801553</v>
      </c>
      <c r="AH6099" s="2" t="str">
        <f ca="1"/>
        <v>OK</v>
      </c>
    </row>
    <row r="6100" spans="2:34" x14ac:dyDescent="0.2">
      <c r="B6100" s="2">
        <f ca="1"/>
        <v>0.61247537875976299</v>
      </c>
      <c r="O6100" s="2">
        <f ca="1"/>
        <v>-1.1053106365475862</v>
      </c>
      <c r="X6100" s="2">
        <f ca="1"/>
        <v>61.54726088281442</v>
      </c>
      <c r="AG6100" s="2">
        <f ca="1"/>
        <v>0.29183769888674771</v>
      </c>
      <c r="AH6100" s="2" t="str">
        <f ca="1"/>
        <v>OK</v>
      </c>
    </row>
    <row r="6101" spans="2:34" x14ac:dyDescent="0.2">
      <c r="B6101" s="2">
        <f ca="1"/>
        <v>0.90186830639788984</v>
      </c>
      <c r="O6101" s="2">
        <f ca="1"/>
        <v>1.4299603409616832</v>
      </c>
      <c r="X6101" s="2">
        <f ca="1"/>
        <v>86.695671420378275</v>
      </c>
      <c r="AG6101" s="2">
        <f ca="1"/>
        <v>0.3074486447160063</v>
      </c>
      <c r="AH6101" s="2" t="str">
        <f ca="1"/>
        <v>OK</v>
      </c>
    </row>
    <row r="6102" spans="2:34" x14ac:dyDescent="0.2">
      <c r="B6102" s="2">
        <f ca="1"/>
        <v>0.82242737477343342</v>
      </c>
      <c r="O6102" s="2">
        <f ca="1"/>
        <v>-0.49893175910202248</v>
      </c>
      <c r="X6102" s="2">
        <f ca="1"/>
        <v>29.828634903478857</v>
      </c>
      <c r="AG6102" s="2">
        <f ca="1"/>
        <v>0.24307397801005082</v>
      </c>
      <c r="AH6102" s="2" t="str">
        <f ca="1"/>
        <v>OK</v>
      </c>
    </row>
    <row r="6103" spans="2:34" x14ac:dyDescent="0.2">
      <c r="B6103" s="2">
        <f ca="1"/>
        <v>0.98743449026556873</v>
      </c>
      <c r="O6103" s="2">
        <f ca="1"/>
        <v>-0.50363285035189476</v>
      </c>
      <c r="X6103" s="2">
        <f ca="1"/>
        <v>21.762633550426433</v>
      </c>
      <c r="AG6103" s="2">
        <f ca="1"/>
        <v>1.3838420530555062E-2</v>
      </c>
      <c r="AH6103" s="2" t="str">
        <f ca="1"/>
        <v>Good</v>
      </c>
    </row>
    <row r="6104" spans="2:34" x14ac:dyDescent="0.2">
      <c r="B6104" s="2">
        <f ca="1"/>
        <v>0.53073690887368019</v>
      </c>
      <c r="O6104" s="2">
        <f ca="1"/>
        <v>-0.17672185899621573</v>
      </c>
      <c r="X6104" s="2">
        <f ca="1"/>
        <v>42.949292908618588</v>
      </c>
      <c r="AG6104" s="2">
        <f ca="1"/>
        <v>7.9998702989846793E-2</v>
      </c>
      <c r="AH6104" s="2" t="str">
        <f ca="1"/>
        <v>OK</v>
      </c>
    </row>
    <row r="6105" spans="2:34" x14ac:dyDescent="0.2">
      <c r="B6105" s="2">
        <f ca="1"/>
        <v>0.89067296996304468</v>
      </c>
      <c r="O6105" s="2">
        <f ca="1"/>
        <v>-0.13492451777914446</v>
      </c>
      <c r="X6105" s="2">
        <f ca="1"/>
        <v>55.299967804905336</v>
      </c>
      <c r="AG6105" s="2">
        <f ca="1"/>
        <v>0.99387623665854963</v>
      </c>
      <c r="AH6105" s="2" t="str">
        <f ca="1"/>
        <v>Bad</v>
      </c>
    </row>
    <row r="6106" spans="2:34" x14ac:dyDescent="0.2">
      <c r="B6106" s="2">
        <f ca="1"/>
        <v>0.51660470467723463</v>
      </c>
      <c r="O6106" s="2">
        <f ca="1"/>
        <v>0.72727691249743864</v>
      </c>
      <c r="X6106" s="2">
        <f ca="1"/>
        <v>33.799254547855938</v>
      </c>
      <c r="AG6106" s="2">
        <f ca="1"/>
        <v>0.62865334883520951</v>
      </c>
      <c r="AH6106" s="2" t="str">
        <f ca="1"/>
        <v>Bad</v>
      </c>
    </row>
    <row r="6107" spans="2:34" x14ac:dyDescent="0.2">
      <c r="B6107" s="2">
        <f ca="1"/>
        <v>0.17308949471978674</v>
      </c>
      <c r="O6107" s="2">
        <f ca="1"/>
        <v>0.68491664043792566</v>
      </c>
      <c r="X6107" s="2">
        <f ca="1"/>
        <v>69.852743241890366</v>
      </c>
      <c r="AG6107" s="2">
        <f ca="1"/>
        <v>8.0976469225383818E-2</v>
      </c>
      <c r="AH6107" s="2" t="str">
        <f ca="1"/>
        <v>OK</v>
      </c>
    </row>
    <row r="6108" spans="2:34" x14ac:dyDescent="0.2">
      <c r="B6108" s="2">
        <f ca="1"/>
        <v>0.13226201845125596</v>
      </c>
      <c r="O6108" s="2">
        <f ca="1"/>
        <v>-0.44969659067673223</v>
      </c>
      <c r="X6108" s="2">
        <f ca="1"/>
        <v>26.020465776457698</v>
      </c>
      <c r="AG6108" s="2">
        <f ca="1"/>
        <v>0.72517100275153989</v>
      </c>
      <c r="AH6108" s="2" t="str">
        <f ca="1"/>
        <v>Bad</v>
      </c>
    </row>
    <row r="6109" spans="2:34" x14ac:dyDescent="0.2">
      <c r="B6109" s="2">
        <f ca="1"/>
        <v>1.8364356754714484E-2</v>
      </c>
      <c r="O6109" s="2">
        <f ca="1"/>
        <v>0.98151871419422732</v>
      </c>
      <c r="X6109" s="2">
        <f ca="1"/>
        <v>37.976311317538631</v>
      </c>
      <c r="AG6109" s="2">
        <f ca="1"/>
        <v>0.52204329544035644</v>
      </c>
      <c r="AH6109" s="2" t="str">
        <f ca="1"/>
        <v>Bad</v>
      </c>
    </row>
    <row r="6110" spans="2:34" x14ac:dyDescent="0.2">
      <c r="B6110" s="2">
        <f ca="1"/>
        <v>0.1638168545884775</v>
      </c>
      <c r="O6110" s="2">
        <f ca="1"/>
        <v>0.32551900229081554</v>
      </c>
      <c r="X6110" s="2">
        <f ca="1"/>
        <v>30.902298206912807</v>
      </c>
      <c r="AG6110" s="2">
        <f ca="1"/>
        <v>0.4221711244673958</v>
      </c>
      <c r="AH6110" s="2" t="str">
        <f ca="1"/>
        <v>Bad</v>
      </c>
    </row>
    <row r="6111" spans="2:34" x14ac:dyDescent="0.2">
      <c r="B6111" s="2">
        <f ca="1"/>
        <v>6.4444803157243324E-2</v>
      </c>
      <c r="O6111" s="2">
        <f ca="1"/>
        <v>0.71766675134685654</v>
      </c>
      <c r="X6111" s="2">
        <f ca="1"/>
        <v>30.843024618653189</v>
      </c>
      <c r="AG6111" s="2">
        <f ca="1"/>
        <v>0.10823159886127542</v>
      </c>
      <c r="AH6111" s="2" t="str">
        <f ca="1"/>
        <v>OK</v>
      </c>
    </row>
    <row r="6112" spans="2:34" x14ac:dyDescent="0.2">
      <c r="B6112" s="2">
        <f ca="1"/>
        <v>0.28607091509345572</v>
      </c>
      <c r="O6112" s="2">
        <f ca="1"/>
        <v>-1.738096905489815</v>
      </c>
      <c r="X6112" s="2">
        <f ca="1"/>
        <v>52.242198210164972</v>
      </c>
      <c r="AG6112" s="2">
        <f ca="1"/>
        <v>0.92800119413085547</v>
      </c>
      <c r="AH6112" s="2" t="str">
        <f ca="1"/>
        <v>Bad</v>
      </c>
    </row>
    <row r="6113" spans="2:34" x14ac:dyDescent="0.2">
      <c r="B6113" s="2">
        <f ca="1"/>
        <v>0.83079862548157912</v>
      </c>
      <c r="O6113" s="2">
        <f ca="1"/>
        <v>1.0735423387846372</v>
      </c>
      <c r="X6113" s="2">
        <f ca="1"/>
        <v>57.9968340094807</v>
      </c>
      <c r="AG6113" s="2">
        <f ca="1"/>
        <v>0.39244538611275415</v>
      </c>
      <c r="AH6113" s="2" t="str">
        <f ca="1"/>
        <v>OK</v>
      </c>
    </row>
    <row r="6114" spans="2:34" x14ac:dyDescent="0.2">
      <c r="B6114" s="2">
        <f ca="1"/>
        <v>0.39216853012125119</v>
      </c>
      <c r="O6114" s="2">
        <f ca="1"/>
        <v>2.50767264095649</v>
      </c>
      <c r="X6114" s="2">
        <f ca="1"/>
        <v>56.432338911878389</v>
      </c>
      <c r="AG6114" s="2">
        <f ca="1"/>
        <v>0.27155702551307548</v>
      </c>
      <c r="AH6114" s="2" t="str">
        <f ca="1"/>
        <v>OK</v>
      </c>
    </row>
    <row r="6115" spans="2:34" x14ac:dyDescent="0.2">
      <c r="B6115" s="2">
        <f ca="1"/>
        <v>0.36628670023881194</v>
      </c>
      <c r="O6115" s="2">
        <f ca="1"/>
        <v>0.8834634344951996</v>
      </c>
      <c r="X6115" s="2">
        <f ca="1"/>
        <v>31.730635007794458</v>
      </c>
      <c r="AG6115" s="2">
        <f ca="1"/>
        <v>0.44100166865155588</v>
      </c>
      <c r="AH6115" s="2" t="str">
        <f ca="1"/>
        <v>Bad</v>
      </c>
    </row>
    <row r="6116" spans="2:34" x14ac:dyDescent="0.2">
      <c r="B6116" s="2">
        <f ca="1"/>
        <v>0.29654445326552614</v>
      </c>
      <c r="O6116" s="2">
        <f ca="1"/>
        <v>1.6275165301532366</v>
      </c>
      <c r="X6116" s="2">
        <f ca="1"/>
        <v>27.338067778684525</v>
      </c>
      <c r="AG6116" s="2">
        <f ca="1"/>
        <v>0.82630211040487578</v>
      </c>
      <c r="AH6116" s="2" t="str">
        <f ca="1"/>
        <v>Bad</v>
      </c>
    </row>
    <row r="6117" spans="2:34" x14ac:dyDescent="0.2">
      <c r="B6117" s="2">
        <f ca="1"/>
        <v>0.53387104865055401</v>
      </c>
      <c r="O6117" s="2">
        <f ca="1"/>
        <v>-0.25789618285902721</v>
      </c>
      <c r="X6117" s="2">
        <f ca="1"/>
        <v>43.836943663804377</v>
      </c>
      <c r="AG6117" s="2">
        <f ca="1"/>
        <v>0.35280311343549697</v>
      </c>
      <c r="AH6117" s="2" t="str">
        <f ca="1"/>
        <v>OK</v>
      </c>
    </row>
    <row r="6118" spans="2:34" x14ac:dyDescent="0.2">
      <c r="B6118" s="2">
        <f ca="1"/>
        <v>0.53890677453529889</v>
      </c>
      <c r="O6118" s="2">
        <f ca="1"/>
        <v>-2.1589317728858806</v>
      </c>
      <c r="X6118" s="2">
        <f ca="1"/>
        <v>40.766549929765617</v>
      </c>
      <c r="AG6118" s="2">
        <f ca="1"/>
        <v>0.39313000751330374</v>
      </c>
      <c r="AH6118" s="2" t="str">
        <f ca="1"/>
        <v>OK</v>
      </c>
    </row>
    <row r="6119" spans="2:34" x14ac:dyDescent="0.2">
      <c r="B6119" s="2">
        <f ca="1"/>
        <v>0.9646681567657116</v>
      </c>
      <c r="O6119" s="2">
        <f ca="1"/>
        <v>-0.5558237367134804</v>
      </c>
      <c r="X6119" s="2">
        <f ca="1"/>
        <v>47.867484620519662</v>
      </c>
      <c r="AG6119" s="2">
        <f ca="1"/>
        <v>0.8142053949789485</v>
      </c>
      <c r="AH6119" s="2" t="str">
        <f ca="1"/>
        <v>Bad</v>
      </c>
    </row>
    <row r="6120" spans="2:34" x14ac:dyDescent="0.2">
      <c r="B6120" s="2">
        <f ca="1"/>
        <v>0.64303697201575716</v>
      </c>
      <c r="O6120" s="2">
        <f ca="1"/>
        <v>-0.62752897868313351</v>
      </c>
      <c r="X6120" s="2">
        <f ca="1"/>
        <v>46.735682183379637</v>
      </c>
      <c r="AG6120" s="2">
        <f ca="1"/>
        <v>0.2662773461703829</v>
      </c>
      <c r="AH6120" s="2" t="str">
        <f ca="1"/>
        <v>OK</v>
      </c>
    </row>
    <row r="6121" spans="2:34" x14ac:dyDescent="0.2">
      <c r="B6121" s="2">
        <f ca="1"/>
        <v>0.48212215114650347</v>
      </c>
      <c r="O6121" s="2">
        <f ca="1"/>
        <v>1.4697026510968563</v>
      </c>
      <c r="X6121" s="2">
        <f ca="1"/>
        <v>63.918920682027888</v>
      </c>
      <c r="AG6121" s="2">
        <f ca="1"/>
        <v>0.62483297922380143</v>
      </c>
      <c r="AH6121" s="2" t="str">
        <f ca="1"/>
        <v>Bad</v>
      </c>
    </row>
    <row r="6122" spans="2:34" x14ac:dyDescent="0.2">
      <c r="B6122" s="2">
        <f ca="1"/>
        <v>0.13027792582308351</v>
      </c>
      <c r="O6122" s="2">
        <f ca="1"/>
        <v>1.091341638039943</v>
      </c>
      <c r="X6122" s="2">
        <f ca="1"/>
        <v>36.274250753781878</v>
      </c>
      <c r="AG6122" s="2">
        <f ca="1"/>
        <v>0.5627062812507877</v>
      </c>
      <c r="AH6122" s="2" t="str">
        <f ca="1"/>
        <v>Bad</v>
      </c>
    </row>
    <row r="6123" spans="2:34" x14ac:dyDescent="0.2">
      <c r="B6123" s="2">
        <f ca="1"/>
        <v>0.84383855323983159</v>
      </c>
      <c r="O6123" s="2">
        <f ca="1"/>
        <v>1.8666443498283767</v>
      </c>
      <c r="X6123" s="2">
        <f ca="1"/>
        <v>24.852900958781152</v>
      </c>
      <c r="AG6123" s="2">
        <f ca="1"/>
        <v>0.15994022370853744</v>
      </c>
      <c r="AH6123" s="2" t="str">
        <f ca="1"/>
        <v>OK</v>
      </c>
    </row>
    <row r="6124" spans="2:34" x14ac:dyDescent="0.2">
      <c r="B6124" s="2">
        <f ca="1"/>
        <v>3.389553533398959E-2</v>
      </c>
      <c r="O6124" s="2">
        <f ca="1"/>
        <v>6.0512255927521755E-2</v>
      </c>
      <c r="X6124" s="2">
        <f ca="1"/>
        <v>61.525272331818016</v>
      </c>
      <c r="AG6124" s="2">
        <f ca="1"/>
        <v>0.74759991179990637</v>
      </c>
      <c r="AH6124" s="2" t="str">
        <f ca="1"/>
        <v>Bad</v>
      </c>
    </row>
    <row r="6125" spans="2:34" x14ac:dyDescent="0.2">
      <c r="B6125" s="2">
        <f ca="1"/>
        <v>5.974946064476927E-2</v>
      </c>
      <c r="O6125" s="2">
        <f ca="1"/>
        <v>-0.11733192971665565</v>
      </c>
      <c r="X6125" s="2">
        <f ca="1"/>
        <v>81.219280015853229</v>
      </c>
      <c r="AG6125" s="2">
        <f ca="1"/>
        <v>0.62155268637569483</v>
      </c>
      <c r="AH6125" s="2" t="str">
        <f ca="1"/>
        <v>Bad</v>
      </c>
    </row>
    <row r="6126" spans="2:34" x14ac:dyDescent="0.2">
      <c r="B6126" s="2">
        <f ca="1"/>
        <v>0.81066797359017784</v>
      </c>
      <c r="O6126" s="2">
        <f ca="1"/>
        <v>0.9081351107279908</v>
      </c>
      <c r="X6126" s="2">
        <f ca="1"/>
        <v>41.264830813266016</v>
      </c>
      <c r="AG6126" s="2">
        <f ca="1"/>
        <v>3.1739616356217359E-2</v>
      </c>
      <c r="AH6126" s="2" t="str">
        <f ca="1"/>
        <v>Good</v>
      </c>
    </row>
    <row r="6127" spans="2:34" x14ac:dyDescent="0.2">
      <c r="B6127" s="2">
        <f ca="1"/>
        <v>0.88705490298558587</v>
      </c>
      <c r="O6127" s="2">
        <f ca="1"/>
        <v>1.1861538243452387</v>
      </c>
      <c r="X6127" s="2">
        <f ca="1"/>
        <v>61.570399781779848</v>
      </c>
      <c r="AG6127" s="2">
        <f ca="1"/>
        <v>0.70164805243556949</v>
      </c>
      <c r="AH6127" s="2" t="str">
        <f ca="1"/>
        <v>Bad</v>
      </c>
    </row>
    <row r="6128" spans="2:34" x14ac:dyDescent="0.2">
      <c r="B6128" s="2">
        <f ca="1"/>
        <v>0.75532374133428215</v>
      </c>
      <c r="O6128" s="2">
        <f ca="1"/>
        <v>1.5898635561331111</v>
      </c>
      <c r="X6128" s="2">
        <f ca="1"/>
        <v>65.495123532759692</v>
      </c>
      <c r="AG6128" s="2">
        <f ca="1"/>
        <v>0.16486708128158201</v>
      </c>
      <c r="AH6128" s="2" t="str">
        <f ca="1"/>
        <v>OK</v>
      </c>
    </row>
    <row r="6129" spans="2:34" x14ac:dyDescent="0.2">
      <c r="B6129" s="2">
        <f ca="1"/>
        <v>7.314074434642448E-2</v>
      </c>
      <c r="O6129" s="2">
        <f ca="1"/>
        <v>-0.56034089615787175</v>
      </c>
      <c r="X6129" s="2">
        <f ca="1"/>
        <v>47.863137941033713</v>
      </c>
      <c r="AG6129" s="2">
        <f ca="1"/>
        <v>0.42928616513079043</v>
      </c>
      <c r="AH6129" s="2" t="str">
        <f ca="1"/>
        <v>Bad</v>
      </c>
    </row>
    <row r="6130" spans="2:34" x14ac:dyDescent="0.2">
      <c r="B6130" s="2">
        <f ca="1"/>
        <v>0.74273087401348592</v>
      </c>
      <c r="O6130" s="2">
        <f ca="1"/>
        <v>0.33782360756634483</v>
      </c>
      <c r="X6130" s="2">
        <f ca="1"/>
        <v>54.45103586210724</v>
      </c>
      <c r="AG6130" s="2">
        <f ca="1"/>
        <v>0.40535489233495947</v>
      </c>
      <c r="AH6130" s="2" t="str">
        <f ca="1"/>
        <v>Bad</v>
      </c>
    </row>
    <row r="6131" spans="2:34" x14ac:dyDescent="0.2">
      <c r="B6131" s="2">
        <f ca="1"/>
        <v>0.67302014178319625</v>
      </c>
      <c r="O6131" s="2">
        <f ca="1"/>
        <v>0.30246944466547288</v>
      </c>
      <c r="X6131" s="2">
        <f ca="1"/>
        <v>38.485444735413523</v>
      </c>
      <c r="AG6131" s="2">
        <f ca="1"/>
        <v>0.49907520614633571</v>
      </c>
      <c r="AH6131" s="2" t="str">
        <f ca="1"/>
        <v>Bad</v>
      </c>
    </row>
    <row r="6132" spans="2:34" x14ac:dyDescent="0.2">
      <c r="B6132" s="2">
        <f ca="1"/>
        <v>0.23538131581654809</v>
      </c>
      <c r="O6132" s="2">
        <f ca="1"/>
        <v>-5.0962206314489389E-2</v>
      </c>
      <c r="X6132" s="2">
        <f ca="1"/>
        <v>28.503260062881385</v>
      </c>
      <c r="AG6132" s="2">
        <f ca="1"/>
        <v>0.35227693303899277</v>
      </c>
      <c r="AH6132" s="2" t="str">
        <f ca="1"/>
        <v>OK</v>
      </c>
    </row>
    <row r="6133" spans="2:34" x14ac:dyDescent="0.2">
      <c r="B6133" s="2">
        <f ca="1"/>
        <v>0.96054709576760988</v>
      </c>
      <c r="O6133" s="2">
        <f ca="1"/>
        <v>-1.1359111812871514</v>
      </c>
      <c r="X6133" s="2">
        <f ca="1"/>
        <v>55.624288007596235</v>
      </c>
      <c r="AG6133" s="2">
        <f ca="1"/>
        <v>0.77357502873166073</v>
      </c>
      <c r="AH6133" s="2" t="str">
        <f ca="1"/>
        <v>Bad</v>
      </c>
    </row>
    <row r="6134" spans="2:34" x14ac:dyDescent="0.2">
      <c r="B6134" s="2">
        <f ca="1"/>
        <v>0.44607537395513508</v>
      </c>
      <c r="O6134" s="2">
        <f ca="1"/>
        <v>-7.7219650147025101E-2</v>
      </c>
      <c r="X6134" s="2">
        <f ca="1"/>
        <v>52.643632639654648</v>
      </c>
      <c r="AG6134" s="2">
        <f ca="1"/>
        <v>1.3306369738048662E-2</v>
      </c>
      <c r="AH6134" s="2" t="str">
        <f ca="1"/>
        <v>Good</v>
      </c>
    </row>
    <row r="6135" spans="2:34" x14ac:dyDescent="0.2">
      <c r="B6135" s="2">
        <f ca="1"/>
        <v>0.78797552507227975</v>
      </c>
      <c r="O6135" s="2">
        <f ca="1"/>
        <v>-1.4795273072724069</v>
      </c>
      <c r="X6135" s="2">
        <f ca="1"/>
        <v>70.568559420387672</v>
      </c>
      <c r="AG6135" s="2">
        <f ca="1"/>
        <v>0.68617592808688976</v>
      </c>
      <c r="AH6135" s="2" t="str">
        <f ca="1"/>
        <v>Bad</v>
      </c>
    </row>
    <row r="6136" spans="2:34" x14ac:dyDescent="0.2">
      <c r="B6136" s="2">
        <f ca="1"/>
        <v>0.34548647370924024</v>
      </c>
      <c r="O6136" s="2">
        <f ca="1"/>
        <v>1.6172597550265195</v>
      </c>
      <c r="X6136" s="2">
        <f ca="1"/>
        <v>57.750855304153895</v>
      </c>
      <c r="AG6136" s="2">
        <f ca="1"/>
        <v>8.1540886778228794E-2</v>
      </c>
      <c r="AH6136" s="2" t="str">
        <f ca="1"/>
        <v>OK</v>
      </c>
    </row>
    <row r="6137" spans="2:34" x14ac:dyDescent="0.2">
      <c r="B6137" s="2">
        <f ca="1"/>
        <v>0.78842125499215632</v>
      </c>
      <c r="O6137" s="2">
        <f ca="1"/>
        <v>0.98442441523003976</v>
      </c>
      <c r="X6137" s="2">
        <f ca="1"/>
        <v>66.034611549583758</v>
      </c>
      <c r="AG6137" s="2">
        <f ca="1"/>
        <v>0.20812003250188416</v>
      </c>
      <c r="AH6137" s="2" t="str">
        <f ca="1"/>
        <v>OK</v>
      </c>
    </row>
    <row r="6138" spans="2:34" x14ac:dyDescent="0.2">
      <c r="B6138" s="2">
        <f ca="1"/>
        <v>0.17322466615492416</v>
      </c>
      <c r="O6138" s="2">
        <f ca="1"/>
        <v>0.34182395888245592</v>
      </c>
      <c r="X6138" s="2">
        <f ca="1"/>
        <v>52.137622642339885</v>
      </c>
      <c r="AG6138" s="2">
        <f ca="1"/>
        <v>7.3498816040558079E-2</v>
      </c>
      <c r="AH6138" s="2" t="str">
        <f ca="1"/>
        <v>OK</v>
      </c>
    </row>
    <row r="6139" spans="2:34" x14ac:dyDescent="0.2">
      <c r="B6139" s="2">
        <f ca="1"/>
        <v>0.88953163212042785</v>
      </c>
      <c r="O6139" s="2">
        <f ca="1"/>
        <v>0.47300830472549416</v>
      </c>
      <c r="X6139" s="2">
        <f ca="1"/>
        <v>36.544106497349944</v>
      </c>
      <c r="AG6139" s="2">
        <f ca="1"/>
        <v>0.87340554745633403</v>
      </c>
      <c r="AH6139" s="2" t="str">
        <f ca="1"/>
        <v>Bad</v>
      </c>
    </row>
    <row r="6140" spans="2:34" x14ac:dyDescent="0.2">
      <c r="B6140" s="2">
        <f ca="1"/>
        <v>0.34852338171625785</v>
      </c>
      <c r="O6140" s="2">
        <f ca="1"/>
        <v>0.66513371404293753</v>
      </c>
      <c r="X6140" s="2">
        <f ca="1"/>
        <v>44.249731039706397</v>
      </c>
      <c r="AG6140" s="2">
        <f ca="1"/>
        <v>0.2611477917355951</v>
      </c>
      <c r="AH6140" s="2" t="str">
        <f ca="1"/>
        <v>OK</v>
      </c>
    </row>
    <row r="6141" spans="2:34" x14ac:dyDescent="0.2">
      <c r="B6141" s="2">
        <f ca="1"/>
        <v>1.7136733617343358E-2</v>
      </c>
      <c r="O6141" s="2">
        <f ca="1"/>
        <v>-1.9287856820883038</v>
      </c>
      <c r="X6141" s="2">
        <f ca="1"/>
        <v>40.425233369857843</v>
      </c>
      <c r="AG6141" s="2">
        <f ca="1"/>
        <v>0.2062215529358189</v>
      </c>
      <c r="AH6141" s="2" t="str">
        <f ca="1"/>
        <v>OK</v>
      </c>
    </row>
    <row r="6142" spans="2:34" x14ac:dyDescent="0.2">
      <c r="B6142" s="2">
        <f ca="1"/>
        <v>0.40702436777043416</v>
      </c>
      <c r="O6142" s="2">
        <f ca="1"/>
        <v>-0.24090741725196116</v>
      </c>
      <c r="X6142" s="2">
        <f ca="1"/>
        <v>44.614988137989364</v>
      </c>
      <c r="AG6142" s="2">
        <f ca="1"/>
        <v>0.35428814620418847</v>
      </c>
      <c r="AH6142" s="2" t="str">
        <f ca="1"/>
        <v>OK</v>
      </c>
    </row>
    <row r="6143" spans="2:34" x14ac:dyDescent="0.2">
      <c r="B6143" s="2">
        <f ca="1"/>
        <v>0.4734424218727924</v>
      </c>
      <c r="O6143" s="2">
        <f ca="1"/>
        <v>-0.14284055200394649</v>
      </c>
      <c r="X6143" s="2">
        <f ca="1"/>
        <v>55.570362373770052</v>
      </c>
      <c r="AG6143" s="2">
        <f ca="1"/>
        <v>0.88261469197458564</v>
      </c>
      <c r="AH6143" s="2" t="str">
        <f ca="1"/>
        <v>Bad</v>
      </c>
    </row>
    <row r="6144" spans="2:34" x14ac:dyDescent="0.2">
      <c r="B6144" s="2">
        <f ca="1"/>
        <v>0.89127221700934411</v>
      </c>
      <c r="O6144" s="2">
        <f ca="1"/>
        <v>0.52920983386853859</v>
      </c>
      <c r="X6144" s="2">
        <f ca="1"/>
        <v>62.782687886048301</v>
      </c>
      <c r="AG6144" s="2">
        <f ca="1"/>
        <v>0.43209863040994523</v>
      </c>
      <c r="AH6144" s="2" t="str">
        <f ca="1"/>
        <v>Bad</v>
      </c>
    </row>
    <row r="6145" spans="2:34" x14ac:dyDescent="0.2">
      <c r="B6145" s="2">
        <f ca="1"/>
        <v>2.5660047713265577E-2</v>
      </c>
      <c r="O6145" s="2">
        <f ca="1"/>
        <v>0.72958066602039584</v>
      </c>
      <c r="X6145" s="2">
        <f ca="1"/>
        <v>57.734037248092832</v>
      </c>
      <c r="AG6145" s="2">
        <f ca="1"/>
        <v>0.78694400903842587</v>
      </c>
      <c r="AH6145" s="2" t="str">
        <f ca="1"/>
        <v>Bad</v>
      </c>
    </row>
    <row r="6146" spans="2:34" x14ac:dyDescent="0.2">
      <c r="B6146" s="2">
        <f ca="1"/>
        <v>0.69702828824414254</v>
      </c>
      <c r="O6146" s="2">
        <f ca="1"/>
        <v>0.33817619706042329</v>
      </c>
      <c r="X6146" s="2">
        <f ca="1"/>
        <v>60.474169398478239</v>
      </c>
      <c r="AG6146" s="2">
        <f ca="1"/>
        <v>0.93572101803682384</v>
      </c>
      <c r="AH6146" s="2" t="str">
        <f ca="1"/>
        <v>Bad</v>
      </c>
    </row>
    <row r="6147" spans="2:34" x14ac:dyDescent="0.2">
      <c r="B6147" s="2">
        <f ca="1"/>
        <v>0.67835857818953293</v>
      </c>
      <c r="O6147" s="2">
        <f ca="1"/>
        <v>0.12113247488267617</v>
      </c>
      <c r="X6147" s="2">
        <f ca="1"/>
        <v>71.928312038327562</v>
      </c>
      <c r="AG6147" s="2">
        <f ca="1"/>
        <v>0.55567235130060144</v>
      </c>
      <c r="AH6147" s="2" t="str">
        <f ca="1"/>
        <v>Bad</v>
      </c>
    </row>
    <row r="6148" spans="2:34" x14ac:dyDescent="0.2">
      <c r="B6148" s="2">
        <f ca="1"/>
        <v>0.94272618704578592</v>
      </c>
      <c r="O6148" s="2">
        <f ca="1"/>
        <v>-1.5608925368309652</v>
      </c>
      <c r="X6148" s="2">
        <f ca="1"/>
        <v>57.087386644066001</v>
      </c>
      <c r="AG6148" s="2">
        <f ca="1"/>
        <v>0.67853202239248356</v>
      </c>
      <c r="AH6148" s="2" t="str">
        <f ca="1"/>
        <v>Bad</v>
      </c>
    </row>
    <row r="6149" spans="2:34" x14ac:dyDescent="0.2">
      <c r="B6149" s="2">
        <f ca="1"/>
        <v>4.0515442993239947E-2</v>
      </c>
      <c r="O6149" s="2">
        <f ca="1"/>
        <v>0.57293680376647016</v>
      </c>
      <c r="X6149" s="2">
        <f ca="1"/>
        <v>28.67648433716338</v>
      </c>
      <c r="AG6149" s="2">
        <f ca="1"/>
        <v>6.1350567929489896E-2</v>
      </c>
      <c r="AH6149" s="2" t="str">
        <f ca="1"/>
        <v>OK</v>
      </c>
    </row>
    <row r="6150" spans="2:34" x14ac:dyDescent="0.2">
      <c r="B6150" s="2">
        <f ca="1"/>
        <v>0.75004094623470241</v>
      </c>
      <c r="O6150" s="2">
        <f ca="1"/>
        <v>-0.55910725023661367</v>
      </c>
      <c r="X6150" s="2">
        <f ca="1"/>
        <v>40.625581173602384</v>
      </c>
      <c r="AG6150" s="2">
        <f ca="1"/>
        <v>0.8185698012846081</v>
      </c>
      <c r="AH6150" s="2" t="str">
        <f ca="1"/>
        <v>Bad</v>
      </c>
    </row>
    <row r="6151" spans="2:34" x14ac:dyDescent="0.2">
      <c r="B6151" s="2">
        <f ca="1"/>
        <v>0.84947298316373798</v>
      </c>
      <c r="O6151" s="2">
        <f ca="1"/>
        <v>-0.96113631014027201</v>
      </c>
      <c r="X6151" s="2">
        <f ca="1"/>
        <v>89.643784062673404</v>
      </c>
      <c r="AG6151" s="2">
        <f ca="1"/>
        <v>0.46412164470902151</v>
      </c>
      <c r="AH6151" s="2" t="str">
        <f ca="1"/>
        <v>Bad</v>
      </c>
    </row>
    <row r="6152" spans="2:34" x14ac:dyDescent="0.2">
      <c r="B6152" s="2">
        <f ca="1"/>
        <v>9.1706130969201771E-2</v>
      </c>
      <c r="O6152" s="2">
        <f ca="1"/>
        <v>1.4363837388031861</v>
      </c>
      <c r="X6152" s="2">
        <f ca="1"/>
        <v>110.31987405314582</v>
      </c>
      <c r="AG6152" s="2">
        <f ca="1"/>
        <v>4.6761515910551665E-3</v>
      </c>
      <c r="AH6152" s="2" t="str">
        <f ca="1"/>
        <v>Good</v>
      </c>
    </row>
    <row r="6153" spans="2:34" x14ac:dyDescent="0.2">
      <c r="B6153" s="2">
        <f ca="1"/>
        <v>0.30866472804961131</v>
      </c>
      <c r="O6153" s="2">
        <f ca="1"/>
        <v>0.19372582241430827</v>
      </c>
      <c r="X6153" s="2">
        <f ca="1"/>
        <v>23.104329003070792</v>
      </c>
      <c r="AG6153" s="2">
        <f ca="1"/>
        <v>5.7733562727125598E-2</v>
      </c>
      <c r="AH6153" s="2" t="str">
        <f ca="1"/>
        <v>OK</v>
      </c>
    </row>
    <row r="6154" spans="2:34" x14ac:dyDescent="0.2">
      <c r="B6154" s="2">
        <f ca="1"/>
        <v>0.73406256780911905</v>
      </c>
      <c r="O6154" s="2">
        <f ca="1"/>
        <v>-1.0568030958230523</v>
      </c>
      <c r="X6154" s="2">
        <f ca="1"/>
        <v>16.908682915062464</v>
      </c>
      <c r="AG6154" s="2">
        <f ca="1"/>
        <v>0.47062092158966262</v>
      </c>
      <c r="AH6154" s="2" t="str">
        <f ca="1"/>
        <v>Bad</v>
      </c>
    </row>
    <row r="6155" spans="2:34" x14ac:dyDescent="0.2">
      <c r="B6155" s="2">
        <f ca="1"/>
        <v>0.19520850842298554</v>
      </c>
      <c r="O6155" s="2">
        <f ca="1"/>
        <v>-3.4416140118296794E-2</v>
      </c>
      <c r="X6155" s="2">
        <f ca="1"/>
        <v>54.03024820009891</v>
      </c>
      <c r="AG6155" s="2">
        <f ca="1"/>
        <v>0.97807551368230672</v>
      </c>
      <c r="AH6155" s="2" t="str">
        <f ca="1"/>
        <v>Bad</v>
      </c>
    </row>
    <row r="6156" spans="2:34" x14ac:dyDescent="0.2">
      <c r="B6156" s="2">
        <f ca="1"/>
        <v>0.44559273348367934</v>
      </c>
      <c r="O6156" s="2">
        <f ca="1"/>
        <v>1.5585667983666263</v>
      </c>
      <c r="X6156" s="2">
        <f ca="1"/>
        <v>40.969419228914902</v>
      </c>
      <c r="AG6156" s="2">
        <f ca="1"/>
        <v>0.15005534376102525</v>
      </c>
      <c r="AH6156" s="2" t="str">
        <f ca="1"/>
        <v>OK</v>
      </c>
    </row>
    <row r="6157" spans="2:34" x14ac:dyDescent="0.2">
      <c r="B6157" s="2">
        <f ca="1"/>
        <v>0.15236225108483792</v>
      </c>
      <c r="O6157" s="2">
        <f ca="1"/>
        <v>1.0269233039889476</v>
      </c>
      <c r="X6157" s="2">
        <f ca="1"/>
        <v>42.719577225231617</v>
      </c>
      <c r="AG6157" s="2">
        <f ca="1"/>
        <v>0.99363787146388138</v>
      </c>
      <c r="AH6157" s="2" t="str">
        <f ca="1"/>
        <v>Bad</v>
      </c>
    </row>
    <row r="6158" spans="2:34" x14ac:dyDescent="0.2">
      <c r="B6158" s="2">
        <f ca="1"/>
        <v>0.80121673454494791</v>
      </c>
      <c r="O6158" s="2">
        <f ca="1"/>
        <v>-0.29681797060763282</v>
      </c>
      <c r="X6158" s="2">
        <f ca="1"/>
        <v>70.945877363050315</v>
      </c>
      <c r="AG6158" s="2">
        <f ca="1"/>
        <v>0.58081454328520232</v>
      </c>
      <c r="AH6158" s="2" t="str">
        <f ca="1"/>
        <v>Bad</v>
      </c>
    </row>
    <row r="6159" spans="2:34" x14ac:dyDescent="0.2">
      <c r="B6159" s="2">
        <f ca="1"/>
        <v>0.58457827847442845</v>
      </c>
      <c r="O6159" s="2">
        <f ca="1"/>
        <v>-1.8545262928355055</v>
      </c>
      <c r="X6159" s="2">
        <f ca="1"/>
        <v>66.874692748709208</v>
      </c>
      <c r="AG6159" s="2">
        <f ca="1"/>
        <v>5.5800970602987165E-2</v>
      </c>
      <c r="AH6159" s="2" t="str">
        <f ca="1"/>
        <v>OK</v>
      </c>
    </row>
    <row r="6160" spans="2:34" x14ac:dyDescent="0.2">
      <c r="B6160" s="2">
        <f ca="1"/>
        <v>0.16450737514478209</v>
      </c>
      <c r="O6160" s="2">
        <f ca="1"/>
        <v>-0.58930223688050665</v>
      </c>
      <c r="X6160" s="2">
        <f ca="1"/>
        <v>40.889281218778315</v>
      </c>
      <c r="AG6160" s="2">
        <f ca="1"/>
        <v>0.95413813624775412</v>
      </c>
      <c r="AH6160" s="2" t="str">
        <f ca="1"/>
        <v>Bad</v>
      </c>
    </row>
    <row r="6161" spans="2:34" x14ac:dyDescent="0.2">
      <c r="B6161" s="2">
        <f ca="1"/>
        <v>0.39957183255131667</v>
      </c>
      <c r="O6161" s="2">
        <f ca="1"/>
        <v>0.11038386356407427</v>
      </c>
      <c r="X6161" s="2">
        <f ca="1"/>
        <v>65.243916139383302</v>
      </c>
      <c r="AG6161" s="2">
        <f ca="1"/>
        <v>0.25903613073934051</v>
      </c>
      <c r="AH6161" s="2" t="str">
        <f ca="1"/>
        <v>OK</v>
      </c>
    </row>
    <row r="6162" spans="2:34" x14ac:dyDescent="0.2">
      <c r="B6162" s="2">
        <f ca="1"/>
        <v>0.19687171349375743</v>
      </c>
      <c r="O6162" s="2">
        <f ca="1"/>
        <v>0.24313321256673243</v>
      </c>
      <c r="X6162" s="2">
        <f ca="1"/>
        <v>53.677041141330683</v>
      </c>
      <c r="AG6162" s="2">
        <f ca="1"/>
        <v>0.23722042094532036</v>
      </c>
      <c r="AH6162" s="2" t="str">
        <f ca="1"/>
        <v>OK</v>
      </c>
    </row>
    <row r="6163" spans="2:34" x14ac:dyDescent="0.2">
      <c r="B6163" s="2">
        <f ca="1"/>
        <v>0.6215330284082039</v>
      </c>
      <c r="O6163" s="2">
        <f ca="1"/>
        <v>-1.3034190269013937</v>
      </c>
      <c r="X6163" s="2">
        <f ca="1"/>
        <v>65.873305806506735</v>
      </c>
      <c r="AG6163" s="2">
        <f ca="1"/>
        <v>0.38425012544342008</v>
      </c>
      <c r="AH6163" s="2" t="str">
        <f ca="1"/>
        <v>OK</v>
      </c>
    </row>
    <row r="6164" spans="2:34" x14ac:dyDescent="0.2">
      <c r="B6164" s="2">
        <f ca="1"/>
        <v>0.80467954019614174</v>
      </c>
      <c r="O6164" s="2">
        <f ca="1"/>
        <v>-1.1728615312710244</v>
      </c>
      <c r="X6164" s="2">
        <f ca="1"/>
        <v>30.337706214855629</v>
      </c>
      <c r="AG6164" s="2">
        <f ca="1"/>
        <v>0.82432694753935842</v>
      </c>
      <c r="AH6164" s="2" t="str">
        <f ca="1"/>
        <v>Bad</v>
      </c>
    </row>
    <row r="6165" spans="2:34" x14ac:dyDescent="0.2">
      <c r="B6165" s="2">
        <f ca="1"/>
        <v>0.11648639880223355</v>
      </c>
      <c r="O6165" s="2">
        <f ca="1"/>
        <v>8.1850449304605985E-2</v>
      </c>
      <c r="X6165" s="2">
        <f ca="1"/>
        <v>62.051247119985895</v>
      </c>
      <c r="AG6165" s="2">
        <f ca="1"/>
        <v>0.74867979793230921</v>
      </c>
      <c r="AH6165" s="2" t="str">
        <f ca="1"/>
        <v>Bad</v>
      </c>
    </row>
    <row r="6166" spans="2:34" x14ac:dyDescent="0.2">
      <c r="B6166" s="2">
        <f ca="1"/>
        <v>0.67683327318639441</v>
      </c>
      <c r="O6166" s="2">
        <f ca="1"/>
        <v>0.11941082828712245</v>
      </c>
      <c r="X6166" s="2">
        <f ca="1"/>
        <v>45.641696862258563</v>
      </c>
      <c r="AG6166" s="2">
        <f ca="1"/>
        <v>0.69910238182608664</v>
      </c>
      <c r="AH6166" s="2" t="str">
        <f ca="1"/>
        <v>Bad</v>
      </c>
    </row>
    <row r="6167" spans="2:34" x14ac:dyDescent="0.2">
      <c r="B6167" s="2">
        <f ca="1"/>
        <v>0.5812762774736433</v>
      </c>
      <c r="O6167" s="2">
        <f ca="1"/>
        <v>0.91826771990416711</v>
      </c>
      <c r="X6167" s="2">
        <f ca="1"/>
        <v>68.265348126833445</v>
      </c>
      <c r="AG6167" s="2">
        <f ca="1"/>
        <v>0.9260988078209873</v>
      </c>
      <c r="AH6167" s="2" t="str">
        <f ca="1"/>
        <v>Bad</v>
      </c>
    </row>
    <row r="6168" spans="2:34" x14ac:dyDescent="0.2">
      <c r="B6168" s="2">
        <f ca="1"/>
        <v>0.81135235980795239</v>
      </c>
      <c r="O6168" s="2">
        <f ca="1"/>
        <v>1.023947823108313</v>
      </c>
      <c r="X6168" s="2">
        <f ca="1"/>
        <v>44.551894808429687</v>
      </c>
      <c r="AG6168" s="2">
        <f ca="1"/>
        <v>0.16459644829915021</v>
      </c>
      <c r="AH6168" s="2" t="str">
        <f ca="1"/>
        <v>OK</v>
      </c>
    </row>
    <row r="6169" spans="2:34" x14ac:dyDescent="0.2">
      <c r="B6169" s="2">
        <f ca="1"/>
        <v>0.37170480205580958</v>
      </c>
      <c r="O6169" s="2">
        <f ca="1"/>
        <v>-0.69283498985004688</v>
      </c>
      <c r="X6169" s="2">
        <f ca="1"/>
        <v>41.431309980442037</v>
      </c>
      <c r="AG6169" s="2">
        <f ca="1"/>
        <v>0.86517263225086571</v>
      </c>
      <c r="AH6169" s="2" t="str">
        <f ca="1"/>
        <v>Bad</v>
      </c>
    </row>
    <row r="6170" spans="2:34" x14ac:dyDescent="0.2">
      <c r="B6170" s="2">
        <f ca="1"/>
        <v>0.87500297580628006</v>
      </c>
      <c r="O6170" s="2">
        <f ca="1"/>
        <v>0.25921357420042751</v>
      </c>
      <c r="X6170" s="2">
        <f ca="1"/>
        <v>51.533399474779301</v>
      </c>
      <c r="AG6170" s="2">
        <f ca="1"/>
        <v>0.42096076202117105</v>
      </c>
      <c r="AH6170" s="2" t="str">
        <f ca="1"/>
        <v>Bad</v>
      </c>
    </row>
    <row r="6171" spans="2:34" x14ac:dyDescent="0.2">
      <c r="B6171" s="2">
        <f ca="1"/>
        <v>0.96523821629255657</v>
      </c>
      <c r="O6171" s="2">
        <f ca="1"/>
        <v>-0.60298825683571011</v>
      </c>
      <c r="X6171" s="2">
        <f ca="1"/>
        <v>65.307810193040297</v>
      </c>
      <c r="AG6171" s="2">
        <f ca="1"/>
        <v>0.82028732616486311</v>
      </c>
      <c r="AH6171" s="2" t="str">
        <f ca="1"/>
        <v>Bad</v>
      </c>
    </row>
    <row r="6172" spans="2:34" x14ac:dyDescent="0.2">
      <c r="B6172" s="2">
        <f ca="1"/>
        <v>0.7719380189945102</v>
      </c>
      <c r="O6172" s="2">
        <f ca="1"/>
        <v>1.0124268284479174</v>
      </c>
      <c r="X6172" s="2">
        <f ca="1"/>
        <v>44.783175713457091</v>
      </c>
      <c r="AG6172" s="2">
        <f ca="1"/>
        <v>0.78298203770840979</v>
      </c>
      <c r="AH6172" s="2" t="str">
        <f ca="1"/>
        <v>Bad</v>
      </c>
    </row>
    <row r="6173" spans="2:34" x14ac:dyDescent="0.2">
      <c r="B6173" s="2">
        <f ca="1"/>
        <v>0.39629446499618792</v>
      </c>
      <c r="O6173" s="2">
        <f ca="1"/>
        <v>-0.36960311169118348</v>
      </c>
      <c r="X6173" s="2">
        <f ca="1"/>
        <v>34.935882871032689</v>
      </c>
      <c r="AG6173" s="2">
        <f ca="1"/>
        <v>0.80786191708801502</v>
      </c>
      <c r="AH6173" s="2" t="str">
        <f ca="1"/>
        <v>Bad</v>
      </c>
    </row>
    <row r="6174" spans="2:34" x14ac:dyDescent="0.2">
      <c r="B6174" s="2">
        <f ca="1"/>
        <v>0.39803128337235205</v>
      </c>
      <c r="O6174" s="2">
        <f ca="1"/>
        <v>2.0131621705725671</v>
      </c>
      <c r="X6174" s="2">
        <f ca="1"/>
        <v>36.62708600291581</v>
      </c>
      <c r="AG6174" s="2">
        <f ca="1"/>
        <v>0.1189220571467049</v>
      </c>
      <c r="AH6174" s="2" t="str">
        <f ca="1"/>
        <v>OK</v>
      </c>
    </row>
    <row r="6175" spans="2:34" x14ac:dyDescent="0.2">
      <c r="B6175" s="2">
        <f ca="1"/>
        <v>0.67733637104491695</v>
      </c>
      <c r="O6175" s="2">
        <f ca="1"/>
        <v>-0.57619149986240104</v>
      </c>
      <c r="X6175" s="2">
        <f ca="1"/>
        <v>50.067947038022652</v>
      </c>
      <c r="AG6175" s="2">
        <f ca="1"/>
        <v>0.61916762310893803</v>
      </c>
      <c r="AH6175" s="2" t="str">
        <f ca="1"/>
        <v>Bad</v>
      </c>
    </row>
    <row r="6176" spans="2:34" x14ac:dyDescent="0.2">
      <c r="B6176" s="2">
        <f ca="1"/>
        <v>0.72795771644493312</v>
      </c>
      <c r="O6176" s="2">
        <f ca="1"/>
        <v>8.393170572242642E-2</v>
      </c>
      <c r="X6176" s="2">
        <f ca="1"/>
        <v>42.871291885977541</v>
      </c>
      <c r="AG6176" s="2">
        <f ca="1"/>
        <v>0.48189022616800736</v>
      </c>
      <c r="AH6176" s="2" t="str">
        <f ca="1"/>
        <v>Bad</v>
      </c>
    </row>
    <row r="6177" spans="2:34" x14ac:dyDescent="0.2">
      <c r="B6177" s="2">
        <f ca="1"/>
        <v>6.0866812044168661E-2</v>
      </c>
      <c r="O6177" s="2">
        <f ca="1"/>
        <v>1.3269151172962916</v>
      </c>
      <c r="X6177" s="2">
        <f ca="1"/>
        <v>67.661120703291758</v>
      </c>
      <c r="AG6177" s="2">
        <f ca="1"/>
        <v>0.92842486773142974</v>
      </c>
      <c r="AH6177" s="2" t="str">
        <f ca="1"/>
        <v>Bad</v>
      </c>
    </row>
    <row r="6178" spans="2:34" x14ac:dyDescent="0.2">
      <c r="B6178" s="2">
        <f ca="1"/>
        <v>0.80772574855043078</v>
      </c>
      <c r="O6178" s="2">
        <f ca="1"/>
        <v>-0.33608884936065525</v>
      </c>
      <c r="X6178" s="2">
        <f ca="1"/>
        <v>40.203120840298745</v>
      </c>
      <c r="AG6178" s="2">
        <f ca="1"/>
        <v>9.8783063225368339E-2</v>
      </c>
      <c r="AH6178" s="2" t="str">
        <f ca="1"/>
        <v>OK</v>
      </c>
    </row>
    <row r="6179" spans="2:34" x14ac:dyDescent="0.2">
      <c r="B6179" s="2">
        <f ca="1"/>
        <v>0.67375941162140163</v>
      </c>
      <c r="O6179" s="2">
        <f ca="1"/>
        <v>-0.53165745525026642</v>
      </c>
      <c r="X6179" s="2">
        <f ca="1"/>
        <v>54.663144200615989</v>
      </c>
      <c r="AG6179" s="2">
        <f ca="1"/>
        <v>0.34602611689964502</v>
      </c>
      <c r="AH6179" s="2" t="str">
        <f ca="1"/>
        <v>OK</v>
      </c>
    </row>
    <row r="6180" spans="2:34" x14ac:dyDescent="0.2">
      <c r="B6180" s="2">
        <f ca="1"/>
        <v>0.51887000171713704</v>
      </c>
      <c r="O6180" s="2">
        <f ca="1"/>
        <v>-2.0838657940014951</v>
      </c>
      <c r="X6180" s="2">
        <f ca="1"/>
        <v>43.269834233711471</v>
      </c>
      <c r="AG6180" s="2">
        <f ca="1"/>
        <v>0.35627568065056869</v>
      </c>
      <c r="AH6180" s="2" t="str">
        <f ca="1"/>
        <v>OK</v>
      </c>
    </row>
    <row r="6181" spans="2:34" x14ac:dyDescent="0.2">
      <c r="B6181" s="2">
        <f ca="1"/>
        <v>0.98892183144871693</v>
      </c>
      <c r="O6181" s="2">
        <f ca="1"/>
        <v>-0.98181257626543628</v>
      </c>
      <c r="X6181" s="2">
        <f ca="1"/>
        <v>37.428107181134237</v>
      </c>
      <c r="AG6181" s="2">
        <f ca="1"/>
        <v>0.80075757246608115</v>
      </c>
      <c r="AH6181" s="2" t="str">
        <f ca="1"/>
        <v>Bad</v>
      </c>
    </row>
    <row r="6182" spans="2:34" x14ac:dyDescent="0.2">
      <c r="B6182" s="2">
        <f ca="1"/>
        <v>0.90441931387258734</v>
      </c>
      <c r="O6182" s="2">
        <f ca="1"/>
        <v>-0.27984928401727521</v>
      </c>
      <c r="X6182" s="2">
        <f ca="1"/>
        <v>41.185182491046021</v>
      </c>
      <c r="AG6182" s="2">
        <f ca="1"/>
        <v>0.26839714646050061</v>
      </c>
      <c r="AH6182" s="2" t="str">
        <f ca="1"/>
        <v>OK</v>
      </c>
    </row>
    <row r="6183" spans="2:34" x14ac:dyDescent="0.2">
      <c r="B6183" s="2">
        <f ca="1"/>
        <v>0.70083318632146008</v>
      </c>
      <c r="O6183" s="2">
        <f ca="1"/>
        <v>-6.5383857791930788E-2</v>
      </c>
      <c r="X6183" s="2">
        <f ca="1"/>
        <v>62.060598385308793</v>
      </c>
      <c r="AG6183" s="2">
        <f ca="1"/>
        <v>0.41058936004391478</v>
      </c>
      <c r="AH6183" s="2" t="str">
        <f ca="1"/>
        <v>Bad</v>
      </c>
    </row>
    <row r="6184" spans="2:34" x14ac:dyDescent="0.2">
      <c r="B6184" s="2">
        <f ca="1"/>
        <v>0.35493227369134517</v>
      </c>
      <c r="O6184" s="2">
        <f ca="1"/>
        <v>-2.1978357634590311</v>
      </c>
      <c r="X6184" s="2">
        <f ca="1"/>
        <v>38.828922269414562</v>
      </c>
      <c r="AG6184" s="2">
        <f ca="1"/>
        <v>8.7715700493206983E-2</v>
      </c>
      <c r="AH6184" s="2" t="str">
        <f ca="1"/>
        <v>OK</v>
      </c>
    </row>
    <row r="6185" spans="2:34" x14ac:dyDescent="0.2">
      <c r="B6185" s="2">
        <f ca="1"/>
        <v>0.82481817606188468</v>
      </c>
      <c r="O6185" s="2">
        <f ca="1"/>
        <v>1.3623001031422746</v>
      </c>
      <c r="X6185" s="2">
        <f ca="1"/>
        <v>56.893842035124365</v>
      </c>
      <c r="AG6185" s="2">
        <f ca="1"/>
        <v>0.67767816887074783</v>
      </c>
      <c r="AH6185" s="2" t="str">
        <f ca="1"/>
        <v>Bad</v>
      </c>
    </row>
    <row r="6186" spans="2:34" x14ac:dyDescent="0.2">
      <c r="B6186" s="2">
        <f ca="1"/>
        <v>0.89199108115053538</v>
      </c>
      <c r="O6186" s="2">
        <f ca="1"/>
        <v>0.31658720405274987</v>
      </c>
      <c r="X6186" s="2">
        <f ca="1"/>
        <v>29.533625218878225</v>
      </c>
      <c r="AG6186" s="2">
        <f ca="1"/>
        <v>0.91507791399169691</v>
      </c>
      <c r="AH6186" s="2" t="str">
        <f ca="1"/>
        <v>Bad</v>
      </c>
    </row>
    <row r="6187" spans="2:34" x14ac:dyDescent="0.2">
      <c r="B6187" s="2">
        <f ca="1"/>
        <v>0.93419151448756788</v>
      </c>
      <c r="O6187" s="2">
        <f ca="1"/>
        <v>-0.83386456108520124</v>
      </c>
      <c r="X6187" s="2">
        <f ca="1"/>
        <v>58.482965686855692</v>
      </c>
      <c r="AG6187" s="2">
        <f ca="1"/>
        <v>0.77926365053308588</v>
      </c>
      <c r="AH6187" s="2" t="str">
        <f ca="1"/>
        <v>Bad</v>
      </c>
    </row>
    <row r="6188" spans="2:34" x14ac:dyDescent="0.2">
      <c r="B6188" s="2">
        <f ca="1"/>
        <v>6.2105831390673938E-2</v>
      </c>
      <c r="O6188" s="2">
        <f ca="1"/>
        <v>0.38574333716229731</v>
      </c>
      <c r="X6188" s="2">
        <f ca="1"/>
        <v>49.696580129882918</v>
      </c>
      <c r="AG6188" s="2">
        <f ca="1"/>
        <v>8.6889289152984883E-2</v>
      </c>
      <c r="AH6188" s="2" t="str">
        <f ca="1"/>
        <v>OK</v>
      </c>
    </row>
    <row r="6189" spans="2:34" x14ac:dyDescent="0.2">
      <c r="B6189" s="2">
        <f ca="1"/>
        <v>6.4274578900527457E-2</v>
      </c>
      <c r="O6189" s="2">
        <f ca="1"/>
        <v>1.4764656166836445</v>
      </c>
      <c r="X6189" s="2">
        <f ca="1"/>
        <v>46.559000030616666</v>
      </c>
      <c r="AG6189" s="2">
        <f ca="1"/>
        <v>0.23077785607662027</v>
      </c>
      <c r="AH6189" s="2" t="str">
        <f ca="1"/>
        <v>OK</v>
      </c>
    </row>
    <row r="6190" spans="2:34" x14ac:dyDescent="0.2">
      <c r="B6190" s="2">
        <f ca="1"/>
        <v>0.42199576834679831</v>
      </c>
      <c r="O6190" s="2">
        <f ca="1"/>
        <v>0.83800424632672976</v>
      </c>
      <c r="X6190" s="2">
        <f ca="1"/>
        <v>42.333152387825272</v>
      </c>
      <c r="AG6190" s="2">
        <f ca="1"/>
        <v>0.51454218119610595</v>
      </c>
      <c r="AH6190" s="2" t="str">
        <f ca="1"/>
        <v>Bad</v>
      </c>
    </row>
    <row r="6191" spans="2:34" x14ac:dyDescent="0.2">
      <c r="B6191" s="2">
        <f ca="1"/>
        <v>0.72664161635791635</v>
      </c>
      <c r="O6191" s="2">
        <f ca="1"/>
        <v>1.3912110037477456</v>
      </c>
      <c r="X6191" s="2">
        <f ca="1"/>
        <v>39.861793128541265</v>
      </c>
      <c r="AG6191" s="2">
        <f ca="1"/>
        <v>0.34151244056988372</v>
      </c>
      <c r="AH6191" s="2" t="str">
        <f ca="1"/>
        <v>OK</v>
      </c>
    </row>
    <row r="6192" spans="2:34" x14ac:dyDescent="0.2">
      <c r="B6192" s="2">
        <f ca="1"/>
        <v>0.43468178796035373</v>
      </c>
      <c r="O6192" s="2">
        <f ca="1"/>
        <v>-1.2684635212441155</v>
      </c>
      <c r="X6192" s="2">
        <f ca="1"/>
        <v>44.272410154088256</v>
      </c>
      <c r="AG6192" s="2">
        <f ca="1"/>
        <v>0.35224048726103563</v>
      </c>
      <c r="AH6192" s="2" t="str">
        <f ca="1"/>
        <v>OK</v>
      </c>
    </row>
    <row r="6193" spans="2:34" x14ac:dyDescent="0.2">
      <c r="B6193" s="2">
        <f ca="1"/>
        <v>0.78376366409934795</v>
      </c>
      <c r="O6193" s="2">
        <f ca="1"/>
        <v>-1.1299984813951272</v>
      </c>
      <c r="X6193" s="2">
        <f ca="1"/>
        <v>46.526940597276408</v>
      </c>
      <c r="AG6193" s="2">
        <f ca="1"/>
        <v>0.81351973167661162</v>
      </c>
      <c r="AH6193" s="2" t="str">
        <f ca="1"/>
        <v>Bad</v>
      </c>
    </row>
    <row r="6194" spans="2:34" x14ac:dyDescent="0.2">
      <c r="B6194" s="2">
        <f ca="1"/>
        <v>0.63079800512098361</v>
      </c>
      <c r="O6194" s="2">
        <f ca="1"/>
        <v>-0.61397298724745641</v>
      </c>
      <c r="X6194" s="2">
        <f ca="1"/>
        <v>57.082469926587564</v>
      </c>
      <c r="AG6194" s="2">
        <f ca="1"/>
        <v>0.30472964681594306</v>
      </c>
      <c r="AH6194" s="2" t="str">
        <f ca="1"/>
        <v>OK</v>
      </c>
    </row>
    <row r="6195" spans="2:34" x14ac:dyDescent="0.2">
      <c r="B6195" s="2">
        <f ca="1"/>
        <v>0.97482050105417106</v>
      </c>
      <c r="O6195" s="2">
        <f ca="1"/>
        <v>0.61624321585658359</v>
      </c>
      <c r="X6195" s="2">
        <f ca="1"/>
        <v>43.093191913980775</v>
      </c>
      <c r="AG6195" s="2">
        <f ca="1"/>
        <v>0.18295140542844379</v>
      </c>
      <c r="AH6195" s="2" t="str">
        <f ca="1"/>
        <v>OK</v>
      </c>
    </row>
    <row r="6196" spans="2:34" x14ac:dyDescent="0.2">
      <c r="B6196" s="2">
        <f ca="1"/>
        <v>0.6760810026181272</v>
      </c>
      <c r="O6196" s="2">
        <f ca="1"/>
        <v>-0.82380266392768031</v>
      </c>
      <c r="X6196" s="2">
        <f ca="1"/>
        <v>38.041462171894636</v>
      </c>
      <c r="AG6196" s="2">
        <f ca="1"/>
        <v>0.79456220393667354</v>
      </c>
      <c r="AH6196" s="2" t="str">
        <f ca="1"/>
        <v>Bad</v>
      </c>
    </row>
    <row r="6197" spans="2:34" x14ac:dyDescent="0.2">
      <c r="B6197" s="2">
        <f ca="1"/>
        <v>0.81906682522891772</v>
      </c>
      <c r="O6197" s="2">
        <f ca="1"/>
        <v>-1.1238329008206853</v>
      </c>
      <c r="X6197" s="2">
        <f ca="1"/>
        <v>49.35237420227449</v>
      </c>
      <c r="AG6197" s="2">
        <f ca="1"/>
        <v>0.60169882242675254</v>
      </c>
      <c r="AH6197" s="2" t="str">
        <f ca="1"/>
        <v>Bad</v>
      </c>
    </row>
    <row r="6198" spans="2:34" x14ac:dyDescent="0.2">
      <c r="B6198" s="2">
        <f ca="1"/>
        <v>0.86972646972340417</v>
      </c>
      <c r="O6198" s="2">
        <f ca="1"/>
        <v>0.24802040713667536</v>
      </c>
      <c r="X6198" s="2">
        <f ca="1"/>
        <v>52.683918054613777</v>
      </c>
      <c r="AG6198" s="2">
        <f ca="1"/>
        <v>0.89328991332971586</v>
      </c>
      <c r="AH6198" s="2" t="str">
        <f ca="1"/>
        <v>Bad</v>
      </c>
    </row>
    <row r="6199" spans="2:34" x14ac:dyDescent="0.2">
      <c r="B6199" s="2">
        <f ca="1"/>
        <v>0.93983536678773572</v>
      </c>
      <c r="O6199" s="2">
        <f ca="1"/>
        <v>-0.53999906657654162</v>
      </c>
      <c r="X6199" s="2">
        <f ca="1"/>
        <v>36.876717067349027</v>
      </c>
      <c r="AG6199" s="2">
        <f ca="1"/>
        <v>0.3949545530847407</v>
      </c>
      <c r="AH6199" s="2" t="str">
        <f ca="1"/>
        <v>OK</v>
      </c>
    </row>
    <row r="6200" spans="2:34" x14ac:dyDescent="0.2">
      <c r="B6200" s="2">
        <f ca="1"/>
        <v>0.14937672147239489</v>
      </c>
      <c r="O6200" s="2">
        <f ca="1"/>
        <v>0.45236863058596294</v>
      </c>
      <c r="X6200" s="2">
        <f ca="1"/>
        <v>55.485061252826625</v>
      </c>
      <c r="AG6200" s="2">
        <f ca="1"/>
        <v>0.2687921069814736</v>
      </c>
      <c r="AH6200" s="2" t="str">
        <f ca="1"/>
        <v>OK</v>
      </c>
    </row>
    <row r="6201" spans="2:34" x14ac:dyDescent="0.2">
      <c r="B6201" s="2">
        <f ca="1"/>
        <v>0.94335411345466147</v>
      </c>
      <c r="O6201" s="2">
        <f ca="1"/>
        <v>-0.44312636735395156</v>
      </c>
      <c r="X6201" s="2">
        <f ca="1"/>
        <v>51.516375144738227</v>
      </c>
      <c r="AG6201" s="2">
        <f ca="1"/>
        <v>0.46629188189049087</v>
      </c>
      <c r="AH6201" s="2" t="str">
        <f ca="1"/>
        <v>Bad</v>
      </c>
    </row>
    <row r="6202" spans="2:34" x14ac:dyDescent="0.2">
      <c r="B6202" s="2">
        <f ca="1"/>
        <v>0.80365192285553522</v>
      </c>
      <c r="O6202" s="2">
        <f ca="1"/>
        <v>-0.35891210750748054</v>
      </c>
      <c r="X6202" s="2">
        <f ca="1"/>
        <v>57.504831782528292</v>
      </c>
      <c r="AG6202" s="2">
        <f ca="1"/>
        <v>8.7929068710091096E-2</v>
      </c>
      <c r="AH6202" s="2" t="str">
        <f ca="1"/>
        <v>OK</v>
      </c>
    </row>
    <row r="6203" spans="2:34" x14ac:dyDescent="0.2">
      <c r="B6203" s="2">
        <f ca="1"/>
        <v>0.97277777659897069</v>
      </c>
      <c r="O6203" s="2">
        <f ca="1"/>
        <v>0.19201812580640534</v>
      </c>
      <c r="X6203" s="2">
        <f ca="1"/>
        <v>34.854775055509691</v>
      </c>
      <c r="AG6203" s="2">
        <f ca="1"/>
        <v>0.1368552920522832</v>
      </c>
      <c r="AH6203" s="2" t="str">
        <f ca="1"/>
        <v>OK</v>
      </c>
    </row>
    <row r="6204" spans="2:34" x14ac:dyDescent="0.2">
      <c r="B6204" s="2">
        <f ca="1"/>
        <v>0.62323647976598573</v>
      </c>
      <c r="O6204" s="2">
        <f ca="1"/>
        <v>-0.47942009641019107</v>
      </c>
      <c r="X6204" s="2">
        <f ca="1"/>
        <v>56.73982992078799</v>
      </c>
      <c r="AG6204" s="2">
        <f ca="1"/>
        <v>0.38239380403979673</v>
      </c>
      <c r="AH6204" s="2" t="str">
        <f ca="1"/>
        <v>OK</v>
      </c>
    </row>
    <row r="6205" spans="2:34" x14ac:dyDescent="0.2">
      <c r="B6205" s="2">
        <f ca="1"/>
        <v>0.74047550979121457</v>
      </c>
      <c r="O6205" s="2">
        <f ca="1"/>
        <v>0.23782996476547752</v>
      </c>
      <c r="X6205" s="2">
        <f ca="1"/>
        <v>40.260885406756721</v>
      </c>
      <c r="AG6205" s="2">
        <f ca="1"/>
        <v>0.19593197139558893</v>
      </c>
      <c r="AH6205" s="2" t="str">
        <f ca="1"/>
        <v>OK</v>
      </c>
    </row>
    <row r="6206" spans="2:34" x14ac:dyDescent="0.2">
      <c r="B6206" s="2">
        <f ca="1"/>
        <v>0.87798050168015807</v>
      </c>
      <c r="O6206" s="2">
        <f ca="1"/>
        <v>-0.92151195743174785</v>
      </c>
      <c r="X6206" s="2">
        <f ca="1"/>
        <v>59.721209598020408</v>
      </c>
      <c r="AG6206" s="2">
        <f ca="1"/>
        <v>0.61223347610052858</v>
      </c>
      <c r="AH6206" s="2" t="str">
        <f ca="1"/>
        <v>Bad</v>
      </c>
    </row>
    <row r="6207" spans="2:34" x14ac:dyDescent="0.2">
      <c r="B6207" s="2">
        <f ca="1"/>
        <v>0.33718386279071688</v>
      </c>
      <c r="O6207" s="2">
        <f ca="1"/>
        <v>-0.23883264772769297</v>
      </c>
      <c r="X6207" s="2">
        <f ca="1"/>
        <v>52.9281338366524</v>
      </c>
      <c r="AG6207" s="2">
        <f ca="1"/>
        <v>0.33573333858441057</v>
      </c>
      <c r="AH6207" s="2" t="str">
        <f ca="1"/>
        <v>OK</v>
      </c>
    </row>
    <row r="6208" spans="2:34" x14ac:dyDescent="0.2">
      <c r="B6208" s="2">
        <f ca="1"/>
        <v>0.26589262923515378</v>
      </c>
      <c r="O6208" s="2">
        <f ca="1"/>
        <v>0.38640822394345947</v>
      </c>
      <c r="X6208" s="2">
        <f ca="1"/>
        <v>58.499106469702788</v>
      </c>
      <c r="AG6208" s="2">
        <f ca="1"/>
        <v>0.81522379417240654</v>
      </c>
      <c r="AH6208" s="2" t="str">
        <f ca="1"/>
        <v>Bad</v>
      </c>
    </row>
    <row r="6209" spans="2:34" x14ac:dyDescent="0.2">
      <c r="B6209" s="2">
        <f ca="1"/>
        <v>0.39594817775866464</v>
      </c>
      <c r="O6209" s="2">
        <f ca="1"/>
        <v>0.74910994198271441</v>
      </c>
      <c r="X6209" s="2">
        <f ca="1"/>
        <v>51.625653432141611</v>
      </c>
      <c r="AG6209" s="2">
        <f ca="1"/>
        <v>0.56809428272280171</v>
      </c>
      <c r="AH6209" s="2" t="str">
        <f ca="1"/>
        <v>Bad</v>
      </c>
    </row>
    <row r="6210" spans="2:34" x14ac:dyDescent="0.2">
      <c r="B6210" s="2">
        <f ca="1"/>
        <v>0.74848077260105761</v>
      </c>
      <c r="O6210" s="2">
        <f ca="1"/>
        <v>-1.3455334703532507</v>
      </c>
      <c r="X6210" s="2">
        <f ca="1"/>
        <v>73.222381575256236</v>
      </c>
      <c r="AG6210" s="2">
        <f ca="1"/>
        <v>0.31118338128620682</v>
      </c>
      <c r="AH6210" s="2" t="str">
        <f ca="1"/>
        <v>OK</v>
      </c>
    </row>
    <row r="6211" spans="2:34" x14ac:dyDescent="0.2">
      <c r="B6211" s="2">
        <f ca="1"/>
        <v>0.26447726698584262</v>
      </c>
      <c r="O6211" s="2">
        <f ca="1"/>
        <v>-0.58519767703741887</v>
      </c>
      <c r="X6211" s="2">
        <f ca="1"/>
        <v>57.533299945314624</v>
      </c>
      <c r="AG6211" s="2">
        <f ca="1"/>
        <v>2.273502797286886E-3</v>
      </c>
      <c r="AH6211" s="2" t="str">
        <f ca="1"/>
        <v>Good</v>
      </c>
    </row>
    <row r="6212" spans="2:34" x14ac:dyDescent="0.2">
      <c r="B6212" s="2">
        <f ca="1"/>
        <v>0.18018592827500957</v>
      </c>
      <c r="O6212" s="2">
        <f ca="1"/>
        <v>1.1889795098030684</v>
      </c>
      <c r="X6212" s="2">
        <f ca="1"/>
        <v>81.639866843072397</v>
      </c>
      <c r="AG6212" s="2">
        <f ca="1"/>
        <v>1.6569148889157503E-2</v>
      </c>
      <c r="AH6212" s="2" t="str">
        <f ca="1"/>
        <v>Good</v>
      </c>
    </row>
    <row r="6213" spans="2:34" x14ac:dyDescent="0.2">
      <c r="B6213" s="2">
        <f ca="1"/>
        <v>0.93799860179639261</v>
      </c>
      <c r="O6213" s="2">
        <f ca="1"/>
        <v>-0.40184013586319833</v>
      </c>
      <c r="X6213" s="2">
        <f ca="1"/>
        <v>42.231123972549973</v>
      </c>
      <c r="AG6213" s="2">
        <f ca="1"/>
        <v>0.14259110931183216</v>
      </c>
      <c r="AH6213" s="2" t="str">
        <f ca="1"/>
        <v>OK</v>
      </c>
    </row>
    <row r="6214" spans="2:34" x14ac:dyDescent="0.2">
      <c r="B6214" s="2">
        <f ca="1"/>
        <v>0.42403781379901329</v>
      </c>
      <c r="O6214" s="2">
        <f ca="1"/>
        <v>-0.72315577010575727</v>
      </c>
      <c r="X6214" s="2">
        <f ca="1"/>
        <v>69.011155981872122</v>
      </c>
      <c r="AG6214" s="2">
        <f ca="1"/>
        <v>9.5533479679814626E-3</v>
      </c>
      <c r="AH6214" s="2" t="str">
        <f ca="1"/>
        <v>Good</v>
      </c>
    </row>
    <row r="6215" spans="2:34" x14ac:dyDescent="0.2">
      <c r="B6215" s="2">
        <f ca="1"/>
        <v>0.364773494978752</v>
      </c>
      <c r="O6215" s="2">
        <f ca="1"/>
        <v>0.70755851025359828</v>
      </c>
      <c r="X6215" s="2">
        <f ca="1"/>
        <v>91.973025105014159</v>
      </c>
      <c r="AG6215" s="2">
        <f ca="1"/>
        <v>0.61809613228031957</v>
      </c>
      <c r="AH6215" s="2" t="str">
        <f ca="1"/>
        <v>Bad</v>
      </c>
    </row>
    <row r="6216" spans="2:34" x14ac:dyDescent="0.2">
      <c r="B6216" s="2">
        <f ca="1"/>
        <v>0.22015678025647811</v>
      </c>
      <c r="O6216" s="2">
        <f ca="1"/>
        <v>-1.0095915511432065</v>
      </c>
      <c r="X6216" s="2">
        <f ca="1"/>
        <v>71.807389855668902</v>
      </c>
      <c r="AG6216" s="2">
        <f ca="1"/>
        <v>0.22991522969203526</v>
      </c>
      <c r="AH6216" s="2" t="str">
        <f ca="1"/>
        <v>OK</v>
      </c>
    </row>
    <row r="6217" spans="2:34" x14ac:dyDescent="0.2">
      <c r="B6217" s="2">
        <f ca="1"/>
        <v>0.88770600143250156</v>
      </c>
      <c r="O6217" s="2">
        <f ca="1"/>
        <v>-1.6105014366515313</v>
      </c>
      <c r="X6217" s="2">
        <f ca="1"/>
        <v>47.285370028637175</v>
      </c>
      <c r="AG6217" s="2">
        <f ca="1"/>
        <v>0.80706480357081145</v>
      </c>
      <c r="AH6217" s="2" t="str">
        <f ca="1"/>
        <v>Bad</v>
      </c>
    </row>
    <row r="6218" spans="2:34" x14ac:dyDescent="0.2">
      <c r="B6218" s="2">
        <f ca="1"/>
        <v>0.43787231835166285</v>
      </c>
      <c r="O6218" s="2">
        <f ca="1"/>
        <v>1.014030609153153</v>
      </c>
      <c r="X6218" s="2">
        <f ca="1"/>
        <v>29.862188953264361</v>
      </c>
      <c r="AG6218" s="2">
        <f ca="1"/>
        <v>0.82424254271602315</v>
      </c>
      <c r="AH6218" s="2" t="str">
        <f ca="1"/>
        <v>Bad</v>
      </c>
    </row>
    <row r="6219" spans="2:34" x14ac:dyDescent="0.2">
      <c r="B6219" s="2">
        <f ca="1"/>
        <v>0.18023780034062398</v>
      </c>
      <c r="O6219" s="2">
        <f ca="1"/>
        <v>-1.4783807281501467</v>
      </c>
      <c r="X6219" s="2">
        <f ca="1"/>
        <v>44.769355930921641</v>
      </c>
      <c r="AG6219" s="2">
        <f ca="1"/>
        <v>0.78046410567690327</v>
      </c>
      <c r="AH6219" s="2" t="str">
        <f ca="1"/>
        <v>Bad</v>
      </c>
    </row>
    <row r="6220" spans="2:34" x14ac:dyDescent="0.2">
      <c r="B6220" s="2">
        <f ca="1"/>
        <v>0.89932103904397676</v>
      </c>
      <c r="O6220" s="2">
        <f ca="1"/>
        <v>2.3865762322285482</v>
      </c>
      <c r="X6220" s="2">
        <f ca="1"/>
        <v>37.250326791783849</v>
      </c>
      <c r="AG6220" s="2">
        <f ca="1"/>
        <v>0.12101893916218098</v>
      </c>
      <c r="AH6220" s="2" t="str">
        <f ca="1"/>
        <v>OK</v>
      </c>
    </row>
    <row r="6221" spans="2:34" x14ac:dyDescent="0.2">
      <c r="B6221" s="2">
        <f ca="1"/>
        <v>9.7693617980286751E-2</v>
      </c>
      <c r="O6221" s="2">
        <f ca="1"/>
        <v>0.61917036023218364</v>
      </c>
      <c r="X6221" s="2">
        <f ca="1"/>
        <v>40.661719279199453</v>
      </c>
      <c r="AG6221" s="2">
        <f ca="1"/>
        <v>6.6006429233844477E-2</v>
      </c>
      <c r="AH6221" s="2" t="str">
        <f ca="1"/>
        <v>OK</v>
      </c>
    </row>
    <row r="6222" spans="2:34" x14ac:dyDescent="0.2">
      <c r="B6222" s="2">
        <f ca="1"/>
        <v>0.77727758166518957</v>
      </c>
      <c r="O6222" s="2">
        <f ca="1"/>
        <v>1.703082517529551</v>
      </c>
      <c r="X6222" s="2">
        <f ca="1"/>
        <v>58.438966467748131</v>
      </c>
      <c r="AG6222" s="2">
        <f ca="1"/>
        <v>0.61531960066711489</v>
      </c>
      <c r="AH6222" s="2" t="str">
        <f ca="1"/>
        <v>Bad</v>
      </c>
    </row>
    <row r="6223" spans="2:34" x14ac:dyDescent="0.2">
      <c r="B6223" s="2">
        <f ca="1"/>
        <v>0.20669948994994924</v>
      </c>
      <c r="O6223" s="2">
        <f ca="1"/>
        <v>-0.235770751768034</v>
      </c>
      <c r="X6223" s="2">
        <f ca="1"/>
        <v>48.708807018099343</v>
      </c>
      <c r="AG6223" s="2">
        <f ca="1"/>
        <v>0.95092368784868797</v>
      </c>
      <c r="AH6223" s="2" t="str">
        <f ca="1"/>
        <v>Bad</v>
      </c>
    </row>
    <row r="6224" spans="2:34" x14ac:dyDescent="0.2">
      <c r="B6224" s="2">
        <f ca="1"/>
        <v>0.45197649409556173</v>
      </c>
      <c r="O6224" s="2">
        <f ca="1"/>
        <v>-1.2501967429138021</v>
      </c>
      <c r="X6224" s="2">
        <f ca="1"/>
        <v>71.689372469544395</v>
      </c>
      <c r="AG6224" s="2">
        <f ca="1"/>
        <v>3.3700866142032382E-3</v>
      </c>
      <c r="AH6224" s="2" t="str">
        <f ca="1"/>
        <v>Good</v>
      </c>
    </row>
    <row r="6225" spans="2:34" x14ac:dyDescent="0.2">
      <c r="B6225" s="2">
        <f ca="1"/>
        <v>0.11504261789296977</v>
      </c>
      <c r="O6225" s="2">
        <f ca="1"/>
        <v>-0.2024314104453323</v>
      </c>
      <c r="X6225" s="2">
        <f ca="1"/>
        <v>33.36465751444122</v>
      </c>
      <c r="AG6225" s="2">
        <f ca="1"/>
        <v>0.37672969248305077</v>
      </c>
      <c r="AH6225" s="2" t="str">
        <f ca="1"/>
        <v>OK</v>
      </c>
    </row>
    <row r="6226" spans="2:34" x14ac:dyDescent="0.2">
      <c r="B6226" s="2">
        <f ca="1"/>
        <v>5.205001699599543E-2</v>
      </c>
      <c r="O6226" s="2">
        <f ca="1"/>
        <v>0.63931607222969122</v>
      </c>
      <c r="X6226" s="2">
        <f ca="1"/>
        <v>52.829786288725685</v>
      </c>
      <c r="AG6226" s="2">
        <f ca="1"/>
        <v>0.39152492473835721</v>
      </c>
      <c r="AH6226" s="2" t="str">
        <f ca="1"/>
        <v>OK</v>
      </c>
    </row>
    <row r="6227" spans="2:34" x14ac:dyDescent="0.2">
      <c r="B6227" s="2">
        <f ca="1"/>
        <v>0.85049070216966283</v>
      </c>
      <c r="O6227" s="2">
        <f ca="1"/>
        <v>-0.75286331690532304</v>
      </c>
      <c r="X6227" s="2">
        <f ca="1"/>
        <v>60.85941323524758</v>
      </c>
      <c r="AG6227" s="2">
        <f ca="1"/>
        <v>0.40104154616034227</v>
      </c>
      <c r="AH6227" s="2" t="str">
        <f ca="1"/>
        <v>Bad</v>
      </c>
    </row>
    <row r="6228" spans="2:34" x14ac:dyDescent="0.2">
      <c r="B6228" s="2">
        <f ca="1"/>
        <v>0.83794380609265118</v>
      </c>
      <c r="O6228" s="2">
        <f ca="1"/>
        <v>1.7420229364993107</v>
      </c>
      <c r="X6228" s="2">
        <f ca="1"/>
        <v>26.925842492729934</v>
      </c>
      <c r="AG6228" s="2">
        <f ca="1"/>
        <v>0.33922923394928151</v>
      </c>
      <c r="AH6228" s="2" t="str">
        <f ca="1"/>
        <v>OK</v>
      </c>
    </row>
    <row r="6229" spans="2:34" x14ac:dyDescent="0.2">
      <c r="B6229" s="2">
        <f ca="1"/>
        <v>0.44434953963166834</v>
      </c>
      <c r="O6229" s="2">
        <f ca="1"/>
        <v>1.3322385075777918</v>
      </c>
      <c r="X6229" s="2">
        <f ca="1"/>
        <v>68.149949107424575</v>
      </c>
      <c r="AG6229" s="2">
        <f ca="1"/>
        <v>0.11185760627523189</v>
      </c>
      <c r="AH6229" s="2" t="str">
        <f ca="1"/>
        <v>OK</v>
      </c>
    </row>
    <row r="6230" spans="2:34" x14ac:dyDescent="0.2">
      <c r="B6230" s="2">
        <f ca="1"/>
        <v>0.33109564561085669</v>
      </c>
      <c r="O6230" s="2">
        <f ca="1"/>
        <v>0.64968639522440252</v>
      </c>
      <c r="X6230" s="2">
        <f ca="1"/>
        <v>31.886743899380594</v>
      </c>
      <c r="AG6230" s="2">
        <f ca="1"/>
        <v>0.58125024003303927</v>
      </c>
      <c r="AH6230" s="2" t="str">
        <f ca="1"/>
        <v>Bad</v>
      </c>
    </row>
    <row r="6231" spans="2:34" x14ac:dyDescent="0.2">
      <c r="B6231" s="2">
        <f ca="1"/>
        <v>0.71067025011866991</v>
      </c>
      <c r="O6231" s="2">
        <f ca="1"/>
        <v>-1.2561802828185042</v>
      </c>
      <c r="X6231" s="2">
        <f ca="1"/>
        <v>60.002626550926166</v>
      </c>
      <c r="AG6231" s="2">
        <f ca="1"/>
        <v>9.5054162018067823E-2</v>
      </c>
      <c r="AH6231" s="2" t="str">
        <f ca="1"/>
        <v>OK</v>
      </c>
    </row>
    <row r="6232" spans="2:34" x14ac:dyDescent="0.2">
      <c r="B6232" s="2">
        <f ca="1"/>
        <v>0.83872394476192191</v>
      </c>
      <c r="O6232" s="2">
        <f ca="1"/>
        <v>-1.5346615919589337</v>
      </c>
      <c r="X6232" s="2">
        <f ca="1"/>
        <v>68.726804774723234</v>
      </c>
      <c r="AG6232" s="2">
        <f ca="1"/>
        <v>0.81198886503534773</v>
      </c>
      <c r="AH6232" s="2" t="str">
        <f ca="1"/>
        <v>Bad</v>
      </c>
    </row>
    <row r="6233" spans="2:34" x14ac:dyDescent="0.2">
      <c r="B6233" s="2">
        <f ca="1"/>
        <v>0.53436849867853087</v>
      </c>
      <c r="O6233" s="2">
        <f ca="1"/>
        <v>-1.1964805863198684</v>
      </c>
      <c r="X6233" s="2">
        <f ca="1"/>
        <v>34.606637959296862</v>
      </c>
      <c r="AG6233" s="2">
        <f ca="1"/>
        <v>0.15375382556933159</v>
      </c>
      <c r="AH6233" s="2" t="str">
        <f ca="1"/>
        <v>OK</v>
      </c>
    </row>
    <row r="6234" spans="2:34" x14ac:dyDescent="0.2">
      <c r="B6234" s="2">
        <f ca="1"/>
        <v>0.31134558042963012</v>
      </c>
      <c r="O6234" s="2">
        <f ca="1"/>
        <v>0.53559417983741653</v>
      </c>
      <c r="X6234" s="2">
        <f ca="1"/>
        <v>32.824031036797948</v>
      </c>
      <c r="AG6234" s="2">
        <f ca="1"/>
        <v>0.40650477523936424</v>
      </c>
      <c r="AH6234" s="2" t="str">
        <f ca="1"/>
        <v>Bad</v>
      </c>
    </row>
    <row r="6235" spans="2:34" x14ac:dyDescent="0.2">
      <c r="B6235" s="2">
        <f ca="1"/>
        <v>0.4001992768163769</v>
      </c>
      <c r="O6235" s="2">
        <f ca="1"/>
        <v>-0.39484690044028181</v>
      </c>
      <c r="X6235" s="2">
        <f ca="1"/>
        <v>58.918613774403283</v>
      </c>
      <c r="AG6235" s="2">
        <f ca="1"/>
        <v>0.46533851888658662</v>
      </c>
      <c r="AH6235" s="2" t="str">
        <f ca="1"/>
        <v>Bad</v>
      </c>
    </row>
    <row r="6236" spans="2:34" x14ac:dyDescent="0.2">
      <c r="B6236" s="2">
        <f ca="1"/>
        <v>0.48054376271581978</v>
      </c>
      <c r="O6236" s="2">
        <f ca="1"/>
        <v>-0.954939122431955</v>
      </c>
      <c r="X6236" s="2">
        <f ca="1"/>
        <v>52.363457729693835</v>
      </c>
      <c r="AG6236" s="2">
        <f ca="1"/>
        <v>0.37340573976999947</v>
      </c>
      <c r="AH6236" s="2" t="str">
        <f ca="1"/>
        <v>OK</v>
      </c>
    </row>
    <row r="6237" spans="2:34" x14ac:dyDescent="0.2">
      <c r="B6237" s="2">
        <f ca="1"/>
        <v>0.22029475193309001</v>
      </c>
      <c r="O6237" s="2">
        <f ca="1"/>
        <v>-1.0934498897728708</v>
      </c>
      <c r="X6237" s="2">
        <f ca="1"/>
        <v>86.303463682293383</v>
      </c>
      <c r="AG6237" s="2">
        <f ca="1"/>
        <v>0.31806981107970933</v>
      </c>
      <c r="AH6237" s="2" t="str">
        <f ca="1"/>
        <v>OK</v>
      </c>
    </row>
    <row r="6238" spans="2:34" x14ac:dyDescent="0.2">
      <c r="B6238" s="2">
        <f ca="1"/>
        <v>9.9271550788996743E-2</v>
      </c>
      <c r="O6238" s="2">
        <f ca="1"/>
        <v>-0.89298788105185334</v>
      </c>
      <c r="X6238" s="2">
        <f ca="1"/>
        <v>61.335531731926174</v>
      </c>
      <c r="AG6238" s="2">
        <f ca="1"/>
        <v>0.77363908781356727</v>
      </c>
      <c r="AH6238" s="2" t="str">
        <f ca="1"/>
        <v>Bad</v>
      </c>
    </row>
    <row r="6239" spans="2:34" x14ac:dyDescent="0.2">
      <c r="B6239" s="2">
        <f ca="1"/>
        <v>0.57130466563730575</v>
      </c>
      <c r="O6239" s="2">
        <f ca="1"/>
        <v>-1.8895965679664297</v>
      </c>
      <c r="X6239" s="2">
        <f ca="1"/>
        <v>63.829078537191783</v>
      </c>
      <c r="AG6239" s="2">
        <f ca="1"/>
        <v>0.26720268127960178</v>
      </c>
      <c r="AH6239" s="2" t="str">
        <f ca="1"/>
        <v>OK</v>
      </c>
    </row>
    <row r="6240" spans="2:34" x14ac:dyDescent="0.2">
      <c r="B6240" s="2">
        <f ca="1"/>
        <v>0.20039537252932704</v>
      </c>
      <c r="O6240" s="2">
        <f ca="1"/>
        <v>1.8818941030156053</v>
      </c>
      <c r="X6240" s="2">
        <f ca="1"/>
        <v>80.266727350701018</v>
      </c>
      <c r="AG6240" s="2">
        <f ca="1"/>
        <v>0.38783649007660337</v>
      </c>
      <c r="AH6240" s="2" t="str">
        <f ca="1"/>
        <v>OK</v>
      </c>
    </row>
    <row r="6241" spans="2:34" x14ac:dyDescent="0.2">
      <c r="B6241" s="2">
        <f ca="1"/>
        <v>0.99034996527402042</v>
      </c>
      <c r="O6241" s="2">
        <f ca="1"/>
        <v>-1.009838457628629</v>
      </c>
      <c r="X6241" s="2">
        <f ca="1"/>
        <v>63.124115278868445</v>
      </c>
      <c r="AG6241" s="2">
        <f ca="1"/>
        <v>0.81507047598001092</v>
      </c>
      <c r="AH6241" s="2" t="str">
        <f ca="1"/>
        <v>Bad</v>
      </c>
    </row>
    <row r="6242" spans="2:34" x14ac:dyDescent="0.2">
      <c r="B6242" s="2">
        <f ca="1"/>
        <v>0.81936149806850311</v>
      </c>
      <c r="O6242" s="2">
        <f ca="1"/>
        <v>1.0807997522470794</v>
      </c>
      <c r="X6242" s="2">
        <f ca="1"/>
        <v>40.010872795266991</v>
      </c>
      <c r="AG6242" s="2">
        <f ca="1"/>
        <v>0.96832611910539179</v>
      </c>
      <c r="AH6242" s="2" t="str">
        <f ca="1"/>
        <v>Bad</v>
      </c>
    </row>
    <row r="6243" spans="2:34" x14ac:dyDescent="0.2">
      <c r="B6243" s="2">
        <f ca="1"/>
        <v>0.458189554590126</v>
      </c>
      <c r="O6243" s="2">
        <f ca="1"/>
        <v>1.8833056487915958</v>
      </c>
      <c r="X6243" s="2">
        <f ca="1"/>
        <v>65.445383076078571</v>
      </c>
      <c r="AG6243" s="2">
        <f ca="1"/>
        <v>0.70340650995425946</v>
      </c>
      <c r="AH6243" s="2" t="str">
        <f ca="1"/>
        <v>Bad</v>
      </c>
    </row>
    <row r="6244" spans="2:34" x14ac:dyDescent="0.2">
      <c r="B6244" s="2">
        <f ca="1"/>
        <v>0.81083362838148876</v>
      </c>
      <c r="O6244" s="2">
        <f ca="1"/>
        <v>0.17999585244168093</v>
      </c>
      <c r="X6244" s="2">
        <f ca="1"/>
        <v>29.074515365941707</v>
      </c>
      <c r="AG6244" s="2">
        <f ca="1"/>
        <v>0.79981742091355246</v>
      </c>
      <c r="AH6244" s="2" t="str">
        <f ca="1"/>
        <v>Bad</v>
      </c>
    </row>
    <row r="6245" spans="2:34" x14ac:dyDescent="0.2">
      <c r="B6245" s="2">
        <f ca="1"/>
        <v>0.73089493914954229</v>
      </c>
      <c r="O6245" s="2">
        <f ca="1"/>
        <v>0.30825730241338689</v>
      </c>
      <c r="X6245" s="2">
        <f ca="1"/>
        <v>80.584586317177269</v>
      </c>
      <c r="AG6245" s="2">
        <f ca="1"/>
        <v>0.12351377822815124</v>
      </c>
      <c r="AH6245" s="2" t="str">
        <f ca="1"/>
        <v>OK</v>
      </c>
    </row>
    <row r="6246" spans="2:34" x14ac:dyDescent="0.2">
      <c r="B6246" s="2">
        <f ca="1"/>
        <v>0.14479102964235691</v>
      </c>
      <c r="O6246" s="2">
        <f ca="1"/>
        <v>-0.65867352275809565</v>
      </c>
      <c r="X6246" s="2">
        <f ca="1"/>
        <v>45.907180261792249</v>
      </c>
      <c r="AG6246" s="2">
        <f ca="1"/>
        <v>0.78536560704729208</v>
      </c>
      <c r="AH6246" s="2" t="str">
        <f ca="1"/>
        <v>Bad</v>
      </c>
    </row>
    <row r="6247" spans="2:34" x14ac:dyDescent="0.2">
      <c r="B6247" s="2">
        <f ca="1"/>
        <v>9.6738730953602525E-2</v>
      </c>
      <c r="O6247" s="2">
        <f ca="1"/>
        <v>1.1455404344238054</v>
      </c>
      <c r="X6247" s="2">
        <f ca="1"/>
        <v>45.006479616626216</v>
      </c>
      <c r="AG6247" s="2">
        <f ca="1"/>
        <v>0.42716800317068926</v>
      </c>
      <c r="AH6247" s="2" t="str">
        <f ca="1"/>
        <v>Bad</v>
      </c>
    </row>
    <row r="6248" spans="2:34" x14ac:dyDescent="0.2">
      <c r="B6248" s="2">
        <f ca="1"/>
        <v>0.93686571442147004</v>
      </c>
      <c r="O6248" s="2">
        <f ca="1"/>
        <v>2.1382365623819739E-2</v>
      </c>
      <c r="X6248" s="2">
        <f ca="1"/>
        <v>26.839841618523828</v>
      </c>
      <c r="AG6248" s="2">
        <f ca="1"/>
        <v>0.31510906814226214</v>
      </c>
      <c r="AH6248" s="2" t="str">
        <f ca="1"/>
        <v>OK</v>
      </c>
    </row>
    <row r="6249" spans="2:34" x14ac:dyDescent="0.2">
      <c r="B6249" s="2">
        <f ca="1"/>
        <v>0.48437153973816449</v>
      </c>
      <c r="O6249" s="2">
        <f ca="1"/>
        <v>0.99825088369240045</v>
      </c>
      <c r="X6249" s="2">
        <f ca="1"/>
        <v>50.243945830170524</v>
      </c>
      <c r="AG6249" s="2">
        <f ca="1"/>
        <v>0.81483368552892599</v>
      </c>
      <c r="AH6249" s="2" t="str">
        <f ca="1"/>
        <v>Bad</v>
      </c>
    </row>
    <row r="6250" spans="2:34" x14ac:dyDescent="0.2">
      <c r="B6250" s="2">
        <f ca="1"/>
        <v>0.19628308885428836</v>
      </c>
      <c r="O6250" s="2">
        <f ca="1"/>
        <v>-1.1753244962663416</v>
      </c>
      <c r="X6250" s="2">
        <f ca="1"/>
        <v>42.430105166719272</v>
      </c>
      <c r="AG6250" s="2">
        <f ca="1"/>
        <v>0.35386037054011243</v>
      </c>
      <c r="AH6250" s="2" t="str">
        <f ca="1"/>
        <v>OK</v>
      </c>
    </row>
    <row r="6251" spans="2:34" x14ac:dyDescent="0.2">
      <c r="B6251" s="2">
        <f ca="1"/>
        <v>0.80154560637346628</v>
      </c>
      <c r="O6251" s="2">
        <f ca="1"/>
        <v>1.2759707225510981</v>
      </c>
      <c r="X6251" s="2">
        <f ca="1"/>
        <v>63.097770410927112</v>
      </c>
      <c r="AG6251" s="2">
        <f ca="1"/>
        <v>0.53660116088221255</v>
      </c>
      <c r="AH6251" s="2" t="str">
        <f ca="1"/>
        <v>Bad</v>
      </c>
    </row>
    <row r="6252" spans="2:34" x14ac:dyDescent="0.2">
      <c r="B6252" s="2">
        <f ca="1"/>
        <v>4.8137675392616375E-2</v>
      </c>
      <c r="O6252" s="2">
        <f ca="1"/>
        <v>-0.13310768671697643</v>
      </c>
      <c r="X6252" s="2">
        <f ca="1"/>
        <v>87.510905845208953</v>
      </c>
      <c r="AG6252" s="2">
        <f ca="1"/>
        <v>0.82018228400535231</v>
      </c>
      <c r="AH6252" s="2" t="str">
        <f ca="1"/>
        <v>Bad</v>
      </c>
    </row>
    <row r="6253" spans="2:34" x14ac:dyDescent="0.2">
      <c r="B6253" s="2">
        <f ca="1"/>
        <v>4.3242700499388498E-2</v>
      </c>
      <c r="O6253" s="2">
        <f ca="1"/>
        <v>-0.32334826163792385</v>
      </c>
      <c r="X6253" s="2">
        <f ca="1"/>
        <v>48.019185590731666</v>
      </c>
      <c r="AG6253" s="2">
        <f ca="1"/>
        <v>0.4516890893207941</v>
      </c>
      <c r="AH6253" s="2" t="str">
        <f ca="1"/>
        <v>Bad</v>
      </c>
    </row>
    <row r="6254" spans="2:34" x14ac:dyDescent="0.2">
      <c r="B6254" s="2">
        <f ca="1"/>
        <v>0.42032939417401849</v>
      </c>
      <c r="O6254" s="2">
        <f ca="1"/>
        <v>-0.72758227490210781</v>
      </c>
      <c r="X6254" s="2">
        <f ca="1"/>
        <v>32.720764295861187</v>
      </c>
      <c r="AG6254" s="2">
        <f ca="1"/>
        <v>0.61879606202046467</v>
      </c>
      <c r="AH6254" s="2" t="str">
        <f ca="1"/>
        <v>Bad</v>
      </c>
    </row>
    <row r="6255" spans="2:34" x14ac:dyDescent="0.2">
      <c r="B6255" s="2">
        <f ca="1"/>
        <v>0.37864483172945884</v>
      </c>
      <c r="O6255" s="2">
        <f ca="1"/>
        <v>1.1220078712629284</v>
      </c>
      <c r="X6255" s="2">
        <f ca="1"/>
        <v>82.389500090144608</v>
      </c>
      <c r="AG6255" s="2">
        <f ca="1"/>
        <v>0.47242141000837767</v>
      </c>
      <c r="AH6255" s="2" t="str">
        <f ca="1"/>
        <v>Bad</v>
      </c>
    </row>
    <row r="6256" spans="2:34" x14ac:dyDescent="0.2">
      <c r="B6256" s="2">
        <f ca="1"/>
        <v>0.31901465496296311</v>
      </c>
      <c r="O6256" s="2">
        <f ca="1"/>
        <v>-1.1325513257773809</v>
      </c>
      <c r="X6256" s="2">
        <f ca="1"/>
        <v>38.068379013205757</v>
      </c>
      <c r="AG6256" s="2">
        <f ca="1"/>
        <v>0.12773794168591235</v>
      </c>
      <c r="AH6256" s="2" t="str">
        <f ca="1"/>
        <v>OK</v>
      </c>
    </row>
    <row r="6257" spans="2:34" x14ac:dyDescent="0.2">
      <c r="B6257" s="2">
        <f ca="1"/>
        <v>0.29678779120627929</v>
      </c>
      <c r="O6257" s="2">
        <f ca="1"/>
        <v>0.44629295671582364</v>
      </c>
      <c r="X6257" s="2">
        <f ca="1"/>
        <v>37.829532165329454</v>
      </c>
      <c r="AG6257" s="2">
        <f ca="1"/>
        <v>0.38700010167806176</v>
      </c>
      <c r="AH6257" s="2" t="str">
        <f ca="1"/>
        <v>OK</v>
      </c>
    </row>
    <row r="6258" spans="2:34" x14ac:dyDescent="0.2">
      <c r="B6258" s="2">
        <f ca="1"/>
        <v>0.89589824534703233</v>
      </c>
      <c r="O6258" s="2">
        <f ca="1"/>
        <v>-1.0054404676933635</v>
      </c>
      <c r="X6258" s="2">
        <f ca="1"/>
        <v>36.033637203605494</v>
      </c>
      <c r="AG6258" s="2">
        <f ca="1"/>
        <v>0.74394148524623827</v>
      </c>
      <c r="AH6258" s="2" t="str">
        <f ca="1"/>
        <v>Bad</v>
      </c>
    </row>
    <row r="6259" spans="2:34" x14ac:dyDescent="0.2">
      <c r="B6259" s="2">
        <f ca="1"/>
        <v>0.14069235666449464</v>
      </c>
      <c r="O6259" s="2">
        <f ca="1"/>
        <v>0.12884350532224684</v>
      </c>
      <c r="X6259" s="2">
        <f ca="1"/>
        <v>54.352403044363307</v>
      </c>
      <c r="AG6259" s="2">
        <f ca="1"/>
        <v>0.13655893686884713</v>
      </c>
      <c r="AH6259" s="2" t="str">
        <f ca="1"/>
        <v>OK</v>
      </c>
    </row>
    <row r="6260" spans="2:34" x14ac:dyDescent="0.2">
      <c r="B6260" s="2">
        <f ca="1"/>
        <v>5.7667800977979855E-2</v>
      </c>
      <c r="O6260" s="2">
        <f ca="1"/>
        <v>-0.27717212917468209</v>
      </c>
      <c r="X6260" s="2">
        <f ca="1"/>
        <v>72.341727914412658</v>
      </c>
      <c r="AG6260" s="2">
        <f ca="1"/>
        <v>0.90069858354618848</v>
      </c>
      <c r="AH6260" s="2" t="str">
        <f ca="1"/>
        <v>Bad</v>
      </c>
    </row>
    <row r="6261" spans="2:34" x14ac:dyDescent="0.2">
      <c r="B6261" s="2">
        <f ca="1"/>
        <v>0.84262801388520092</v>
      </c>
      <c r="O6261" s="2">
        <f ca="1"/>
        <v>-1.1384073469600549</v>
      </c>
      <c r="X6261" s="2">
        <f ca="1"/>
        <v>62.500614888950238</v>
      </c>
      <c r="AG6261" s="2">
        <f ca="1"/>
        <v>0.7099116037085369</v>
      </c>
      <c r="AH6261" s="2" t="str">
        <f ca="1"/>
        <v>Bad</v>
      </c>
    </row>
    <row r="6262" spans="2:34" x14ac:dyDescent="0.2">
      <c r="B6262" s="2">
        <f ca="1"/>
        <v>0.9948162825107878</v>
      </c>
      <c r="O6262" s="2">
        <f ca="1"/>
        <v>-0.49962125683313391</v>
      </c>
      <c r="X6262" s="2">
        <f ca="1"/>
        <v>73.382164294754801</v>
      </c>
      <c r="AG6262" s="2">
        <f ca="1"/>
        <v>0.38253687994719932</v>
      </c>
      <c r="AH6262" s="2" t="str">
        <f ca="1"/>
        <v>OK</v>
      </c>
    </row>
    <row r="6263" spans="2:34" x14ac:dyDescent="0.2">
      <c r="B6263" s="2">
        <f ca="1"/>
        <v>0.87116686911085206</v>
      </c>
      <c r="O6263" s="2">
        <f ca="1"/>
        <v>-0.87345720023295148</v>
      </c>
      <c r="X6263" s="2">
        <f ca="1"/>
        <v>55.951281504156455</v>
      </c>
      <c r="AG6263" s="2">
        <f ca="1"/>
        <v>0.56974218598423931</v>
      </c>
      <c r="AH6263" s="2" t="str">
        <f ca="1"/>
        <v>Bad</v>
      </c>
    </row>
    <row r="6264" spans="2:34" x14ac:dyDescent="0.2">
      <c r="B6264" s="2">
        <f ca="1"/>
        <v>0.87969590526793584</v>
      </c>
      <c r="O6264" s="2">
        <f ca="1"/>
        <v>-0.62702351889334518</v>
      </c>
      <c r="X6264" s="2">
        <f ca="1"/>
        <v>104.50661126445866</v>
      </c>
      <c r="AG6264" s="2">
        <f ca="1"/>
        <v>0.59940279367129246</v>
      </c>
      <c r="AH6264" s="2" t="str">
        <f ca="1"/>
        <v>Bad</v>
      </c>
    </row>
    <row r="6265" spans="2:34" x14ac:dyDescent="0.2">
      <c r="B6265" s="2">
        <f ca="1"/>
        <v>0.14141386438132875</v>
      </c>
      <c r="O6265" s="2">
        <f ca="1"/>
        <v>-0.19159029016382542</v>
      </c>
      <c r="X6265" s="2">
        <f ca="1"/>
        <v>67.194566701485741</v>
      </c>
      <c r="AG6265" s="2">
        <f ca="1"/>
        <v>0.48837165318015074</v>
      </c>
      <c r="AH6265" s="2" t="str">
        <f ca="1"/>
        <v>Bad</v>
      </c>
    </row>
    <row r="6266" spans="2:34" x14ac:dyDescent="0.2">
      <c r="B6266" s="2">
        <f ca="1"/>
        <v>0.8850630052425934</v>
      </c>
      <c r="O6266" s="2">
        <f ca="1"/>
        <v>1.2067417271165801</v>
      </c>
      <c r="X6266" s="2">
        <f ca="1"/>
        <v>70.810728751305149</v>
      </c>
      <c r="AG6266" s="2">
        <f ca="1"/>
        <v>0.40501757760659496</v>
      </c>
      <c r="AH6266" s="2" t="str">
        <f ca="1"/>
        <v>Bad</v>
      </c>
    </row>
    <row r="6267" spans="2:34" x14ac:dyDescent="0.2">
      <c r="B6267" s="2">
        <f ca="1"/>
        <v>0.17745878550452665</v>
      </c>
      <c r="O6267" s="2">
        <f ca="1"/>
        <v>-2.6934410864890984E-2</v>
      </c>
      <c r="X6267" s="2">
        <f ca="1"/>
        <v>35.603315106383555</v>
      </c>
      <c r="AG6267" s="2">
        <f ca="1"/>
        <v>0.66505995087968284</v>
      </c>
      <c r="AH6267" s="2" t="str">
        <f ca="1"/>
        <v>Bad</v>
      </c>
    </row>
    <row r="6268" spans="2:34" x14ac:dyDescent="0.2">
      <c r="B6268" s="2">
        <f ca="1"/>
        <v>0.73570044627072906</v>
      </c>
      <c r="O6268" s="2">
        <f ca="1"/>
        <v>-0.70034139145185847</v>
      </c>
      <c r="X6268" s="2">
        <f ca="1"/>
        <v>51.264963202393787</v>
      </c>
      <c r="AG6268" s="2">
        <f ca="1"/>
        <v>0.34262737770993046</v>
      </c>
      <c r="AH6268" s="2" t="str">
        <f ca="1"/>
        <v>OK</v>
      </c>
    </row>
    <row r="6269" spans="2:34" x14ac:dyDescent="0.2">
      <c r="B6269" s="2">
        <f ca="1"/>
        <v>0.92972153800399804</v>
      </c>
      <c r="O6269" s="2">
        <f ca="1"/>
        <v>1.4826764576543523</v>
      </c>
      <c r="X6269" s="2">
        <f ca="1"/>
        <v>49.792543869091801</v>
      </c>
      <c r="AG6269" s="2">
        <f ca="1"/>
        <v>0.9466458640564166</v>
      </c>
      <c r="AH6269" s="2" t="str">
        <f ca="1"/>
        <v>Bad</v>
      </c>
    </row>
    <row r="6270" spans="2:34" x14ac:dyDescent="0.2">
      <c r="B6270" s="2">
        <f ca="1"/>
        <v>0.28292215099035189</v>
      </c>
      <c r="O6270" s="2">
        <f ca="1"/>
        <v>1.1637259305479308</v>
      </c>
      <c r="X6270" s="2">
        <f ca="1"/>
        <v>52.869785081155349</v>
      </c>
      <c r="AG6270" s="2">
        <f ca="1"/>
        <v>0.44209068766949211</v>
      </c>
      <c r="AH6270" s="2" t="str">
        <f ca="1"/>
        <v>Bad</v>
      </c>
    </row>
    <row r="6271" spans="2:34" x14ac:dyDescent="0.2">
      <c r="B6271" s="2">
        <f ca="1"/>
        <v>0.92281683627262878</v>
      </c>
      <c r="O6271" s="2">
        <f ca="1"/>
        <v>-0.9785543294536192</v>
      </c>
      <c r="X6271" s="2">
        <f ca="1"/>
        <v>38.389139088304852</v>
      </c>
      <c r="AG6271" s="2">
        <f ca="1"/>
        <v>0.53734678434132954</v>
      </c>
      <c r="AH6271" s="2" t="str">
        <f ca="1"/>
        <v>Bad</v>
      </c>
    </row>
    <row r="6272" spans="2:34" x14ac:dyDescent="0.2">
      <c r="B6272" s="2">
        <f ca="1"/>
        <v>0.9372214471791096</v>
      </c>
      <c r="O6272" s="2">
        <f ca="1"/>
        <v>-4.6162967747325548E-2</v>
      </c>
      <c r="X6272" s="2">
        <f ca="1"/>
        <v>46.755322336164639</v>
      </c>
      <c r="AG6272" s="2">
        <f ca="1"/>
        <v>0.66559509531335004</v>
      </c>
      <c r="AH6272" s="2" t="str">
        <f ca="1"/>
        <v>Bad</v>
      </c>
    </row>
    <row r="6273" spans="2:34" x14ac:dyDescent="0.2">
      <c r="B6273" s="2">
        <f ca="1"/>
        <v>0.45707481540587036</v>
      </c>
      <c r="O6273" s="2">
        <f ca="1"/>
        <v>1.3072943427780361</v>
      </c>
      <c r="X6273" s="2">
        <f ca="1"/>
        <v>44.347108009272979</v>
      </c>
      <c r="AG6273" s="2">
        <f ca="1"/>
        <v>0.70339265484284352</v>
      </c>
      <c r="AH6273" s="2" t="str">
        <f ca="1"/>
        <v>Bad</v>
      </c>
    </row>
    <row r="6274" spans="2:34" x14ac:dyDescent="0.2">
      <c r="B6274" s="2">
        <f ca="1"/>
        <v>0.83544165549313898</v>
      </c>
      <c r="O6274" s="2">
        <f ca="1"/>
        <v>-0.84720538896123643</v>
      </c>
      <c r="X6274" s="2">
        <f ca="1"/>
        <v>35.848690650231958</v>
      </c>
      <c r="AG6274" s="2">
        <f ca="1"/>
        <v>0.23081281613305515</v>
      </c>
      <c r="AH6274" s="2" t="str">
        <f ca="1"/>
        <v>OK</v>
      </c>
    </row>
    <row r="6275" spans="2:34" x14ac:dyDescent="0.2">
      <c r="B6275" s="2">
        <f ca="1"/>
        <v>2.2560650618679068E-2</v>
      </c>
      <c r="O6275" s="2">
        <f ca="1"/>
        <v>-1.2118045258592101</v>
      </c>
      <c r="X6275" s="2">
        <f ca="1"/>
        <v>70.98028383329563</v>
      </c>
      <c r="AG6275" s="2">
        <f ca="1"/>
        <v>0.33284847585809607</v>
      </c>
      <c r="AH6275" s="2" t="str">
        <f ca="1"/>
        <v>OK</v>
      </c>
    </row>
    <row r="6276" spans="2:34" x14ac:dyDescent="0.2">
      <c r="B6276" s="2">
        <f ca="1"/>
        <v>0.92129591642852504</v>
      </c>
      <c r="O6276" s="2">
        <f ca="1"/>
        <v>0.35069736723952016</v>
      </c>
      <c r="X6276" s="2">
        <f ca="1"/>
        <v>34.775366725372123</v>
      </c>
      <c r="AG6276" s="2">
        <f ca="1"/>
        <v>0.24690599401153079</v>
      </c>
      <c r="AH6276" s="2" t="str">
        <f ca="1"/>
        <v>OK</v>
      </c>
    </row>
    <row r="6277" spans="2:34" x14ac:dyDescent="0.2">
      <c r="B6277" s="2">
        <f ca="1"/>
        <v>0.27390527344157123</v>
      </c>
      <c r="O6277" s="2">
        <f ca="1"/>
        <v>9.5275663846204339E-2</v>
      </c>
      <c r="X6277" s="2">
        <f ca="1"/>
        <v>37.954609587786685</v>
      </c>
      <c r="AG6277" s="2">
        <f ca="1"/>
        <v>0.5489366731936951</v>
      </c>
      <c r="AH6277" s="2" t="str">
        <f ca="1"/>
        <v>Bad</v>
      </c>
    </row>
    <row r="6278" spans="2:34" x14ac:dyDescent="0.2">
      <c r="B6278" s="2">
        <f ca="1"/>
        <v>0.53206518108425982</v>
      </c>
      <c r="O6278" s="2">
        <f ca="1"/>
        <v>-1.0624509339736583</v>
      </c>
      <c r="X6278" s="2">
        <f ca="1"/>
        <v>46.107126798682934</v>
      </c>
      <c r="AG6278" s="2">
        <f ca="1"/>
        <v>0.86461093871507266</v>
      </c>
      <c r="AH6278" s="2" t="str">
        <f ca="1"/>
        <v>Bad</v>
      </c>
    </row>
    <row r="6279" spans="2:34" x14ac:dyDescent="0.2">
      <c r="B6279" s="2">
        <f ca="1"/>
        <v>3.7172808739961871E-2</v>
      </c>
      <c r="O6279" s="2">
        <f ca="1"/>
        <v>-0.48607541411890098</v>
      </c>
      <c r="X6279" s="2">
        <f ca="1"/>
        <v>56.02880455803205</v>
      </c>
      <c r="AG6279" s="2">
        <f ca="1"/>
        <v>0.26787623074673061</v>
      </c>
      <c r="AH6279" s="2" t="str">
        <f ca="1"/>
        <v>OK</v>
      </c>
    </row>
    <row r="6280" spans="2:34" x14ac:dyDescent="0.2">
      <c r="B6280" s="2">
        <f ca="1"/>
        <v>0.57246499244627369</v>
      </c>
      <c r="O6280" s="2">
        <f ca="1"/>
        <v>0.66400073710632179</v>
      </c>
      <c r="X6280" s="2">
        <f ca="1"/>
        <v>84.086993909070145</v>
      </c>
      <c r="AG6280" s="2">
        <f ca="1"/>
        <v>0.71580096244817337</v>
      </c>
      <c r="AH6280" s="2" t="str">
        <f ca="1"/>
        <v>Bad</v>
      </c>
    </row>
    <row r="6281" spans="2:34" x14ac:dyDescent="0.2">
      <c r="B6281" s="2">
        <f ca="1"/>
        <v>0.67157503900681759</v>
      </c>
      <c r="O6281" s="2">
        <f ca="1"/>
        <v>0.16654730192525186</v>
      </c>
      <c r="X6281" s="2">
        <f ca="1"/>
        <v>61.793432504805487</v>
      </c>
      <c r="AG6281" s="2">
        <f ca="1"/>
        <v>0.52213547564657348</v>
      </c>
      <c r="AH6281" s="2" t="str">
        <f ca="1"/>
        <v>Bad</v>
      </c>
    </row>
    <row r="6282" spans="2:34" x14ac:dyDescent="0.2">
      <c r="B6282" s="2">
        <f ca="1"/>
        <v>0.18809774824074288</v>
      </c>
      <c r="O6282" s="2">
        <f ca="1"/>
        <v>1.458024599693025</v>
      </c>
      <c r="X6282" s="2">
        <f ca="1"/>
        <v>29.677040824077295</v>
      </c>
      <c r="AG6282" s="2">
        <f ca="1"/>
        <v>0.20512517592626178</v>
      </c>
      <c r="AH6282" s="2" t="str">
        <f ca="1"/>
        <v>OK</v>
      </c>
    </row>
    <row r="6283" spans="2:34" x14ac:dyDescent="0.2">
      <c r="B6283" s="2">
        <f ca="1"/>
        <v>3.3124157747648209E-2</v>
      </c>
      <c r="O6283" s="2">
        <f ca="1"/>
        <v>-0.26783436654144238</v>
      </c>
      <c r="X6283" s="2">
        <f ca="1"/>
        <v>46.636714748952656</v>
      </c>
      <c r="AG6283" s="2">
        <f ca="1"/>
        <v>6.3785560971609812E-2</v>
      </c>
      <c r="AH6283" s="2" t="str">
        <f ca="1"/>
        <v>OK</v>
      </c>
    </row>
    <row r="6284" spans="2:34" x14ac:dyDescent="0.2">
      <c r="B6284" s="2">
        <f ca="1"/>
        <v>0.50901677667828182</v>
      </c>
      <c r="O6284" s="2">
        <f ca="1"/>
        <v>-0.31888583618232202</v>
      </c>
      <c r="X6284" s="2">
        <f ca="1"/>
        <v>33.564255399768207</v>
      </c>
      <c r="AG6284" s="2">
        <f ca="1"/>
        <v>0.41527263000908099</v>
      </c>
      <c r="AH6284" s="2" t="str">
        <f ca="1"/>
        <v>Bad</v>
      </c>
    </row>
    <row r="6285" spans="2:34" x14ac:dyDescent="0.2">
      <c r="B6285" s="2">
        <f ca="1"/>
        <v>0.69654003650057761</v>
      </c>
      <c r="O6285" s="2">
        <f ca="1"/>
        <v>-0.7882714387403883</v>
      </c>
      <c r="X6285" s="2">
        <f ca="1"/>
        <v>40.555627167143484</v>
      </c>
      <c r="AG6285" s="2">
        <f ca="1"/>
        <v>0.87038301629103021</v>
      </c>
      <c r="AH6285" s="2" t="str">
        <f ca="1"/>
        <v>Bad</v>
      </c>
    </row>
    <row r="6286" spans="2:34" x14ac:dyDescent="0.2">
      <c r="B6286" s="2">
        <f ca="1"/>
        <v>0.41797376593037505</v>
      </c>
      <c r="O6286" s="2">
        <f ca="1"/>
        <v>0.91433172720071565</v>
      </c>
      <c r="X6286" s="2">
        <f ca="1"/>
        <v>18.402127789108441</v>
      </c>
      <c r="AG6286" s="2">
        <f ca="1"/>
        <v>0.18403514577908808</v>
      </c>
      <c r="AH6286" s="2" t="str">
        <f ca="1"/>
        <v>OK</v>
      </c>
    </row>
    <row r="6287" spans="2:34" x14ac:dyDescent="0.2">
      <c r="B6287" s="2">
        <f ca="1"/>
        <v>0.87558743350937385</v>
      </c>
      <c r="O6287" s="2">
        <f ca="1"/>
        <v>-1.6197495163108175</v>
      </c>
      <c r="X6287" s="2">
        <f ca="1"/>
        <v>49.290851336268219</v>
      </c>
      <c r="AG6287" s="2">
        <f ca="1"/>
        <v>0.36001786394645574</v>
      </c>
      <c r="AH6287" s="2" t="str">
        <f ca="1"/>
        <v>OK</v>
      </c>
    </row>
    <row r="6288" spans="2:34" x14ac:dyDescent="0.2">
      <c r="B6288" s="2">
        <f ca="1"/>
        <v>0.7478163603372312</v>
      </c>
      <c r="O6288" s="2">
        <f ca="1"/>
        <v>0.60111401591659053</v>
      </c>
      <c r="X6288" s="2">
        <f ca="1"/>
        <v>22.919606250590739</v>
      </c>
      <c r="AG6288" s="2">
        <f ca="1"/>
        <v>0.96548386941991371</v>
      </c>
      <c r="AH6288" s="2" t="str">
        <f ca="1"/>
        <v>Bad</v>
      </c>
    </row>
    <row r="6289" spans="2:34" x14ac:dyDescent="0.2">
      <c r="B6289" s="2">
        <f ca="1"/>
        <v>0.32649406386709812</v>
      </c>
      <c r="O6289" s="2">
        <f ca="1"/>
        <v>0.80334008037054028</v>
      </c>
      <c r="X6289" s="2">
        <f ca="1"/>
        <v>33.206070456130099</v>
      </c>
      <c r="AG6289" s="2">
        <f ca="1"/>
        <v>0.57268461454647679</v>
      </c>
      <c r="AH6289" s="2" t="str">
        <f ca="1"/>
        <v>Bad</v>
      </c>
    </row>
    <row r="6290" spans="2:34" x14ac:dyDescent="0.2">
      <c r="B6290" s="2">
        <f ca="1"/>
        <v>0.94111029385872147</v>
      </c>
      <c r="O6290" s="2">
        <f ca="1"/>
        <v>-0.59715333832222206</v>
      </c>
      <c r="X6290" s="2">
        <f ca="1"/>
        <v>43.848007942043914</v>
      </c>
      <c r="AG6290" s="2">
        <f ca="1"/>
        <v>0.40947874113019522</v>
      </c>
      <c r="AH6290" s="2" t="str">
        <f ca="1"/>
        <v>Bad</v>
      </c>
    </row>
    <row r="6291" spans="2:34" x14ac:dyDescent="0.2">
      <c r="B6291" s="2">
        <f ca="1"/>
        <v>0.48410712818425417</v>
      </c>
      <c r="O6291" s="2">
        <f ca="1"/>
        <v>2.0649644175355713</v>
      </c>
      <c r="X6291" s="2">
        <f ca="1"/>
        <v>33.796335645115519</v>
      </c>
      <c r="AG6291" s="2">
        <f ca="1"/>
        <v>0.58107034099919241</v>
      </c>
      <c r="AH6291" s="2" t="str">
        <f ca="1"/>
        <v>Bad</v>
      </c>
    </row>
    <row r="6292" spans="2:34" x14ac:dyDescent="0.2">
      <c r="B6292" s="2">
        <f ca="1"/>
        <v>0.87820208577588232</v>
      </c>
      <c r="O6292" s="2">
        <f ca="1"/>
        <v>0.1806421996538784</v>
      </c>
      <c r="X6292" s="2">
        <f ca="1"/>
        <v>62.586606490146778</v>
      </c>
      <c r="AG6292" s="2">
        <f ca="1"/>
        <v>0.86987038425139374</v>
      </c>
      <c r="AH6292" s="2" t="str">
        <f ca="1"/>
        <v>Bad</v>
      </c>
    </row>
    <row r="6293" spans="2:34" x14ac:dyDescent="0.2">
      <c r="B6293" s="2">
        <f ca="1"/>
        <v>0.79140623058351078</v>
      </c>
      <c r="O6293" s="2">
        <f ca="1"/>
        <v>1.2563206612812123</v>
      </c>
      <c r="X6293" s="2">
        <f ca="1"/>
        <v>38.080129755804585</v>
      </c>
      <c r="AG6293" s="2">
        <f ca="1"/>
        <v>0.48072980785528219</v>
      </c>
      <c r="AH6293" s="2" t="str">
        <f ca="1"/>
        <v>Bad</v>
      </c>
    </row>
    <row r="6294" spans="2:34" x14ac:dyDescent="0.2">
      <c r="B6294" s="2">
        <f ca="1"/>
        <v>0.83083865618849284</v>
      </c>
      <c r="O6294" s="2">
        <f ca="1"/>
        <v>5.4277268700563749E-3</v>
      </c>
      <c r="X6294" s="2">
        <f ca="1"/>
        <v>68.541629829521824</v>
      </c>
      <c r="AG6294" s="2">
        <f ca="1"/>
        <v>0.84955588770918977</v>
      </c>
      <c r="AH6294" s="2" t="str">
        <f ca="1"/>
        <v>Bad</v>
      </c>
    </row>
    <row r="6295" spans="2:34" x14ac:dyDescent="0.2">
      <c r="B6295" s="2">
        <f ca="1"/>
        <v>0.96832354145369881</v>
      </c>
      <c r="O6295" s="2">
        <f ca="1"/>
        <v>-0.84600163389730243</v>
      </c>
      <c r="X6295" s="2">
        <f ca="1"/>
        <v>80.94988970075616</v>
      </c>
      <c r="AG6295" s="2">
        <f ca="1"/>
        <v>0.35157046527895752</v>
      </c>
      <c r="AH6295" s="2" t="str">
        <f ca="1"/>
        <v>OK</v>
      </c>
    </row>
    <row r="6296" spans="2:34" x14ac:dyDescent="0.2">
      <c r="B6296" s="2">
        <f ca="1"/>
        <v>0.90466903969590651</v>
      </c>
      <c r="O6296" s="2">
        <f ca="1"/>
        <v>-1.2570912891548152</v>
      </c>
      <c r="X6296" s="2">
        <f ca="1"/>
        <v>36.717530975375482</v>
      </c>
      <c r="AG6296" s="2">
        <f ca="1"/>
        <v>4.6781522008220833E-2</v>
      </c>
      <c r="AH6296" s="2" t="str">
        <f ca="1"/>
        <v>Good</v>
      </c>
    </row>
    <row r="6297" spans="2:34" x14ac:dyDescent="0.2">
      <c r="B6297" s="2">
        <f ca="1"/>
        <v>0.19610558010898016</v>
      </c>
      <c r="O6297" s="2">
        <f ca="1"/>
        <v>5.1670980425954145E-2</v>
      </c>
      <c r="X6297" s="2">
        <f ca="1"/>
        <v>50.674203955835459</v>
      </c>
      <c r="AG6297" s="2">
        <f ca="1"/>
        <v>0.38504488579980078</v>
      </c>
      <c r="AH6297" s="2" t="str">
        <f ca="1"/>
        <v>OK</v>
      </c>
    </row>
    <row r="6298" spans="2:34" x14ac:dyDescent="0.2">
      <c r="B6298" s="2">
        <f ca="1"/>
        <v>0.14297295936652099</v>
      </c>
      <c r="O6298" s="2">
        <f ca="1"/>
        <v>0.85934935002741908</v>
      </c>
      <c r="X6298" s="2">
        <f ca="1"/>
        <v>56.015507421613904</v>
      </c>
      <c r="AG6298" s="2">
        <f ca="1"/>
        <v>0.87015226569052029</v>
      </c>
      <c r="AH6298" s="2" t="str">
        <f ca="1"/>
        <v>Bad</v>
      </c>
    </row>
    <row r="6299" spans="2:34" x14ac:dyDescent="0.2">
      <c r="B6299" s="2">
        <f ca="1"/>
        <v>5.2507896282128819E-2</v>
      </c>
      <c r="O6299" s="2">
        <f ca="1"/>
        <v>-2.2190871361803453</v>
      </c>
      <c r="X6299" s="2">
        <f ca="1"/>
        <v>34.824986652256499</v>
      </c>
      <c r="AG6299" s="2">
        <f ca="1"/>
        <v>0.18644803291374701</v>
      </c>
      <c r="AH6299" s="2" t="str">
        <f ca="1"/>
        <v>OK</v>
      </c>
    </row>
    <row r="6300" spans="2:34" x14ac:dyDescent="0.2">
      <c r="B6300" s="2">
        <f ca="1"/>
        <v>0.97759009164251265</v>
      </c>
      <c r="O6300" s="2">
        <f ca="1"/>
        <v>1.0314401732405118</v>
      </c>
      <c r="X6300" s="2">
        <f ca="1"/>
        <v>63.381606624748478</v>
      </c>
      <c r="AG6300" s="2">
        <f ca="1"/>
        <v>0.88521453039019837</v>
      </c>
      <c r="AH6300" s="2" t="str">
        <f ca="1"/>
        <v>Bad</v>
      </c>
    </row>
    <row r="6301" spans="2:34" x14ac:dyDescent="0.2">
      <c r="B6301" s="2">
        <f ca="1"/>
        <v>7.5437615345575137E-2</v>
      </c>
      <c r="O6301" s="2">
        <f ca="1"/>
        <v>-0.68599891271378188</v>
      </c>
      <c r="X6301" s="2">
        <f ca="1"/>
        <v>34.130753117519397</v>
      </c>
      <c r="AG6301" s="2">
        <f ca="1"/>
        <v>0.24624739175230803</v>
      </c>
      <c r="AH6301" s="2" t="str">
        <f ca="1"/>
        <v>OK</v>
      </c>
    </row>
    <row r="6302" spans="2:34" x14ac:dyDescent="0.2">
      <c r="B6302" s="2">
        <f ca="1"/>
        <v>0.25143000887774258</v>
      </c>
      <c r="O6302" s="2">
        <f ca="1"/>
        <v>0.21797547522978133</v>
      </c>
      <c r="X6302" s="2">
        <f ca="1"/>
        <v>55.296326208590983</v>
      </c>
      <c r="AG6302" s="2">
        <f ca="1"/>
        <v>2.8348116172591808E-2</v>
      </c>
      <c r="AH6302" s="2" t="str">
        <f ca="1"/>
        <v>Good</v>
      </c>
    </row>
    <row r="6303" spans="2:34" x14ac:dyDescent="0.2">
      <c r="B6303" s="2">
        <f ca="1"/>
        <v>0.52869247293730925</v>
      </c>
      <c r="O6303" s="2">
        <f ca="1"/>
        <v>-0.86617118723939412</v>
      </c>
      <c r="X6303" s="2">
        <f ca="1"/>
        <v>74.356915117275562</v>
      </c>
      <c r="AG6303" s="2">
        <f ca="1"/>
        <v>0.44133829043890471</v>
      </c>
      <c r="AH6303" s="2" t="str">
        <f ca="1"/>
        <v>Bad</v>
      </c>
    </row>
    <row r="6304" spans="2:34" x14ac:dyDescent="0.2">
      <c r="B6304" s="2">
        <f ca="1"/>
        <v>1.5958411388562688E-2</v>
      </c>
      <c r="O6304" s="2">
        <f ca="1"/>
        <v>0.42124345827161458</v>
      </c>
      <c r="X6304" s="2">
        <f ca="1"/>
        <v>40.138577440067564</v>
      </c>
      <c r="AG6304" s="2">
        <f ca="1"/>
        <v>0.19618473898920352</v>
      </c>
      <c r="AH6304" s="2" t="str">
        <f ca="1"/>
        <v>OK</v>
      </c>
    </row>
    <row r="6305" spans="2:34" x14ac:dyDescent="0.2">
      <c r="B6305" s="2">
        <f ca="1"/>
        <v>0.85668662227228842</v>
      </c>
      <c r="O6305" s="2">
        <f ca="1"/>
        <v>1.0389152777536137</v>
      </c>
      <c r="X6305" s="2">
        <f ca="1"/>
        <v>35.367953432241308</v>
      </c>
      <c r="AG6305" s="2">
        <f ca="1"/>
        <v>0.12009482658685688</v>
      </c>
      <c r="AH6305" s="2" t="str">
        <f ca="1"/>
        <v>OK</v>
      </c>
    </row>
    <row r="6306" spans="2:34" x14ac:dyDescent="0.2">
      <c r="B6306" s="2">
        <f ca="1"/>
        <v>0.23797137640019694</v>
      </c>
      <c r="O6306" s="2">
        <f ca="1"/>
        <v>0.11217281493531475</v>
      </c>
      <c r="X6306" s="2">
        <f ca="1"/>
        <v>55.154298734858322</v>
      </c>
      <c r="AG6306" s="2">
        <f ca="1"/>
        <v>0.96355844308126581</v>
      </c>
      <c r="AH6306" s="2" t="str">
        <f ca="1"/>
        <v>Bad</v>
      </c>
    </row>
    <row r="6307" spans="2:34" x14ac:dyDescent="0.2">
      <c r="B6307" s="2">
        <f ca="1"/>
        <v>0.66631687527733852</v>
      </c>
      <c r="O6307" s="2">
        <f ca="1"/>
        <v>0.18006186652855621</v>
      </c>
      <c r="X6307" s="2">
        <f ca="1"/>
        <v>47.783864769701864</v>
      </c>
      <c r="AG6307" s="2">
        <f ca="1"/>
        <v>0.70122493943946695</v>
      </c>
      <c r="AH6307" s="2" t="str">
        <f ca="1"/>
        <v>Bad</v>
      </c>
    </row>
    <row r="6308" spans="2:34" x14ac:dyDescent="0.2">
      <c r="B6308" s="2">
        <f ca="1"/>
        <v>3.7694736666622486E-2</v>
      </c>
      <c r="O6308" s="2">
        <f ca="1"/>
        <v>-0.27496291843453002</v>
      </c>
      <c r="X6308" s="2">
        <f ca="1"/>
        <v>50.692873612194056</v>
      </c>
      <c r="AG6308" s="2">
        <f ca="1"/>
        <v>0.32785225774653326</v>
      </c>
      <c r="AH6308" s="2" t="str">
        <f ca="1"/>
        <v>OK</v>
      </c>
    </row>
    <row r="6309" spans="2:34" x14ac:dyDescent="0.2">
      <c r="B6309" s="2">
        <f ca="1"/>
        <v>0.60666770243100099</v>
      </c>
      <c r="O6309" s="2">
        <f ca="1"/>
        <v>0.14513503263978822</v>
      </c>
      <c r="X6309" s="2">
        <f ca="1"/>
        <v>31.13181255795002</v>
      </c>
      <c r="AG6309" s="2">
        <f ca="1"/>
        <v>0.85924425977456309</v>
      </c>
      <c r="AH6309" s="2" t="str">
        <f ca="1"/>
        <v>Bad</v>
      </c>
    </row>
    <row r="6310" spans="2:34" x14ac:dyDescent="0.2">
      <c r="B6310" s="2">
        <f ca="1"/>
        <v>0.60112909803941483</v>
      </c>
      <c r="O6310" s="2">
        <f ca="1"/>
        <v>0.45744461367930628</v>
      </c>
      <c r="X6310" s="2">
        <f ca="1"/>
        <v>44.046910262425129</v>
      </c>
      <c r="AG6310" s="2">
        <f ca="1"/>
        <v>8.6562074168636816E-3</v>
      </c>
      <c r="AH6310" s="2" t="str">
        <f ca="1"/>
        <v>Good</v>
      </c>
    </row>
    <row r="6311" spans="2:34" x14ac:dyDescent="0.2">
      <c r="B6311" s="2">
        <f ca="1"/>
        <v>0.38713293112734526</v>
      </c>
      <c r="O6311" s="2">
        <f ca="1"/>
        <v>0.45493013855911379</v>
      </c>
      <c r="X6311" s="2">
        <f ca="1"/>
        <v>24.352467525187027</v>
      </c>
      <c r="AG6311" s="2">
        <f ca="1"/>
        <v>0.4145931070986022</v>
      </c>
      <c r="AH6311" s="2" t="str">
        <f ca="1"/>
        <v>Bad</v>
      </c>
    </row>
    <row r="6312" spans="2:34" x14ac:dyDescent="0.2">
      <c r="B6312" s="2">
        <f ca="1"/>
        <v>0.32815262638340625</v>
      </c>
      <c r="O6312" s="2">
        <f ca="1"/>
        <v>0.95313382617277953</v>
      </c>
      <c r="X6312" s="2">
        <f ca="1"/>
        <v>58.575620102724962</v>
      </c>
      <c r="AG6312" s="2">
        <f ca="1"/>
        <v>0.6558282797158792</v>
      </c>
      <c r="AH6312" s="2" t="str">
        <f ca="1"/>
        <v>Bad</v>
      </c>
    </row>
    <row r="6313" spans="2:34" x14ac:dyDescent="0.2">
      <c r="B6313" s="2">
        <f ca="1"/>
        <v>0.12656976367223094</v>
      </c>
      <c r="O6313" s="2">
        <f ca="1"/>
        <v>-0.67213655057661814</v>
      </c>
      <c r="X6313" s="2">
        <f ca="1"/>
        <v>62.741205380079506</v>
      </c>
      <c r="AG6313" s="2">
        <f ca="1"/>
        <v>0.28689142786374</v>
      </c>
      <c r="AH6313" s="2" t="str">
        <f ca="1"/>
        <v>OK</v>
      </c>
    </row>
    <row r="6314" spans="2:34" x14ac:dyDescent="0.2">
      <c r="B6314" s="2">
        <f ca="1"/>
        <v>0.90388414866730926</v>
      </c>
      <c r="O6314" s="2">
        <f ca="1"/>
        <v>-1.0007472518568168</v>
      </c>
      <c r="X6314" s="2">
        <f ca="1"/>
        <v>54.226574937601356</v>
      </c>
      <c r="AG6314" s="2">
        <f ca="1"/>
        <v>0.21048194502490869</v>
      </c>
      <c r="AH6314" s="2" t="str">
        <f ca="1"/>
        <v>OK</v>
      </c>
    </row>
    <row r="6315" spans="2:34" x14ac:dyDescent="0.2">
      <c r="B6315" s="2">
        <f ca="1"/>
        <v>0.43408946093103618</v>
      </c>
      <c r="O6315" s="2">
        <f ca="1"/>
        <v>-1.0053704129438059</v>
      </c>
      <c r="X6315" s="2">
        <f ca="1"/>
        <v>49.360999056909272</v>
      </c>
      <c r="AG6315" s="2">
        <f ca="1"/>
        <v>0.35524889370103363</v>
      </c>
      <c r="AH6315" s="2" t="str">
        <f ca="1"/>
        <v>OK</v>
      </c>
    </row>
    <row r="6316" spans="2:34" x14ac:dyDescent="0.2">
      <c r="B6316" s="2">
        <f ca="1"/>
        <v>0.35244072461252873</v>
      </c>
      <c r="O6316" s="2">
        <f ca="1"/>
        <v>-0.9281987371266015</v>
      </c>
      <c r="X6316" s="2">
        <f ca="1"/>
        <v>58.873983576623303</v>
      </c>
      <c r="AG6316" s="2">
        <f ca="1"/>
        <v>0.68591946649681312</v>
      </c>
      <c r="AH6316" s="2" t="str">
        <f ca="1"/>
        <v>Bad</v>
      </c>
    </row>
    <row r="6317" spans="2:34" x14ac:dyDescent="0.2">
      <c r="B6317" s="2">
        <f ca="1"/>
        <v>0.9488711889730328</v>
      </c>
      <c r="O6317" s="2">
        <f ca="1"/>
        <v>-0.31584085657598387</v>
      </c>
      <c r="X6317" s="2">
        <f ca="1"/>
        <v>46.05980831755042</v>
      </c>
      <c r="AG6317" s="2">
        <f ca="1"/>
        <v>0.52377493384109597</v>
      </c>
      <c r="AH6317" s="2" t="str">
        <f ca="1"/>
        <v>Bad</v>
      </c>
    </row>
    <row r="6318" spans="2:34" x14ac:dyDescent="0.2">
      <c r="B6318" s="2">
        <f ca="1"/>
        <v>4.1039127926696839E-2</v>
      </c>
      <c r="O6318" s="2">
        <f ca="1"/>
        <v>-0.65230223552546729</v>
      </c>
      <c r="X6318" s="2">
        <f ca="1"/>
        <v>57.699802981870889</v>
      </c>
      <c r="AG6318" s="2">
        <f ca="1"/>
        <v>0.65510104511719969</v>
      </c>
      <c r="AH6318" s="2" t="str">
        <f ca="1"/>
        <v>Bad</v>
      </c>
    </row>
    <row r="6319" spans="2:34" x14ac:dyDescent="0.2">
      <c r="B6319" s="2">
        <f ca="1"/>
        <v>0.86485099341146099</v>
      </c>
      <c r="O6319" s="2">
        <f ca="1"/>
        <v>5.4087992868951516E-2</v>
      </c>
      <c r="X6319" s="2">
        <f ca="1"/>
        <v>65.576972695985958</v>
      </c>
      <c r="AG6319" s="2">
        <f ca="1"/>
        <v>0.35456659870794915</v>
      </c>
      <c r="AH6319" s="2" t="str">
        <f ca="1"/>
        <v>OK</v>
      </c>
    </row>
    <row r="6320" spans="2:34" x14ac:dyDescent="0.2">
      <c r="B6320" s="2">
        <f ca="1"/>
        <v>0.61662297728731041</v>
      </c>
      <c r="O6320" s="2">
        <f ca="1"/>
        <v>-0.25111532055781349</v>
      </c>
      <c r="X6320" s="2">
        <f ca="1"/>
        <v>62.694903936082667</v>
      </c>
      <c r="AG6320" s="2">
        <f ca="1"/>
        <v>0.87718773565887576</v>
      </c>
      <c r="AH6320" s="2" t="str">
        <f ca="1"/>
        <v>Bad</v>
      </c>
    </row>
    <row r="6321" spans="2:34" x14ac:dyDescent="0.2">
      <c r="B6321" s="2">
        <f ca="1"/>
        <v>0.82801972997696827</v>
      </c>
      <c r="O6321" s="2">
        <f ca="1"/>
        <v>0.39892455417012562</v>
      </c>
      <c r="X6321" s="2">
        <f ca="1"/>
        <v>54.718870680687779</v>
      </c>
      <c r="AG6321" s="2">
        <f ca="1"/>
        <v>0.89798584530356118</v>
      </c>
      <c r="AH6321" s="2" t="str">
        <f ca="1"/>
        <v>Bad</v>
      </c>
    </row>
    <row r="6322" spans="2:34" x14ac:dyDescent="0.2">
      <c r="B6322" s="2">
        <f ca="1"/>
        <v>0.64796104240516073</v>
      </c>
      <c r="O6322" s="2">
        <f ca="1"/>
        <v>-0.30590143516081242</v>
      </c>
      <c r="X6322" s="2">
        <f ca="1"/>
        <v>46.98494179032604</v>
      </c>
      <c r="AG6322" s="2">
        <f ca="1"/>
        <v>0.14967595707525927</v>
      </c>
      <c r="AH6322" s="2" t="str">
        <f ca="1"/>
        <v>OK</v>
      </c>
    </row>
    <row r="6323" spans="2:34" x14ac:dyDescent="0.2">
      <c r="B6323" s="2">
        <f ca="1"/>
        <v>1.3881321770845556E-3</v>
      </c>
      <c r="O6323" s="2">
        <f ca="1"/>
        <v>1.3013691072222471</v>
      </c>
      <c r="X6323" s="2">
        <f ca="1"/>
        <v>36.038716374610274</v>
      </c>
      <c r="AG6323" s="2">
        <f ca="1"/>
        <v>0.56633571367793256</v>
      </c>
      <c r="AH6323" s="2" t="str">
        <f ca="1"/>
        <v>Bad</v>
      </c>
    </row>
    <row r="6324" spans="2:34" x14ac:dyDescent="0.2">
      <c r="B6324" s="2">
        <f ca="1"/>
        <v>0.98474657928087272</v>
      </c>
      <c r="O6324" s="2">
        <f ca="1"/>
        <v>-0.62079990316799649</v>
      </c>
      <c r="X6324" s="2">
        <f ca="1"/>
        <v>32.325884760683785</v>
      </c>
      <c r="AG6324" s="2">
        <f ca="1"/>
        <v>0.44315819286294267</v>
      </c>
      <c r="AH6324" s="2" t="str">
        <f ca="1"/>
        <v>Bad</v>
      </c>
    </row>
    <row r="6325" spans="2:34" x14ac:dyDescent="0.2">
      <c r="B6325" s="2">
        <f ca="1"/>
        <v>0.5343744161792825</v>
      </c>
      <c r="O6325" s="2">
        <f ca="1"/>
        <v>0.72100825414131053</v>
      </c>
      <c r="X6325" s="2">
        <f ca="1"/>
        <v>31.526320267480056</v>
      </c>
      <c r="AG6325" s="2">
        <f ca="1"/>
        <v>0.73057728046580195</v>
      </c>
      <c r="AH6325" s="2" t="str">
        <f ca="1"/>
        <v>Bad</v>
      </c>
    </row>
    <row r="6326" spans="2:34" x14ac:dyDescent="0.2">
      <c r="B6326" s="2">
        <f ca="1"/>
        <v>0.93292067602727236</v>
      </c>
      <c r="O6326" s="2">
        <f ca="1"/>
        <v>0.16882472121923173</v>
      </c>
      <c r="X6326" s="2">
        <f ca="1"/>
        <v>48.52275443642209</v>
      </c>
      <c r="AG6326" s="2">
        <f ca="1"/>
        <v>0.70253594630225114</v>
      </c>
      <c r="AH6326" s="2" t="str">
        <f ca="1"/>
        <v>Bad</v>
      </c>
    </row>
    <row r="6327" spans="2:34" x14ac:dyDescent="0.2">
      <c r="B6327" s="2">
        <f ca="1"/>
        <v>0.24630302642320179</v>
      </c>
      <c r="O6327" s="2">
        <f ca="1"/>
        <v>1.8606096406995118</v>
      </c>
      <c r="X6327" s="2">
        <f ca="1"/>
        <v>48.382282917609373</v>
      </c>
      <c r="AG6327" s="2">
        <f ca="1"/>
        <v>0.34602552242843676</v>
      </c>
      <c r="AH6327" s="2" t="str">
        <f ca="1"/>
        <v>OK</v>
      </c>
    </row>
    <row r="6328" spans="2:34" x14ac:dyDescent="0.2">
      <c r="B6328" s="2">
        <f ca="1"/>
        <v>0.77837815042689096</v>
      </c>
      <c r="O6328" s="2">
        <f ca="1"/>
        <v>-0.61709898712689848</v>
      </c>
      <c r="X6328" s="2">
        <f ca="1"/>
        <v>47.122968356966993</v>
      </c>
      <c r="AG6328" s="2">
        <f ca="1"/>
        <v>0.64382094058575645</v>
      </c>
      <c r="AH6328" s="2" t="str">
        <f ca="1"/>
        <v>Bad</v>
      </c>
    </row>
    <row r="6329" spans="2:34" x14ac:dyDescent="0.2">
      <c r="B6329" s="2">
        <f ca="1"/>
        <v>3.8930597178181703E-2</v>
      </c>
      <c r="O6329" s="2">
        <f ca="1"/>
        <v>-0.44394087063204668</v>
      </c>
      <c r="X6329" s="2">
        <f ca="1"/>
        <v>66.384778908163199</v>
      </c>
      <c r="AG6329" s="2">
        <f ca="1"/>
        <v>0.95198170188363562</v>
      </c>
      <c r="AH6329" s="2" t="str">
        <f ca="1"/>
        <v>Bad</v>
      </c>
    </row>
    <row r="6330" spans="2:34" x14ac:dyDescent="0.2">
      <c r="B6330" s="2">
        <f ca="1"/>
        <v>0.91329737153872537</v>
      </c>
      <c r="O6330" s="2">
        <f ca="1"/>
        <v>0.86317171963634598</v>
      </c>
      <c r="X6330" s="2">
        <f ca="1"/>
        <v>43.220372164304379</v>
      </c>
      <c r="AG6330" s="2">
        <f ca="1"/>
        <v>0.12072615036457646</v>
      </c>
      <c r="AH6330" s="2" t="str">
        <f ca="1"/>
        <v>OK</v>
      </c>
    </row>
    <row r="6331" spans="2:34" x14ac:dyDescent="0.2">
      <c r="B6331" s="2">
        <f ca="1"/>
        <v>0.41739433389959069</v>
      </c>
      <c r="O6331" s="2">
        <f ca="1"/>
        <v>2.1060708606043672</v>
      </c>
      <c r="X6331" s="2">
        <f ca="1"/>
        <v>45.57337541904046</v>
      </c>
      <c r="AG6331" s="2">
        <f ca="1"/>
        <v>0.7816793818141452</v>
      </c>
      <c r="AH6331" s="2" t="str">
        <f ca="1"/>
        <v>Bad</v>
      </c>
    </row>
    <row r="6332" spans="2:34" x14ac:dyDescent="0.2">
      <c r="B6332" s="2">
        <f ca="1"/>
        <v>0.7399816796587193</v>
      </c>
      <c r="O6332" s="2">
        <f ca="1"/>
        <v>-1.6528137520584723</v>
      </c>
      <c r="X6332" s="2">
        <f ca="1"/>
        <v>56.517347627685972</v>
      </c>
      <c r="AG6332" s="2">
        <f ca="1"/>
        <v>0.3017941791276022</v>
      </c>
      <c r="AH6332" s="2" t="str">
        <f ca="1"/>
        <v>OK</v>
      </c>
    </row>
    <row r="6333" spans="2:34" x14ac:dyDescent="0.2">
      <c r="B6333" s="2">
        <f ca="1"/>
        <v>0.84056754459184857</v>
      </c>
      <c r="O6333" s="2">
        <f ca="1"/>
        <v>-0.37794527721478666</v>
      </c>
      <c r="X6333" s="2">
        <f ca="1"/>
        <v>52.219471274634202</v>
      </c>
      <c r="AG6333" s="2">
        <f ca="1"/>
        <v>0.83095754929207755</v>
      </c>
      <c r="AH6333" s="2" t="str">
        <f ca="1"/>
        <v>Bad</v>
      </c>
    </row>
    <row r="6334" spans="2:34" x14ac:dyDescent="0.2">
      <c r="B6334" s="2">
        <f ca="1"/>
        <v>6.8531275966975835E-2</v>
      </c>
      <c r="O6334" s="2">
        <f ca="1"/>
        <v>-8.1431057326965442E-2</v>
      </c>
      <c r="X6334" s="2">
        <f ca="1"/>
        <v>40.393270537579056</v>
      </c>
      <c r="AG6334" s="2">
        <f ca="1"/>
        <v>0.78003074048768428</v>
      </c>
      <c r="AH6334" s="2" t="str">
        <f ca="1"/>
        <v>Bad</v>
      </c>
    </row>
    <row r="6335" spans="2:34" x14ac:dyDescent="0.2">
      <c r="B6335" s="2">
        <f ca="1"/>
        <v>0.44104514143087181</v>
      </c>
      <c r="O6335" s="2">
        <f ca="1"/>
        <v>-1.2459042822977611</v>
      </c>
      <c r="X6335" s="2">
        <f ca="1"/>
        <v>33.598621965221042</v>
      </c>
      <c r="AG6335" s="2">
        <f ca="1"/>
        <v>0.12935409578421386</v>
      </c>
      <c r="AH6335" s="2" t="str">
        <f ca="1"/>
        <v>OK</v>
      </c>
    </row>
    <row r="6336" spans="2:34" x14ac:dyDescent="0.2">
      <c r="B6336" s="2">
        <f ca="1"/>
        <v>0.56220780656503266</v>
      </c>
      <c r="O6336" s="2">
        <f ca="1"/>
        <v>0.36208147855263506</v>
      </c>
      <c r="X6336" s="2">
        <f ca="1"/>
        <v>38.193985080831531</v>
      </c>
      <c r="AG6336" s="2">
        <f ca="1"/>
        <v>0.29354612272421021</v>
      </c>
      <c r="AH6336" s="2" t="str">
        <f ca="1"/>
        <v>OK</v>
      </c>
    </row>
    <row r="6337" spans="2:34" x14ac:dyDescent="0.2">
      <c r="B6337" s="2">
        <f ca="1"/>
        <v>0.90033955381441633</v>
      </c>
      <c r="O6337" s="2">
        <f ca="1"/>
        <v>0.17674413358931812</v>
      </c>
      <c r="X6337" s="2">
        <f ca="1"/>
        <v>53.497593458099416</v>
      </c>
      <c r="AG6337" s="2">
        <f ca="1"/>
        <v>0.95938251853901302</v>
      </c>
      <c r="AH6337" s="2" t="str">
        <f ca="1"/>
        <v>Bad</v>
      </c>
    </row>
    <row r="6338" spans="2:34" x14ac:dyDescent="0.2">
      <c r="B6338" s="2">
        <f ca="1"/>
        <v>0.96027660507932278</v>
      </c>
      <c r="O6338" s="2">
        <f ca="1"/>
        <v>0.78067473775321772</v>
      </c>
      <c r="X6338" s="2">
        <f ca="1"/>
        <v>28.679209790331093</v>
      </c>
      <c r="AG6338" s="2">
        <f ca="1"/>
        <v>0.47515359743206664</v>
      </c>
      <c r="AH6338" s="2" t="str">
        <f ca="1"/>
        <v>Bad</v>
      </c>
    </row>
    <row r="6339" spans="2:34" x14ac:dyDescent="0.2">
      <c r="B6339" s="2">
        <f ca="1"/>
        <v>0.78833471595122173</v>
      </c>
      <c r="O6339" s="2">
        <f ca="1"/>
        <v>1.85195710038191</v>
      </c>
      <c r="X6339" s="2">
        <f ca="1"/>
        <v>46.66517071838846</v>
      </c>
      <c r="AG6339" s="2">
        <f ca="1"/>
        <v>0.31412742950709904</v>
      </c>
      <c r="AH6339" s="2" t="str">
        <f ca="1"/>
        <v>OK</v>
      </c>
    </row>
    <row r="6340" spans="2:34" x14ac:dyDescent="0.2">
      <c r="B6340" s="2">
        <f ca="1"/>
        <v>0.1930440926629382</v>
      </c>
      <c r="O6340" s="2">
        <f ca="1"/>
        <v>-0.74018901457838449</v>
      </c>
      <c r="X6340" s="2">
        <f ca="1"/>
        <v>49.204413854193916</v>
      </c>
      <c r="AG6340" s="2">
        <f ca="1"/>
        <v>0.22637984977890735</v>
      </c>
      <c r="AH6340" s="2" t="str">
        <f ca="1"/>
        <v>OK</v>
      </c>
    </row>
    <row r="6341" spans="2:34" x14ac:dyDescent="0.2">
      <c r="B6341" s="2">
        <f ca="1"/>
        <v>0.58767086538140023</v>
      </c>
      <c r="O6341" s="2">
        <f ca="1"/>
        <v>-1.8058371040568737</v>
      </c>
      <c r="X6341" s="2">
        <f ca="1"/>
        <v>71.309679895766763</v>
      </c>
      <c r="AG6341" s="2">
        <f ca="1"/>
        <v>0.95698424381170621</v>
      </c>
      <c r="AH6341" s="2" t="str">
        <f ca="1"/>
        <v>Bad</v>
      </c>
    </row>
    <row r="6342" spans="2:34" x14ac:dyDescent="0.2">
      <c r="B6342" s="2">
        <f ca="1"/>
        <v>9.3679742382311693E-2</v>
      </c>
      <c r="O6342" s="2">
        <f ca="1"/>
        <v>-0.95171601017513052</v>
      </c>
      <c r="X6342" s="2">
        <f ca="1"/>
        <v>31.984659275438148</v>
      </c>
      <c r="AG6342" s="2">
        <f ca="1"/>
        <v>0.31843857120901542</v>
      </c>
      <c r="AH6342" s="2" t="str">
        <f ca="1"/>
        <v>OK</v>
      </c>
    </row>
    <row r="6343" spans="2:34" x14ac:dyDescent="0.2">
      <c r="B6343" s="2">
        <f ca="1"/>
        <v>0.8057124649831291</v>
      </c>
      <c r="O6343" s="2">
        <f ca="1"/>
        <v>-0.42355124862212079</v>
      </c>
      <c r="X6343" s="2">
        <f ca="1"/>
        <v>38.939512599902415</v>
      </c>
      <c r="AG6343" s="2">
        <f ca="1"/>
        <v>0.11134711479058579</v>
      </c>
      <c r="AH6343" s="2" t="str">
        <f ca="1"/>
        <v>OK</v>
      </c>
    </row>
    <row r="6344" spans="2:34" x14ac:dyDescent="0.2">
      <c r="B6344" s="2">
        <f ca="1"/>
        <v>0.19135159850050476</v>
      </c>
      <c r="O6344" s="2">
        <f ca="1"/>
        <v>0.40384733923136018</v>
      </c>
      <c r="X6344" s="2">
        <f ca="1"/>
        <v>38.080214448275584</v>
      </c>
      <c r="AG6344" s="2">
        <f ca="1"/>
        <v>0.52892782409463335</v>
      </c>
      <c r="AH6344" s="2" t="str">
        <f ca="1"/>
        <v>Bad</v>
      </c>
    </row>
    <row r="6345" spans="2:34" x14ac:dyDescent="0.2">
      <c r="B6345" s="2">
        <f ca="1"/>
        <v>0.50535854875790798</v>
      </c>
      <c r="O6345" s="2">
        <f ca="1"/>
        <v>-1.1648041286985098</v>
      </c>
      <c r="X6345" s="2">
        <f ca="1"/>
        <v>46.240584651898537</v>
      </c>
      <c r="AG6345" s="2">
        <f ca="1"/>
        <v>0.71741629138427121</v>
      </c>
      <c r="AH6345" s="2" t="str">
        <f ca="1"/>
        <v>Bad</v>
      </c>
    </row>
    <row r="6346" spans="2:34" x14ac:dyDescent="0.2">
      <c r="B6346" s="2">
        <f ca="1"/>
        <v>0.26069782007528919</v>
      </c>
      <c r="O6346" s="2">
        <f ca="1"/>
        <v>-0.35027342091863795</v>
      </c>
      <c r="X6346" s="2">
        <f ca="1"/>
        <v>45.407312325161435</v>
      </c>
      <c r="AG6346" s="2">
        <f ca="1"/>
        <v>0.25925595618294928</v>
      </c>
      <c r="AH6346" s="2" t="str">
        <f ca="1"/>
        <v>OK</v>
      </c>
    </row>
    <row r="6347" spans="2:34" x14ac:dyDescent="0.2">
      <c r="B6347" s="2">
        <f ca="1"/>
        <v>0.56924801703249095</v>
      </c>
      <c r="O6347" s="2">
        <f ca="1"/>
        <v>-6.0459360805234688E-2</v>
      </c>
      <c r="X6347" s="2">
        <f ca="1"/>
        <v>85.714944292455243</v>
      </c>
      <c r="AG6347" s="2">
        <f ca="1"/>
        <v>0.80602831066868408</v>
      </c>
      <c r="AH6347" s="2" t="str">
        <f ca="1"/>
        <v>Bad</v>
      </c>
    </row>
    <row r="6348" spans="2:34" x14ac:dyDescent="0.2">
      <c r="B6348" s="2">
        <f ca="1"/>
        <v>0.53921880075868733</v>
      </c>
      <c r="O6348" s="2">
        <f ca="1"/>
        <v>0.61280523433065182</v>
      </c>
      <c r="X6348" s="2">
        <f ca="1"/>
        <v>60.625665107809617</v>
      </c>
      <c r="AG6348" s="2">
        <f ca="1"/>
        <v>0.1956612152624102</v>
      </c>
      <c r="AH6348" s="2" t="str">
        <f ca="1"/>
        <v>OK</v>
      </c>
    </row>
    <row r="6349" spans="2:34" x14ac:dyDescent="0.2">
      <c r="B6349" s="2">
        <f ca="1"/>
        <v>0.84826702697272505</v>
      </c>
      <c r="O6349" s="2">
        <f ca="1"/>
        <v>-1.0726135691302554</v>
      </c>
      <c r="X6349" s="2">
        <f ca="1"/>
        <v>36.936403311312922</v>
      </c>
      <c r="AG6349" s="2">
        <f ca="1"/>
        <v>0.66589439601906997</v>
      </c>
      <c r="AH6349" s="2" t="str">
        <f ca="1"/>
        <v>Bad</v>
      </c>
    </row>
    <row r="6350" spans="2:34" x14ac:dyDescent="0.2">
      <c r="B6350" s="2">
        <f ca="1"/>
        <v>2.1105542399554977E-2</v>
      </c>
      <c r="O6350" s="2">
        <f ca="1"/>
        <v>1.1586656323442215</v>
      </c>
      <c r="X6350" s="2">
        <f ca="1"/>
        <v>42.018594920645441</v>
      </c>
      <c r="AG6350" s="2">
        <f ca="1"/>
        <v>0.8851961097473382</v>
      </c>
      <c r="AH6350" s="2" t="str">
        <f ca="1"/>
        <v>Bad</v>
      </c>
    </row>
    <row r="6351" spans="2:34" x14ac:dyDescent="0.2">
      <c r="B6351" s="2">
        <f ca="1"/>
        <v>0.504124876576443</v>
      </c>
      <c r="O6351" s="2">
        <f ca="1"/>
        <v>0.76426039775258869</v>
      </c>
      <c r="X6351" s="2">
        <f ca="1"/>
        <v>91.545189316956609</v>
      </c>
      <c r="AG6351" s="2">
        <f ca="1"/>
        <v>0.55435881106994178</v>
      </c>
      <c r="AH6351" s="2" t="str">
        <f ca="1"/>
        <v>Bad</v>
      </c>
    </row>
    <row r="6352" spans="2:34" x14ac:dyDescent="0.2">
      <c r="B6352" s="2">
        <f ca="1"/>
        <v>5.3520797960455058E-2</v>
      </c>
      <c r="O6352" s="2">
        <f ca="1"/>
        <v>1.0390617988070843</v>
      </c>
      <c r="X6352" s="2">
        <f ca="1"/>
        <v>29.695251330249231</v>
      </c>
      <c r="AG6352" s="2">
        <f ca="1"/>
        <v>0.95358886446157465</v>
      </c>
      <c r="AH6352" s="2" t="str">
        <f ca="1"/>
        <v>Bad</v>
      </c>
    </row>
    <row r="6353" spans="2:34" x14ac:dyDescent="0.2">
      <c r="B6353" s="2">
        <f ca="1"/>
        <v>9.818024286479865E-2</v>
      </c>
      <c r="O6353" s="2">
        <f ca="1"/>
        <v>-0.81977774438404649</v>
      </c>
      <c r="X6353" s="2">
        <f ca="1"/>
        <v>23.600704657942551</v>
      </c>
      <c r="AG6353" s="2">
        <f ca="1"/>
        <v>0.93808566781755198</v>
      </c>
      <c r="AH6353" s="2" t="str">
        <f ca="1"/>
        <v>Bad</v>
      </c>
    </row>
    <row r="6354" spans="2:34" x14ac:dyDescent="0.2">
      <c r="B6354" s="2">
        <f ca="1"/>
        <v>0.61659492722002573</v>
      </c>
      <c r="O6354" s="2">
        <f ca="1"/>
        <v>-0.41955720906630439</v>
      </c>
      <c r="X6354" s="2">
        <f ca="1"/>
        <v>47.847893309805016</v>
      </c>
      <c r="AG6354" s="2">
        <f ca="1"/>
        <v>0.87372545589235706</v>
      </c>
      <c r="AH6354" s="2" t="str">
        <f ca="1"/>
        <v>Bad</v>
      </c>
    </row>
    <row r="6355" spans="2:34" x14ac:dyDescent="0.2">
      <c r="B6355" s="2">
        <f ca="1"/>
        <v>0.60159787020361799</v>
      </c>
      <c r="O6355" s="2">
        <f ca="1"/>
        <v>-0.55895533725173019</v>
      </c>
      <c r="X6355" s="2">
        <f ca="1"/>
        <v>23.115464199768446</v>
      </c>
      <c r="AG6355" s="2">
        <f ca="1"/>
        <v>0.51116137253263982</v>
      </c>
      <c r="AH6355" s="2" t="str">
        <f ca="1"/>
        <v>Bad</v>
      </c>
    </row>
    <row r="6356" spans="2:34" x14ac:dyDescent="0.2">
      <c r="B6356" s="2">
        <f ca="1"/>
        <v>0.73941176443747292</v>
      </c>
      <c r="O6356" s="2">
        <f ca="1"/>
        <v>1.3949917494976225</v>
      </c>
      <c r="X6356" s="2">
        <f ca="1"/>
        <v>43.094307191748264</v>
      </c>
      <c r="AG6356" s="2">
        <f ca="1"/>
        <v>0.79199201908155392</v>
      </c>
      <c r="AH6356" s="2" t="str">
        <f ca="1"/>
        <v>Bad</v>
      </c>
    </row>
    <row r="6357" spans="2:34" x14ac:dyDescent="0.2">
      <c r="B6357" s="2">
        <f ca="1"/>
        <v>0.76767357647416845</v>
      </c>
      <c r="O6357" s="2">
        <f ca="1"/>
        <v>0.55764992721415263</v>
      </c>
      <c r="X6357" s="2">
        <f ca="1"/>
        <v>35.485118970712705</v>
      </c>
      <c r="AG6357" s="2">
        <f ca="1"/>
        <v>0.50246625374141241</v>
      </c>
      <c r="AH6357" s="2" t="str">
        <f ca="1"/>
        <v>Bad</v>
      </c>
    </row>
    <row r="6358" spans="2:34" x14ac:dyDescent="0.2">
      <c r="B6358" s="2">
        <f ca="1"/>
        <v>0.6040265633656301</v>
      </c>
      <c r="O6358" s="2">
        <f ca="1"/>
        <v>-0.73176157731846103</v>
      </c>
      <c r="X6358" s="2">
        <f ca="1"/>
        <v>37.339048431975563</v>
      </c>
      <c r="AG6358" s="2">
        <f ca="1"/>
        <v>0.53848272206126957</v>
      </c>
      <c r="AH6358" s="2" t="str">
        <f ca="1"/>
        <v>Bad</v>
      </c>
    </row>
    <row r="6359" spans="2:34" x14ac:dyDescent="0.2">
      <c r="B6359" s="2">
        <f ca="1"/>
        <v>0.58574252849620256</v>
      </c>
      <c r="O6359" s="2">
        <f ca="1"/>
        <v>-2.6289008332800345</v>
      </c>
      <c r="X6359" s="2">
        <f ca="1"/>
        <v>49.93481327275498</v>
      </c>
      <c r="AG6359" s="2">
        <f ca="1"/>
        <v>6.9086967467252069E-2</v>
      </c>
      <c r="AH6359" s="2" t="str">
        <f ca="1"/>
        <v>OK</v>
      </c>
    </row>
    <row r="6360" spans="2:34" x14ac:dyDescent="0.2">
      <c r="B6360" s="2">
        <f ca="1"/>
        <v>0.32539024727426935</v>
      </c>
      <c r="O6360" s="2">
        <f ca="1"/>
        <v>0.76282439646586575</v>
      </c>
      <c r="X6360" s="2">
        <f ca="1"/>
        <v>30.086440314551407</v>
      </c>
      <c r="AG6360" s="2">
        <f ca="1"/>
        <v>0.66248170576981602</v>
      </c>
      <c r="AH6360" s="2" t="str">
        <f ca="1"/>
        <v>Bad</v>
      </c>
    </row>
    <row r="6361" spans="2:34" x14ac:dyDescent="0.2">
      <c r="B6361" s="2">
        <f ca="1"/>
        <v>2.208020970656932E-2</v>
      </c>
      <c r="O6361" s="2">
        <f ca="1"/>
        <v>0.28689863128514331</v>
      </c>
      <c r="X6361" s="2">
        <f ca="1"/>
        <v>31.830698905920332</v>
      </c>
      <c r="AG6361" s="2">
        <f ca="1"/>
        <v>0.73614848813821743</v>
      </c>
      <c r="AH6361" s="2" t="str">
        <f ca="1"/>
        <v>Bad</v>
      </c>
    </row>
    <row r="6362" spans="2:34" x14ac:dyDescent="0.2">
      <c r="B6362" s="2">
        <f ca="1"/>
        <v>0.87480460751982858</v>
      </c>
      <c r="O6362" s="2">
        <f ca="1"/>
        <v>-0.83444631745160702</v>
      </c>
      <c r="X6362" s="2">
        <f ca="1"/>
        <v>64.629347783912877</v>
      </c>
      <c r="AG6362" s="2">
        <f ca="1"/>
        <v>0.89733665828803155</v>
      </c>
      <c r="AH6362" s="2" t="str">
        <f ca="1"/>
        <v>Bad</v>
      </c>
    </row>
    <row r="6363" spans="2:34" x14ac:dyDescent="0.2">
      <c r="B6363" s="2">
        <f ca="1"/>
        <v>0.12166004590495993</v>
      </c>
      <c r="O6363" s="2">
        <f ca="1"/>
        <v>0.34793689978242304</v>
      </c>
      <c r="X6363" s="2">
        <f ca="1"/>
        <v>34.296929356245585</v>
      </c>
      <c r="AG6363" s="2">
        <f ca="1"/>
        <v>0.5668146468909232</v>
      </c>
      <c r="AH6363" s="2" t="str">
        <f ca="1"/>
        <v>Bad</v>
      </c>
    </row>
    <row r="6364" spans="2:34" x14ac:dyDescent="0.2">
      <c r="B6364" s="2">
        <f ca="1"/>
        <v>0.87056630312464267</v>
      </c>
      <c r="O6364" s="2">
        <f ca="1"/>
        <v>-1.3803656714754102</v>
      </c>
      <c r="X6364" s="2">
        <f ca="1"/>
        <v>53.733399254478186</v>
      </c>
      <c r="AG6364" s="2">
        <f ca="1"/>
        <v>0.42118646301008567</v>
      </c>
      <c r="AH6364" s="2" t="str">
        <f ca="1"/>
        <v>Bad</v>
      </c>
    </row>
    <row r="6365" spans="2:34" x14ac:dyDescent="0.2">
      <c r="B6365" s="2">
        <f ca="1"/>
        <v>0.8595584857733678</v>
      </c>
      <c r="O6365" s="2">
        <f ca="1"/>
        <v>-1.0275491761404039</v>
      </c>
      <c r="X6365" s="2">
        <f ca="1"/>
        <v>64.087984899749983</v>
      </c>
      <c r="AG6365" s="2">
        <f ca="1"/>
        <v>0.19084145299275823</v>
      </c>
      <c r="AH6365" s="2" t="str">
        <f ca="1"/>
        <v>OK</v>
      </c>
    </row>
    <row r="6366" spans="2:34" x14ac:dyDescent="0.2">
      <c r="B6366" s="2">
        <f ca="1"/>
        <v>0.93218883851633971</v>
      </c>
      <c r="O6366" s="2">
        <f ca="1"/>
        <v>-0.38047847918044542</v>
      </c>
      <c r="X6366" s="2">
        <f ca="1"/>
        <v>56.370266372805617</v>
      </c>
      <c r="AG6366" s="2">
        <f ca="1"/>
        <v>0.4149995228252108</v>
      </c>
      <c r="AH6366" s="2" t="str">
        <f ca="1"/>
        <v>Bad</v>
      </c>
    </row>
    <row r="6367" spans="2:34" x14ac:dyDescent="0.2">
      <c r="B6367" s="2">
        <f ca="1"/>
        <v>0.60479044336001442</v>
      </c>
      <c r="O6367" s="2">
        <f ca="1"/>
        <v>-7.8958266972876459E-2</v>
      </c>
      <c r="X6367" s="2">
        <f ca="1"/>
        <v>72.524089124684053</v>
      </c>
      <c r="AG6367" s="2">
        <f ca="1"/>
        <v>0.42471443831118383</v>
      </c>
      <c r="AH6367" s="2" t="str">
        <f ca="1"/>
        <v>Bad</v>
      </c>
    </row>
    <row r="6368" spans="2:34" x14ac:dyDescent="0.2">
      <c r="B6368" s="2">
        <f ca="1"/>
        <v>0.90363016572560317</v>
      </c>
      <c r="O6368" s="2">
        <f ca="1"/>
        <v>-2.1961242523095271E-2</v>
      </c>
      <c r="X6368" s="2">
        <f ca="1"/>
        <v>46.998625234953934</v>
      </c>
      <c r="AG6368" s="2">
        <f ca="1"/>
        <v>0.20157068337156359</v>
      </c>
      <c r="AH6368" s="2" t="str">
        <f ca="1"/>
        <v>OK</v>
      </c>
    </row>
    <row r="6369" spans="2:34" x14ac:dyDescent="0.2">
      <c r="B6369" s="2">
        <f ca="1"/>
        <v>0.90511544630015273</v>
      </c>
      <c r="O6369" s="2">
        <f ca="1"/>
        <v>-0.58145302916343666</v>
      </c>
      <c r="X6369" s="2">
        <f ca="1"/>
        <v>77.333353542514828</v>
      </c>
      <c r="AG6369" s="2">
        <f ca="1"/>
        <v>0.94496918142836672</v>
      </c>
      <c r="AH6369" s="2" t="str">
        <f ca="1"/>
        <v>Bad</v>
      </c>
    </row>
    <row r="6370" spans="2:34" x14ac:dyDescent="0.2">
      <c r="B6370" s="2">
        <f ca="1"/>
        <v>5.8469138764734252E-2</v>
      </c>
      <c r="O6370" s="2">
        <f ca="1"/>
        <v>0.76698753370637274</v>
      </c>
      <c r="X6370" s="2">
        <f ca="1"/>
        <v>53.562688369692459</v>
      </c>
      <c r="AG6370" s="2">
        <f ca="1"/>
        <v>9.7302788561977271E-2</v>
      </c>
      <c r="AH6370" s="2" t="str">
        <f ca="1"/>
        <v>OK</v>
      </c>
    </row>
    <row r="6371" spans="2:34" x14ac:dyDescent="0.2">
      <c r="B6371" s="2">
        <f ca="1"/>
        <v>0.20871619272584141</v>
      </c>
      <c r="O6371" s="2">
        <f ca="1"/>
        <v>0.25215650535480094</v>
      </c>
      <c r="X6371" s="2">
        <f ca="1"/>
        <v>71.709292033692506</v>
      </c>
      <c r="AG6371" s="2">
        <f ca="1"/>
        <v>0.55234796435779265</v>
      </c>
      <c r="AH6371" s="2" t="str">
        <f ca="1"/>
        <v>Bad</v>
      </c>
    </row>
    <row r="6372" spans="2:34" x14ac:dyDescent="0.2">
      <c r="B6372" s="2">
        <f ca="1"/>
        <v>8.0151779228734954E-2</v>
      </c>
      <c r="O6372" s="2">
        <f ca="1"/>
        <v>-0.80478195317851597</v>
      </c>
      <c r="X6372" s="2">
        <f ca="1"/>
        <v>56.240506045454737</v>
      </c>
      <c r="AG6372" s="2">
        <f ca="1"/>
        <v>0.61788968827905211</v>
      </c>
      <c r="AH6372" s="2" t="str">
        <f ca="1"/>
        <v>Bad</v>
      </c>
    </row>
    <row r="6373" spans="2:34" x14ac:dyDescent="0.2">
      <c r="B6373" s="2">
        <f ca="1"/>
        <v>0.57931949193950549</v>
      </c>
      <c r="O6373" s="2">
        <f ca="1"/>
        <v>0.24506851396431389</v>
      </c>
      <c r="X6373" s="2">
        <f ca="1"/>
        <v>36.16039866761438</v>
      </c>
      <c r="AG6373" s="2">
        <f ca="1"/>
        <v>0.59189734014944229</v>
      </c>
      <c r="AH6373" s="2" t="str">
        <f ca="1"/>
        <v>Bad</v>
      </c>
    </row>
    <row r="6374" spans="2:34" x14ac:dyDescent="0.2">
      <c r="B6374" s="2">
        <f ca="1"/>
        <v>0.21496490735807772</v>
      </c>
      <c r="O6374" s="2">
        <f ca="1"/>
        <v>-1.5007685981711945</v>
      </c>
      <c r="X6374" s="2">
        <f ca="1"/>
        <v>35.640531399604185</v>
      </c>
      <c r="AG6374" s="2">
        <f ca="1"/>
        <v>0.63009485242565466</v>
      </c>
      <c r="AH6374" s="2" t="str">
        <f ca="1"/>
        <v>Bad</v>
      </c>
    </row>
    <row r="6375" spans="2:34" x14ac:dyDescent="0.2">
      <c r="B6375" s="2">
        <f ca="1"/>
        <v>0.33241922937519375</v>
      </c>
      <c r="O6375" s="2">
        <f ca="1"/>
        <v>-0.91472634139564069</v>
      </c>
      <c r="X6375" s="2">
        <f ca="1"/>
        <v>27.265745279694688</v>
      </c>
      <c r="AG6375" s="2">
        <f ca="1"/>
        <v>0.52079894356545564</v>
      </c>
      <c r="AH6375" s="2" t="str">
        <f ca="1"/>
        <v>Bad</v>
      </c>
    </row>
    <row r="6376" spans="2:34" x14ac:dyDescent="0.2">
      <c r="B6376" s="2">
        <f ca="1"/>
        <v>2.0403165615782592E-2</v>
      </c>
      <c r="O6376" s="2">
        <f ca="1"/>
        <v>0.5142506041216458</v>
      </c>
      <c r="X6376" s="2">
        <f ca="1"/>
        <v>39.66605266342134</v>
      </c>
      <c r="AG6376" s="2">
        <f ca="1"/>
        <v>0.62151913192911845</v>
      </c>
      <c r="AH6376" s="2" t="str">
        <f ca="1"/>
        <v>Bad</v>
      </c>
    </row>
    <row r="6377" spans="2:34" x14ac:dyDescent="0.2">
      <c r="B6377" s="2">
        <f ca="1"/>
        <v>0.35007489766268729</v>
      </c>
      <c r="O6377" s="2">
        <f ca="1"/>
        <v>-1.1110560621668175</v>
      </c>
      <c r="X6377" s="2">
        <f ca="1"/>
        <v>30.846594686813781</v>
      </c>
      <c r="AG6377" s="2">
        <f ca="1"/>
        <v>0.31061766825056347</v>
      </c>
      <c r="AH6377" s="2" t="str">
        <f ca="1"/>
        <v>OK</v>
      </c>
    </row>
    <row r="6378" spans="2:34" x14ac:dyDescent="0.2">
      <c r="B6378" s="2">
        <f ca="1"/>
        <v>1.2037193275501235E-2</v>
      </c>
      <c r="O6378" s="2">
        <f ca="1"/>
        <v>-0.96920590870588774</v>
      </c>
      <c r="X6378" s="2">
        <f ca="1"/>
        <v>57.340515453786196</v>
      </c>
      <c r="AG6378" s="2">
        <f ca="1"/>
        <v>0.81986328939901365</v>
      </c>
      <c r="AH6378" s="2" t="str">
        <f ca="1"/>
        <v>Bad</v>
      </c>
    </row>
    <row r="6379" spans="2:34" x14ac:dyDescent="0.2">
      <c r="B6379" s="2">
        <f ca="1"/>
        <v>0.33816820680598259</v>
      </c>
      <c r="O6379" s="2">
        <f ca="1"/>
        <v>2.6873030327044072</v>
      </c>
      <c r="X6379" s="2">
        <f ca="1"/>
        <v>38.761412034776633</v>
      </c>
      <c r="AG6379" s="2">
        <f ca="1"/>
        <v>0.8246201389365011</v>
      </c>
      <c r="AH6379" s="2" t="str">
        <f ca="1"/>
        <v>Bad</v>
      </c>
    </row>
    <row r="6380" spans="2:34" x14ac:dyDescent="0.2">
      <c r="B6380" s="2">
        <f ca="1"/>
        <v>0.28519316749105439</v>
      </c>
      <c r="O6380" s="2">
        <f ca="1"/>
        <v>0.43493143532469958</v>
      </c>
      <c r="X6380" s="2">
        <f ca="1"/>
        <v>55.241493102707288</v>
      </c>
      <c r="AG6380" s="2">
        <f ca="1"/>
        <v>0.86686998891688782</v>
      </c>
      <c r="AH6380" s="2" t="str">
        <f ca="1"/>
        <v>Bad</v>
      </c>
    </row>
    <row r="6381" spans="2:34" x14ac:dyDescent="0.2">
      <c r="B6381" s="2">
        <f ca="1"/>
        <v>5.6373833914901805E-2</v>
      </c>
      <c r="O6381" s="2">
        <f ca="1"/>
        <v>-4.8498309019820753E-2</v>
      </c>
      <c r="X6381" s="2">
        <f ca="1"/>
        <v>71.187787489436033</v>
      </c>
      <c r="AG6381" s="2">
        <f ca="1"/>
        <v>0.84557539931781323</v>
      </c>
      <c r="AH6381" s="2" t="str">
        <f ca="1"/>
        <v>Bad</v>
      </c>
    </row>
    <row r="6382" spans="2:34" x14ac:dyDescent="0.2">
      <c r="B6382" s="2">
        <f ca="1"/>
        <v>0.20577334110743117</v>
      </c>
      <c r="O6382" s="2">
        <f ca="1"/>
        <v>0.73665576475207928</v>
      </c>
      <c r="X6382" s="2">
        <f ca="1"/>
        <v>32.280340850561579</v>
      </c>
      <c r="AG6382" s="2">
        <f ca="1"/>
        <v>0.34873487940845371</v>
      </c>
      <c r="AH6382" s="2" t="str">
        <f ca="1"/>
        <v>OK</v>
      </c>
    </row>
    <row r="6383" spans="2:34" x14ac:dyDescent="0.2">
      <c r="B6383" s="2">
        <f ca="1"/>
        <v>0.92040026152172549</v>
      </c>
      <c r="O6383" s="2">
        <f ca="1"/>
        <v>0.27241527746386135</v>
      </c>
      <c r="X6383" s="2">
        <f ca="1"/>
        <v>55.726921126554643</v>
      </c>
      <c r="AG6383" s="2">
        <f ca="1"/>
        <v>0.12169976047803766</v>
      </c>
      <c r="AH6383" s="2" t="str">
        <f ca="1"/>
        <v>OK</v>
      </c>
    </row>
    <row r="6384" spans="2:34" x14ac:dyDescent="0.2">
      <c r="B6384" s="2">
        <f ca="1"/>
        <v>0.73847067865423188</v>
      </c>
      <c r="O6384" s="2">
        <f ca="1"/>
        <v>0.87499187408245993</v>
      </c>
      <c r="X6384" s="2">
        <f ca="1"/>
        <v>62.48179961154986</v>
      </c>
      <c r="AG6384" s="2">
        <f ca="1"/>
        <v>3.2517580610984309E-2</v>
      </c>
      <c r="AH6384" s="2" t="str">
        <f ca="1"/>
        <v>Good</v>
      </c>
    </row>
    <row r="6385" spans="2:34" x14ac:dyDescent="0.2">
      <c r="B6385" s="2">
        <f ca="1"/>
        <v>0.5093846054688429</v>
      </c>
      <c r="O6385" s="2">
        <f ca="1"/>
        <v>1.1139474824946971</v>
      </c>
      <c r="X6385" s="2">
        <f ca="1"/>
        <v>68.709189654906083</v>
      </c>
      <c r="AG6385" s="2">
        <f ca="1"/>
        <v>0.12907275278305619</v>
      </c>
      <c r="AH6385" s="2" t="str">
        <f ca="1"/>
        <v>OK</v>
      </c>
    </row>
    <row r="6386" spans="2:34" x14ac:dyDescent="0.2">
      <c r="B6386" s="2">
        <f ca="1"/>
        <v>0.83794435034670189</v>
      </c>
      <c r="O6386" s="2">
        <f ca="1"/>
        <v>1.0173666449386074</v>
      </c>
      <c r="X6386" s="2">
        <f ca="1"/>
        <v>43.603880668248081</v>
      </c>
      <c r="AG6386" s="2">
        <f ca="1"/>
        <v>0.17284783641034784</v>
      </c>
      <c r="AH6386" s="2" t="str">
        <f ca="1"/>
        <v>OK</v>
      </c>
    </row>
    <row r="6387" spans="2:34" x14ac:dyDescent="0.2">
      <c r="B6387" s="2">
        <f ca="1"/>
        <v>0.50096688710180959</v>
      </c>
      <c r="O6387" s="2">
        <f ca="1"/>
        <v>-0.41912895959961199</v>
      </c>
      <c r="X6387" s="2">
        <f ca="1"/>
        <v>72.231698044668292</v>
      </c>
      <c r="AG6387" s="2">
        <f ca="1"/>
        <v>0.36632856682396153</v>
      </c>
      <c r="AH6387" s="2" t="str">
        <f ca="1"/>
        <v>OK</v>
      </c>
    </row>
    <row r="6388" spans="2:34" x14ac:dyDescent="0.2">
      <c r="B6388" s="2">
        <f ca="1"/>
        <v>0.22566850662428717</v>
      </c>
      <c r="O6388" s="2">
        <f ca="1"/>
        <v>8.3956778852505465E-2</v>
      </c>
      <c r="X6388" s="2">
        <f ca="1"/>
        <v>39.767723047787413</v>
      </c>
      <c r="AG6388" s="2">
        <f ca="1"/>
        <v>1.6725894647140027E-2</v>
      </c>
      <c r="AH6388" s="2" t="str">
        <f ca="1"/>
        <v>Good</v>
      </c>
    </row>
    <row r="6389" spans="2:34" x14ac:dyDescent="0.2">
      <c r="B6389" s="2">
        <f ca="1"/>
        <v>0.33555409343168185</v>
      </c>
      <c r="O6389" s="2">
        <f ca="1"/>
        <v>-0.7837593354975072</v>
      </c>
      <c r="X6389" s="2">
        <f ca="1"/>
        <v>32.840378698919402</v>
      </c>
      <c r="AG6389" s="2">
        <f ca="1"/>
        <v>0.12132072871686184</v>
      </c>
      <c r="AH6389" s="2" t="str">
        <f ca="1"/>
        <v>OK</v>
      </c>
    </row>
    <row r="6390" spans="2:34" x14ac:dyDescent="0.2">
      <c r="B6390" s="2">
        <f ca="1"/>
        <v>0.63655889840507296</v>
      </c>
      <c r="O6390" s="2">
        <f ca="1"/>
        <v>-0.31422465852386278</v>
      </c>
      <c r="X6390" s="2">
        <f ca="1"/>
        <v>60.580258672269089</v>
      </c>
      <c r="AG6390" s="2">
        <f ca="1"/>
        <v>0.32801136029466615</v>
      </c>
      <c r="AH6390" s="2" t="str">
        <f ca="1"/>
        <v>OK</v>
      </c>
    </row>
    <row r="6391" spans="2:34" x14ac:dyDescent="0.2">
      <c r="B6391" s="2">
        <f ca="1"/>
        <v>1.3667725409124198E-2</v>
      </c>
      <c r="O6391" s="2">
        <f ca="1"/>
        <v>7.6942369952782766E-2</v>
      </c>
      <c r="X6391" s="2">
        <f ca="1"/>
        <v>54.655235095348537</v>
      </c>
      <c r="AG6391" s="2">
        <f ca="1"/>
        <v>0.59539629906321268</v>
      </c>
      <c r="AH6391" s="2" t="str">
        <f ca="1"/>
        <v>Bad</v>
      </c>
    </row>
    <row r="6392" spans="2:34" x14ac:dyDescent="0.2">
      <c r="B6392" s="2">
        <f ca="1"/>
        <v>0.11693463377745528</v>
      </c>
      <c r="O6392" s="2">
        <f ca="1"/>
        <v>0.99814885069199344</v>
      </c>
      <c r="X6392" s="2">
        <f ca="1"/>
        <v>43.236026229552749</v>
      </c>
      <c r="AG6392" s="2">
        <f ca="1"/>
        <v>7.3312404214580074E-2</v>
      </c>
      <c r="AH6392" s="2" t="str">
        <f ca="1"/>
        <v>OK</v>
      </c>
    </row>
    <row r="6393" spans="2:34" x14ac:dyDescent="0.2">
      <c r="B6393" s="2">
        <f ca="1"/>
        <v>0.54221281690534751</v>
      </c>
      <c r="O6393" s="2">
        <f ca="1"/>
        <v>-0.35508350088675683</v>
      </c>
      <c r="X6393" s="2">
        <f ca="1"/>
        <v>66.848612233668817</v>
      </c>
      <c r="AG6393" s="2">
        <f ca="1"/>
        <v>0.80609949081780852</v>
      </c>
      <c r="AH6393" s="2" t="str">
        <f ca="1"/>
        <v>Bad</v>
      </c>
    </row>
    <row r="6394" spans="2:34" x14ac:dyDescent="0.2">
      <c r="B6394" s="2">
        <f ca="1"/>
        <v>0.99267873118551697</v>
      </c>
      <c r="O6394" s="2">
        <f ca="1"/>
        <v>1.6994332151008937</v>
      </c>
      <c r="X6394" s="2">
        <f ca="1"/>
        <v>56.185799756844865</v>
      </c>
      <c r="AG6394" s="2">
        <f ca="1"/>
        <v>0.33955978474319259</v>
      </c>
      <c r="AH6394" s="2" t="str">
        <f ca="1"/>
        <v>OK</v>
      </c>
    </row>
    <row r="6395" spans="2:34" x14ac:dyDescent="0.2">
      <c r="B6395" s="2">
        <f ca="1"/>
        <v>0.79731426690442908</v>
      </c>
      <c r="O6395" s="2">
        <f ca="1"/>
        <v>-0.59746724802279239</v>
      </c>
      <c r="X6395" s="2">
        <f ca="1"/>
        <v>58.987743654433331</v>
      </c>
      <c r="AG6395" s="2">
        <f ca="1"/>
        <v>4.6858954948406195E-2</v>
      </c>
      <c r="AH6395" s="2" t="str">
        <f ca="1"/>
        <v>Good</v>
      </c>
    </row>
    <row r="6396" spans="2:34" x14ac:dyDescent="0.2">
      <c r="B6396" s="2">
        <f ca="1"/>
        <v>0.61868189665960838</v>
      </c>
      <c r="O6396" s="2">
        <f ca="1"/>
        <v>-5.7180550330705134E-2</v>
      </c>
      <c r="X6396" s="2">
        <f ca="1"/>
        <v>44.293499074066744</v>
      </c>
      <c r="AG6396" s="2">
        <f ca="1"/>
        <v>0.34874682880208208</v>
      </c>
      <c r="AH6396" s="2" t="str">
        <f ca="1"/>
        <v>OK</v>
      </c>
    </row>
    <row r="6397" spans="2:34" x14ac:dyDescent="0.2">
      <c r="B6397" s="2">
        <f ca="1"/>
        <v>0.67572348823794082</v>
      </c>
      <c r="O6397" s="2">
        <f ca="1"/>
        <v>-0.3589468998462032</v>
      </c>
      <c r="X6397" s="2">
        <f ca="1"/>
        <v>26.581862835835885</v>
      </c>
      <c r="AG6397" s="2">
        <f ca="1"/>
        <v>0.28585247873919029</v>
      </c>
      <c r="AH6397" s="2" t="str">
        <f ca="1"/>
        <v>OK</v>
      </c>
    </row>
    <row r="6398" spans="2:34" x14ac:dyDescent="0.2">
      <c r="B6398" s="2">
        <f ca="1"/>
        <v>9.311726750677618E-2</v>
      </c>
      <c r="O6398" s="2">
        <f ca="1"/>
        <v>1.3135173756061909</v>
      </c>
      <c r="X6398" s="2">
        <f ca="1"/>
        <v>73.714676329779692</v>
      </c>
      <c r="AG6398" s="2">
        <f ca="1"/>
        <v>0.67282222512931011</v>
      </c>
      <c r="AH6398" s="2" t="str">
        <f ca="1"/>
        <v>Bad</v>
      </c>
    </row>
    <row r="6399" spans="2:34" x14ac:dyDescent="0.2">
      <c r="B6399" s="2">
        <f ca="1"/>
        <v>0.32028898145891138</v>
      </c>
      <c r="O6399" s="2">
        <f ca="1"/>
        <v>-0.88369501010118856</v>
      </c>
      <c r="X6399" s="2">
        <f ca="1"/>
        <v>49.854628698587298</v>
      </c>
      <c r="AG6399" s="2">
        <f ca="1"/>
        <v>0.58757246868166879</v>
      </c>
      <c r="AH6399" s="2" t="str">
        <f ca="1"/>
        <v>Bad</v>
      </c>
    </row>
    <row r="6400" spans="2:34" x14ac:dyDescent="0.2">
      <c r="B6400" s="2">
        <f ca="1"/>
        <v>0.62778466946117661</v>
      </c>
      <c r="O6400" s="2">
        <f ca="1"/>
        <v>-7.7425212615383895E-3</v>
      </c>
      <c r="X6400" s="2">
        <f ca="1"/>
        <v>44.768012204233607</v>
      </c>
      <c r="AG6400" s="2">
        <f ca="1"/>
        <v>0.88891413001899111</v>
      </c>
      <c r="AH6400" s="2" t="str">
        <f ca="1"/>
        <v>Bad</v>
      </c>
    </row>
    <row r="6401" spans="2:34" x14ac:dyDescent="0.2">
      <c r="B6401" s="2">
        <f ca="1"/>
        <v>0.3374688014460665</v>
      </c>
      <c r="O6401" s="2">
        <f ca="1"/>
        <v>0.96660315909740835</v>
      </c>
      <c r="X6401" s="2">
        <f ca="1"/>
        <v>55.160481839953512</v>
      </c>
      <c r="AG6401" s="2">
        <f ca="1"/>
        <v>0.40451717219414052</v>
      </c>
      <c r="AH6401" s="2" t="str">
        <f ca="1"/>
        <v>Bad</v>
      </c>
    </row>
    <row r="6402" spans="2:34" x14ac:dyDescent="0.2">
      <c r="B6402" s="2">
        <f ca="1"/>
        <v>0.66110374015330375</v>
      </c>
      <c r="O6402" s="2">
        <f ca="1"/>
        <v>-0.19144830706000199</v>
      </c>
      <c r="X6402" s="2">
        <f ca="1"/>
        <v>53.879821268460674</v>
      </c>
      <c r="AG6402" s="2">
        <f ca="1"/>
        <v>0.13583012425731145</v>
      </c>
      <c r="AH6402" s="2" t="str">
        <f ca="1"/>
        <v>OK</v>
      </c>
    </row>
    <row r="6403" spans="2:34" x14ac:dyDescent="0.2">
      <c r="B6403" s="2">
        <f ca="1"/>
        <v>0.32951482028784773</v>
      </c>
      <c r="O6403" s="2">
        <f ca="1"/>
        <v>-2.0382861554403302</v>
      </c>
      <c r="X6403" s="2">
        <f ca="1"/>
        <v>36.667377808792409</v>
      </c>
      <c r="AG6403" s="2">
        <f ca="1"/>
        <v>0.61822753486318205</v>
      </c>
      <c r="AH6403" s="2" t="str">
        <f ca="1"/>
        <v>Bad</v>
      </c>
    </row>
    <row r="6404" spans="2:34" x14ac:dyDescent="0.2">
      <c r="B6404" s="2">
        <f ca="1"/>
        <v>0.72010339445671256</v>
      </c>
      <c r="O6404" s="2">
        <f ca="1"/>
        <v>-0.86080628113974333</v>
      </c>
      <c r="X6404" s="2">
        <f ca="1"/>
        <v>46.268631996189072</v>
      </c>
      <c r="AG6404" s="2">
        <f ca="1"/>
        <v>0.88577411990247046</v>
      </c>
      <c r="AH6404" s="2" t="str">
        <f ca="1"/>
        <v>Bad</v>
      </c>
    </row>
    <row r="6405" spans="2:34" x14ac:dyDescent="0.2">
      <c r="B6405" s="2">
        <f ca="1"/>
        <v>0.52680496860461234</v>
      </c>
      <c r="O6405" s="2">
        <f ca="1"/>
        <v>-0.66153150753231948</v>
      </c>
      <c r="X6405" s="2">
        <f ca="1"/>
        <v>42.319233177073478</v>
      </c>
      <c r="AG6405" s="2">
        <f ca="1"/>
        <v>0.48664714826836986</v>
      </c>
      <c r="AH6405" s="2" t="str">
        <f ca="1"/>
        <v>Bad</v>
      </c>
    </row>
    <row r="6406" spans="2:34" x14ac:dyDescent="0.2">
      <c r="B6406" s="2">
        <f ca="1"/>
        <v>0.23267546625770685</v>
      </c>
      <c r="O6406" s="2">
        <f ca="1"/>
        <v>-0.5834823062052541</v>
      </c>
      <c r="X6406" s="2">
        <f ca="1"/>
        <v>41.316967761111059</v>
      </c>
      <c r="AG6406" s="2">
        <f ca="1"/>
        <v>0.82942786284315928</v>
      </c>
      <c r="AH6406" s="2" t="str">
        <f ca="1"/>
        <v>Bad</v>
      </c>
    </row>
    <row r="6407" spans="2:34" x14ac:dyDescent="0.2">
      <c r="B6407" s="2">
        <f ca="1"/>
        <v>0.5756071490035175</v>
      </c>
      <c r="O6407" s="2">
        <f ca="1"/>
        <v>1.1878649132944736</v>
      </c>
      <c r="X6407" s="2">
        <f ca="1"/>
        <v>62.03324421482921</v>
      </c>
      <c r="AG6407" s="2">
        <f ca="1"/>
        <v>0.32355305801036915</v>
      </c>
      <c r="AH6407" s="2" t="str">
        <f ca="1"/>
        <v>OK</v>
      </c>
    </row>
    <row r="6408" spans="2:34" x14ac:dyDescent="0.2">
      <c r="B6408" s="2">
        <f ca="1"/>
        <v>0.38970013555755889</v>
      </c>
      <c r="O6408" s="2">
        <f ca="1"/>
        <v>-1.1939066466325743</v>
      </c>
      <c r="X6408" s="2">
        <f ca="1"/>
        <v>35.983977364986416</v>
      </c>
      <c r="AG6408" s="2">
        <f ca="1"/>
        <v>0.15937843442534882</v>
      </c>
      <c r="AH6408" s="2" t="str">
        <f ca="1"/>
        <v>OK</v>
      </c>
    </row>
    <row r="6409" spans="2:34" x14ac:dyDescent="0.2">
      <c r="B6409" s="2">
        <f ca="1"/>
        <v>0.35575409019479998</v>
      </c>
      <c r="O6409" s="2">
        <f ca="1"/>
        <v>0.96296827624480652</v>
      </c>
      <c r="X6409" s="2">
        <f ca="1"/>
        <v>37.248812814838764</v>
      </c>
      <c r="AG6409" s="2">
        <f ca="1"/>
        <v>0.83166844252703687</v>
      </c>
      <c r="AH6409" s="2" t="str">
        <f ca="1"/>
        <v>Bad</v>
      </c>
    </row>
    <row r="6410" spans="2:34" x14ac:dyDescent="0.2">
      <c r="B6410" s="2">
        <f ca="1"/>
        <v>0.34759039380906431</v>
      </c>
      <c r="O6410" s="2">
        <f ca="1"/>
        <v>-0.69285163499590441</v>
      </c>
      <c r="X6410" s="2">
        <f ca="1"/>
        <v>21.018001029777405</v>
      </c>
      <c r="AG6410" s="2">
        <f ca="1"/>
        <v>0.91300382310061634</v>
      </c>
      <c r="AH6410" s="2" t="str">
        <f ca="1"/>
        <v>Bad</v>
      </c>
    </row>
    <row r="6411" spans="2:34" x14ac:dyDescent="0.2">
      <c r="B6411" s="2">
        <f ca="1"/>
        <v>0.91978443678144672</v>
      </c>
      <c r="O6411" s="2">
        <f ca="1"/>
        <v>-9.4282504074779408E-2</v>
      </c>
      <c r="X6411" s="2">
        <f ca="1"/>
        <v>59.453555510535736</v>
      </c>
      <c r="AG6411" s="2">
        <f ca="1"/>
        <v>0.23774118867322214</v>
      </c>
      <c r="AH6411" s="2" t="str">
        <f ca="1"/>
        <v>OK</v>
      </c>
    </row>
    <row r="6412" spans="2:34" x14ac:dyDescent="0.2">
      <c r="B6412" s="2">
        <f ca="1"/>
        <v>0.83357457970547122</v>
      </c>
      <c r="O6412" s="2">
        <f ca="1"/>
        <v>-0.24960534841552443</v>
      </c>
      <c r="X6412" s="2">
        <f ca="1"/>
        <v>54.749236915610517</v>
      </c>
      <c r="AG6412" s="2">
        <f ca="1"/>
        <v>0.39168394224760839</v>
      </c>
      <c r="AH6412" s="2" t="str">
        <f ca="1"/>
        <v>OK</v>
      </c>
    </row>
    <row r="6413" spans="2:34" x14ac:dyDescent="0.2">
      <c r="B6413" s="2">
        <f ca="1"/>
        <v>4.9243607470437434E-2</v>
      </c>
      <c r="O6413" s="2">
        <f ca="1"/>
        <v>-0.49963547188797741</v>
      </c>
      <c r="X6413" s="2">
        <f ca="1"/>
        <v>63.743048671840057</v>
      </c>
      <c r="AG6413" s="2">
        <f ca="1"/>
        <v>0.89375673913044684</v>
      </c>
      <c r="AH6413" s="2" t="str">
        <f ca="1"/>
        <v>Bad</v>
      </c>
    </row>
    <row r="6414" spans="2:34" x14ac:dyDescent="0.2">
      <c r="B6414" s="2">
        <f ca="1"/>
        <v>0.69110254600384646</v>
      </c>
      <c r="O6414" s="2">
        <f ca="1"/>
        <v>2.1911819103623462</v>
      </c>
      <c r="X6414" s="2">
        <f ca="1"/>
        <v>38.57780785200984</v>
      </c>
      <c r="AG6414" s="2">
        <f ca="1"/>
        <v>0.63657876788850176</v>
      </c>
      <c r="AH6414" s="2" t="str">
        <f ca="1"/>
        <v>Bad</v>
      </c>
    </row>
    <row r="6415" spans="2:34" x14ac:dyDescent="0.2">
      <c r="B6415" s="2">
        <f ca="1"/>
        <v>0.41921608831192025</v>
      </c>
      <c r="O6415" s="2">
        <f ca="1"/>
        <v>0.51829225250291489</v>
      </c>
      <c r="X6415" s="2">
        <f ca="1"/>
        <v>40.637639341116881</v>
      </c>
      <c r="AG6415" s="2">
        <f ca="1"/>
        <v>0.55101022087191143</v>
      </c>
      <c r="AH6415" s="2" t="str">
        <f ca="1"/>
        <v>Bad</v>
      </c>
    </row>
    <row r="6416" spans="2:34" x14ac:dyDescent="0.2">
      <c r="B6416" s="2">
        <f ca="1"/>
        <v>0.90416085508500088</v>
      </c>
      <c r="O6416" s="2">
        <f ca="1"/>
        <v>0.2495979680910333</v>
      </c>
      <c r="X6416" s="2">
        <f ca="1"/>
        <v>63.219091233006111</v>
      </c>
      <c r="AG6416" s="2">
        <f ca="1"/>
        <v>0.21509188533697476</v>
      </c>
      <c r="AH6416" s="2" t="str">
        <f ca="1"/>
        <v>OK</v>
      </c>
    </row>
    <row r="6417" spans="2:34" x14ac:dyDescent="0.2">
      <c r="B6417" s="2">
        <f ca="1"/>
        <v>0.22997384923714659</v>
      </c>
      <c r="O6417" s="2">
        <f ca="1"/>
        <v>-1.3700643973382525</v>
      </c>
      <c r="X6417" s="2">
        <f ca="1"/>
        <v>27.114070074153016</v>
      </c>
      <c r="AG6417" s="2">
        <f ca="1"/>
        <v>7.1210492171065454E-3</v>
      </c>
      <c r="AH6417" s="2" t="str">
        <f ca="1"/>
        <v>Good</v>
      </c>
    </row>
    <row r="6418" spans="2:34" x14ac:dyDescent="0.2">
      <c r="B6418" s="2">
        <f ca="1"/>
        <v>0.32602561230668647</v>
      </c>
      <c r="O6418" s="2">
        <f ca="1"/>
        <v>0.92533197571956272</v>
      </c>
      <c r="X6418" s="2">
        <f ca="1"/>
        <v>44.999053774891607</v>
      </c>
      <c r="AG6418" s="2">
        <f ca="1"/>
        <v>0.76017209149739728</v>
      </c>
      <c r="AH6418" s="2" t="str">
        <f ca="1"/>
        <v>Bad</v>
      </c>
    </row>
    <row r="6419" spans="2:34" x14ac:dyDescent="0.2">
      <c r="B6419" s="2">
        <f ca="1"/>
        <v>0.69902727598151615</v>
      </c>
      <c r="O6419" s="2">
        <f ca="1"/>
        <v>3.5304573368520407E-2</v>
      </c>
      <c r="X6419" s="2">
        <f ca="1"/>
        <v>54.805271412722334</v>
      </c>
      <c r="AG6419" s="2">
        <f ca="1"/>
        <v>0.28418913973200377</v>
      </c>
      <c r="AH6419" s="2" t="str">
        <f ca="1"/>
        <v>OK</v>
      </c>
    </row>
    <row r="6420" spans="2:34" x14ac:dyDescent="0.2">
      <c r="B6420" s="2">
        <f ca="1"/>
        <v>0.39679193766286613</v>
      </c>
      <c r="O6420" s="2">
        <f ca="1"/>
        <v>-0.63090010515854167</v>
      </c>
      <c r="X6420" s="2">
        <f ca="1"/>
        <v>62.152399601750176</v>
      </c>
      <c r="AG6420" s="2">
        <f ca="1"/>
        <v>0.45719475636105789</v>
      </c>
      <c r="AH6420" s="2" t="str">
        <f ca="1"/>
        <v>Bad</v>
      </c>
    </row>
    <row r="6421" spans="2:34" x14ac:dyDescent="0.2">
      <c r="B6421" s="2">
        <f ca="1"/>
        <v>0.29379256031875012</v>
      </c>
      <c r="O6421" s="2">
        <f ca="1"/>
        <v>5.791429264075057E-2</v>
      </c>
      <c r="X6421" s="2">
        <f ca="1"/>
        <v>54.356251807141106</v>
      </c>
      <c r="AG6421" s="2">
        <f ca="1"/>
        <v>0.98944308440797957</v>
      </c>
      <c r="AH6421" s="2" t="str">
        <f ca="1"/>
        <v>Bad</v>
      </c>
    </row>
    <row r="6422" spans="2:34" x14ac:dyDescent="0.2">
      <c r="B6422" s="2">
        <f ca="1"/>
        <v>0.23642254744255164</v>
      </c>
      <c r="O6422" s="2">
        <f ca="1"/>
        <v>-1.0773659398740647</v>
      </c>
      <c r="X6422" s="2">
        <f ca="1"/>
        <v>55.208204878747942</v>
      </c>
      <c r="AG6422" s="2">
        <f ca="1"/>
        <v>3.467031549391475E-2</v>
      </c>
      <c r="AH6422" s="2" t="str">
        <f ca="1"/>
        <v>Good</v>
      </c>
    </row>
    <row r="6423" spans="2:34" x14ac:dyDescent="0.2">
      <c r="B6423" s="2">
        <f ca="1"/>
        <v>0.28374989306452503</v>
      </c>
      <c r="O6423" s="2">
        <f ca="1"/>
        <v>0.87355751455180719</v>
      </c>
      <c r="X6423" s="2">
        <f ca="1"/>
        <v>61.480676659392593</v>
      </c>
      <c r="AG6423" s="2">
        <f ca="1"/>
        <v>0.93752951250254712</v>
      </c>
      <c r="AH6423" s="2" t="str">
        <f ca="1"/>
        <v>Bad</v>
      </c>
    </row>
    <row r="6424" spans="2:34" x14ac:dyDescent="0.2">
      <c r="B6424" s="2">
        <f ca="1"/>
        <v>0.98205539480399251</v>
      </c>
      <c r="O6424" s="2">
        <f ca="1"/>
        <v>-0.52310807328261855</v>
      </c>
      <c r="X6424" s="2">
        <f ca="1"/>
        <v>47.141828189079718</v>
      </c>
      <c r="AG6424" s="2">
        <f ca="1"/>
        <v>0.90549972210780449</v>
      </c>
      <c r="AH6424" s="2" t="str">
        <f ca="1"/>
        <v>Bad</v>
      </c>
    </row>
    <row r="6425" spans="2:34" x14ac:dyDescent="0.2">
      <c r="B6425" s="2">
        <f ca="1"/>
        <v>0.60241018908764943</v>
      </c>
      <c r="O6425" s="2">
        <f ca="1"/>
        <v>-0.74792098384116923</v>
      </c>
      <c r="X6425" s="2">
        <f ca="1"/>
        <v>48.358943116915611</v>
      </c>
      <c r="AG6425" s="2">
        <f ca="1"/>
        <v>0.90559403221908963</v>
      </c>
      <c r="AH6425" s="2" t="str">
        <f ca="1"/>
        <v>Bad</v>
      </c>
    </row>
    <row r="6426" spans="2:34" x14ac:dyDescent="0.2">
      <c r="B6426" s="2">
        <f ca="1"/>
        <v>1.2456548807302736E-2</v>
      </c>
      <c r="O6426" s="2">
        <f ca="1"/>
        <v>8.9225615610834919E-2</v>
      </c>
      <c r="X6426" s="2">
        <f ca="1"/>
        <v>29.267113605364422</v>
      </c>
      <c r="AG6426" s="2">
        <f ca="1"/>
        <v>0.24558016802021876</v>
      </c>
      <c r="AH6426" s="2" t="str">
        <f ca="1"/>
        <v>OK</v>
      </c>
    </row>
    <row r="6427" spans="2:34" x14ac:dyDescent="0.2">
      <c r="B6427" s="2">
        <f ca="1"/>
        <v>0.66792098224136054</v>
      </c>
      <c r="O6427" s="2">
        <f ca="1"/>
        <v>1.6887625829375379</v>
      </c>
      <c r="X6427" s="2">
        <f ca="1"/>
        <v>51.306647702365787</v>
      </c>
      <c r="AG6427" s="2">
        <f ca="1"/>
        <v>0.46276802240016934</v>
      </c>
      <c r="AH6427" s="2" t="str">
        <f ca="1"/>
        <v>Bad</v>
      </c>
    </row>
    <row r="6428" spans="2:34" x14ac:dyDescent="0.2">
      <c r="B6428" s="2">
        <f ca="1"/>
        <v>0.60017418770390529</v>
      </c>
      <c r="O6428" s="2">
        <f ca="1"/>
        <v>0.98503096475472807</v>
      </c>
      <c r="X6428" s="2">
        <f ca="1"/>
        <v>47.210044201651598</v>
      </c>
      <c r="AG6428" s="2">
        <f ca="1"/>
        <v>0.36631616827342772</v>
      </c>
      <c r="AH6428" s="2" t="str">
        <f ca="1"/>
        <v>OK</v>
      </c>
    </row>
    <row r="6429" spans="2:34" x14ac:dyDescent="0.2">
      <c r="B6429" s="2">
        <f ca="1"/>
        <v>0.36149910455623124</v>
      </c>
      <c r="O6429" s="2">
        <f ca="1"/>
        <v>-1.9163684175941533</v>
      </c>
      <c r="X6429" s="2">
        <f ca="1"/>
        <v>64.035858806160547</v>
      </c>
      <c r="AG6429" s="2">
        <f ca="1"/>
        <v>0.45435949123590502</v>
      </c>
      <c r="AH6429" s="2" t="str">
        <f ca="1"/>
        <v>Bad</v>
      </c>
    </row>
    <row r="6430" spans="2:34" x14ac:dyDescent="0.2">
      <c r="B6430" s="2">
        <f ca="1"/>
        <v>2.0421424949784273E-2</v>
      </c>
      <c r="O6430" s="2">
        <f ca="1"/>
        <v>-0.7880337383296897</v>
      </c>
      <c r="X6430" s="2">
        <f ca="1"/>
        <v>70.320150968072412</v>
      </c>
      <c r="AG6430" s="2">
        <f ca="1"/>
        <v>7.2530595860859526E-2</v>
      </c>
      <c r="AH6430" s="2" t="str">
        <f ca="1"/>
        <v>OK</v>
      </c>
    </row>
    <row r="6431" spans="2:34" x14ac:dyDescent="0.2">
      <c r="B6431" s="2">
        <f ca="1"/>
        <v>0.86814643425783666</v>
      </c>
      <c r="O6431" s="2">
        <f ca="1"/>
        <v>1.1037385907915946</v>
      </c>
      <c r="X6431" s="2">
        <f ca="1"/>
        <v>41.15036510453551</v>
      </c>
      <c r="AG6431" s="2">
        <f ca="1"/>
        <v>0.74840701030185519</v>
      </c>
      <c r="AH6431" s="2" t="str">
        <f ca="1"/>
        <v>Bad</v>
      </c>
    </row>
    <row r="6432" spans="2:34" x14ac:dyDescent="0.2">
      <c r="B6432" s="2">
        <f ca="1"/>
        <v>0.94281588248027348</v>
      </c>
      <c r="O6432" s="2">
        <f ca="1"/>
        <v>-0.77287802042672771</v>
      </c>
      <c r="X6432" s="2">
        <f ca="1"/>
        <v>36.353804103268814</v>
      </c>
      <c r="AG6432" s="2">
        <f ca="1"/>
        <v>0.42096302296306876</v>
      </c>
      <c r="AH6432" s="2" t="str">
        <f ca="1"/>
        <v>Bad</v>
      </c>
    </row>
    <row r="6433" spans="2:34" x14ac:dyDescent="0.2">
      <c r="B6433" s="2">
        <f ca="1"/>
        <v>0.96325992481351475</v>
      </c>
      <c r="O6433" s="2">
        <f ca="1"/>
        <v>-0.40626901396363707</v>
      </c>
      <c r="X6433" s="2">
        <f ca="1"/>
        <v>41.645157047644581</v>
      </c>
      <c r="AG6433" s="2">
        <f ca="1"/>
        <v>0.3978799121062393</v>
      </c>
      <c r="AH6433" s="2" t="str">
        <f ca="1"/>
        <v>OK</v>
      </c>
    </row>
    <row r="6434" spans="2:34" x14ac:dyDescent="0.2">
      <c r="B6434" s="2">
        <f ca="1"/>
        <v>0.78838452443395135</v>
      </c>
      <c r="O6434" s="2">
        <f ca="1"/>
        <v>-0.30748374712930321</v>
      </c>
      <c r="X6434" s="2">
        <f ca="1"/>
        <v>59.403701144968991</v>
      </c>
      <c r="AG6434" s="2">
        <f ca="1"/>
        <v>0.71349305208357983</v>
      </c>
      <c r="AH6434" s="2" t="str">
        <f ca="1"/>
        <v>Bad</v>
      </c>
    </row>
    <row r="6435" spans="2:34" x14ac:dyDescent="0.2">
      <c r="B6435" s="2">
        <f ca="1"/>
        <v>0.40953547541147661</v>
      </c>
      <c r="O6435" s="2">
        <f ca="1"/>
        <v>-0.26923903340546285</v>
      </c>
      <c r="X6435" s="2">
        <f ca="1"/>
        <v>53.260110935019</v>
      </c>
      <c r="AG6435" s="2">
        <f ca="1"/>
        <v>0.64866140790280147</v>
      </c>
      <c r="AH6435" s="2" t="str">
        <f ca="1"/>
        <v>Bad</v>
      </c>
    </row>
    <row r="6436" spans="2:34" x14ac:dyDescent="0.2">
      <c r="B6436" s="2">
        <f ca="1"/>
        <v>0.41927422178428397</v>
      </c>
      <c r="O6436" s="2">
        <f ca="1"/>
        <v>-1.123565913949599</v>
      </c>
      <c r="X6436" s="2">
        <f ca="1"/>
        <v>45.531766575074435</v>
      </c>
      <c r="AG6436" s="2">
        <f ca="1"/>
        <v>0.89911593725573224</v>
      </c>
      <c r="AH6436" s="2" t="str">
        <f ca="1"/>
        <v>Bad</v>
      </c>
    </row>
    <row r="6437" spans="2:34" x14ac:dyDescent="0.2">
      <c r="B6437" s="2">
        <f ca="1"/>
        <v>0.22571538634174959</v>
      </c>
      <c r="O6437" s="2">
        <f ca="1"/>
        <v>-0.18814458405737164</v>
      </c>
      <c r="X6437" s="2">
        <f ca="1"/>
        <v>23.624677176430463</v>
      </c>
      <c r="AG6437" s="2">
        <f ca="1"/>
        <v>0.77095312010727191</v>
      </c>
      <c r="AH6437" s="2" t="str">
        <f ca="1"/>
        <v>Bad</v>
      </c>
    </row>
    <row r="6438" spans="2:34" x14ac:dyDescent="0.2">
      <c r="B6438" s="2">
        <f ca="1"/>
        <v>0.8851178629904759</v>
      </c>
      <c r="O6438" s="2">
        <f ca="1"/>
        <v>0.15722814275286856</v>
      </c>
      <c r="X6438" s="2">
        <f ca="1"/>
        <v>41.409031770433955</v>
      </c>
      <c r="AG6438" s="2">
        <f ca="1"/>
        <v>0.54020365252089442</v>
      </c>
      <c r="AH6438" s="2" t="str">
        <f ca="1"/>
        <v>Bad</v>
      </c>
    </row>
    <row r="6439" spans="2:34" x14ac:dyDescent="0.2">
      <c r="B6439" s="2">
        <f ca="1"/>
        <v>0.4955322866864984</v>
      </c>
      <c r="O6439" s="2">
        <f ca="1"/>
        <v>0.93814387849553016</v>
      </c>
      <c r="X6439" s="2">
        <f ca="1"/>
        <v>100.36602495159046</v>
      </c>
      <c r="AG6439" s="2">
        <f ca="1"/>
        <v>0.75986231260103954</v>
      </c>
      <c r="AH6439" s="2" t="str">
        <f ca="1"/>
        <v>Bad</v>
      </c>
    </row>
    <row r="6440" spans="2:34" x14ac:dyDescent="0.2">
      <c r="B6440" s="2">
        <f ca="1"/>
        <v>0.93668866502266424</v>
      </c>
      <c r="O6440" s="2">
        <f ca="1"/>
        <v>-0.39597090888470832</v>
      </c>
      <c r="X6440" s="2">
        <f ca="1"/>
        <v>35.393022392257024</v>
      </c>
      <c r="AG6440" s="2">
        <f ca="1"/>
        <v>0.66390699892129401</v>
      </c>
      <c r="AH6440" s="2" t="str">
        <f ca="1"/>
        <v>Bad</v>
      </c>
    </row>
    <row r="6441" spans="2:34" x14ac:dyDescent="0.2">
      <c r="B6441" s="2">
        <f ca="1"/>
        <v>0.85478562012813875</v>
      </c>
      <c r="O6441" s="2">
        <f ca="1"/>
        <v>-1.1078531232025004</v>
      </c>
      <c r="X6441" s="2">
        <f ca="1"/>
        <v>79.195119800612702</v>
      </c>
      <c r="AG6441" s="2">
        <f ca="1"/>
        <v>0.91065040987615098</v>
      </c>
      <c r="AH6441" s="2" t="str">
        <f ca="1"/>
        <v>Bad</v>
      </c>
    </row>
    <row r="6442" spans="2:34" x14ac:dyDescent="0.2">
      <c r="B6442" s="2">
        <f ca="1"/>
        <v>0.30222843182573023</v>
      </c>
      <c r="O6442" s="2">
        <f ca="1"/>
        <v>0.27816214986326021</v>
      </c>
      <c r="X6442" s="2">
        <f ca="1"/>
        <v>95.459061964535323</v>
      </c>
      <c r="AG6442" s="2">
        <f ca="1"/>
        <v>0.19018373977578107</v>
      </c>
      <c r="AH6442" s="2" t="str">
        <f ca="1"/>
        <v>OK</v>
      </c>
    </row>
    <row r="6443" spans="2:34" x14ac:dyDescent="0.2">
      <c r="B6443" s="2">
        <f ca="1"/>
        <v>0.20857416036660603</v>
      </c>
      <c r="O6443" s="2">
        <f ca="1"/>
        <v>1.5454376156011582</v>
      </c>
      <c r="X6443" s="2">
        <f ca="1"/>
        <v>37.979358601795397</v>
      </c>
      <c r="AG6443" s="2">
        <f ca="1"/>
        <v>0.50782209273021528</v>
      </c>
      <c r="AH6443" s="2" t="str">
        <f ca="1"/>
        <v>Bad</v>
      </c>
    </row>
    <row r="6444" spans="2:34" x14ac:dyDescent="0.2">
      <c r="B6444" s="2">
        <f ca="1"/>
        <v>0.98578586200335527</v>
      </c>
      <c r="O6444" s="2">
        <f ca="1"/>
        <v>-2.5142820392339744</v>
      </c>
      <c r="X6444" s="2">
        <f ca="1"/>
        <v>21.883424156260652</v>
      </c>
      <c r="AG6444" s="2">
        <f ca="1"/>
        <v>0.16914272867383584</v>
      </c>
      <c r="AH6444" s="2" t="str">
        <f ca="1"/>
        <v>OK</v>
      </c>
    </row>
    <row r="6445" spans="2:34" x14ac:dyDescent="0.2">
      <c r="B6445" s="2">
        <f ca="1"/>
        <v>0.43373022125258709</v>
      </c>
      <c r="O6445" s="2">
        <f ca="1"/>
        <v>-0.27874040215735896</v>
      </c>
      <c r="X6445" s="2">
        <f ca="1"/>
        <v>57.962343158974186</v>
      </c>
      <c r="AG6445" s="2">
        <f ca="1"/>
        <v>0.45582786498711947</v>
      </c>
      <c r="AH6445" s="2" t="str">
        <f ca="1"/>
        <v>Bad</v>
      </c>
    </row>
    <row r="6446" spans="2:34" x14ac:dyDescent="0.2">
      <c r="B6446" s="2">
        <f ca="1"/>
        <v>0.32531393892780835</v>
      </c>
      <c r="O6446" s="2">
        <f ca="1"/>
        <v>1.3838059932016635</v>
      </c>
      <c r="X6446" s="2">
        <f ca="1"/>
        <v>39.872640802957307</v>
      </c>
      <c r="AG6446" s="2">
        <f ca="1"/>
        <v>0.99597691406841626</v>
      </c>
      <c r="AH6446" s="2" t="str">
        <f ca="1"/>
        <v>Bad</v>
      </c>
    </row>
    <row r="6447" spans="2:34" x14ac:dyDescent="0.2">
      <c r="B6447" s="2">
        <f ca="1"/>
        <v>0.61713803097065822</v>
      </c>
      <c r="O6447" s="2">
        <f ca="1"/>
        <v>-0.53240856975472151</v>
      </c>
      <c r="X6447" s="2">
        <f ca="1"/>
        <v>39.178631228851728</v>
      </c>
      <c r="AG6447" s="2">
        <f ca="1"/>
        <v>0.44287887577916329</v>
      </c>
      <c r="AH6447" s="2" t="str">
        <f ca="1"/>
        <v>Bad</v>
      </c>
    </row>
    <row r="6448" spans="2:34" x14ac:dyDescent="0.2">
      <c r="B6448" s="2">
        <f ca="1"/>
        <v>0.79805655722626567</v>
      </c>
      <c r="O6448" s="2">
        <f ca="1"/>
        <v>-0.60456952746063963</v>
      </c>
      <c r="X6448" s="2">
        <f ca="1"/>
        <v>53.897232429295023</v>
      </c>
      <c r="AG6448" s="2">
        <f ca="1"/>
        <v>0.84749285241205219</v>
      </c>
      <c r="AH6448" s="2" t="str">
        <f ca="1"/>
        <v>Bad</v>
      </c>
    </row>
    <row r="6449" spans="2:34" x14ac:dyDescent="0.2">
      <c r="B6449" s="2">
        <f ca="1"/>
        <v>0.78099524706455581</v>
      </c>
      <c r="O6449" s="2">
        <f ca="1"/>
        <v>0.51197885636649432</v>
      </c>
      <c r="X6449" s="2">
        <f ca="1"/>
        <v>30.25848606097227</v>
      </c>
      <c r="AG6449" s="2">
        <f ca="1"/>
        <v>0.58470359616742251</v>
      </c>
      <c r="AH6449" s="2" t="str">
        <f ca="1"/>
        <v>Bad</v>
      </c>
    </row>
    <row r="6450" spans="2:34" x14ac:dyDescent="0.2">
      <c r="B6450" s="2">
        <f ca="1"/>
        <v>0.97361257093079567</v>
      </c>
      <c r="O6450" s="2">
        <f ca="1"/>
        <v>-0.2965437507862046</v>
      </c>
      <c r="X6450" s="2">
        <f ca="1"/>
        <v>29.098415944691553</v>
      </c>
      <c r="AG6450" s="2">
        <f ca="1"/>
        <v>0.15668121331261586</v>
      </c>
      <c r="AH6450" s="2" t="str">
        <f ca="1"/>
        <v>OK</v>
      </c>
    </row>
    <row r="6451" spans="2:34" x14ac:dyDescent="0.2">
      <c r="B6451" s="2">
        <f ca="1"/>
        <v>0.79606698934091202</v>
      </c>
      <c r="O6451" s="2">
        <f ca="1"/>
        <v>-0.28555556129841408</v>
      </c>
      <c r="X6451" s="2">
        <f ca="1"/>
        <v>44.427335848037188</v>
      </c>
      <c r="AG6451" s="2">
        <f ca="1"/>
        <v>0.82264381290011346</v>
      </c>
      <c r="AH6451" s="2" t="str">
        <f ca="1"/>
        <v>Bad</v>
      </c>
    </row>
    <row r="6452" spans="2:34" x14ac:dyDescent="0.2">
      <c r="B6452" s="2">
        <f ca="1"/>
        <v>1.3487748552565515E-2</v>
      </c>
      <c r="O6452" s="2">
        <f ca="1"/>
        <v>1.9455654382706824</v>
      </c>
      <c r="X6452" s="2">
        <f ca="1"/>
        <v>53.956272613585277</v>
      </c>
      <c r="AG6452" s="2">
        <f ca="1"/>
        <v>0.6945254345488534</v>
      </c>
      <c r="AH6452" s="2" t="str">
        <f ca="1"/>
        <v>Bad</v>
      </c>
    </row>
    <row r="6453" spans="2:34" x14ac:dyDescent="0.2">
      <c r="B6453" s="2">
        <f ca="1"/>
        <v>0.62350345094705495</v>
      </c>
      <c r="O6453" s="2">
        <f ca="1"/>
        <v>0.97231771982722348</v>
      </c>
      <c r="X6453" s="2">
        <f ca="1"/>
        <v>78.300260137186797</v>
      </c>
      <c r="AG6453" s="2">
        <f ca="1"/>
        <v>0.49564046133982598</v>
      </c>
      <c r="AH6453" s="2" t="str">
        <f ca="1"/>
        <v>Bad</v>
      </c>
    </row>
    <row r="6454" spans="2:34" x14ac:dyDescent="0.2">
      <c r="B6454" s="2">
        <f ca="1"/>
        <v>0.93716903436788224</v>
      </c>
      <c r="O6454" s="2">
        <f ca="1"/>
        <v>-0.49218161115116849</v>
      </c>
      <c r="X6454" s="2">
        <f ca="1"/>
        <v>50.231278178461729</v>
      </c>
      <c r="AG6454" s="2">
        <f ca="1"/>
        <v>0.77514170473273381</v>
      </c>
      <c r="AH6454" s="2" t="str">
        <f ca="1"/>
        <v>Bad</v>
      </c>
    </row>
    <row r="6455" spans="2:34" x14ac:dyDescent="0.2">
      <c r="B6455" s="2">
        <f ca="1"/>
        <v>2.6673242507664563E-2</v>
      </c>
      <c r="O6455" s="2">
        <f ca="1"/>
        <v>1.2086480671024609</v>
      </c>
      <c r="X6455" s="2">
        <f ca="1"/>
        <v>56.90706097621613</v>
      </c>
      <c r="AG6455" s="2">
        <f ca="1"/>
        <v>0.65273700720884476</v>
      </c>
      <c r="AH6455" s="2" t="str">
        <f ca="1"/>
        <v>Bad</v>
      </c>
    </row>
    <row r="6456" spans="2:34" x14ac:dyDescent="0.2">
      <c r="B6456" s="2">
        <f ca="1"/>
        <v>0.96229135909707497</v>
      </c>
      <c r="O6456" s="2">
        <f ca="1"/>
        <v>0.86879988041189038</v>
      </c>
      <c r="X6456" s="2">
        <f ca="1"/>
        <v>71.307810794866583</v>
      </c>
      <c r="AG6456" s="2">
        <f ca="1"/>
        <v>0.20978683499301898</v>
      </c>
      <c r="AH6456" s="2" t="str">
        <f ca="1"/>
        <v>OK</v>
      </c>
    </row>
    <row r="6457" spans="2:34" x14ac:dyDescent="0.2">
      <c r="B6457" s="2">
        <f ca="1"/>
        <v>0.36580156908730466</v>
      </c>
      <c r="O6457" s="2">
        <f ca="1"/>
        <v>-0.7424748543808376</v>
      </c>
      <c r="X6457" s="2">
        <f ca="1"/>
        <v>27.437082379141199</v>
      </c>
      <c r="AG6457" s="2">
        <f ca="1"/>
        <v>0.94029062597093716</v>
      </c>
      <c r="AH6457" s="2" t="str">
        <f ca="1"/>
        <v>Bad</v>
      </c>
    </row>
    <row r="6458" spans="2:34" x14ac:dyDescent="0.2">
      <c r="B6458" s="2">
        <f ca="1"/>
        <v>0.5726823041639646</v>
      </c>
      <c r="O6458" s="2">
        <f ca="1"/>
        <v>-1.5184105874937572</v>
      </c>
      <c r="X6458" s="2">
        <f ca="1"/>
        <v>49.152310093545701</v>
      </c>
      <c r="AG6458" s="2">
        <f ca="1"/>
        <v>0.61939982432639407</v>
      </c>
      <c r="AH6458" s="2" t="str">
        <f ca="1"/>
        <v>Bad</v>
      </c>
    </row>
    <row r="6459" spans="2:34" x14ac:dyDescent="0.2">
      <c r="B6459" s="2">
        <f ca="1"/>
        <v>0.48981275845758732</v>
      </c>
      <c r="O6459" s="2">
        <f ca="1"/>
        <v>0.18023443952412552</v>
      </c>
      <c r="X6459" s="2">
        <f ca="1"/>
        <v>57.441559770418991</v>
      </c>
      <c r="AG6459" s="2">
        <f ca="1"/>
        <v>0.46476599279998165</v>
      </c>
      <c r="AH6459" s="2" t="str">
        <f ca="1"/>
        <v>Bad</v>
      </c>
    </row>
    <row r="6460" spans="2:34" x14ac:dyDescent="0.2">
      <c r="B6460" s="2">
        <f ca="1"/>
        <v>0.27059176849292688</v>
      </c>
      <c r="O6460" s="2">
        <f ca="1"/>
        <v>2.4944846312242057</v>
      </c>
      <c r="X6460" s="2">
        <f ca="1"/>
        <v>76.140505705938764</v>
      </c>
      <c r="AG6460" s="2">
        <f ca="1"/>
        <v>0.71527671280698746</v>
      </c>
      <c r="AH6460" s="2" t="str">
        <f ca="1"/>
        <v>Bad</v>
      </c>
    </row>
    <row r="6461" spans="2:34" x14ac:dyDescent="0.2">
      <c r="B6461" s="2">
        <f ca="1"/>
        <v>0.30086022839901894</v>
      </c>
      <c r="O6461" s="2">
        <f ca="1"/>
        <v>-1.4797568737085309</v>
      </c>
      <c r="X6461" s="2">
        <f ca="1"/>
        <v>75.12534704393866</v>
      </c>
      <c r="AG6461" s="2">
        <f ca="1"/>
        <v>0.28304747397216268</v>
      </c>
      <c r="AH6461" s="2" t="str">
        <f ca="1"/>
        <v>OK</v>
      </c>
    </row>
    <row r="6462" spans="2:34" x14ac:dyDescent="0.2">
      <c r="B6462" s="2">
        <f ca="1"/>
        <v>0.58093148603321887</v>
      </c>
      <c r="O6462" s="2">
        <f ca="1"/>
        <v>-0.32750854891431447</v>
      </c>
      <c r="X6462" s="2">
        <f ca="1"/>
        <v>36.427073476742258</v>
      </c>
      <c r="AG6462" s="2">
        <f ca="1"/>
        <v>0.1496907921883075</v>
      </c>
      <c r="AH6462" s="2" t="str">
        <f ca="1"/>
        <v>OK</v>
      </c>
    </row>
    <row r="6463" spans="2:34" x14ac:dyDescent="0.2">
      <c r="B6463" s="2">
        <f ca="1"/>
        <v>0.82977289237625618</v>
      </c>
      <c r="O6463" s="2">
        <f ca="1"/>
        <v>0.49413849862851045</v>
      </c>
      <c r="X6463" s="2">
        <f ca="1"/>
        <v>45.054624100369047</v>
      </c>
      <c r="AG6463" s="2">
        <f ca="1"/>
        <v>0.21610798357372629</v>
      </c>
      <c r="AH6463" s="2" t="str">
        <f ca="1"/>
        <v>OK</v>
      </c>
    </row>
    <row r="6464" spans="2:34" x14ac:dyDescent="0.2">
      <c r="B6464" s="2">
        <f ca="1"/>
        <v>0.88412966130244031</v>
      </c>
      <c r="O6464" s="2">
        <f ca="1"/>
        <v>0.22795922938068375</v>
      </c>
      <c r="X6464" s="2">
        <f ca="1"/>
        <v>29.307801429466199</v>
      </c>
      <c r="AG6464" s="2">
        <f ca="1"/>
        <v>0.84326993714446408</v>
      </c>
      <c r="AH6464" s="2" t="str">
        <f ca="1"/>
        <v>Bad</v>
      </c>
    </row>
    <row r="6465" spans="2:34" x14ac:dyDescent="0.2">
      <c r="B6465" s="2">
        <f ca="1"/>
        <v>0.31763916953540239</v>
      </c>
      <c r="O6465" s="2">
        <f ca="1"/>
        <v>0.58015038605957481</v>
      </c>
      <c r="X6465" s="2">
        <f ca="1"/>
        <v>46.88713175623343</v>
      </c>
      <c r="AG6465" s="2">
        <f ca="1"/>
        <v>0.53977899419435871</v>
      </c>
      <c r="AH6465" s="2" t="str">
        <f ca="1"/>
        <v>Bad</v>
      </c>
    </row>
    <row r="6466" spans="2:34" x14ac:dyDescent="0.2">
      <c r="B6466" s="2">
        <f ca="1"/>
        <v>0.52223023461222717</v>
      </c>
      <c r="O6466" s="2">
        <f ca="1"/>
        <v>0.4694531508707312</v>
      </c>
      <c r="X6466" s="2">
        <f ca="1"/>
        <v>78.373897839953031</v>
      </c>
      <c r="AG6466" s="2">
        <f ca="1"/>
        <v>0.90469112879446678</v>
      </c>
      <c r="AH6466" s="2" t="str">
        <f ca="1"/>
        <v>Bad</v>
      </c>
    </row>
    <row r="6467" spans="2:34" x14ac:dyDescent="0.2">
      <c r="B6467" s="2">
        <f ca="1"/>
        <v>0.84288730961717206</v>
      </c>
      <c r="O6467" s="2">
        <f ca="1"/>
        <v>1.1888068256143514</v>
      </c>
      <c r="X6467" s="2">
        <f ca="1"/>
        <v>35.982860998090999</v>
      </c>
      <c r="AG6467" s="2">
        <f ca="1"/>
        <v>0.11331807561287333</v>
      </c>
      <c r="AH6467" s="2" t="str">
        <f ca="1"/>
        <v>OK</v>
      </c>
    </row>
    <row r="6468" spans="2:34" x14ac:dyDescent="0.2">
      <c r="B6468" s="2">
        <f ca="1"/>
        <v>0.11963401294983389</v>
      </c>
      <c r="O6468" s="2">
        <f ca="1"/>
        <v>-0.49438362179074208</v>
      </c>
      <c r="X6468" s="2">
        <f ca="1"/>
        <v>27.901826272826664</v>
      </c>
      <c r="AG6468" s="2">
        <f ca="1"/>
        <v>0.32055225736452453</v>
      </c>
      <c r="AH6468" s="2" t="str">
        <f ca="1"/>
        <v>OK</v>
      </c>
    </row>
    <row r="6469" spans="2:34" x14ac:dyDescent="0.2">
      <c r="B6469" s="2">
        <f ca="1"/>
        <v>0.42072326077378031</v>
      </c>
      <c r="O6469" s="2">
        <f ca="1"/>
        <v>-1.3718887540431446</v>
      </c>
      <c r="X6469" s="2">
        <f ca="1"/>
        <v>68.362695115351485</v>
      </c>
      <c r="AG6469" s="2">
        <f ca="1"/>
        <v>0.48083812405964976</v>
      </c>
      <c r="AH6469" s="2" t="str">
        <f ca="1"/>
        <v>Bad</v>
      </c>
    </row>
    <row r="6470" spans="2:34" x14ac:dyDescent="0.2">
      <c r="B6470" s="2">
        <f ca="1"/>
        <v>2.8024164158089615E-2</v>
      </c>
      <c r="O6470" s="2">
        <f ca="1"/>
        <v>1.0502045314406745</v>
      </c>
      <c r="X6470" s="2">
        <f ca="1"/>
        <v>93.268259113689254</v>
      </c>
      <c r="AG6470" s="2">
        <f ca="1"/>
        <v>0.22406996941941859</v>
      </c>
      <c r="AH6470" s="2" t="str">
        <f ca="1"/>
        <v>OK</v>
      </c>
    </row>
    <row r="6471" spans="2:34" x14ac:dyDescent="0.2">
      <c r="B6471" s="2">
        <f ca="1"/>
        <v>0.20946426809193319</v>
      </c>
      <c r="O6471" s="2">
        <f ca="1"/>
        <v>-0.88666115240017573</v>
      </c>
      <c r="X6471" s="2">
        <f ca="1"/>
        <v>51.46648518300475</v>
      </c>
      <c r="AG6471" s="2">
        <f ca="1"/>
        <v>0.18680951333328122</v>
      </c>
      <c r="AH6471" s="2" t="str">
        <f ca="1"/>
        <v>OK</v>
      </c>
    </row>
    <row r="6472" spans="2:34" x14ac:dyDescent="0.2">
      <c r="B6472" s="2">
        <f ca="1"/>
        <v>0.69935613726443235</v>
      </c>
      <c r="O6472" s="2">
        <f ca="1"/>
        <v>0.54502119559749707</v>
      </c>
      <c r="X6472" s="2">
        <f ca="1"/>
        <v>57.795624613185339</v>
      </c>
      <c r="AG6472" s="2">
        <f ca="1"/>
        <v>3.1737747948752393E-2</v>
      </c>
      <c r="AH6472" s="2" t="str">
        <f ca="1"/>
        <v>Good</v>
      </c>
    </row>
    <row r="6473" spans="2:34" x14ac:dyDescent="0.2">
      <c r="B6473" s="2">
        <f ca="1"/>
        <v>7.6140626493619301E-2</v>
      </c>
      <c r="O6473" s="2">
        <f ca="1"/>
        <v>-0.5218161235224158</v>
      </c>
      <c r="X6473" s="2">
        <f ca="1"/>
        <v>49.981161682451088</v>
      </c>
      <c r="AG6473" s="2">
        <f ca="1"/>
        <v>0.97131316338062268</v>
      </c>
      <c r="AH6473" s="2" t="str">
        <f ca="1"/>
        <v>Bad</v>
      </c>
    </row>
    <row r="6474" spans="2:34" x14ac:dyDescent="0.2">
      <c r="B6474" s="2">
        <f ca="1"/>
        <v>0.76249725601276741</v>
      </c>
      <c r="O6474" s="2">
        <f ca="1"/>
        <v>1.4327323224646475</v>
      </c>
      <c r="X6474" s="2">
        <f ca="1"/>
        <v>30.555938151449435</v>
      </c>
      <c r="AG6474" s="2">
        <f ca="1"/>
        <v>0.34819398484853159</v>
      </c>
      <c r="AH6474" s="2" t="str">
        <f ca="1"/>
        <v>OK</v>
      </c>
    </row>
    <row r="6475" spans="2:34" x14ac:dyDescent="0.2">
      <c r="B6475" s="2">
        <f ca="1"/>
        <v>0.29992064198000401</v>
      </c>
      <c r="O6475" s="2">
        <f ca="1"/>
        <v>-0.27717189031327233</v>
      </c>
      <c r="X6475" s="2">
        <f ca="1"/>
        <v>55.365259281712838</v>
      </c>
      <c r="AG6475" s="2">
        <f ca="1"/>
        <v>0.5909317178540936</v>
      </c>
      <c r="AH6475" s="2" t="str">
        <f ca="1"/>
        <v>Bad</v>
      </c>
    </row>
    <row r="6476" spans="2:34" x14ac:dyDescent="0.2">
      <c r="B6476" s="2">
        <f ca="1"/>
        <v>0.39656681117172532</v>
      </c>
      <c r="O6476" s="2">
        <f ca="1"/>
        <v>5.9125185190651096E-2</v>
      </c>
      <c r="X6476" s="2">
        <f ca="1"/>
        <v>30.944901238760053</v>
      </c>
      <c r="AG6476" s="2">
        <f ca="1"/>
        <v>0.43315132000378531</v>
      </c>
      <c r="AH6476" s="2" t="str">
        <f ca="1"/>
        <v>Bad</v>
      </c>
    </row>
    <row r="6477" spans="2:34" x14ac:dyDescent="0.2">
      <c r="B6477" s="2">
        <f ca="1"/>
        <v>0.13682972731581655</v>
      </c>
      <c r="O6477" s="2">
        <f ca="1"/>
        <v>-0.61051252603741257</v>
      </c>
      <c r="X6477" s="2">
        <f ca="1"/>
        <v>58.594188659873929</v>
      </c>
      <c r="AG6477" s="2">
        <f ca="1"/>
        <v>0.7135770893788167</v>
      </c>
      <c r="AH6477" s="2" t="str">
        <f ca="1"/>
        <v>Bad</v>
      </c>
    </row>
    <row r="6478" spans="2:34" x14ac:dyDescent="0.2">
      <c r="B6478" s="2">
        <f ca="1"/>
        <v>4.1890520134349352E-2</v>
      </c>
      <c r="O6478" s="2">
        <f ca="1"/>
        <v>0.22901885434281014</v>
      </c>
      <c r="X6478" s="2">
        <f ca="1"/>
        <v>64.102090421012917</v>
      </c>
      <c r="AG6478" s="2">
        <f ca="1"/>
        <v>0.83014732048651485</v>
      </c>
      <c r="AH6478" s="2" t="str">
        <f ca="1"/>
        <v>Bad</v>
      </c>
    </row>
    <row r="6479" spans="2:34" x14ac:dyDescent="0.2">
      <c r="B6479" s="2">
        <f ca="1"/>
        <v>0.16310427495073632</v>
      </c>
      <c r="O6479" s="2">
        <f ca="1"/>
        <v>0.86516852895221708</v>
      </c>
      <c r="X6479" s="2">
        <f ca="1"/>
        <v>73.033518850090985</v>
      </c>
      <c r="AG6479" s="2">
        <f ca="1"/>
        <v>0.63686687340883363</v>
      </c>
      <c r="AH6479" s="2" t="str">
        <f ca="1"/>
        <v>Bad</v>
      </c>
    </row>
    <row r="6480" spans="2:34" x14ac:dyDescent="0.2">
      <c r="B6480" s="2">
        <f ca="1"/>
        <v>0.61599380406614634</v>
      </c>
      <c r="O6480" s="2">
        <f ca="1"/>
        <v>0.10364833582142967</v>
      </c>
      <c r="X6480" s="2">
        <f ca="1"/>
        <v>82.816399275241238</v>
      </c>
      <c r="AG6480" s="2">
        <f ca="1"/>
        <v>0.54686653122567819</v>
      </c>
      <c r="AH6480" s="2" t="str">
        <f ca="1"/>
        <v>Bad</v>
      </c>
    </row>
    <row r="6481" spans="2:34" x14ac:dyDescent="0.2">
      <c r="B6481" s="2">
        <f ca="1"/>
        <v>0.29299265359905013</v>
      </c>
      <c r="O6481" s="2">
        <f ca="1"/>
        <v>-1.9309156488093819</v>
      </c>
      <c r="X6481" s="2">
        <f ca="1"/>
        <v>53.075806456248287</v>
      </c>
      <c r="AG6481" s="2">
        <f ca="1"/>
        <v>0.49489424967508167</v>
      </c>
      <c r="AH6481" s="2" t="str">
        <f ca="1"/>
        <v>Bad</v>
      </c>
    </row>
    <row r="6482" spans="2:34" x14ac:dyDescent="0.2">
      <c r="B6482" s="2">
        <f ca="1"/>
        <v>0.81974257477796386</v>
      </c>
      <c r="O6482" s="2">
        <f ca="1"/>
        <v>-2.1863024313916788</v>
      </c>
      <c r="X6482" s="2">
        <f ca="1"/>
        <v>50.746602109493153</v>
      </c>
      <c r="AG6482" s="2">
        <f ca="1"/>
        <v>0.3740338659557898</v>
      </c>
      <c r="AH6482" s="2" t="str">
        <f ca="1"/>
        <v>OK</v>
      </c>
    </row>
    <row r="6483" spans="2:34" x14ac:dyDescent="0.2">
      <c r="B6483" s="2">
        <f ca="1"/>
        <v>0.62036466211793861</v>
      </c>
      <c r="O6483" s="2">
        <f ca="1"/>
        <v>1.7429809213348491</v>
      </c>
      <c r="X6483" s="2">
        <f ca="1"/>
        <v>54.856324506985118</v>
      </c>
      <c r="AG6483" s="2">
        <f ca="1"/>
        <v>0.55446732158447354</v>
      </c>
      <c r="AH6483" s="2" t="str">
        <f ca="1"/>
        <v>Bad</v>
      </c>
    </row>
    <row r="6484" spans="2:34" x14ac:dyDescent="0.2">
      <c r="B6484" s="2">
        <f ca="1"/>
        <v>4.2054741259624162E-2</v>
      </c>
      <c r="O6484" s="2">
        <f ca="1"/>
        <v>-0.7113101554105592</v>
      </c>
      <c r="X6484" s="2">
        <f ca="1"/>
        <v>63.716468482541401</v>
      </c>
      <c r="AG6484" s="2">
        <f ca="1"/>
        <v>1.2219284008733622E-2</v>
      </c>
      <c r="AH6484" s="2" t="str">
        <f ca="1"/>
        <v>Good</v>
      </c>
    </row>
    <row r="6485" spans="2:34" x14ac:dyDescent="0.2">
      <c r="B6485" s="2">
        <f ca="1"/>
        <v>0.90054897933950917</v>
      </c>
      <c r="O6485" s="2">
        <f ca="1"/>
        <v>0.42235940751225237</v>
      </c>
      <c r="X6485" s="2">
        <f ca="1"/>
        <v>74.42931902989146</v>
      </c>
      <c r="AG6485" s="2">
        <f ca="1"/>
        <v>0.95276998908102373</v>
      </c>
      <c r="AH6485" s="2" t="str">
        <f ca="1"/>
        <v>Bad</v>
      </c>
    </row>
    <row r="6486" spans="2:34" x14ac:dyDescent="0.2">
      <c r="B6486" s="2">
        <f ca="1"/>
        <v>0.39227196861336266</v>
      </c>
      <c r="O6486" s="2">
        <f ca="1"/>
        <v>-0.56981094370583496</v>
      </c>
      <c r="X6486" s="2">
        <f ca="1"/>
        <v>54.364538444043077</v>
      </c>
      <c r="AG6486" s="2">
        <f ca="1"/>
        <v>0.28342873878144914</v>
      </c>
      <c r="AH6486" s="2" t="str">
        <f ca="1"/>
        <v>OK</v>
      </c>
    </row>
    <row r="6487" spans="2:34" x14ac:dyDescent="0.2">
      <c r="B6487" s="2">
        <f ca="1"/>
        <v>0.4885773790953698</v>
      </c>
      <c r="O6487" s="2">
        <f ca="1"/>
        <v>0.58279619143378736</v>
      </c>
      <c r="X6487" s="2">
        <f ca="1"/>
        <v>76.479441771345179</v>
      </c>
      <c r="AG6487" s="2">
        <f ca="1"/>
        <v>0.2085793847887889</v>
      </c>
      <c r="AH6487" s="2" t="str">
        <f ca="1"/>
        <v>OK</v>
      </c>
    </row>
    <row r="6488" spans="2:34" x14ac:dyDescent="0.2">
      <c r="B6488" s="2">
        <f ca="1"/>
        <v>0.80692636191978173</v>
      </c>
      <c r="O6488" s="2">
        <f ca="1"/>
        <v>0.66024718734257526</v>
      </c>
      <c r="X6488" s="2">
        <f ca="1"/>
        <v>34.223528951146008</v>
      </c>
      <c r="AG6488" s="2">
        <f ca="1"/>
        <v>0.17129949505659647</v>
      </c>
      <c r="AH6488" s="2" t="str">
        <f ca="1"/>
        <v>OK</v>
      </c>
    </row>
    <row r="6489" spans="2:34" x14ac:dyDescent="0.2">
      <c r="B6489" s="2">
        <f ca="1"/>
        <v>0.13522113213507336</v>
      </c>
      <c r="O6489" s="2">
        <f ca="1"/>
        <v>-6.5552317569756297E-2</v>
      </c>
      <c r="X6489" s="2">
        <f ca="1"/>
        <v>56.719162981811863</v>
      </c>
      <c r="AG6489" s="2">
        <f ca="1"/>
        <v>0.37780484981322671</v>
      </c>
      <c r="AH6489" s="2" t="str">
        <f ca="1"/>
        <v>OK</v>
      </c>
    </row>
    <row r="6490" spans="2:34" x14ac:dyDescent="0.2">
      <c r="B6490" s="2">
        <f ca="1"/>
        <v>0.5576948505573871</v>
      </c>
      <c r="O6490" s="2">
        <f ca="1"/>
        <v>0.56744092629692222</v>
      </c>
      <c r="X6490" s="2">
        <f ca="1"/>
        <v>32.619982698185609</v>
      </c>
      <c r="AG6490" s="2">
        <f ca="1"/>
        <v>8.0158464223856196E-3</v>
      </c>
      <c r="AH6490" s="2" t="str">
        <f ca="1"/>
        <v>Good</v>
      </c>
    </row>
    <row r="6491" spans="2:34" x14ac:dyDescent="0.2">
      <c r="B6491" s="2">
        <f ca="1"/>
        <v>0.79086359486340174</v>
      </c>
      <c r="O6491" s="2">
        <f ca="1"/>
        <v>-1.4427874631903008</v>
      </c>
      <c r="X6491" s="2">
        <f ca="1"/>
        <v>51.680179084143575</v>
      </c>
      <c r="AG6491" s="2">
        <f ca="1"/>
        <v>1.2982354904782278E-2</v>
      </c>
      <c r="AH6491" s="2" t="str">
        <f ca="1"/>
        <v>Good</v>
      </c>
    </row>
    <row r="6492" spans="2:34" x14ac:dyDescent="0.2">
      <c r="B6492" s="2">
        <f ca="1"/>
        <v>0.60101934517031053</v>
      </c>
      <c r="O6492" s="2">
        <f ca="1"/>
        <v>-1.1432136089912563</v>
      </c>
      <c r="X6492" s="2">
        <f ca="1"/>
        <v>28.400502990740883</v>
      </c>
      <c r="AG6492" s="2">
        <f ca="1"/>
        <v>0.30066616115892608</v>
      </c>
      <c r="AH6492" s="2" t="str">
        <f ca="1"/>
        <v>OK</v>
      </c>
    </row>
    <row r="6493" spans="2:34" x14ac:dyDescent="0.2">
      <c r="B6493" s="2">
        <f ca="1"/>
        <v>0.53464044042428638</v>
      </c>
      <c r="O6493" s="2">
        <f ca="1"/>
        <v>-3.7628681080399053E-2</v>
      </c>
      <c r="X6493" s="2">
        <f ca="1"/>
        <v>43.534530195264416</v>
      </c>
      <c r="AG6493" s="2">
        <f ca="1"/>
        <v>0.91027418749166422</v>
      </c>
      <c r="AH6493" s="2" t="str">
        <f ca="1"/>
        <v>Bad</v>
      </c>
    </row>
    <row r="6494" spans="2:34" x14ac:dyDescent="0.2">
      <c r="B6494" s="2">
        <f ca="1"/>
        <v>0.25433563965343109</v>
      </c>
      <c r="O6494" s="2">
        <f ca="1"/>
        <v>0.58903733011388226</v>
      </c>
      <c r="X6494" s="2">
        <f ca="1"/>
        <v>70.645005039987396</v>
      </c>
      <c r="AG6494" s="2">
        <f ca="1"/>
        <v>0.32857176671197719</v>
      </c>
      <c r="AH6494" s="2" t="str">
        <f ca="1"/>
        <v>OK</v>
      </c>
    </row>
    <row r="6495" spans="2:34" x14ac:dyDescent="0.2">
      <c r="B6495" s="2">
        <f ca="1"/>
        <v>0.76818887105334532</v>
      </c>
      <c r="O6495" s="2">
        <f ca="1"/>
        <v>-1.0020198489596048</v>
      </c>
      <c r="X6495" s="2">
        <f ca="1"/>
        <v>39.831950183952479</v>
      </c>
      <c r="AG6495" s="2">
        <f ca="1"/>
        <v>0.77103389593503535</v>
      </c>
      <c r="AH6495" s="2" t="str">
        <f ca="1"/>
        <v>Bad</v>
      </c>
    </row>
    <row r="6496" spans="2:34" x14ac:dyDescent="0.2">
      <c r="B6496" s="2">
        <f ca="1"/>
        <v>0.63781434185808084</v>
      </c>
      <c r="O6496" s="2">
        <f ca="1"/>
        <v>0.16714271614009732</v>
      </c>
      <c r="X6496" s="2">
        <f ca="1"/>
        <v>25.512178084120649</v>
      </c>
      <c r="AG6496" s="2">
        <f ca="1"/>
        <v>3.0780061209570997E-2</v>
      </c>
      <c r="AH6496" s="2" t="str">
        <f ca="1"/>
        <v>Good</v>
      </c>
    </row>
    <row r="6497" spans="2:34" x14ac:dyDescent="0.2">
      <c r="B6497" s="2">
        <f ca="1"/>
        <v>0.83869314742513867</v>
      </c>
      <c r="O6497" s="2">
        <f ca="1"/>
        <v>0.23553880060188453</v>
      </c>
      <c r="X6497" s="2">
        <f ca="1"/>
        <v>45.120858991248348</v>
      </c>
      <c r="AG6497" s="2">
        <f ca="1"/>
        <v>0.6295315378887314</v>
      </c>
      <c r="AH6497" s="2" t="str">
        <f ca="1"/>
        <v>Bad</v>
      </c>
    </row>
    <row r="6498" spans="2:34" x14ac:dyDescent="0.2">
      <c r="B6498" s="2">
        <f ca="1"/>
        <v>0.26446132462520766</v>
      </c>
      <c r="O6498" s="2">
        <f ca="1"/>
        <v>-1.3252334384793214</v>
      </c>
      <c r="X6498" s="2">
        <f ca="1"/>
        <v>82.8715959716545</v>
      </c>
      <c r="AG6498" s="2">
        <f ca="1"/>
        <v>0.86558077448569071</v>
      </c>
      <c r="AH6498" s="2" t="str">
        <f ca="1"/>
        <v>Bad</v>
      </c>
    </row>
    <row r="6499" spans="2:34" x14ac:dyDescent="0.2">
      <c r="B6499" s="2">
        <f ca="1"/>
        <v>0.57487607757620007</v>
      </c>
      <c r="O6499" s="2">
        <f ca="1"/>
        <v>0.4885779594733265</v>
      </c>
      <c r="X6499" s="2">
        <f ca="1"/>
        <v>26.44939216737275</v>
      </c>
      <c r="AG6499" s="2">
        <f ca="1"/>
        <v>0.93164302376997044</v>
      </c>
      <c r="AH6499" s="2" t="str">
        <f ca="1"/>
        <v>Bad</v>
      </c>
    </row>
    <row r="6500" spans="2:34" x14ac:dyDescent="0.2">
      <c r="B6500" s="2">
        <f ca="1"/>
        <v>0.9679915362945386</v>
      </c>
      <c r="O6500" s="2">
        <f ca="1"/>
        <v>-0.37775674632820205</v>
      </c>
      <c r="X6500" s="2">
        <f ca="1"/>
        <v>34.85414480304425</v>
      </c>
      <c r="AG6500" s="2">
        <f ca="1"/>
        <v>3.199240275578763E-2</v>
      </c>
      <c r="AH6500" s="2" t="str">
        <f ca="1"/>
        <v>Good</v>
      </c>
    </row>
    <row r="6501" spans="2:34" x14ac:dyDescent="0.2">
      <c r="B6501" s="2">
        <f ca="1"/>
        <v>0.16021480811717348</v>
      </c>
      <c r="O6501" s="2">
        <f ca="1"/>
        <v>0.145525583136214</v>
      </c>
      <c r="X6501" s="2">
        <f ca="1"/>
        <v>34.85500215690297</v>
      </c>
      <c r="AG6501" s="2">
        <f ca="1"/>
        <v>0.81822865645504073</v>
      </c>
      <c r="AH6501" s="2" t="str">
        <f ca="1"/>
        <v>Bad</v>
      </c>
    </row>
    <row r="6502" spans="2:34" x14ac:dyDescent="0.2">
      <c r="B6502" s="2">
        <f ca="1"/>
        <v>0.78269874535752493</v>
      </c>
      <c r="O6502" s="2">
        <f ca="1"/>
        <v>-0.92884078500467104</v>
      </c>
      <c r="X6502" s="2">
        <f ca="1"/>
        <v>42.193909686059534</v>
      </c>
      <c r="AG6502" s="2">
        <f ca="1"/>
        <v>0.36730696818565045</v>
      </c>
      <c r="AH6502" s="2" t="str">
        <f ca="1"/>
        <v>OK</v>
      </c>
    </row>
    <row r="6503" spans="2:34" x14ac:dyDescent="0.2">
      <c r="B6503" s="2">
        <f ca="1"/>
        <v>0.86786698002855212</v>
      </c>
      <c r="O6503" s="2">
        <f ca="1"/>
        <v>-0.87475602839951327</v>
      </c>
      <c r="X6503" s="2">
        <f ca="1"/>
        <v>64.256575894900138</v>
      </c>
      <c r="AG6503" s="2">
        <f ca="1"/>
        <v>3.3995219467004789E-2</v>
      </c>
      <c r="AH6503" s="2" t="str">
        <f ca="1"/>
        <v>Good</v>
      </c>
    </row>
    <row r="6504" spans="2:34" x14ac:dyDescent="0.2">
      <c r="B6504" s="2">
        <f ca="1"/>
        <v>0.56101582696031627</v>
      </c>
      <c r="O6504" s="2">
        <f ca="1"/>
        <v>-0.36727159853949909</v>
      </c>
      <c r="X6504" s="2">
        <f ca="1"/>
        <v>63.152810052063444</v>
      </c>
      <c r="AG6504" s="2">
        <f ca="1"/>
        <v>0.6892693155661489</v>
      </c>
      <c r="AH6504" s="2" t="str">
        <f ca="1"/>
        <v>Bad</v>
      </c>
    </row>
    <row r="6505" spans="2:34" x14ac:dyDescent="0.2">
      <c r="B6505" s="2">
        <f ca="1"/>
        <v>0.55053059140700844</v>
      </c>
      <c r="O6505" s="2">
        <f ca="1"/>
        <v>-0.84214550742416683</v>
      </c>
      <c r="X6505" s="2">
        <f ca="1"/>
        <v>36.678747486075885</v>
      </c>
      <c r="AG6505" s="2">
        <f ca="1"/>
        <v>0.1864586491770388</v>
      </c>
      <c r="AH6505" s="2" t="str">
        <f ca="1"/>
        <v>OK</v>
      </c>
    </row>
    <row r="6506" spans="2:34" x14ac:dyDescent="0.2">
      <c r="B6506" s="2">
        <f ca="1"/>
        <v>0.5510179128593391</v>
      </c>
      <c r="O6506" s="2">
        <f ca="1"/>
        <v>0.61687783265172613</v>
      </c>
      <c r="X6506" s="2">
        <f ca="1"/>
        <v>29.915182996174931</v>
      </c>
      <c r="AG6506" s="2">
        <f ca="1"/>
        <v>2.4661204415825644E-2</v>
      </c>
      <c r="AH6506" s="2" t="str">
        <f ca="1"/>
        <v>Good</v>
      </c>
    </row>
    <row r="6507" spans="2:34" x14ac:dyDescent="0.2">
      <c r="B6507" s="2">
        <f ca="1"/>
        <v>0.25183635627771062</v>
      </c>
      <c r="O6507" s="2">
        <f ca="1"/>
        <v>-0.26772827112070691</v>
      </c>
      <c r="X6507" s="2">
        <f ca="1"/>
        <v>52.21996738232329</v>
      </c>
      <c r="AG6507" s="2">
        <f ca="1"/>
        <v>0.61660911726585099</v>
      </c>
      <c r="AH6507" s="2" t="str">
        <f ca="1"/>
        <v>Bad</v>
      </c>
    </row>
    <row r="6508" spans="2:34" x14ac:dyDescent="0.2">
      <c r="B6508" s="2">
        <f ca="1"/>
        <v>0.5077871548170303</v>
      </c>
      <c r="O6508" s="2">
        <f ca="1"/>
        <v>0.45870429830715592</v>
      </c>
      <c r="X6508" s="2">
        <f ca="1"/>
        <v>36.703097397426696</v>
      </c>
      <c r="AG6508" s="2">
        <f ca="1"/>
        <v>0.62181216873245226</v>
      </c>
      <c r="AH6508" s="2" t="str">
        <f ca="1"/>
        <v>Bad</v>
      </c>
    </row>
    <row r="6509" spans="2:34" x14ac:dyDescent="0.2">
      <c r="B6509" s="2">
        <f ca="1"/>
        <v>0.45035493524348902</v>
      </c>
      <c r="O6509" s="2">
        <f ca="1"/>
        <v>-0.42005305343645682</v>
      </c>
      <c r="X6509" s="2">
        <f ca="1"/>
        <v>31.786241349071872</v>
      </c>
      <c r="AG6509" s="2">
        <f ca="1"/>
        <v>0.81967138924340377</v>
      </c>
      <c r="AH6509" s="2" t="str">
        <f ca="1"/>
        <v>Bad</v>
      </c>
    </row>
    <row r="6510" spans="2:34" x14ac:dyDescent="0.2">
      <c r="B6510" s="2">
        <f ca="1"/>
        <v>0.11845223999532317</v>
      </c>
      <c r="O6510" s="2">
        <f ca="1"/>
        <v>-1.8894976596016546</v>
      </c>
      <c r="X6510" s="2">
        <f ca="1"/>
        <v>57.988901970343115</v>
      </c>
      <c r="AG6510" s="2">
        <f ca="1"/>
        <v>0.41218906395367627</v>
      </c>
      <c r="AH6510" s="2" t="str">
        <f ca="1"/>
        <v>Bad</v>
      </c>
    </row>
    <row r="6511" spans="2:34" x14ac:dyDescent="0.2">
      <c r="B6511" s="2">
        <f ca="1"/>
        <v>8.2497865533280867E-2</v>
      </c>
      <c r="O6511" s="2">
        <f ca="1"/>
        <v>0.49986781218143939</v>
      </c>
      <c r="X6511" s="2">
        <f ca="1"/>
        <v>80.511764193547052</v>
      </c>
      <c r="AG6511" s="2">
        <f ca="1"/>
        <v>0.6568791008846766</v>
      </c>
      <c r="AH6511" s="2" t="str">
        <f ca="1"/>
        <v>Bad</v>
      </c>
    </row>
    <row r="6512" spans="2:34" x14ac:dyDescent="0.2">
      <c r="B6512" s="2">
        <f ca="1"/>
        <v>0.18982198823893559</v>
      </c>
      <c r="O6512" s="2">
        <f ca="1"/>
        <v>0.11490497402579046</v>
      </c>
      <c r="X6512" s="2">
        <f ca="1"/>
        <v>45.423068733509744</v>
      </c>
      <c r="AG6512" s="2">
        <f ca="1"/>
        <v>0.66022259362080526</v>
      </c>
      <c r="AH6512" s="2" t="str">
        <f ca="1"/>
        <v>Bad</v>
      </c>
    </row>
    <row r="6513" spans="2:34" x14ac:dyDescent="0.2">
      <c r="B6513" s="2">
        <f ca="1"/>
        <v>0.2429437088617088</v>
      </c>
      <c r="O6513" s="2">
        <f ca="1"/>
        <v>0.49305821000561473</v>
      </c>
      <c r="X6513" s="2">
        <f ca="1"/>
        <v>65.182755437184625</v>
      </c>
      <c r="AG6513" s="2">
        <f ca="1"/>
        <v>0.64461441174240064</v>
      </c>
      <c r="AH6513" s="2" t="str">
        <f ca="1"/>
        <v>Bad</v>
      </c>
    </row>
    <row r="6514" spans="2:34" x14ac:dyDescent="0.2">
      <c r="B6514" s="2">
        <f ca="1"/>
        <v>2.2199902354887557E-2</v>
      </c>
      <c r="O6514" s="2">
        <f ca="1"/>
        <v>-1.2075403605194184</v>
      </c>
      <c r="X6514" s="2">
        <f ca="1"/>
        <v>47.373882609217191</v>
      </c>
      <c r="AG6514" s="2">
        <f ca="1"/>
        <v>0.20537145975750093</v>
      </c>
      <c r="AH6514" s="2" t="str">
        <f ca="1"/>
        <v>OK</v>
      </c>
    </row>
    <row r="6515" spans="2:34" x14ac:dyDescent="0.2">
      <c r="B6515" s="2">
        <f ca="1"/>
        <v>0.26710959713064542</v>
      </c>
      <c r="O6515" s="2">
        <f ca="1"/>
        <v>1.2608157539110791</v>
      </c>
      <c r="X6515" s="2">
        <f ca="1"/>
        <v>26.380434097870612</v>
      </c>
      <c r="AG6515" s="2">
        <f ca="1"/>
        <v>0.44474716121007973</v>
      </c>
      <c r="AH6515" s="2" t="str">
        <f ca="1"/>
        <v>Bad</v>
      </c>
    </row>
    <row r="6516" spans="2:34" x14ac:dyDescent="0.2">
      <c r="B6516" s="2">
        <f ca="1"/>
        <v>0.85728530886940368</v>
      </c>
      <c r="O6516" s="2">
        <f ca="1"/>
        <v>1.493980744863932</v>
      </c>
      <c r="X6516" s="2">
        <f ca="1"/>
        <v>71.775183072790426</v>
      </c>
      <c r="AG6516" s="2">
        <f ca="1"/>
        <v>0.84026656020869384</v>
      </c>
      <c r="AH6516" s="2" t="str">
        <f ca="1"/>
        <v>Bad</v>
      </c>
    </row>
    <row r="6517" spans="2:34" x14ac:dyDescent="0.2">
      <c r="B6517" s="2">
        <f ca="1"/>
        <v>0.98253992554928682</v>
      </c>
      <c r="O6517" s="2">
        <f ca="1"/>
        <v>-0.69743190017736612</v>
      </c>
      <c r="X6517" s="2">
        <f ca="1"/>
        <v>47.131301794566653</v>
      </c>
      <c r="AG6517" s="2">
        <f ca="1"/>
        <v>0.96119881726959733</v>
      </c>
      <c r="AH6517" s="2" t="str">
        <f ca="1"/>
        <v>Bad</v>
      </c>
    </row>
    <row r="6518" spans="2:34" x14ac:dyDescent="0.2">
      <c r="B6518" s="2">
        <f ca="1"/>
        <v>0.38907205406463441</v>
      </c>
      <c r="O6518" s="2">
        <f ca="1"/>
        <v>-0.86665892576958758</v>
      </c>
      <c r="X6518" s="2">
        <f ca="1"/>
        <v>40.611798623238911</v>
      </c>
      <c r="AG6518" s="2">
        <f ca="1"/>
        <v>0.21085279708319926</v>
      </c>
      <c r="AH6518" s="2" t="str">
        <f ca="1"/>
        <v>OK</v>
      </c>
    </row>
    <row r="6519" spans="2:34" x14ac:dyDescent="0.2">
      <c r="B6519" s="2">
        <f ca="1"/>
        <v>0.28903748382134342</v>
      </c>
      <c r="O6519" s="2">
        <f ca="1"/>
        <v>-0.57852878570868516</v>
      </c>
      <c r="X6519" s="2">
        <f ca="1"/>
        <v>34.309637597564723</v>
      </c>
      <c r="AG6519" s="2">
        <f ca="1"/>
        <v>0.90876989318148493</v>
      </c>
      <c r="AH6519" s="2" t="str">
        <f ca="1"/>
        <v>Bad</v>
      </c>
    </row>
    <row r="6520" spans="2:34" x14ac:dyDescent="0.2">
      <c r="B6520" s="2">
        <f ca="1"/>
        <v>0.54326545013351968</v>
      </c>
      <c r="O6520" s="2">
        <f ca="1"/>
        <v>0.974146074809493</v>
      </c>
      <c r="X6520" s="2">
        <f ca="1"/>
        <v>123.72631778903512</v>
      </c>
      <c r="AG6520" s="2">
        <f ca="1"/>
        <v>0.63903669470637525</v>
      </c>
      <c r="AH6520" s="2" t="str">
        <f ca="1"/>
        <v>Bad</v>
      </c>
    </row>
    <row r="6521" spans="2:34" x14ac:dyDescent="0.2">
      <c r="B6521" s="2">
        <f ca="1"/>
        <v>0.95762654528484914</v>
      </c>
      <c r="O6521" s="2">
        <f ca="1"/>
        <v>0.20731600352474283</v>
      </c>
      <c r="X6521" s="2">
        <f ca="1"/>
        <v>30.402882757517013</v>
      </c>
      <c r="AG6521" s="2">
        <f ca="1"/>
        <v>0.89016708602997263</v>
      </c>
      <c r="AH6521" s="2" t="str">
        <f ca="1"/>
        <v>Bad</v>
      </c>
    </row>
    <row r="6522" spans="2:34" x14ac:dyDescent="0.2">
      <c r="B6522" s="2">
        <f ca="1"/>
        <v>0.41328134777671566</v>
      </c>
      <c r="O6522" s="2">
        <f ca="1"/>
        <v>-1.2555204253229184</v>
      </c>
      <c r="X6522" s="2">
        <f ca="1"/>
        <v>93.031579475340351</v>
      </c>
      <c r="AG6522" s="2">
        <f ca="1"/>
        <v>0.10959782152504283</v>
      </c>
      <c r="AH6522" s="2" t="str">
        <f ca="1"/>
        <v>OK</v>
      </c>
    </row>
    <row r="6523" spans="2:34" x14ac:dyDescent="0.2">
      <c r="B6523" s="2">
        <f ca="1"/>
        <v>0.97297649416795418</v>
      </c>
      <c r="O6523" s="2">
        <f ca="1"/>
        <v>1.2872211027729121</v>
      </c>
      <c r="X6523" s="2">
        <f ca="1"/>
        <v>73.409194825541292</v>
      </c>
      <c r="AG6523" s="2">
        <f ca="1"/>
        <v>0.50462490291142981</v>
      </c>
      <c r="AH6523" s="2" t="str">
        <f ca="1"/>
        <v>Bad</v>
      </c>
    </row>
    <row r="6524" spans="2:34" x14ac:dyDescent="0.2">
      <c r="B6524" s="2">
        <f ca="1"/>
        <v>0.80197896093155663</v>
      </c>
      <c r="O6524" s="2">
        <f ca="1"/>
        <v>0.92315101776030539</v>
      </c>
      <c r="X6524" s="2">
        <f ca="1"/>
        <v>107.93026790616706</v>
      </c>
      <c r="AG6524" s="2">
        <f ca="1"/>
        <v>0.8379090407515617</v>
      </c>
      <c r="AH6524" s="2" t="str">
        <f ca="1"/>
        <v>Bad</v>
      </c>
    </row>
    <row r="6525" spans="2:34" x14ac:dyDescent="0.2">
      <c r="B6525" s="2">
        <f ca="1"/>
        <v>0.66773328157401179</v>
      </c>
      <c r="O6525" s="2">
        <f ca="1"/>
        <v>0.95452040347859213</v>
      </c>
      <c r="X6525" s="2">
        <f ca="1"/>
        <v>58.176275142876541</v>
      </c>
      <c r="AG6525" s="2">
        <f ca="1"/>
        <v>0.61578627028077215</v>
      </c>
      <c r="AH6525" s="2" t="str">
        <f ca="1"/>
        <v>Bad</v>
      </c>
    </row>
    <row r="6526" spans="2:34" x14ac:dyDescent="0.2">
      <c r="B6526" s="2">
        <f ca="1"/>
        <v>0.43708299950207685</v>
      </c>
      <c r="O6526" s="2">
        <f ca="1"/>
        <v>-0.294130299573507</v>
      </c>
      <c r="X6526" s="2">
        <f ca="1"/>
        <v>32.203643968510526</v>
      </c>
      <c r="AG6526" s="2">
        <f ca="1"/>
        <v>0.63267878362548968</v>
      </c>
      <c r="AH6526" s="2" t="str">
        <f ca="1"/>
        <v>Bad</v>
      </c>
    </row>
    <row r="6527" spans="2:34" x14ac:dyDescent="0.2">
      <c r="B6527" s="2">
        <f ca="1"/>
        <v>0.81259248919782423</v>
      </c>
      <c r="O6527" s="2">
        <f ca="1"/>
        <v>1.8060445948882986</v>
      </c>
      <c r="X6527" s="2">
        <f ca="1"/>
        <v>47.520099252384298</v>
      </c>
      <c r="AG6527" s="2">
        <f ca="1"/>
        <v>0.68844482186006317</v>
      </c>
      <c r="AH6527" s="2" t="str">
        <f ca="1"/>
        <v>Bad</v>
      </c>
    </row>
    <row r="6528" spans="2:34" x14ac:dyDescent="0.2">
      <c r="B6528" s="2">
        <f ca="1"/>
        <v>0.8652929775392193</v>
      </c>
      <c r="O6528" s="2">
        <f ca="1"/>
        <v>-0.46746497844239604</v>
      </c>
      <c r="X6528" s="2">
        <f ca="1"/>
        <v>40.580546196685845</v>
      </c>
      <c r="AG6528" s="2">
        <f ca="1"/>
        <v>0.23032671429634211</v>
      </c>
      <c r="AH6528" s="2" t="str">
        <f ca="1"/>
        <v>OK</v>
      </c>
    </row>
    <row r="6529" spans="2:34" x14ac:dyDescent="0.2">
      <c r="B6529" s="2">
        <f ca="1"/>
        <v>0.99533771008708194</v>
      </c>
      <c r="O6529" s="2">
        <f ca="1"/>
        <v>0.26879488905118187</v>
      </c>
      <c r="X6529" s="2">
        <f ca="1"/>
        <v>39.738985000722259</v>
      </c>
      <c r="AG6529" s="2">
        <f ca="1"/>
        <v>0.1104399338061044</v>
      </c>
      <c r="AH6529" s="2" t="str">
        <f ca="1"/>
        <v>OK</v>
      </c>
    </row>
    <row r="6530" spans="2:34" x14ac:dyDescent="0.2">
      <c r="B6530" s="2">
        <f ca="1"/>
        <v>0.25175031016385807</v>
      </c>
      <c r="O6530" s="2">
        <f ca="1"/>
        <v>5.7928046276474285E-2</v>
      </c>
      <c r="X6530" s="2">
        <f ca="1"/>
        <v>31.224604350671076</v>
      </c>
      <c r="AG6530" s="2">
        <f ca="1"/>
        <v>0.9405803663744472</v>
      </c>
      <c r="AH6530" s="2" t="str">
        <f ca="1"/>
        <v>Bad</v>
      </c>
    </row>
    <row r="6531" spans="2:34" x14ac:dyDescent="0.2">
      <c r="B6531" s="2">
        <f ca="1"/>
        <v>0.98264998727439168</v>
      </c>
      <c r="O6531" s="2">
        <f ca="1"/>
        <v>-6.9296537469898195E-2</v>
      </c>
      <c r="X6531" s="2">
        <f ca="1"/>
        <v>45.491472357258154</v>
      </c>
      <c r="AG6531" s="2">
        <f ca="1"/>
        <v>0.16179945691630215</v>
      </c>
      <c r="AH6531" s="2" t="str">
        <f ca="1"/>
        <v>OK</v>
      </c>
    </row>
    <row r="6532" spans="2:34" x14ac:dyDescent="0.2">
      <c r="B6532" s="2">
        <f ca="1"/>
        <v>0.17097781381036237</v>
      </c>
      <c r="O6532" s="2">
        <f ca="1"/>
        <v>0.21623779032645582</v>
      </c>
      <c r="X6532" s="2">
        <f ca="1"/>
        <v>33.828014169034518</v>
      </c>
      <c r="AG6532" s="2">
        <f ca="1"/>
        <v>0.76538047540542031</v>
      </c>
      <c r="AH6532" s="2" t="str">
        <f ca="1"/>
        <v>Bad</v>
      </c>
    </row>
    <row r="6533" spans="2:34" x14ac:dyDescent="0.2">
      <c r="B6533" s="2">
        <f ca="1"/>
        <v>4.0889611728036623E-3</v>
      </c>
      <c r="O6533" s="2">
        <f ca="1"/>
        <v>1.6488023092416817</v>
      </c>
      <c r="X6533" s="2">
        <f ca="1"/>
        <v>25.736021792542687</v>
      </c>
      <c r="AG6533" s="2">
        <f ca="1"/>
        <v>0.38105946394371504</v>
      </c>
      <c r="AH6533" s="2" t="str">
        <f ca="1"/>
        <v>OK</v>
      </c>
    </row>
    <row r="6534" spans="2:34" x14ac:dyDescent="0.2">
      <c r="B6534" s="2">
        <f ca="1"/>
        <v>7.8250383755975816E-2</v>
      </c>
      <c r="O6534" s="2">
        <f ca="1"/>
        <v>6.6966735360989502E-2</v>
      </c>
      <c r="X6534" s="2">
        <f ca="1"/>
        <v>78.908897627929619</v>
      </c>
      <c r="AG6534" s="2">
        <f ca="1"/>
        <v>0.82794036838687624</v>
      </c>
      <c r="AH6534" s="2" t="str">
        <f ca="1"/>
        <v>Bad</v>
      </c>
    </row>
    <row r="6535" spans="2:34" x14ac:dyDescent="0.2">
      <c r="B6535" s="2">
        <f ca="1"/>
        <v>0.32733856625778124</v>
      </c>
      <c r="O6535" s="2">
        <f ca="1"/>
        <v>-0.74846099465145255</v>
      </c>
      <c r="X6535" s="2">
        <f ca="1"/>
        <v>54.024762481176126</v>
      </c>
      <c r="AG6535" s="2">
        <f ca="1"/>
        <v>0.21734423436500472</v>
      </c>
      <c r="AH6535" s="2" t="str">
        <f ca="1"/>
        <v>OK</v>
      </c>
    </row>
    <row r="6536" spans="2:34" x14ac:dyDescent="0.2">
      <c r="B6536" s="2">
        <f ca="1"/>
        <v>0.97149949277178904</v>
      </c>
      <c r="O6536" s="2">
        <f ca="1"/>
        <v>0.11921062112589338</v>
      </c>
      <c r="X6536" s="2">
        <f ca="1"/>
        <v>66.832169865862255</v>
      </c>
      <c r="AG6536" s="2">
        <f ca="1"/>
        <v>0.52559939760945773</v>
      </c>
      <c r="AH6536" s="2" t="str">
        <f ca="1"/>
        <v>Bad</v>
      </c>
    </row>
    <row r="6537" spans="2:34" x14ac:dyDescent="0.2">
      <c r="B6537" s="2">
        <f ca="1"/>
        <v>0.44849552848429131</v>
      </c>
      <c r="O6537" s="2">
        <f ca="1"/>
        <v>0.35547472152736959</v>
      </c>
      <c r="X6537" s="2">
        <f ca="1"/>
        <v>55.725659566048684</v>
      </c>
      <c r="AG6537" s="2">
        <f ca="1"/>
        <v>0.17947301808131622</v>
      </c>
      <c r="AH6537" s="2" t="str">
        <f ca="1"/>
        <v>OK</v>
      </c>
    </row>
    <row r="6538" spans="2:34" x14ac:dyDescent="0.2">
      <c r="B6538" s="2">
        <f ca="1"/>
        <v>0.2258251466221548</v>
      </c>
      <c r="O6538" s="2">
        <f ca="1"/>
        <v>-0.79193253947173203</v>
      </c>
      <c r="X6538" s="2">
        <f ca="1"/>
        <v>56.189124517638788</v>
      </c>
      <c r="AG6538" s="2">
        <f ca="1"/>
        <v>2.4730601107194161E-2</v>
      </c>
      <c r="AH6538" s="2" t="str">
        <f ca="1"/>
        <v>Good</v>
      </c>
    </row>
    <row r="6539" spans="2:34" x14ac:dyDescent="0.2">
      <c r="B6539" s="2">
        <f ca="1"/>
        <v>0.86689361950326793</v>
      </c>
      <c r="O6539" s="2">
        <f ca="1"/>
        <v>-1.736078026880149</v>
      </c>
      <c r="X6539" s="2">
        <f ca="1"/>
        <v>35.025227420409458</v>
      </c>
      <c r="AG6539" s="2">
        <f ca="1"/>
        <v>0.20513912320200811</v>
      </c>
      <c r="AH6539" s="2" t="str">
        <f ca="1"/>
        <v>OK</v>
      </c>
    </row>
    <row r="6540" spans="2:34" x14ac:dyDescent="0.2">
      <c r="B6540" s="2">
        <f ca="1"/>
        <v>0.80248644484867326</v>
      </c>
      <c r="O6540" s="2">
        <f ca="1"/>
        <v>0.3640850735958594</v>
      </c>
      <c r="X6540" s="2">
        <f ca="1"/>
        <v>51.847352302266884</v>
      </c>
      <c r="AG6540" s="2">
        <f ca="1"/>
        <v>0.78152260350556757</v>
      </c>
      <c r="AH6540" s="2" t="str">
        <f ca="1"/>
        <v>Bad</v>
      </c>
    </row>
    <row r="6541" spans="2:34" x14ac:dyDescent="0.2">
      <c r="B6541" s="2">
        <f ca="1"/>
        <v>0.2292384479695464</v>
      </c>
      <c r="O6541" s="2">
        <f ca="1"/>
        <v>2.3864844681275632</v>
      </c>
      <c r="X6541" s="2">
        <f ca="1"/>
        <v>35.319158413774389</v>
      </c>
      <c r="AG6541" s="2">
        <f ca="1"/>
        <v>0.73819358115872902</v>
      </c>
      <c r="AH6541" s="2" t="str">
        <f ca="1"/>
        <v>Bad</v>
      </c>
    </row>
    <row r="6542" spans="2:34" x14ac:dyDescent="0.2">
      <c r="B6542" s="2">
        <f ca="1"/>
        <v>0.97887275950192998</v>
      </c>
      <c r="O6542" s="2">
        <f ca="1"/>
        <v>-0.21057616414695149</v>
      </c>
      <c r="X6542" s="2">
        <f ca="1"/>
        <v>52.231978960211826</v>
      </c>
      <c r="AG6542" s="2">
        <f ca="1"/>
        <v>0.69004374155001957</v>
      </c>
      <c r="AH6542" s="2" t="str">
        <f ca="1"/>
        <v>Bad</v>
      </c>
    </row>
    <row r="6543" spans="2:34" x14ac:dyDescent="0.2">
      <c r="B6543" s="2">
        <f ca="1"/>
        <v>0.78438068372976555</v>
      </c>
      <c r="O6543" s="2">
        <f ca="1"/>
        <v>1.3331319049580237</v>
      </c>
      <c r="X6543" s="2">
        <f ca="1"/>
        <v>54.466215142788464</v>
      </c>
      <c r="AG6543" s="2">
        <f ca="1"/>
        <v>0.58061629620146049</v>
      </c>
      <c r="AH6543" s="2" t="str">
        <f ca="1"/>
        <v>Bad</v>
      </c>
    </row>
    <row r="6544" spans="2:34" x14ac:dyDescent="0.2">
      <c r="B6544" s="2">
        <f ca="1"/>
        <v>0.14451244441455402</v>
      </c>
      <c r="O6544" s="2">
        <f ca="1"/>
        <v>0.78620407287523209</v>
      </c>
      <c r="X6544" s="2">
        <f ca="1"/>
        <v>49.987953114301106</v>
      </c>
      <c r="AG6544" s="2">
        <f ca="1"/>
        <v>0.36717716450665505</v>
      </c>
      <c r="AH6544" s="2" t="str">
        <f ca="1"/>
        <v>OK</v>
      </c>
    </row>
    <row r="6545" spans="2:34" x14ac:dyDescent="0.2">
      <c r="B6545" s="2">
        <f ca="1"/>
        <v>0.76103582020438765</v>
      </c>
      <c r="O6545" s="2">
        <f ca="1"/>
        <v>-0.95907331915473737</v>
      </c>
      <c r="X6545" s="2">
        <f ca="1"/>
        <v>44.633804259294017</v>
      </c>
      <c r="AG6545" s="2">
        <f ca="1"/>
        <v>6.9458723471537365E-2</v>
      </c>
      <c r="AH6545" s="2" t="str">
        <f ca="1"/>
        <v>OK</v>
      </c>
    </row>
    <row r="6546" spans="2:34" x14ac:dyDescent="0.2">
      <c r="B6546" s="2">
        <f ca="1"/>
        <v>0.90782095057506673</v>
      </c>
      <c r="O6546" s="2">
        <f ca="1"/>
        <v>1.2281392887492029</v>
      </c>
      <c r="X6546" s="2">
        <f ca="1"/>
        <v>57.093364987743449</v>
      </c>
      <c r="AG6546" s="2">
        <f ca="1"/>
        <v>0.31048757120289094</v>
      </c>
      <c r="AH6546" s="2" t="str">
        <f ca="1"/>
        <v>OK</v>
      </c>
    </row>
    <row r="6547" spans="2:34" x14ac:dyDescent="0.2">
      <c r="B6547" s="2">
        <f ca="1"/>
        <v>0.8409794456873172</v>
      </c>
      <c r="O6547" s="2">
        <f ca="1"/>
        <v>0.71378046584658927</v>
      </c>
      <c r="X6547" s="2">
        <f ca="1"/>
        <v>28.917904647792913</v>
      </c>
      <c r="AG6547" s="2">
        <f ca="1"/>
        <v>0.438656453844396</v>
      </c>
      <c r="AH6547" s="2" t="str">
        <f ca="1"/>
        <v>Bad</v>
      </c>
    </row>
    <row r="6548" spans="2:34" x14ac:dyDescent="0.2">
      <c r="B6548" s="2">
        <f ca="1"/>
        <v>4.8604796280993678E-2</v>
      </c>
      <c r="O6548" s="2">
        <f ca="1"/>
        <v>-0.79414471276194376</v>
      </c>
      <c r="X6548" s="2">
        <f ca="1"/>
        <v>79.724831896923206</v>
      </c>
      <c r="AG6548" s="2">
        <f ca="1"/>
        <v>0.38116937657828087</v>
      </c>
      <c r="AH6548" s="2" t="str">
        <f ca="1"/>
        <v>OK</v>
      </c>
    </row>
    <row r="6549" spans="2:34" x14ac:dyDescent="0.2">
      <c r="B6549" s="2">
        <f ca="1"/>
        <v>1.5788768279485499E-2</v>
      </c>
      <c r="O6549" s="2">
        <f ca="1"/>
        <v>1.1544103123147296</v>
      </c>
      <c r="X6549" s="2">
        <f ca="1"/>
        <v>41.887366481322353</v>
      </c>
      <c r="AG6549" s="2">
        <f ca="1"/>
        <v>7.9992618656832271E-2</v>
      </c>
      <c r="AH6549" s="2" t="str">
        <f ca="1"/>
        <v>OK</v>
      </c>
    </row>
    <row r="6550" spans="2:34" x14ac:dyDescent="0.2">
      <c r="B6550" s="2">
        <f ca="1"/>
        <v>0.72618998290659409</v>
      </c>
      <c r="O6550" s="2">
        <f ca="1"/>
        <v>-0.6347047155516149</v>
      </c>
      <c r="X6550" s="2">
        <f ca="1"/>
        <v>51.708236081135162</v>
      </c>
      <c r="AG6550" s="2">
        <f ca="1"/>
        <v>0.48207245636973672</v>
      </c>
      <c r="AH6550" s="2" t="str">
        <f ca="1"/>
        <v>Bad</v>
      </c>
    </row>
    <row r="6551" spans="2:34" x14ac:dyDescent="0.2">
      <c r="B6551" s="2">
        <f ca="1"/>
        <v>0.81870463095729629</v>
      </c>
      <c r="O6551" s="2">
        <f ca="1"/>
        <v>-1.4016609959256658</v>
      </c>
      <c r="X6551" s="2">
        <f ca="1"/>
        <v>76.96883041498171</v>
      </c>
      <c r="AG6551" s="2">
        <f ca="1"/>
        <v>0.6524575390620746</v>
      </c>
      <c r="AH6551" s="2" t="str">
        <f ca="1"/>
        <v>Bad</v>
      </c>
    </row>
    <row r="6552" spans="2:34" x14ac:dyDescent="0.2">
      <c r="B6552" s="2">
        <f ca="1"/>
        <v>0.64167495894114168</v>
      </c>
      <c r="O6552" s="2">
        <f ca="1"/>
        <v>0.85710538901165156</v>
      </c>
      <c r="X6552" s="2">
        <f ca="1"/>
        <v>34.448835089176121</v>
      </c>
      <c r="AG6552" s="2">
        <f ca="1"/>
        <v>0.27892246472569893</v>
      </c>
      <c r="AH6552" s="2" t="str">
        <f ca="1"/>
        <v>OK</v>
      </c>
    </row>
    <row r="6553" spans="2:34" x14ac:dyDescent="0.2">
      <c r="B6553" s="2">
        <f ca="1"/>
        <v>1.3052672982922564E-2</v>
      </c>
      <c r="O6553" s="2">
        <f ca="1"/>
        <v>1.5703077229864528</v>
      </c>
      <c r="X6553" s="2">
        <f ca="1"/>
        <v>47.636003224570686</v>
      </c>
      <c r="AG6553" s="2">
        <f ca="1"/>
        <v>0.2870385686878778</v>
      </c>
      <c r="AH6553" s="2" t="str">
        <f ca="1"/>
        <v>OK</v>
      </c>
    </row>
    <row r="6554" spans="2:34" x14ac:dyDescent="0.2">
      <c r="B6554" s="2">
        <f ca="1"/>
        <v>0.4007449510543164</v>
      </c>
      <c r="O6554" s="2">
        <f ca="1"/>
        <v>-0.13894818167692477</v>
      </c>
      <c r="X6554" s="2">
        <f ca="1"/>
        <v>25.212125377963549</v>
      </c>
      <c r="AG6554" s="2">
        <f ca="1"/>
        <v>0.62878002142315848</v>
      </c>
      <c r="AH6554" s="2" t="str">
        <f ca="1"/>
        <v>Bad</v>
      </c>
    </row>
    <row r="6555" spans="2:34" x14ac:dyDescent="0.2">
      <c r="B6555" s="2">
        <f ca="1"/>
        <v>0.85344695905353452</v>
      </c>
      <c r="O6555" s="2">
        <f ca="1"/>
        <v>-0.30000147813250083</v>
      </c>
      <c r="X6555" s="2">
        <f ca="1"/>
        <v>52.993369654917558</v>
      </c>
      <c r="AG6555" s="2">
        <f ca="1"/>
        <v>0.9393665049997304</v>
      </c>
      <c r="AH6555" s="2" t="str">
        <f ca="1"/>
        <v>Bad</v>
      </c>
    </row>
    <row r="6556" spans="2:34" x14ac:dyDescent="0.2">
      <c r="B6556" s="2">
        <f ca="1"/>
        <v>0.25411768111320354</v>
      </c>
      <c r="O6556" s="2">
        <f ca="1"/>
        <v>0.34723845129920483</v>
      </c>
      <c r="X6556" s="2">
        <f ca="1"/>
        <v>47.48767717613169</v>
      </c>
      <c r="AG6556" s="2">
        <f ca="1"/>
        <v>0.75293739720528863</v>
      </c>
      <c r="AH6556" s="2" t="str">
        <f ca="1"/>
        <v>Bad</v>
      </c>
    </row>
    <row r="6557" spans="2:34" x14ac:dyDescent="0.2">
      <c r="B6557" s="2">
        <f ca="1"/>
        <v>2.5377758493023039E-2</v>
      </c>
      <c r="O6557" s="2">
        <f ca="1"/>
        <v>-0.31134300480526195</v>
      </c>
      <c r="X6557" s="2">
        <f ca="1"/>
        <v>72.063109141733975</v>
      </c>
      <c r="AG6557" s="2">
        <f ca="1"/>
        <v>0.20840620370202334</v>
      </c>
      <c r="AH6557" s="2" t="str">
        <f ca="1"/>
        <v>OK</v>
      </c>
    </row>
    <row r="6558" spans="2:34" x14ac:dyDescent="0.2">
      <c r="B6558" s="2">
        <f ca="1"/>
        <v>0.84817690206034668</v>
      </c>
      <c r="O6558" s="2">
        <f ca="1"/>
        <v>-1.0013635334629147</v>
      </c>
      <c r="X6558" s="2">
        <f ca="1"/>
        <v>23.085341535603039</v>
      </c>
      <c r="AG6558" s="2">
        <f ca="1"/>
        <v>0.82630734673070227</v>
      </c>
      <c r="AH6558" s="2" t="str">
        <f ca="1"/>
        <v>Bad</v>
      </c>
    </row>
    <row r="6559" spans="2:34" x14ac:dyDescent="0.2">
      <c r="B6559" s="2">
        <f ca="1"/>
        <v>0.97456131667481483</v>
      </c>
      <c r="O6559" s="2">
        <f ca="1"/>
        <v>0.41105341337341689</v>
      </c>
      <c r="X6559" s="2">
        <f ca="1"/>
        <v>48.234604900035201</v>
      </c>
      <c r="AG6559" s="2">
        <f ca="1"/>
        <v>0.73696154614997744</v>
      </c>
      <c r="AH6559" s="2" t="str">
        <f ca="1"/>
        <v>Bad</v>
      </c>
    </row>
    <row r="6560" spans="2:34" x14ac:dyDescent="0.2">
      <c r="B6560" s="2">
        <f ca="1"/>
        <v>0.69182533657256418</v>
      </c>
      <c r="O6560" s="2">
        <f ca="1"/>
        <v>-0.88345761736324957</v>
      </c>
      <c r="X6560" s="2">
        <f ca="1"/>
        <v>43.225561724334796</v>
      </c>
      <c r="AG6560" s="2">
        <f ca="1"/>
        <v>0.93066867256162644</v>
      </c>
      <c r="AH6560" s="2" t="str">
        <f ca="1"/>
        <v>Bad</v>
      </c>
    </row>
    <row r="6561" spans="2:34" x14ac:dyDescent="0.2">
      <c r="B6561" s="2">
        <f ca="1"/>
        <v>0.45917307487637471</v>
      </c>
      <c r="O6561" s="2">
        <f ca="1"/>
        <v>5.4166091069633639E-2</v>
      </c>
      <c r="X6561" s="2">
        <f ca="1"/>
        <v>48.618430822134769</v>
      </c>
      <c r="AG6561" s="2">
        <f ca="1"/>
        <v>0.94225568954297834</v>
      </c>
      <c r="AH6561" s="2" t="str">
        <f ca="1"/>
        <v>Bad</v>
      </c>
    </row>
    <row r="6562" spans="2:34" x14ac:dyDescent="0.2">
      <c r="B6562" s="2">
        <f ca="1"/>
        <v>0.62663991507776307</v>
      </c>
      <c r="O6562" s="2">
        <f ca="1"/>
        <v>-2.0344242176501761</v>
      </c>
      <c r="X6562" s="2">
        <f ca="1"/>
        <v>62.597516382924113</v>
      </c>
      <c r="AG6562" s="2">
        <f ca="1"/>
        <v>5.6677903836979127E-2</v>
      </c>
      <c r="AH6562" s="2" t="str">
        <f ca="1"/>
        <v>OK</v>
      </c>
    </row>
    <row r="6563" spans="2:34" x14ac:dyDescent="0.2">
      <c r="B6563" s="2">
        <f ca="1"/>
        <v>0.87485207843648127</v>
      </c>
      <c r="O6563" s="2">
        <f ca="1"/>
        <v>1.530650786240352</v>
      </c>
      <c r="X6563" s="2">
        <f ca="1"/>
        <v>27.676422223175734</v>
      </c>
      <c r="AG6563" s="2">
        <f ca="1"/>
        <v>0.32673568536670139</v>
      </c>
      <c r="AH6563" s="2" t="str">
        <f ca="1"/>
        <v>OK</v>
      </c>
    </row>
    <row r="6564" spans="2:34" x14ac:dyDescent="0.2">
      <c r="B6564" s="2">
        <f ca="1"/>
        <v>0.12302184802799987</v>
      </c>
      <c r="O6564" s="2">
        <f ca="1"/>
        <v>-0.14289354626871209</v>
      </c>
      <c r="X6564" s="2">
        <f ca="1"/>
        <v>73.352925021928883</v>
      </c>
      <c r="AG6564" s="2">
        <f ca="1"/>
        <v>0.41051467461659197</v>
      </c>
      <c r="AH6564" s="2" t="str">
        <f ca="1"/>
        <v>Bad</v>
      </c>
    </row>
    <row r="6565" spans="2:34" x14ac:dyDescent="0.2">
      <c r="B6565" s="2">
        <f ca="1"/>
        <v>0.24538960556042611</v>
      </c>
      <c r="O6565" s="2">
        <f ca="1"/>
        <v>-0.98966283530134702</v>
      </c>
      <c r="X6565" s="2">
        <f ca="1"/>
        <v>46.109936428516519</v>
      </c>
      <c r="AG6565" s="2">
        <f ca="1"/>
        <v>0.60352327454116561</v>
      </c>
      <c r="AH6565" s="2" t="str">
        <f ca="1"/>
        <v>Bad</v>
      </c>
    </row>
    <row r="6566" spans="2:34" x14ac:dyDescent="0.2">
      <c r="B6566" s="2">
        <f ca="1"/>
        <v>0.11083508958931487</v>
      </c>
      <c r="O6566" s="2">
        <f ca="1"/>
        <v>0.24084190315294035</v>
      </c>
      <c r="X6566" s="2">
        <f ca="1"/>
        <v>46.785342894086604</v>
      </c>
      <c r="AG6566" s="2">
        <f ca="1"/>
        <v>0.43193205067599694</v>
      </c>
      <c r="AH6566" s="2" t="str">
        <f ca="1"/>
        <v>Bad</v>
      </c>
    </row>
    <row r="6567" spans="2:34" x14ac:dyDescent="0.2">
      <c r="B6567" s="2">
        <f ca="1"/>
        <v>0.9378143681922082</v>
      </c>
      <c r="O6567" s="2">
        <f ca="1"/>
        <v>-0.59337261579256939</v>
      </c>
      <c r="X6567" s="2">
        <f ca="1"/>
        <v>72.448543742207406</v>
      </c>
      <c r="AG6567" s="2">
        <f ca="1"/>
        <v>0.68379455423072377</v>
      </c>
      <c r="AH6567" s="2" t="str">
        <f ca="1"/>
        <v>Bad</v>
      </c>
    </row>
    <row r="6568" spans="2:34" x14ac:dyDescent="0.2">
      <c r="B6568" s="2">
        <f ca="1"/>
        <v>0.86940952795317705</v>
      </c>
      <c r="O6568" s="2">
        <f ca="1"/>
        <v>-0.12540439896036779</v>
      </c>
      <c r="X6568" s="2">
        <f ca="1"/>
        <v>45.499657369848386</v>
      </c>
      <c r="AG6568" s="2">
        <f ca="1"/>
        <v>0.30632330765675841</v>
      </c>
      <c r="AH6568" s="2" t="str">
        <f ca="1"/>
        <v>OK</v>
      </c>
    </row>
    <row r="6569" spans="2:34" x14ac:dyDescent="0.2">
      <c r="B6569" s="2">
        <f ca="1"/>
        <v>0.28327622778193962</v>
      </c>
      <c r="O6569" s="2">
        <f ca="1"/>
        <v>-3.7134203582563155E-2</v>
      </c>
      <c r="X6569" s="2">
        <f ca="1"/>
        <v>42.96272589491744</v>
      </c>
      <c r="AG6569" s="2">
        <f ca="1"/>
        <v>8.4095222032956052E-2</v>
      </c>
      <c r="AH6569" s="2" t="str">
        <f ca="1"/>
        <v>OK</v>
      </c>
    </row>
    <row r="6570" spans="2:34" x14ac:dyDescent="0.2">
      <c r="B6570" s="2">
        <f ca="1"/>
        <v>0.31086259582058728</v>
      </c>
      <c r="O6570" s="2">
        <f ca="1"/>
        <v>0.36338761778326989</v>
      </c>
      <c r="X6570" s="2">
        <f ca="1"/>
        <v>50.356425915473295</v>
      </c>
      <c r="AG6570" s="2">
        <f ca="1"/>
        <v>0.8542891463326947</v>
      </c>
      <c r="AH6570" s="2" t="str">
        <f ca="1"/>
        <v>Bad</v>
      </c>
    </row>
    <row r="6571" spans="2:34" x14ac:dyDescent="0.2">
      <c r="B6571" s="2">
        <f ca="1"/>
        <v>0.79999692200072525</v>
      </c>
      <c r="O6571" s="2">
        <f ca="1"/>
        <v>0.45582669200194414</v>
      </c>
      <c r="X6571" s="2">
        <f ca="1"/>
        <v>34.929631851775433</v>
      </c>
      <c r="AG6571" s="2">
        <f ca="1"/>
        <v>0.8060558158532487</v>
      </c>
      <c r="AH6571" s="2" t="str">
        <f ca="1"/>
        <v>Bad</v>
      </c>
    </row>
    <row r="6572" spans="2:34" x14ac:dyDescent="0.2">
      <c r="B6572" s="2">
        <f ca="1"/>
        <v>0.6154807836216647</v>
      </c>
      <c r="O6572" s="2">
        <f ca="1"/>
        <v>0.16757025662133146</v>
      </c>
      <c r="X6572" s="2">
        <f ca="1"/>
        <v>80.726170269551162</v>
      </c>
      <c r="AG6572" s="2">
        <f ca="1"/>
        <v>0.58421830845507894</v>
      </c>
      <c r="AH6572" s="2" t="str">
        <f ca="1"/>
        <v>Bad</v>
      </c>
    </row>
    <row r="6573" spans="2:34" x14ac:dyDescent="0.2">
      <c r="B6573" s="2">
        <f ca="1"/>
        <v>0.64089272545589537</v>
      </c>
      <c r="O6573" s="2">
        <f ca="1"/>
        <v>0.16824181292152643</v>
      </c>
      <c r="X6573" s="2">
        <f ca="1"/>
        <v>57.373591299631784</v>
      </c>
      <c r="AG6573" s="2">
        <f ca="1"/>
        <v>0.90407015199401641</v>
      </c>
      <c r="AH6573" s="2" t="str">
        <f ca="1"/>
        <v>Bad</v>
      </c>
    </row>
    <row r="6574" spans="2:34" x14ac:dyDescent="0.2">
      <c r="B6574" s="2">
        <f ca="1"/>
        <v>0.47759848812742267</v>
      </c>
      <c r="O6574" s="2">
        <f ca="1"/>
        <v>-0.25667278322116543</v>
      </c>
      <c r="X6574" s="2">
        <f ca="1"/>
        <v>51.228885217038417</v>
      </c>
      <c r="AG6574" s="2">
        <f ca="1"/>
        <v>0.38524412226465166</v>
      </c>
      <c r="AH6574" s="2" t="str">
        <f ca="1"/>
        <v>OK</v>
      </c>
    </row>
    <row r="6575" spans="2:34" x14ac:dyDescent="0.2">
      <c r="B6575" s="2">
        <f ca="1"/>
        <v>7.16291185312945E-2</v>
      </c>
      <c r="O6575" s="2">
        <f ca="1"/>
        <v>-2.4266696537577834</v>
      </c>
      <c r="X6575" s="2">
        <f ca="1"/>
        <v>16.190971896533053</v>
      </c>
      <c r="AG6575" s="2">
        <f ca="1"/>
        <v>0.99899112676884694</v>
      </c>
      <c r="AH6575" s="2" t="str">
        <f ca="1"/>
        <v>Bad</v>
      </c>
    </row>
    <row r="6576" spans="2:34" x14ac:dyDescent="0.2">
      <c r="B6576" s="2">
        <f ca="1"/>
        <v>0.70469819396662703</v>
      </c>
      <c r="O6576" s="2">
        <f ca="1"/>
        <v>2.0817410557170324</v>
      </c>
      <c r="X6576" s="2">
        <f ca="1"/>
        <v>40.877366261163708</v>
      </c>
      <c r="AG6576" s="2">
        <f ca="1"/>
        <v>0.36098647596769617</v>
      </c>
      <c r="AH6576" s="2" t="str">
        <f ca="1"/>
        <v>OK</v>
      </c>
    </row>
    <row r="6577" spans="2:34" x14ac:dyDescent="0.2">
      <c r="B6577" s="2">
        <f ca="1"/>
        <v>0.39395448781207065</v>
      </c>
      <c r="O6577" s="2">
        <f ca="1"/>
        <v>0.29347613065041606</v>
      </c>
      <c r="X6577" s="2">
        <f ca="1"/>
        <v>20.109732837519815</v>
      </c>
      <c r="AG6577" s="2">
        <f ca="1"/>
        <v>0.94288616187526353</v>
      </c>
      <c r="AH6577" s="2" t="str">
        <f ca="1"/>
        <v>Bad</v>
      </c>
    </row>
    <row r="6578" spans="2:34" x14ac:dyDescent="0.2">
      <c r="B6578" s="2">
        <f ca="1"/>
        <v>0.67055931769221333</v>
      </c>
      <c r="O6578" s="2">
        <f ca="1"/>
        <v>0.69577368430148367</v>
      </c>
      <c r="X6578" s="2">
        <f ca="1"/>
        <v>53.506795123447972</v>
      </c>
      <c r="AG6578" s="2">
        <f ca="1"/>
        <v>0.90573076310819722</v>
      </c>
      <c r="AH6578" s="2" t="str">
        <f ca="1"/>
        <v>Bad</v>
      </c>
    </row>
    <row r="6579" spans="2:34" x14ac:dyDescent="0.2">
      <c r="B6579" s="2">
        <f ca="1"/>
        <v>5.0422065717930176E-2</v>
      </c>
      <c r="O6579" s="2">
        <f ca="1"/>
        <v>-6.1162638307328702E-2</v>
      </c>
      <c r="X6579" s="2">
        <f ca="1"/>
        <v>49.002302637550301</v>
      </c>
      <c r="AG6579" s="2">
        <f ca="1"/>
        <v>0.13954443852698817</v>
      </c>
      <c r="AH6579" s="2" t="str">
        <f ca="1"/>
        <v>OK</v>
      </c>
    </row>
    <row r="6580" spans="2:34" x14ac:dyDescent="0.2">
      <c r="B6580" s="2">
        <f ca="1"/>
        <v>0.66710568478352195</v>
      </c>
      <c r="O6580" s="2">
        <f ca="1"/>
        <v>-1.7322665391354073</v>
      </c>
      <c r="X6580" s="2">
        <f ca="1"/>
        <v>60.671060494672773</v>
      </c>
      <c r="AG6580" s="2">
        <f ca="1"/>
        <v>0.51601539138664188</v>
      </c>
      <c r="AH6580" s="2" t="str">
        <f ca="1"/>
        <v>Bad</v>
      </c>
    </row>
    <row r="6581" spans="2:34" x14ac:dyDescent="0.2">
      <c r="B6581" s="2">
        <f ca="1"/>
        <v>0.73642891050345027</v>
      </c>
      <c r="O6581" s="2">
        <f ca="1"/>
        <v>-0.50240572976468989</v>
      </c>
      <c r="X6581" s="2">
        <f ca="1"/>
        <v>32.338698448848675</v>
      </c>
      <c r="AG6581" s="2">
        <f ca="1"/>
        <v>0.30170299782375065</v>
      </c>
      <c r="AH6581" s="2" t="str">
        <f ca="1"/>
        <v>OK</v>
      </c>
    </row>
    <row r="6582" spans="2:34" x14ac:dyDescent="0.2">
      <c r="B6582" s="2">
        <f ca="1"/>
        <v>0.94330353580870252</v>
      </c>
      <c r="O6582" s="2">
        <f ca="1"/>
        <v>-0.66358241780050553</v>
      </c>
      <c r="X6582" s="2">
        <f ca="1"/>
        <v>48.050335927236453</v>
      </c>
      <c r="AG6582" s="2">
        <f ca="1"/>
        <v>0.85153744435614342</v>
      </c>
      <c r="AH6582" s="2" t="str">
        <f ca="1"/>
        <v>Bad</v>
      </c>
    </row>
    <row r="6583" spans="2:34" x14ac:dyDescent="0.2">
      <c r="B6583" s="2">
        <f ca="1"/>
        <v>0.2075623510434228</v>
      </c>
      <c r="O6583" s="2">
        <f ca="1"/>
        <v>1.4852237417995677</v>
      </c>
      <c r="X6583" s="2">
        <f ca="1"/>
        <v>42.527103159023419</v>
      </c>
      <c r="AG6583" s="2">
        <f ca="1"/>
        <v>0.58894450738876158</v>
      </c>
      <c r="AH6583" s="2" t="str">
        <f ca="1"/>
        <v>Bad</v>
      </c>
    </row>
    <row r="6584" spans="2:34" x14ac:dyDescent="0.2">
      <c r="B6584" s="2">
        <f ca="1"/>
        <v>0.74642468628192771</v>
      </c>
      <c r="O6584" s="2">
        <f ca="1"/>
        <v>-0.69512551928800903</v>
      </c>
      <c r="X6584" s="2">
        <f ca="1"/>
        <v>53.200029697320169</v>
      </c>
      <c r="AG6584" s="2">
        <f ca="1"/>
        <v>0.92720955676036798</v>
      </c>
      <c r="AH6584" s="2" t="str">
        <f ca="1"/>
        <v>Bad</v>
      </c>
    </row>
    <row r="6585" spans="2:34" x14ac:dyDescent="0.2">
      <c r="B6585" s="2">
        <f ca="1"/>
        <v>0.2825362345934308</v>
      </c>
      <c r="O6585" s="2">
        <f ca="1"/>
        <v>-0.56106290536253056</v>
      </c>
      <c r="X6585" s="2">
        <f ca="1"/>
        <v>34.217739823051666</v>
      </c>
      <c r="AG6585" s="2">
        <f ca="1"/>
        <v>0.12227729897960837</v>
      </c>
      <c r="AH6585" s="2" t="str">
        <f ca="1"/>
        <v>OK</v>
      </c>
    </row>
    <row r="6586" spans="2:34" x14ac:dyDescent="0.2">
      <c r="B6586" s="2">
        <f ca="1"/>
        <v>0.31241318802266416</v>
      </c>
      <c r="O6586" s="2">
        <f ca="1"/>
        <v>-1.2880785068771787</v>
      </c>
      <c r="X6586" s="2">
        <f ca="1"/>
        <v>65.376163726829873</v>
      </c>
      <c r="AG6586" s="2">
        <f ca="1"/>
        <v>0.25968013311882343</v>
      </c>
      <c r="AH6586" s="2" t="str">
        <f ca="1"/>
        <v>OK</v>
      </c>
    </row>
    <row r="6587" spans="2:34" x14ac:dyDescent="0.2">
      <c r="B6587" s="2">
        <f ca="1"/>
        <v>0.51583639072164544</v>
      </c>
      <c r="O6587" s="2">
        <f ca="1"/>
        <v>0.22897748189582082</v>
      </c>
      <c r="X6587" s="2">
        <f ca="1"/>
        <v>50.111802229286383</v>
      </c>
      <c r="AG6587" s="2">
        <f ca="1"/>
        <v>0.63214560765291261</v>
      </c>
      <c r="AH6587" s="2" t="str">
        <f ca="1"/>
        <v>Bad</v>
      </c>
    </row>
    <row r="6588" spans="2:34" x14ac:dyDescent="0.2">
      <c r="B6588" s="2">
        <f ca="1"/>
        <v>0.59024816208178899</v>
      </c>
      <c r="O6588" s="2">
        <f ca="1"/>
        <v>-0.95973381152137738</v>
      </c>
      <c r="X6588" s="2">
        <f ca="1"/>
        <v>27.150773867873855</v>
      </c>
      <c r="AG6588" s="2">
        <f ca="1"/>
        <v>0.80602996220930856</v>
      </c>
      <c r="AH6588" s="2" t="str">
        <f ca="1"/>
        <v>Bad</v>
      </c>
    </row>
    <row r="6589" spans="2:34" x14ac:dyDescent="0.2">
      <c r="B6589" s="2">
        <f ca="1"/>
        <v>0.76454705112934729</v>
      </c>
      <c r="O6589" s="2">
        <f ca="1"/>
        <v>1.0171512351035301</v>
      </c>
      <c r="X6589" s="2">
        <f ca="1"/>
        <v>56.653176877629392</v>
      </c>
      <c r="AG6589" s="2">
        <f ca="1"/>
        <v>0.42599423822455273</v>
      </c>
      <c r="AH6589" s="2" t="str">
        <f ca="1"/>
        <v>Bad</v>
      </c>
    </row>
    <row r="6590" spans="2:34" x14ac:dyDescent="0.2">
      <c r="B6590" s="2">
        <f ca="1"/>
        <v>0.46971907359885745</v>
      </c>
      <c r="O6590" s="2">
        <f ca="1"/>
        <v>1.2986568064242003</v>
      </c>
      <c r="X6590" s="2">
        <f ca="1"/>
        <v>46.899577341219768</v>
      </c>
      <c r="AG6590" s="2">
        <f ca="1"/>
        <v>3.2547345730243871E-2</v>
      </c>
      <c r="AH6590" s="2" t="str">
        <f ca="1"/>
        <v>Good</v>
      </c>
    </row>
    <row r="6591" spans="2:34" x14ac:dyDescent="0.2">
      <c r="B6591" s="2">
        <f ca="1"/>
        <v>3.7287305787576663E-3</v>
      </c>
      <c r="O6591" s="2">
        <f ca="1"/>
        <v>1.3216397421055015</v>
      </c>
      <c r="X6591" s="2">
        <f ca="1"/>
        <v>42.478633076057619</v>
      </c>
      <c r="AG6591" s="2">
        <f ca="1"/>
        <v>0.72527409621833172</v>
      </c>
      <c r="AH6591" s="2" t="str">
        <f ca="1"/>
        <v>Bad</v>
      </c>
    </row>
    <row r="6592" spans="2:34" x14ac:dyDescent="0.2">
      <c r="B6592" s="2">
        <f ca="1"/>
        <v>0.68809776619994012</v>
      </c>
      <c r="O6592" s="2">
        <f ca="1"/>
        <v>-0.64196714906360097</v>
      </c>
      <c r="X6592" s="2">
        <f ca="1"/>
        <v>44.056507185842861</v>
      </c>
      <c r="AG6592" s="2">
        <f ca="1"/>
        <v>0.12264920897087395</v>
      </c>
      <c r="AH6592" s="2" t="str">
        <f ca="1"/>
        <v>OK</v>
      </c>
    </row>
    <row r="6593" spans="2:34" x14ac:dyDescent="0.2">
      <c r="B6593" s="2">
        <f ca="1"/>
        <v>0.43104766033263409</v>
      </c>
      <c r="O6593" s="2">
        <f ca="1"/>
        <v>0.16479340578427154</v>
      </c>
      <c r="X6593" s="2">
        <f ca="1"/>
        <v>55.179385261132985</v>
      </c>
      <c r="AG6593" s="2">
        <f ca="1"/>
        <v>0.54634443501546448</v>
      </c>
      <c r="AH6593" s="2" t="str">
        <f ca="1"/>
        <v>Bad</v>
      </c>
    </row>
    <row r="6594" spans="2:34" x14ac:dyDescent="0.2">
      <c r="B6594" s="2">
        <f ca="1"/>
        <v>0.14769007956425417</v>
      </c>
      <c r="O6594" s="2">
        <f ca="1"/>
        <v>0.20950623269419158</v>
      </c>
      <c r="X6594" s="2">
        <f ca="1"/>
        <v>79.503930614822764</v>
      </c>
      <c r="AG6594" s="2">
        <f ca="1"/>
        <v>0.13997231492304563</v>
      </c>
      <c r="AH6594" s="2" t="str">
        <f ca="1"/>
        <v>OK</v>
      </c>
    </row>
    <row r="6595" spans="2:34" x14ac:dyDescent="0.2">
      <c r="B6595" s="2">
        <f ca="1"/>
        <v>9.334103669309024E-2</v>
      </c>
      <c r="O6595" s="2">
        <f ca="1"/>
        <v>0.35107429369406751</v>
      </c>
      <c r="X6595" s="2">
        <f ca="1"/>
        <v>54.374274706454088</v>
      </c>
      <c r="AG6595" s="2">
        <f ca="1"/>
        <v>8.2069592085902698E-3</v>
      </c>
      <c r="AH6595" s="2" t="str">
        <f ca="1"/>
        <v>Good</v>
      </c>
    </row>
    <row r="6596" spans="2:34" x14ac:dyDescent="0.2">
      <c r="B6596" s="2">
        <f ca="1"/>
        <v>0.52559745934759761</v>
      </c>
      <c r="O6596" s="2">
        <f ca="1"/>
        <v>0.12584232454724445</v>
      </c>
      <c r="X6596" s="2">
        <f ca="1"/>
        <v>22.543692005865875</v>
      </c>
      <c r="AG6596" s="2">
        <f ca="1"/>
        <v>0.1350508012026379</v>
      </c>
      <c r="AH6596" s="2" t="str">
        <f ca="1"/>
        <v>OK</v>
      </c>
    </row>
    <row r="6597" spans="2:34" x14ac:dyDescent="0.2">
      <c r="B6597" s="2">
        <f ca="1"/>
        <v>0.28843698886528046</v>
      </c>
      <c r="O6597" s="2">
        <f ca="1"/>
        <v>0.12604782426997635</v>
      </c>
      <c r="X6597" s="2">
        <f ca="1"/>
        <v>42.506286704971657</v>
      </c>
      <c r="AG6597" s="2">
        <f ca="1"/>
        <v>0.87092335198140902</v>
      </c>
      <c r="AH6597" s="2" t="str">
        <f ca="1"/>
        <v>Bad</v>
      </c>
    </row>
    <row r="6598" spans="2:34" x14ac:dyDescent="0.2">
      <c r="B6598" s="2">
        <f ca="1"/>
        <v>0.38399868313182384</v>
      </c>
      <c r="O6598" s="2">
        <f ca="1"/>
        <v>0.20778029600715095</v>
      </c>
      <c r="X6598" s="2">
        <f ca="1"/>
        <v>50.289615093691864</v>
      </c>
      <c r="AG6598" s="2">
        <f ca="1"/>
        <v>0.65174463671705229</v>
      </c>
      <c r="AH6598" s="2" t="str">
        <f ca="1"/>
        <v>Bad</v>
      </c>
    </row>
    <row r="6599" spans="2:34" x14ac:dyDescent="0.2">
      <c r="B6599" s="2">
        <f ca="1"/>
        <v>0.86514626630113667</v>
      </c>
      <c r="O6599" s="2">
        <f ca="1"/>
        <v>2.2242000584290156</v>
      </c>
      <c r="X6599" s="2">
        <f ca="1"/>
        <v>42.205574581385086</v>
      </c>
      <c r="AG6599" s="2">
        <f ca="1"/>
        <v>5.4854151437837118E-2</v>
      </c>
      <c r="AH6599" s="2" t="str">
        <f ca="1"/>
        <v>OK</v>
      </c>
    </row>
    <row r="6600" spans="2:34" x14ac:dyDescent="0.2">
      <c r="B6600" s="2">
        <f ca="1"/>
        <v>0.5971329313985525</v>
      </c>
      <c r="O6600" s="2">
        <f ca="1"/>
        <v>-0.1245653756311695</v>
      </c>
      <c r="X6600" s="2">
        <f ca="1"/>
        <v>93.723925913227092</v>
      </c>
      <c r="AG6600" s="2">
        <f ca="1"/>
        <v>1.1861704604678946E-2</v>
      </c>
      <c r="AH6600" s="2" t="str">
        <f ca="1"/>
        <v>Good</v>
      </c>
    </row>
    <row r="6601" spans="2:34" x14ac:dyDescent="0.2">
      <c r="B6601" s="2">
        <f ca="1"/>
        <v>0.78327998256785891</v>
      </c>
      <c r="O6601" s="2">
        <f ca="1"/>
        <v>-0.13011957790916465</v>
      </c>
      <c r="X6601" s="2">
        <f ca="1"/>
        <v>44.354106754578424</v>
      </c>
      <c r="AG6601" s="2">
        <f ca="1"/>
        <v>0.54908933443008823</v>
      </c>
      <c r="AH6601" s="2" t="str">
        <f ca="1"/>
        <v>Bad</v>
      </c>
    </row>
    <row r="6602" spans="2:34" x14ac:dyDescent="0.2">
      <c r="B6602" s="2">
        <f ca="1"/>
        <v>0.41324078325549962</v>
      </c>
      <c r="O6602" s="2">
        <f ca="1"/>
        <v>0.40082413237779874</v>
      </c>
      <c r="X6602" s="2">
        <f ca="1"/>
        <v>43.091492100879236</v>
      </c>
      <c r="AG6602" s="2">
        <f ca="1"/>
        <v>0.10017778160898083</v>
      </c>
      <c r="AH6602" s="2" t="str">
        <f ca="1"/>
        <v>OK</v>
      </c>
    </row>
    <row r="6603" spans="2:34" x14ac:dyDescent="0.2">
      <c r="B6603" s="2">
        <f ca="1"/>
        <v>0.79214947382639767</v>
      </c>
      <c r="O6603" s="2">
        <f ca="1"/>
        <v>-1.6687338405502543</v>
      </c>
      <c r="X6603" s="2">
        <f ca="1"/>
        <v>32.283637268274539</v>
      </c>
      <c r="AG6603" s="2">
        <f ca="1"/>
        <v>0.74303384560215213</v>
      </c>
      <c r="AH6603" s="2" t="str">
        <f ca="1"/>
        <v>Bad</v>
      </c>
    </row>
    <row r="6604" spans="2:34" x14ac:dyDescent="0.2">
      <c r="B6604" s="2">
        <f ca="1"/>
        <v>0.133898830245883</v>
      </c>
      <c r="O6604" s="2">
        <f ca="1"/>
        <v>-0.68505712869719104</v>
      </c>
      <c r="X6604" s="2">
        <f ca="1"/>
        <v>53.241249968638556</v>
      </c>
      <c r="AG6604" s="2">
        <f ca="1"/>
        <v>0.86312984543119331</v>
      </c>
      <c r="AH6604" s="2" t="str">
        <f ca="1"/>
        <v>Bad</v>
      </c>
    </row>
    <row r="6605" spans="2:34" x14ac:dyDescent="0.2">
      <c r="B6605" s="2">
        <f ca="1"/>
        <v>0.23509485786984397</v>
      </c>
      <c r="O6605" s="2">
        <f ca="1"/>
        <v>0.60450417942335277</v>
      </c>
      <c r="X6605" s="2">
        <f ca="1"/>
        <v>63.109039361047579</v>
      </c>
      <c r="AG6605" s="2">
        <f ca="1"/>
        <v>0.8724308810461876</v>
      </c>
      <c r="AH6605" s="2" t="str">
        <f ca="1"/>
        <v>Bad</v>
      </c>
    </row>
    <row r="6606" spans="2:34" x14ac:dyDescent="0.2">
      <c r="B6606" s="2">
        <f ca="1"/>
        <v>0.29647694339549346</v>
      </c>
      <c r="O6606" s="2">
        <f ca="1"/>
        <v>-5.9220285868470834E-2</v>
      </c>
      <c r="X6606" s="2">
        <f ca="1"/>
        <v>61.947124363127031</v>
      </c>
      <c r="AG6606" s="2">
        <f ca="1"/>
        <v>0.48582042477150433</v>
      </c>
      <c r="AH6606" s="2" t="str">
        <f ca="1"/>
        <v>Bad</v>
      </c>
    </row>
    <row r="6607" spans="2:34" x14ac:dyDescent="0.2">
      <c r="B6607" s="2">
        <f ca="1"/>
        <v>0.383296507228853</v>
      </c>
      <c r="O6607" s="2">
        <f ca="1"/>
        <v>0.42008473376483452</v>
      </c>
      <c r="X6607" s="2">
        <f ca="1"/>
        <v>59.452906647466946</v>
      </c>
      <c r="AG6607" s="2">
        <f ca="1"/>
        <v>0.40629369000627857</v>
      </c>
      <c r="AH6607" s="2" t="str">
        <f ca="1"/>
        <v>Bad</v>
      </c>
    </row>
    <row r="6608" spans="2:34" x14ac:dyDescent="0.2">
      <c r="B6608" s="2">
        <f ca="1"/>
        <v>0.84916582414823027</v>
      </c>
      <c r="O6608" s="2">
        <f ca="1"/>
        <v>6.097425173482976E-2</v>
      </c>
      <c r="X6608" s="2">
        <f ca="1"/>
        <v>39.048182019671309</v>
      </c>
      <c r="AG6608" s="2">
        <f ca="1"/>
        <v>0.50032852511732995</v>
      </c>
      <c r="AH6608" s="2" t="str">
        <f ca="1"/>
        <v>Bad</v>
      </c>
    </row>
    <row r="6609" spans="2:34" x14ac:dyDescent="0.2">
      <c r="B6609" s="2">
        <f ca="1"/>
        <v>0.84186615356636629</v>
      </c>
      <c r="O6609" s="2">
        <f ca="1"/>
        <v>1.1632353210010693</v>
      </c>
      <c r="X6609" s="2">
        <f ca="1"/>
        <v>58.026874449982635</v>
      </c>
      <c r="AG6609" s="2">
        <f ca="1"/>
        <v>0.67304496590429252</v>
      </c>
      <c r="AH6609" s="2" t="str">
        <f ca="1"/>
        <v>Bad</v>
      </c>
    </row>
    <row r="6610" spans="2:34" x14ac:dyDescent="0.2">
      <c r="B6610" s="2">
        <f ca="1"/>
        <v>1.0494343008489837E-2</v>
      </c>
      <c r="O6610" s="2">
        <f ca="1"/>
        <v>1.3399567799116006</v>
      </c>
      <c r="X6610" s="2">
        <f ca="1"/>
        <v>70.889975701655786</v>
      </c>
      <c r="AG6610" s="2">
        <f ca="1"/>
        <v>1.3748347492671398E-2</v>
      </c>
      <c r="AH6610" s="2" t="str">
        <f ca="1"/>
        <v>Good</v>
      </c>
    </row>
    <row r="6611" spans="2:34" x14ac:dyDescent="0.2">
      <c r="B6611" s="2">
        <f ca="1"/>
        <v>0.63073075044540561</v>
      </c>
      <c r="O6611" s="2">
        <f ca="1"/>
        <v>0.4930669027646471</v>
      </c>
      <c r="X6611" s="2">
        <f ca="1"/>
        <v>64.541323574748489</v>
      </c>
      <c r="AG6611" s="2">
        <f ca="1"/>
        <v>0.42584487277970329</v>
      </c>
      <c r="AH6611" s="2" t="str">
        <f ca="1"/>
        <v>Bad</v>
      </c>
    </row>
    <row r="6612" spans="2:34" x14ac:dyDescent="0.2">
      <c r="B6612" s="2">
        <f ca="1"/>
        <v>0.17028025770808464</v>
      </c>
      <c r="O6612" s="2">
        <f ca="1"/>
        <v>-0.60494734442307929</v>
      </c>
      <c r="X6612" s="2">
        <f ca="1"/>
        <v>35.546176105049192</v>
      </c>
      <c r="AG6612" s="2">
        <f ca="1"/>
        <v>0.72932237969535585</v>
      </c>
      <c r="AH6612" s="2" t="str">
        <f ca="1"/>
        <v>Bad</v>
      </c>
    </row>
    <row r="6613" spans="2:34" x14ac:dyDescent="0.2">
      <c r="B6613" s="2">
        <f ca="1"/>
        <v>0.44374606522057225</v>
      </c>
      <c r="O6613" s="2">
        <f ca="1"/>
        <v>0.20954204604067511</v>
      </c>
      <c r="X6613" s="2">
        <f ca="1"/>
        <v>84.50967401227058</v>
      </c>
      <c r="AG6613" s="2">
        <f ca="1"/>
        <v>0.22417735938783534</v>
      </c>
      <c r="AH6613" s="2" t="str">
        <f ca="1"/>
        <v>OK</v>
      </c>
    </row>
    <row r="6614" spans="2:34" x14ac:dyDescent="0.2">
      <c r="B6614" s="2">
        <f ca="1"/>
        <v>4.0989730828249415E-2</v>
      </c>
      <c r="O6614" s="2">
        <f ca="1"/>
        <v>0.52231695401647826</v>
      </c>
      <c r="X6614" s="2">
        <f ca="1"/>
        <v>94.059880676818722</v>
      </c>
      <c r="AG6614" s="2">
        <f ca="1"/>
        <v>4.4589690617564237E-2</v>
      </c>
      <c r="AH6614" s="2" t="str">
        <f ca="1"/>
        <v>Good</v>
      </c>
    </row>
    <row r="6615" spans="2:34" x14ac:dyDescent="0.2">
      <c r="B6615" s="2">
        <f ca="1"/>
        <v>6.0950426358067356E-2</v>
      </c>
      <c r="O6615" s="2">
        <f ca="1"/>
        <v>1.3633324246682583</v>
      </c>
      <c r="X6615" s="2">
        <f ca="1"/>
        <v>45.644336497105542</v>
      </c>
      <c r="AG6615" s="2">
        <f ca="1"/>
        <v>0.56096298409899514</v>
      </c>
      <c r="AH6615" s="2" t="str">
        <f ca="1"/>
        <v>Bad</v>
      </c>
    </row>
    <row r="6616" spans="2:34" x14ac:dyDescent="0.2">
      <c r="B6616" s="2">
        <f ca="1"/>
        <v>0.40837731645185804</v>
      </c>
      <c r="O6616" s="2">
        <f ca="1"/>
        <v>0.79961276570133732</v>
      </c>
      <c r="X6616" s="2">
        <f ca="1"/>
        <v>57.060142144887671</v>
      </c>
      <c r="AG6616" s="2">
        <f ca="1"/>
        <v>0.59023907910909079</v>
      </c>
      <c r="AH6616" s="2" t="str">
        <f ca="1"/>
        <v>Bad</v>
      </c>
    </row>
    <row r="6617" spans="2:34" x14ac:dyDescent="0.2">
      <c r="B6617" s="2">
        <f ca="1"/>
        <v>0.65346831957332374</v>
      </c>
      <c r="O6617" s="2">
        <f ca="1"/>
        <v>6.252822200834679E-2</v>
      </c>
      <c r="X6617" s="2">
        <f ca="1"/>
        <v>40.715332642548461</v>
      </c>
      <c r="AG6617" s="2">
        <f ca="1"/>
        <v>0.61522359230807178</v>
      </c>
      <c r="AH6617" s="2" t="str">
        <f ca="1"/>
        <v>Bad</v>
      </c>
    </row>
    <row r="6618" spans="2:34" x14ac:dyDescent="0.2">
      <c r="B6618" s="2">
        <f ca="1"/>
        <v>0.56714738227474304</v>
      </c>
      <c r="O6618" s="2">
        <f ca="1"/>
        <v>0.44005183688439276</v>
      </c>
      <c r="X6618" s="2">
        <f ca="1"/>
        <v>86.534186646496153</v>
      </c>
      <c r="AG6618" s="2">
        <f ca="1"/>
        <v>0.87996414775237897</v>
      </c>
      <c r="AH6618" s="2" t="str">
        <f ca="1"/>
        <v>Bad</v>
      </c>
    </row>
    <row r="6619" spans="2:34" x14ac:dyDescent="0.2">
      <c r="B6619" s="2">
        <f ca="1"/>
        <v>0.96939760028186694</v>
      </c>
      <c r="O6619" s="2">
        <f ca="1"/>
        <v>0.26059633160203882</v>
      </c>
      <c r="X6619" s="2">
        <f ca="1"/>
        <v>65.8119459679193</v>
      </c>
      <c r="AG6619" s="2">
        <f ca="1"/>
        <v>0.22714223695953262</v>
      </c>
      <c r="AH6619" s="2" t="str">
        <f ca="1"/>
        <v>OK</v>
      </c>
    </row>
    <row r="6620" spans="2:34" x14ac:dyDescent="0.2">
      <c r="B6620" s="2">
        <f ca="1"/>
        <v>0.85247843881308061</v>
      </c>
      <c r="O6620" s="2">
        <f ca="1"/>
        <v>1.5704606718153811</v>
      </c>
      <c r="X6620" s="2">
        <f ca="1"/>
        <v>42.160818317265537</v>
      </c>
      <c r="AG6620" s="2">
        <f ca="1"/>
        <v>0.49732578825550999</v>
      </c>
      <c r="AH6620" s="2" t="str">
        <f ca="1"/>
        <v>Bad</v>
      </c>
    </row>
    <row r="6621" spans="2:34" x14ac:dyDescent="0.2">
      <c r="B6621" s="2">
        <f ca="1"/>
        <v>0.31560933576437122</v>
      </c>
      <c r="O6621" s="2">
        <f ca="1"/>
        <v>1.400367689348597</v>
      </c>
      <c r="X6621" s="2">
        <f ca="1"/>
        <v>37.06879105103696</v>
      </c>
      <c r="AG6621" s="2">
        <f ca="1"/>
        <v>0.53598950142640578</v>
      </c>
      <c r="AH6621" s="2" t="str">
        <f ca="1"/>
        <v>Bad</v>
      </c>
    </row>
    <row r="6622" spans="2:34" x14ac:dyDescent="0.2">
      <c r="B6622" s="2">
        <f ca="1"/>
        <v>0.6201815125511938</v>
      </c>
      <c r="O6622" s="2">
        <f ca="1"/>
        <v>0.35917446408407527</v>
      </c>
      <c r="X6622" s="2">
        <f ca="1"/>
        <v>36.766397561766013</v>
      </c>
      <c r="AG6622" s="2">
        <f ca="1"/>
        <v>0.81794030961086328</v>
      </c>
      <c r="AH6622" s="2" t="str">
        <f ca="1"/>
        <v>Bad</v>
      </c>
    </row>
    <row r="6623" spans="2:34" x14ac:dyDescent="0.2">
      <c r="B6623" s="2">
        <f ca="1"/>
        <v>0.29052329922321096</v>
      </c>
      <c r="O6623" s="2">
        <f ca="1"/>
        <v>-7.9713394053397266E-2</v>
      </c>
      <c r="X6623" s="2">
        <f ca="1"/>
        <v>38.393375522619813</v>
      </c>
      <c r="AG6623" s="2">
        <f ca="1"/>
        <v>0.57085254564181387</v>
      </c>
      <c r="AH6623" s="2" t="str">
        <f ca="1"/>
        <v>Bad</v>
      </c>
    </row>
    <row r="6624" spans="2:34" x14ac:dyDescent="0.2">
      <c r="B6624" s="2">
        <f ca="1"/>
        <v>0.14557706792506053</v>
      </c>
      <c r="O6624" s="2">
        <f ca="1"/>
        <v>1.4373302408405655</v>
      </c>
      <c r="X6624" s="2">
        <f ca="1"/>
        <v>41.935585030807189</v>
      </c>
      <c r="AG6624" s="2">
        <f ca="1"/>
        <v>5.6486213057932888E-2</v>
      </c>
      <c r="AH6624" s="2" t="str">
        <f ca="1"/>
        <v>OK</v>
      </c>
    </row>
    <row r="6625" spans="2:34" x14ac:dyDescent="0.2">
      <c r="B6625" s="2">
        <f ca="1"/>
        <v>0.71610961455783317</v>
      </c>
      <c r="O6625" s="2">
        <f ca="1"/>
        <v>1.0709485638722482</v>
      </c>
      <c r="X6625" s="2">
        <f ca="1"/>
        <v>54.309568540679422</v>
      </c>
      <c r="AG6625" s="2">
        <f ca="1"/>
        <v>0.7460969911612394</v>
      </c>
      <c r="AH6625" s="2" t="str">
        <f ca="1"/>
        <v>Bad</v>
      </c>
    </row>
    <row r="6626" spans="2:34" x14ac:dyDescent="0.2">
      <c r="B6626" s="2">
        <f ca="1"/>
        <v>0.32105144526873652</v>
      </c>
      <c r="O6626" s="2">
        <f ca="1"/>
        <v>-1.7928960226073594</v>
      </c>
      <c r="X6626" s="2">
        <f ca="1"/>
        <v>45.587264549188696</v>
      </c>
      <c r="AG6626" s="2">
        <f ca="1"/>
        <v>0.58623190312135232</v>
      </c>
      <c r="AH6626" s="2" t="str">
        <f ca="1"/>
        <v>Bad</v>
      </c>
    </row>
    <row r="6627" spans="2:34" x14ac:dyDescent="0.2">
      <c r="B6627" s="2">
        <f ca="1"/>
        <v>0.20963234579410051</v>
      </c>
      <c r="O6627" s="2">
        <f ca="1"/>
        <v>1.4200671073452542</v>
      </c>
      <c r="X6627" s="2">
        <f ca="1"/>
        <v>50.788843710305606</v>
      </c>
      <c r="AG6627" s="2">
        <f ca="1"/>
        <v>4.0383686903545657E-2</v>
      </c>
      <c r="AH6627" s="2" t="str">
        <f ca="1"/>
        <v>Good</v>
      </c>
    </row>
    <row r="6628" spans="2:34" x14ac:dyDescent="0.2">
      <c r="B6628" s="2">
        <f ca="1"/>
        <v>0.68394709893945849</v>
      </c>
      <c r="O6628" s="2">
        <f ca="1"/>
        <v>0.24728901660731059</v>
      </c>
      <c r="X6628" s="2">
        <f ca="1"/>
        <v>78.063224281900318</v>
      </c>
      <c r="AG6628" s="2">
        <f ca="1"/>
        <v>0.84564195310379797</v>
      </c>
      <c r="AH6628" s="2" t="str">
        <f ca="1"/>
        <v>Bad</v>
      </c>
    </row>
    <row r="6629" spans="2:34" x14ac:dyDescent="0.2">
      <c r="B6629" s="2">
        <f ca="1"/>
        <v>0.92082448230409542</v>
      </c>
      <c r="O6629" s="2">
        <f ca="1"/>
        <v>-1.1843372612275507</v>
      </c>
      <c r="X6629" s="2">
        <f ca="1"/>
        <v>41.839156421489783</v>
      </c>
      <c r="AG6629" s="2">
        <f ca="1"/>
        <v>0.93068353830649908</v>
      </c>
      <c r="AH6629" s="2" t="str">
        <f ca="1"/>
        <v>Bad</v>
      </c>
    </row>
    <row r="6630" spans="2:34" x14ac:dyDescent="0.2">
      <c r="B6630" s="2">
        <f ca="1"/>
        <v>0.29063379348279539</v>
      </c>
      <c r="O6630" s="2">
        <f ca="1"/>
        <v>1.2024698548062582</v>
      </c>
      <c r="X6630" s="2">
        <f ca="1"/>
        <v>53.328269331361248</v>
      </c>
      <c r="AG6630" s="2">
        <f ca="1"/>
        <v>0.5777440118353705</v>
      </c>
      <c r="AH6630" s="2" t="str">
        <f ca="1"/>
        <v>Bad</v>
      </c>
    </row>
    <row r="6631" spans="2:34" x14ac:dyDescent="0.2">
      <c r="B6631" s="2">
        <f ca="1"/>
        <v>0.38809209332071437</v>
      </c>
      <c r="O6631" s="2">
        <f ca="1"/>
        <v>-1.8198748229198924</v>
      </c>
      <c r="X6631" s="2">
        <f ca="1"/>
        <v>41.155188580061292</v>
      </c>
      <c r="AG6631" s="2">
        <f ca="1"/>
        <v>0.62726996217507192</v>
      </c>
      <c r="AH6631" s="2" t="str">
        <f ca="1"/>
        <v>Bad</v>
      </c>
    </row>
    <row r="6632" spans="2:34" x14ac:dyDescent="0.2">
      <c r="B6632" s="2">
        <f ca="1"/>
        <v>0.49621154180626204</v>
      </c>
      <c r="O6632" s="2">
        <f ca="1"/>
        <v>0.32108822921661945</v>
      </c>
      <c r="X6632" s="2">
        <f ca="1"/>
        <v>71.449103055287424</v>
      </c>
      <c r="AG6632" s="2">
        <f ca="1"/>
        <v>0.54056525190850935</v>
      </c>
      <c r="AH6632" s="2" t="str">
        <f ca="1"/>
        <v>Bad</v>
      </c>
    </row>
    <row r="6633" spans="2:34" x14ac:dyDescent="0.2">
      <c r="B6633" s="2">
        <f ca="1"/>
        <v>0.39178901159475688</v>
      </c>
      <c r="O6633" s="2">
        <f ca="1"/>
        <v>1.6013025221086099</v>
      </c>
      <c r="X6633" s="2">
        <f ca="1"/>
        <v>45.16068098420444</v>
      </c>
      <c r="AG6633" s="2">
        <f ca="1"/>
        <v>0.16701244482400601</v>
      </c>
      <c r="AH6633" s="2" t="str">
        <f ca="1"/>
        <v>OK</v>
      </c>
    </row>
    <row r="6634" spans="2:34" x14ac:dyDescent="0.2">
      <c r="B6634" s="2">
        <f ca="1"/>
        <v>0.51439160530432737</v>
      </c>
      <c r="O6634" s="2">
        <f ca="1"/>
        <v>-0.25314718930546626</v>
      </c>
      <c r="X6634" s="2">
        <f ca="1"/>
        <v>43.78713340742965</v>
      </c>
      <c r="AG6634" s="2">
        <f ca="1"/>
        <v>0.8371327127332151</v>
      </c>
      <c r="AH6634" s="2" t="str">
        <f ca="1"/>
        <v>Bad</v>
      </c>
    </row>
    <row r="6635" spans="2:34" x14ac:dyDescent="0.2">
      <c r="B6635" s="2">
        <f ca="1"/>
        <v>2.4731356150145434E-2</v>
      </c>
      <c r="O6635" s="2">
        <f ca="1"/>
        <v>-0.57113478324415468</v>
      </c>
      <c r="X6635" s="2">
        <f ca="1"/>
        <v>42.705771942901478</v>
      </c>
      <c r="AG6635" s="2">
        <f ca="1"/>
        <v>0.63866228660897839</v>
      </c>
      <c r="AH6635" s="2" t="str">
        <f ca="1"/>
        <v>Bad</v>
      </c>
    </row>
    <row r="6636" spans="2:34" x14ac:dyDescent="0.2">
      <c r="B6636" s="2">
        <f ca="1"/>
        <v>1.8219674771053906E-3</v>
      </c>
      <c r="O6636" s="2">
        <f ca="1"/>
        <v>-0.39747069081831993</v>
      </c>
      <c r="X6636" s="2">
        <f ca="1"/>
        <v>59.652574797293468</v>
      </c>
      <c r="AG6636" s="2">
        <f ca="1"/>
        <v>0.6014304717773733</v>
      </c>
      <c r="AH6636" s="2" t="str">
        <f ca="1"/>
        <v>Bad</v>
      </c>
    </row>
    <row r="6637" spans="2:34" x14ac:dyDescent="0.2">
      <c r="B6637" s="2">
        <f ca="1"/>
        <v>0.8648862477616388</v>
      </c>
      <c r="O6637" s="2">
        <f ca="1"/>
        <v>1.1881734618213815</v>
      </c>
      <c r="X6637" s="2">
        <f ca="1"/>
        <v>43.469003416608523</v>
      </c>
      <c r="AG6637" s="2">
        <f ca="1"/>
        <v>0.48911958099552533</v>
      </c>
      <c r="AH6637" s="2" t="str">
        <f ca="1"/>
        <v>Bad</v>
      </c>
    </row>
    <row r="6638" spans="2:34" x14ac:dyDescent="0.2">
      <c r="B6638" s="2">
        <f ca="1"/>
        <v>0.51739342544722389</v>
      </c>
      <c r="O6638" s="2">
        <f ca="1"/>
        <v>-2.5018957851075277E-3</v>
      </c>
      <c r="X6638" s="2">
        <f ca="1"/>
        <v>39.095281740942646</v>
      </c>
      <c r="AG6638" s="2">
        <f ca="1"/>
        <v>0.78836073434515175</v>
      </c>
      <c r="AH6638" s="2" t="str">
        <f ca="1"/>
        <v>Bad</v>
      </c>
    </row>
    <row r="6639" spans="2:34" x14ac:dyDescent="0.2">
      <c r="B6639" s="2">
        <f ca="1"/>
        <v>0.60592121741546356</v>
      </c>
      <c r="O6639" s="2">
        <f ca="1"/>
        <v>1.8198920374329191</v>
      </c>
      <c r="X6639" s="2">
        <f ca="1"/>
        <v>59.319620330577308</v>
      </c>
      <c r="AG6639" s="2">
        <f ca="1"/>
        <v>0.50197674532348757</v>
      </c>
      <c r="AH6639" s="2" t="str">
        <f ca="1"/>
        <v>Bad</v>
      </c>
    </row>
    <row r="6640" spans="2:34" x14ac:dyDescent="0.2">
      <c r="B6640" s="2">
        <f ca="1"/>
        <v>0.13583201517776278</v>
      </c>
      <c r="O6640" s="2">
        <f ca="1"/>
        <v>-0.74644123622136815</v>
      </c>
      <c r="X6640" s="2">
        <f ca="1"/>
        <v>56.404543673375628</v>
      </c>
      <c r="AG6640" s="2">
        <f ca="1"/>
        <v>0.94237466805422554</v>
      </c>
      <c r="AH6640" s="2" t="str">
        <f ca="1"/>
        <v>Bad</v>
      </c>
    </row>
    <row r="6641" spans="2:34" x14ac:dyDescent="0.2">
      <c r="B6641" s="2">
        <f ca="1"/>
        <v>0.22983185306024567</v>
      </c>
      <c r="O6641" s="2">
        <f ca="1"/>
        <v>0.10240421201016407</v>
      </c>
      <c r="X6641" s="2">
        <f ca="1"/>
        <v>38.547969871182133</v>
      </c>
      <c r="AG6641" s="2">
        <f ca="1"/>
        <v>0.99251123706493316</v>
      </c>
      <c r="AH6641" s="2" t="str">
        <f ca="1"/>
        <v>Bad</v>
      </c>
    </row>
    <row r="6642" spans="2:34" x14ac:dyDescent="0.2">
      <c r="B6642" s="2">
        <f ca="1"/>
        <v>0.83397071876240392</v>
      </c>
      <c r="O6642" s="2">
        <f ca="1"/>
        <v>-0.42840756789542422</v>
      </c>
      <c r="X6642" s="2">
        <f ca="1"/>
        <v>40.578813536314335</v>
      </c>
      <c r="AG6642" s="2">
        <f ca="1"/>
        <v>0.34318319838276246</v>
      </c>
      <c r="AH6642" s="2" t="str">
        <f ca="1"/>
        <v>OK</v>
      </c>
    </row>
    <row r="6643" spans="2:34" x14ac:dyDescent="0.2">
      <c r="B6643" s="2">
        <f ca="1"/>
        <v>0.73036698132774447</v>
      </c>
      <c r="O6643" s="2">
        <f ca="1"/>
        <v>-1.3887220503641042</v>
      </c>
      <c r="X6643" s="2">
        <f ca="1"/>
        <v>33.306836354835823</v>
      </c>
      <c r="AG6643" s="2">
        <f ca="1"/>
        <v>0.8340205788978059</v>
      </c>
      <c r="AH6643" s="2" t="str">
        <f ca="1"/>
        <v>Bad</v>
      </c>
    </row>
    <row r="6644" spans="2:34" x14ac:dyDescent="0.2">
      <c r="B6644" s="2">
        <f ca="1"/>
        <v>0.38201262327382146</v>
      </c>
      <c r="O6644" s="2">
        <f ca="1"/>
        <v>0.11709991236529486</v>
      </c>
      <c r="X6644" s="2">
        <f ca="1"/>
        <v>78.945874669484198</v>
      </c>
      <c r="AG6644" s="2">
        <f ca="1"/>
        <v>0.59141207429499065</v>
      </c>
      <c r="AH6644" s="2" t="str">
        <f ca="1"/>
        <v>Bad</v>
      </c>
    </row>
    <row r="6645" spans="2:34" x14ac:dyDescent="0.2">
      <c r="B6645" s="2">
        <f ca="1"/>
        <v>0.484382371453981</v>
      </c>
      <c r="O6645" s="2">
        <f ca="1"/>
        <v>2.2626060768318044</v>
      </c>
      <c r="X6645" s="2">
        <f ca="1"/>
        <v>77.946952010006029</v>
      </c>
      <c r="AG6645" s="2">
        <f ca="1"/>
        <v>0.12621213225555872</v>
      </c>
      <c r="AH6645" s="2" t="str">
        <f ca="1"/>
        <v>OK</v>
      </c>
    </row>
    <row r="6646" spans="2:34" x14ac:dyDescent="0.2">
      <c r="B6646" s="2">
        <f ca="1"/>
        <v>0.23435622991567095</v>
      </c>
      <c r="O6646" s="2">
        <f ca="1"/>
        <v>-1.5293414172277409</v>
      </c>
      <c r="X6646" s="2">
        <f ca="1"/>
        <v>49.327548146062419</v>
      </c>
      <c r="AG6646" s="2">
        <f ca="1"/>
        <v>0.26006125528426427</v>
      </c>
      <c r="AH6646" s="2" t="str">
        <f ca="1"/>
        <v>OK</v>
      </c>
    </row>
    <row r="6647" spans="2:34" x14ac:dyDescent="0.2">
      <c r="B6647" s="2">
        <f ca="1"/>
        <v>0.88673136750378423</v>
      </c>
      <c r="O6647" s="2">
        <f ca="1"/>
        <v>-0.12412069338970788</v>
      </c>
      <c r="X6647" s="2">
        <f ca="1"/>
        <v>83.56289333652154</v>
      </c>
      <c r="AG6647" s="2">
        <f ca="1"/>
        <v>0.43285161697934149</v>
      </c>
      <c r="AH6647" s="2" t="str">
        <f ca="1"/>
        <v>Bad</v>
      </c>
    </row>
    <row r="6648" spans="2:34" x14ac:dyDescent="0.2">
      <c r="B6648" s="2">
        <f ca="1"/>
        <v>7.8496049666388457E-2</v>
      </c>
      <c r="O6648" s="2">
        <f ca="1"/>
        <v>0.71605733986137132</v>
      </c>
      <c r="X6648" s="2">
        <f ca="1"/>
        <v>25.427012977261306</v>
      </c>
      <c r="AG6648" s="2">
        <f ca="1"/>
        <v>0.75698717037828667</v>
      </c>
      <c r="AH6648" s="2" t="str">
        <f ca="1"/>
        <v>Bad</v>
      </c>
    </row>
    <row r="6649" spans="2:34" x14ac:dyDescent="0.2">
      <c r="B6649" s="2">
        <f ca="1"/>
        <v>0.95826065915776182</v>
      </c>
      <c r="O6649" s="2">
        <f ca="1"/>
        <v>-0.10426380920901235</v>
      </c>
      <c r="X6649" s="2">
        <f ca="1"/>
        <v>50.32770363071036</v>
      </c>
      <c r="AG6649" s="2">
        <f ca="1"/>
        <v>0.86745427737866043</v>
      </c>
      <c r="AH6649" s="2" t="str">
        <f ca="1"/>
        <v>Bad</v>
      </c>
    </row>
    <row r="6650" spans="2:34" x14ac:dyDescent="0.2">
      <c r="B6650" s="2">
        <f ca="1"/>
        <v>0.72138788574172752</v>
      </c>
      <c r="O6650" s="2">
        <f ca="1"/>
        <v>1.337380188792104</v>
      </c>
      <c r="X6650" s="2">
        <f ca="1"/>
        <v>58.319692558449859</v>
      </c>
      <c r="AG6650" s="2">
        <f ca="1"/>
        <v>9.8042397467550613E-2</v>
      </c>
      <c r="AH6650" s="2" t="str">
        <f ca="1"/>
        <v>OK</v>
      </c>
    </row>
    <row r="6651" spans="2:34" x14ac:dyDescent="0.2">
      <c r="B6651" s="2">
        <f ca="1"/>
        <v>0.25783801061345946</v>
      </c>
      <c r="O6651" s="2">
        <f ca="1"/>
        <v>1.8043681352835819</v>
      </c>
      <c r="X6651" s="2">
        <f ca="1"/>
        <v>84.151993303545083</v>
      </c>
      <c r="AG6651" s="2">
        <f ca="1"/>
        <v>0.80752315781370898</v>
      </c>
      <c r="AH6651" s="2" t="str">
        <f ca="1"/>
        <v>Bad</v>
      </c>
    </row>
    <row r="6652" spans="2:34" x14ac:dyDescent="0.2">
      <c r="B6652" s="2">
        <f ca="1"/>
        <v>0.63391614059764989</v>
      </c>
      <c r="O6652" s="2">
        <f ca="1"/>
        <v>0.88096480148884893</v>
      </c>
      <c r="X6652" s="2">
        <f ca="1"/>
        <v>41.041892120996877</v>
      </c>
      <c r="AG6652" s="2">
        <f ca="1"/>
        <v>0.16025125649537442</v>
      </c>
      <c r="AH6652" s="2" t="str">
        <f ca="1"/>
        <v>OK</v>
      </c>
    </row>
    <row r="6653" spans="2:34" x14ac:dyDescent="0.2">
      <c r="B6653" s="2">
        <f ca="1"/>
        <v>0.46626923214300398</v>
      </c>
      <c r="O6653" s="2">
        <f ca="1"/>
        <v>2.378024103405096</v>
      </c>
      <c r="X6653" s="2">
        <f ca="1"/>
        <v>61.541983558559011</v>
      </c>
      <c r="AG6653" s="2">
        <f ca="1"/>
        <v>0.48915972685695142</v>
      </c>
      <c r="AH6653" s="2" t="str">
        <f ca="1"/>
        <v>Bad</v>
      </c>
    </row>
    <row r="6654" spans="2:34" x14ac:dyDescent="0.2">
      <c r="B6654" s="2">
        <f ca="1"/>
        <v>0.89783139605537765</v>
      </c>
      <c r="O6654" s="2">
        <f ca="1"/>
        <v>-0.61030286208522977</v>
      </c>
      <c r="X6654" s="2">
        <f ca="1"/>
        <v>39.336772685986524</v>
      </c>
      <c r="AG6654" s="2">
        <f ca="1"/>
        <v>0.61236756255480995</v>
      </c>
      <c r="AH6654" s="2" t="str">
        <f ca="1"/>
        <v>Bad</v>
      </c>
    </row>
    <row r="6655" spans="2:34" x14ac:dyDescent="0.2">
      <c r="B6655" s="2">
        <f ca="1"/>
        <v>0.78820626260095938</v>
      </c>
      <c r="O6655" s="2">
        <f ca="1"/>
        <v>0.13768238945912645</v>
      </c>
      <c r="X6655" s="2">
        <f ca="1"/>
        <v>61.088807551346008</v>
      </c>
      <c r="AG6655" s="2">
        <f ca="1"/>
        <v>0.39382368146590863</v>
      </c>
      <c r="AH6655" s="2" t="str">
        <f ca="1"/>
        <v>OK</v>
      </c>
    </row>
    <row r="6656" spans="2:34" x14ac:dyDescent="0.2">
      <c r="B6656" s="2">
        <f ca="1"/>
        <v>0.46957918596026449</v>
      </c>
      <c r="O6656" s="2">
        <f ca="1"/>
        <v>-0.29417116232100748</v>
      </c>
      <c r="X6656" s="2">
        <f ca="1"/>
        <v>26.56957362307697</v>
      </c>
      <c r="AG6656" s="2">
        <f ca="1"/>
        <v>0.13181109497889509</v>
      </c>
      <c r="AH6656" s="2" t="str">
        <f ca="1"/>
        <v>OK</v>
      </c>
    </row>
    <row r="6657" spans="2:34" x14ac:dyDescent="0.2">
      <c r="B6657" s="2">
        <f ca="1"/>
        <v>0.95057797535599886</v>
      </c>
      <c r="O6657" s="2">
        <f ca="1"/>
        <v>0.38272592047205467</v>
      </c>
      <c r="X6657" s="2">
        <f ca="1"/>
        <v>54.374016492020978</v>
      </c>
      <c r="AG6657" s="2">
        <f ca="1"/>
        <v>0.74823655110309351</v>
      </c>
      <c r="AH6657" s="2" t="str">
        <f ca="1"/>
        <v>Bad</v>
      </c>
    </row>
    <row r="6658" spans="2:34" x14ac:dyDescent="0.2">
      <c r="B6658" s="2">
        <f ca="1"/>
        <v>0.4882045031448301</v>
      </c>
      <c r="O6658" s="2">
        <f ca="1"/>
        <v>-0.81564434690006826</v>
      </c>
      <c r="X6658" s="2">
        <f ca="1"/>
        <v>36.808809659478698</v>
      </c>
      <c r="AG6658" s="2">
        <f ca="1"/>
        <v>2.7370077714612417E-3</v>
      </c>
      <c r="AH6658" s="2" t="str">
        <f ca="1"/>
        <v>Good</v>
      </c>
    </row>
    <row r="6659" spans="2:34" x14ac:dyDescent="0.2">
      <c r="B6659" s="2">
        <f ca="1"/>
        <v>0.66368499442837492</v>
      </c>
      <c r="O6659" s="2">
        <f ca="1"/>
        <v>-0.90758054118973519</v>
      </c>
      <c r="X6659" s="2">
        <f ca="1"/>
        <v>24.471704942568877</v>
      </c>
      <c r="AG6659" s="2">
        <f ca="1"/>
        <v>0.78886151024130724</v>
      </c>
      <c r="AH6659" s="2" t="str">
        <f ca="1"/>
        <v>Bad</v>
      </c>
    </row>
    <row r="6660" spans="2:34" x14ac:dyDescent="0.2">
      <c r="B6660" s="2">
        <f ca="1"/>
        <v>0.67958289953481832</v>
      </c>
      <c r="O6660" s="2">
        <f ca="1"/>
        <v>-1.2729177044747206</v>
      </c>
      <c r="X6660" s="2">
        <f ca="1"/>
        <v>39.034407363786542</v>
      </c>
      <c r="AG6660" s="2">
        <f ca="1"/>
        <v>0.60590007004920565</v>
      </c>
      <c r="AH6660" s="2" t="str">
        <f ca="1"/>
        <v>Bad</v>
      </c>
    </row>
    <row r="6661" spans="2:34" x14ac:dyDescent="0.2">
      <c r="B6661" s="2">
        <f ca="1"/>
        <v>0.24543705012044215</v>
      </c>
      <c r="O6661" s="2">
        <f ca="1"/>
        <v>0.65927326410456288</v>
      </c>
      <c r="X6661" s="2">
        <f ca="1"/>
        <v>31.693022232492567</v>
      </c>
      <c r="AG6661" s="2">
        <f ca="1"/>
        <v>0.44938354427005045</v>
      </c>
      <c r="AH6661" s="2" t="str">
        <f ca="1"/>
        <v>Bad</v>
      </c>
    </row>
    <row r="6662" spans="2:34" x14ac:dyDescent="0.2">
      <c r="B6662" s="2">
        <f ca="1"/>
        <v>4.2604251645242064E-2</v>
      </c>
      <c r="O6662" s="2">
        <f ca="1"/>
        <v>-0.91050628906387776</v>
      </c>
      <c r="X6662" s="2">
        <f ca="1"/>
        <v>43.390322748602529</v>
      </c>
      <c r="AG6662" s="2">
        <f ca="1"/>
        <v>0.56662963813217915</v>
      </c>
      <c r="AH6662" s="2" t="str">
        <f ca="1"/>
        <v>Bad</v>
      </c>
    </row>
    <row r="6663" spans="2:34" x14ac:dyDescent="0.2">
      <c r="B6663" s="2">
        <f ca="1"/>
        <v>0.60234940405950965</v>
      </c>
      <c r="O6663" s="2">
        <f ca="1"/>
        <v>-3.0201960274033079</v>
      </c>
      <c r="X6663" s="2">
        <f ca="1"/>
        <v>48.326721688014786</v>
      </c>
      <c r="AG6663" s="2">
        <f ca="1"/>
        <v>0.42254586865195787</v>
      </c>
      <c r="AH6663" s="2" t="str">
        <f ca="1"/>
        <v>Bad</v>
      </c>
    </row>
    <row r="6664" spans="2:34" x14ac:dyDescent="0.2">
      <c r="B6664" s="2">
        <f ca="1"/>
        <v>0.52365830131957325</v>
      </c>
      <c r="O6664" s="2">
        <f ca="1"/>
        <v>1.997570912433112</v>
      </c>
      <c r="X6664" s="2">
        <f ca="1"/>
        <v>54.109762384235481</v>
      </c>
      <c r="AG6664" s="2">
        <f ca="1"/>
        <v>1.8866195490901294E-2</v>
      </c>
      <c r="AH6664" s="2" t="str">
        <f ca="1"/>
        <v>Good</v>
      </c>
    </row>
    <row r="6665" spans="2:34" x14ac:dyDescent="0.2">
      <c r="B6665" s="2">
        <f ca="1"/>
        <v>0.82957056194530865</v>
      </c>
      <c r="O6665" s="2">
        <f ca="1"/>
        <v>0.22533299800397361</v>
      </c>
      <c r="X6665" s="2">
        <f ca="1"/>
        <v>65.485278003237454</v>
      </c>
      <c r="AG6665" s="2">
        <f ca="1"/>
        <v>0.11300171258591285</v>
      </c>
      <c r="AH6665" s="2" t="str">
        <f ca="1"/>
        <v>OK</v>
      </c>
    </row>
    <row r="6666" spans="2:34" x14ac:dyDescent="0.2">
      <c r="B6666" s="2">
        <f ca="1"/>
        <v>0.68164560409975095</v>
      </c>
      <c r="O6666" s="2">
        <f ca="1"/>
        <v>-0.95699536049092926</v>
      </c>
      <c r="X6666" s="2">
        <f ca="1"/>
        <v>58.406532552364361</v>
      </c>
      <c r="AG6666" s="2">
        <f ca="1"/>
        <v>0.71892376753465959</v>
      </c>
      <c r="AH6666" s="2" t="str">
        <f ca="1"/>
        <v>Bad</v>
      </c>
    </row>
    <row r="6667" spans="2:34" x14ac:dyDescent="0.2">
      <c r="B6667" s="2">
        <f ca="1"/>
        <v>0.84794027021386009</v>
      </c>
      <c r="O6667" s="2">
        <f ca="1"/>
        <v>0.11420445474769247</v>
      </c>
      <c r="X6667" s="2">
        <f ca="1"/>
        <v>56.81770092834104</v>
      </c>
      <c r="AG6667" s="2">
        <f ca="1"/>
        <v>0.50275200358066963</v>
      </c>
      <c r="AH6667" s="2" t="str">
        <f ca="1"/>
        <v>Bad</v>
      </c>
    </row>
    <row r="6668" spans="2:34" x14ac:dyDescent="0.2">
      <c r="B6668" s="2">
        <f ca="1"/>
        <v>0.65616150882599289</v>
      </c>
      <c r="O6668" s="2">
        <f ca="1"/>
        <v>0.54845218556614961</v>
      </c>
      <c r="X6668" s="2">
        <f ca="1"/>
        <v>39.065037403079764</v>
      </c>
      <c r="AG6668" s="2">
        <f ca="1"/>
        <v>0.46309961301464875</v>
      </c>
      <c r="AH6668" s="2" t="str">
        <f ca="1"/>
        <v>Bad</v>
      </c>
    </row>
    <row r="6669" spans="2:34" x14ac:dyDescent="0.2">
      <c r="B6669" s="2">
        <f ca="1"/>
        <v>0.72233177749020316</v>
      </c>
      <c r="O6669" s="2">
        <f ca="1"/>
        <v>0.98811134801278866</v>
      </c>
      <c r="X6669" s="2">
        <f ca="1"/>
        <v>23.98341892800202</v>
      </c>
      <c r="AG6669" s="2">
        <f ca="1"/>
        <v>0.58344019762436461</v>
      </c>
      <c r="AH6669" s="2" t="str">
        <f ca="1"/>
        <v>Bad</v>
      </c>
    </row>
    <row r="6670" spans="2:34" x14ac:dyDescent="0.2">
      <c r="B6670" s="2">
        <f ca="1"/>
        <v>0.10895133882615093</v>
      </c>
      <c r="O6670" s="2">
        <f ca="1"/>
        <v>1.1711262626195011</v>
      </c>
      <c r="X6670" s="2">
        <f ca="1"/>
        <v>53.544443659956549</v>
      </c>
      <c r="AG6670" s="2">
        <f ca="1"/>
        <v>0.537031127686173</v>
      </c>
      <c r="AH6670" s="2" t="str">
        <f ca="1"/>
        <v>Bad</v>
      </c>
    </row>
    <row r="6671" spans="2:34" x14ac:dyDescent="0.2">
      <c r="B6671" s="2">
        <f ca="1"/>
        <v>0.18234015696059336</v>
      </c>
      <c r="O6671" s="2">
        <f ca="1"/>
        <v>-0.43093674078706978</v>
      </c>
      <c r="X6671" s="2">
        <f ca="1"/>
        <v>34.384269356857025</v>
      </c>
      <c r="AG6671" s="2">
        <f ca="1"/>
        <v>0.85740496501701147</v>
      </c>
      <c r="AH6671" s="2" t="str">
        <f ca="1"/>
        <v>Bad</v>
      </c>
    </row>
    <row r="6672" spans="2:34" x14ac:dyDescent="0.2">
      <c r="B6672" s="2">
        <f ca="1"/>
        <v>0.59456158471527232</v>
      </c>
      <c r="O6672" s="2">
        <f ca="1"/>
        <v>0.67956672409396257</v>
      </c>
      <c r="X6672" s="2">
        <f ca="1"/>
        <v>35.451903108860009</v>
      </c>
      <c r="AG6672" s="2">
        <f ca="1"/>
        <v>0.88677330982289493</v>
      </c>
      <c r="AH6672" s="2" t="str">
        <f ca="1"/>
        <v>Bad</v>
      </c>
    </row>
    <row r="6673" spans="2:34" x14ac:dyDescent="0.2">
      <c r="B6673" s="2">
        <f ca="1"/>
        <v>0.73072690875201074</v>
      </c>
      <c r="O6673" s="2">
        <f ca="1"/>
        <v>-0.93388154702018333</v>
      </c>
      <c r="X6673" s="2">
        <f ca="1"/>
        <v>41.528378005554806</v>
      </c>
      <c r="AG6673" s="2">
        <f ca="1"/>
        <v>0.38298608091784248</v>
      </c>
      <c r="AH6673" s="2" t="str">
        <f ca="1"/>
        <v>OK</v>
      </c>
    </row>
    <row r="6674" spans="2:34" x14ac:dyDescent="0.2">
      <c r="B6674" s="2">
        <f ca="1"/>
        <v>9.0389197912898789E-2</v>
      </c>
      <c r="O6674" s="2">
        <f ca="1"/>
        <v>1.0205784969721021</v>
      </c>
      <c r="X6674" s="2">
        <f ca="1"/>
        <v>51.364654871827824</v>
      </c>
      <c r="AG6674" s="2">
        <f ca="1"/>
        <v>0.20486735828466185</v>
      </c>
      <c r="AH6674" s="2" t="str">
        <f ca="1"/>
        <v>OK</v>
      </c>
    </row>
    <row r="6675" spans="2:34" x14ac:dyDescent="0.2">
      <c r="B6675" s="2">
        <f ca="1"/>
        <v>0.17244167185953874</v>
      </c>
      <c r="O6675" s="2">
        <f ca="1"/>
        <v>0.31156119207404731</v>
      </c>
      <c r="X6675" s="2">
        <f ca="1"/>
        <v>40.140494398286826</v>
      </c>
      <c r="AG6675" s="2">
        <f ca="1"/>
        <v>9.6866058412513167E-2</v>
      </c>
      <c r="AH6675" s="2" t="str">
        <f ca="1"/>
        <v>OK</v>
      </c>
    </row>
    <row r="6676" spans="2:34" x14ac:dyDescent="0.2">
      <c r="B6676" s="2">
        <f ca="1"/>
        <v>0.58973044277083386</v>
      </c>
      <c r="O6676" s="2">
        <f ca="1"/>
        <v>4.6891797508504751E-2</v>
      </c>
      <c r="X6676" s="2">
        <f ca="1"/>
        <v>44.261848069295468</v>
      </c>
      <c r="AG6676" s="2">
        <f ca="1"/>
        <v>0.99102632590488371</v>
      </c>
      <c r="AH6676" s="2" t="str">
        <f ca="1"/>
        <v>Bad</v>
      </c>
    </row>
    <row r="6677" spans="2:34" x14ac:dyDescent="0.2">
      <c r="B6677" s="2">
        <f ca="1"/>
        <v>0.97571196204181065</v>
      </c>
      <c r="O6677" s="2">
        <f ca="1"/>
        <v>0.24534583892711748</v>
      </c>
      <c r="X6677" s="2">
        <f ca="1"/>
        <v>83.269286635860965</v>
      </c>
      <c r="AG6677" s="2">
        <f ca="1"/>
        <v>0.17646523317511509</v>
      </c>
      <c r="AH6677" s="2" t="str">
        <f ca="1"/>
        <v>OK</v>
      </c>
    </row>
    <row r="6678" spans="2:34" x14ac:dyDescent="0.2">
      <c r="B6678" s="2">
        <f ca="1"/>
        <v>0.90115547060092616</v>
      </c>
      <c r="O6678" s="2">
        <f ca="1"/>
        <v>-0.39239027368375839</v>
      </c>
      <c r="X6678" s="2">
        <f ca="1"/>
        <v>32.670651105154455</v>
      </c>
      <c r="AG6678" s="2">
        <f ca="1"/>
        <v>0.74223463091718878</v>
      </c>
      <c r="AH6678" s="2" t="str">
        <f ca="1"/>
        <v>Bad</v>
      </c>
    </row>
    <row r="6679" spans="2:34" x14ac:dyDescent="0.2">
      <c r="B6679" s="2">
        <f ca="1"/>
        <v>0.91186636429827406</v>
      </c>
      <c r="O6679" s="2">
        <f ca="1"/>
        <v>-0.93769294600387376</v>
      </c>
      <c r="X6679" s="2">
        <f ca="1"/>
        <v>34.108349177056553</v>
      </c>
      <c r="AG6679" s="2">
        <f ca="1"/>
        <v>0.86068834824789553</v>
      </c>
      <c r="AH6679" s="2" t="str">
        <f ca="1"/>
        <v>Bad</v>
      </c>
    </row>
    <row r="6680" spans="2:34" x14ac:dyDescent="0.2">
      <c r="B6680" s="2">
        <f ca="1"/>
        <v>0.73019481270327624</v>
      </c>
      <c r="O6680" s="2">
        <f ca="1"/>
        <v>-1.5441148817209267</v>
      </c>
      <c r="X6680" s="2">
        <f ca="1"/>
        <v>57.037914921057826</v>
      </c>
      <c r="AG6680" s="2">
        <f ca="1"/>
        <v>0.21110046286710737</v>
      </c>
      <c r="AH6680" s="2" t="str">
        <f ca="1"/>
        <v>OK</v>
      </c>
    </row>
    <row r="6681" spans="2:34" x14ac:dyDescent="0.2">
      <c r="B6681" s="2">
        <f ca="1"/>
        <v>0.84220918142472923</v>
      </c>
      <c r="O6681" s="2">
        <f ca="1"/>
        <v>0.50881571167617812</v>
      </c>
      <c r="X6681" s="2">
        <f ca="1"/>
        <v>55.158560973723503</v>
      </c>
      <c r="AG6681" s="2">
        <f ca="1"/>
        <v>0.24413033514061899</v>
      </c>
      <c r="AH6681" s="2" t="str">
        <f ca="1"/>
        <v>OK</v>
      </c>
    </row>
    <row r="6682" spans="2:34" x14ac:dyDescent="0.2">
      <c r="B6682" s="2">
        <f ca="1"/>
        <v>8.080018202319228E-2</v>
      </c>
      <c r="O6682" s="2">
        <f ca="1"/>
        <v>-2.0362306580190195</v>
      </c>
      <c r="X6682" s="2">
        <f ca="1"/>
        <v>60.23858724861897</v>
      </c>
      <c r="AG6682" s="2">
        <f ca="1"/>
        <v>0.8948370313331091</v>
      </c>
      <c r="AH6682" s="2" t="str">
        <f ca="1"/>
        <v>Bad</v>
      </c>
    </row>
    <row r="6683" spans="2:34" x14ac:dyDescent="0.2">
      <c r="B6683" s="2">
        <f ca="1"/>
        <v>0.2907471039278724</v>
      </c>
      <c r="O6683" s="2">
        <f ca="1"/>
        <v>2.4672866858348219</v>
      </c>
      <c r="X6683" s="2">
        <f ca="1"/>
        <v>53.400574108456659</v>
      </c>
      <c r="AG6683" s="2">
        <f ca="1"/>
        <v>0.72389607362967534</v>
      </c>
      <c r="AH6683" s="2" t="str">
        <f ca="1"/>
        <v>Bad</v>
      </c>
    </row>
    <row r="6684" spans="2:34" x14ac:dyDescent="0.2">
      <c r="B6684" s="2">
        <f ca="1"/>
        <v>0.67621937098569163</v>
      </c>
      <c r="O6684" s="2">
        <f ca="1"/>
        <v>0.37352163811156824</v>
      </c>
      <c r="X6684" s="2">
        <f ca="1"/>
        <v>62.215696896988291</v>
      </c>
      <c r="AG6684" s="2">
        <f ca="1"/>
        <v>0.79691341268648808</v>
      </c>
      <c r="AH6684" s="2" t="str">
        <f ca="1"/>
        <v>Bad</v>
      </c>
    </row>
    <row r="6685" spans="2:34" x14ac:dyDescent="0.2">
      <c r="B6685" s="2">
        <f ca="1"/>
        <v>0.75461258349408711</v>
      </c>
      <c r="O6685" s="2">
        <f ca="1"/>
        <v>0.43931582783661471</v>
      </c>
      <c r="X6685" s="2">
        <f ca="1"/>
        <v>94.39540760938911</v>
      </c>
      <c r="AG6685" s="2">
        <f ca="1"/>
        <v>0.27676309426938372</v>
      </c>
      <c r="AH6685" s="2" t="str">
        <f ca="1"/>
        <v>OK</v>
      </c>
    </row>
    <row r="6686" spans="2:34" x14ac:dyDescent="0.2">
      <c r="B6686" s="2">
        <f ca="1"/>
        <v>0.90144390151756748</v>
      </c>
      <c r="O6686" s="2">
        <f ca="1"/>
        <v>1.2866558802526706</v>
      </c>
      <c r="X6686" s="2">
        <f ca="1"/>
        <v>47.745098384759217</v>
      </c>
      <c r="AG6686" s="2">
        <f ca="1"/>
        <v>0.86466250518293242</v>
      </c>
      <c r="AH6686" s="2" t="str">
        <f ca="1"/>
        <v>Bad</v>
      </c>
    </row>
    <row r="6687" spans="2:34" x14ac:dyDescent="0.2">
      <c r="B6687" s="2">
        <f ca="1"/>
        <v>0.91234329393590818</v>
      </c>
      <c r="O6687" s="2">
        <f ca="1"/>
        <v>0.56258285115589568</v>
      </c>
      <c r="X6687" s="2">
        <f ca="1"/>
        <v>71.662732553637355</v>
      </c>
      <c r="AG6687" s="2">
        <f ca="1"/>
        <v>9.3874919851897554E-2</v>
      </c>
      <c r="AH6687" s="2" t="str">
        <f ca="1"/>
        <v>OK</v>
      </c>
    </row>
    <row r="6688" spans="2:34" x14ac:dyDescent="0.2">
      <c r="B6688" s="2">
        <f ca="1"/>
        <v>0.51238193447763103</v>
      </c>
      <c r="O6688" s="2">
        <f ca="1"/>
        <v>-0.55251320868004361</v>
      </c>
      <c r="X6688" s="2">
        <f ca="1"/>
        <v>41.906445456718124</v>
      </c>
      <c r="AG6688" s="2">
        <f ca="1"/>
        <v>4.7606071550306606E-2</v>
      </c>
      <c r="AH6688" s="2" t="str">
        <f ca="1"/>
        <v>Good</v>
      </c>
    </row>
    <row r="6689" spans="2:34" x14ac:dyDescent="0.2">
      <c r="B6689" s="2">
        <f ca="1"/>
        <v>0.26443109544715759</v>
      </c>
      <c r="O6689" s="2">
        <f ca="1"/>
        <v>-0.80852883498626715</v>
      </c>
      <c r="X6689" s="2">
        <f ca="1"/>
        <v>48.46198724178403</v>
      </c>
      <c r="AG6689" s="2">
        <f ca="1"/>
        <v>0.90885006696832038</v>
      </c>
      <c r="AH6689" s="2" t="str">
        <f ca="1"/>
        <v>Bad</v>
      </c>
    </row>
    <row r="6690" spans="2:34" x14ac:dyDescent="0.2">
      <c r="B6690" s="2">
        <f ca="1"/>
        <v>0.95536917214537875</v>
      </c>
      <c r="O6690" s="2">
        <f ca="1"/>
        <v>1.1854543598160256</v>
      </c>
      <c r="X6690" s="2">
        <f ca="1"/>
        <v>62.419320278833169</v>
      </c>
      <c r="AG6690" s="2">
        <f ca="1"/>
        <v>5.7037100435229915E-2</v>
      </c>
      <c r="AH6690" s="2" t="str">
        <f ca="1"/>
        <v>OK</v>
      </c>
    </row>
    <row r="6691" spans="2:34" x14ac:dyDescent="0.2">
      <c r="B6691" s="2">
        <f ca="1"/>
        <v>0.54300994463408858</v>
      </c>
      <c r="O6691" s="2">
        <f ca="1"/>
        <v>0.80885789128869001</v>
      </c>
      <c r="X6691" s="2">
        <f ca="1"/>
        <v>53.995909539975116</v>
      </c>
      <c r="AG6691" s="2">
        <f ca="1"/>
        <v>0.37211156851650373</v>
      </c>
      <c r="AH6691" s="2" t="str">
        <f ca="1"/>
        <v>OK</v>
      </c>
    </row>
    <row r="6692" spans="2:34" x14ac:dyDescent="0.2">
      <c r="B6692" s="2">
        <f ca="1"/>
        <v>0.74355940206292015</v>
      </c>
      <c r="O6692" s="2">
        <f ca="1"/>
        <v>0.13091746761485309</v>
      </c>
      <c r="X6692" s="2">
        <f ca="1"/>
        <v>45.29066040631249</v>
      </c>
      <c r="AG6692" s="2">
        <f ca="1"/>
        <v>0.39054364457961799</v>
      </c>
      <c r="AH6692" s="2" t="str">
        <f ca="1"/>
        <v>OK</v>
      </c>
    </row>
    <row r="6693" spans="2:34" x14ac:dyDescent="0.2">
      <c r="B6693" s="2">
        <f ca="1"/>
        <v>0.64731144546405495</v>
      </c>
      <c r="O6693" s="2">
        <f ca="1"/>
        <v>-1.0442166264662469</v>
      </c>
      <c r="X6693" s="2">
        <f ca="1"/>
        <v>43.886418950945227</v>
      </c>
      <c r="AG6693" s="2">
        <f ca="1"/>
        <v>5.2946446509097411E-2</v>
      </c>
      <c r="AH6693" s="2" t="str">
        <f ca="1"/>
        <v>OK</v>
      </c>
    </row>
    <row r="6694" spans="2:34" x14ac:dyDescent="0.2">
      <c r="B6694" s="2">
        <f ca="1"/>
        <v>0.14086576606012069</v>
      </c>
      <c r="O6694" s="2">
        <f ca="1"/>
        <v>-0.77225878498521627</v>
      </c>
      <c r="X6694" s="2">
        <f ca="1"/>
        <v>62.843092835572072</v>
      </c>
      <c r="AG6694" s="2">
        <f ca="1"/>
        <v>0.40426360596023692</v>
      </c>
      <c r="AH6694" s="2" t="str">
        <f ca="1"/>
        <v>Bad</v>
      </c>
    </row>
    <row r="6695" spans="2:34" x14ac:dyDescent="0.2">
      <c r="B6695" s="2">
        <f ca="1"/>
        <v>0.33326087654005354</v>
      </c>
      <c r="O6695" s="2">
        <f ca="1"/>
        <v>-2.9350443371153598E-2</v>
      </c>
      <c r="X6695" s="2">
        <f ca="1"/>
        <v>40.210351686259571</v>
      </c>
      <c r="AG6695" s="2">
        <f ca="1"/>
        <v>0.63247122798177524</v>
      </c>
      <c r="AH6695" s="2" t="str">
        <f ca="1"/>
        <v>Bad</v>
      </c>
    </row>
    <row r="6696" spans="2:34" x14ac:dyDescent="0.2">
      <c r="B6696" s="2">
        <f ca="1"/>
        <v>0.44537078006517716</v>
      </c>
      <c r="O6696" s="2">
        <f ca="1"/>
        <v>-0.91409836973248459</v>
      </c>
      <c r="X6696" s="2">
        <f ca="1"/>
        <v>27.740068708649325</v>
      </c>
      <c r="AG6696" s="2">
        <f ca="1"/>
        <v>0.38615747544725276</v>
      </c>
      <c r="AH6696" s="2" t="str">
        <f ca="1"/>
        <v>OK</v>
      </c>
    </row>
    <row r="6697" spans="2:34" x14ac:dyDescent="0.2">
      <c r="B6697" s="2">
        <f ca="1"/>
        <v>0.78227637239675296</v>
      </c>
      <c r="O6697" s="2">
        <f ca="1"/>
        <v>5.7995715384631434E-2</v>
      </c>
      <c r="X6697" s="2">
        <f ca="1"/>
        <v>31.041570608012794</v>
      </c>
      <c r="AG6697" s="2">
        <f ca="1"/>
        <v>4.484352605334041E-2</v>
      </c>
      <c r="AH6697" s="2" t="str">
        <f ca="1"/>
        <v>Good</v>
      </c>
    </row>
    <row r="6698" spans="2:34" x14ac:dyDescent="0.2">
      <c r="B6698" s="2">
        <f ca="1"/>
        <v>0.26472260585334073</v>
      </c>
      <c r="O6698" s="2">
        <f ca="1"/>
        <v>-0.37108491305448543</v>
      </c>
      <c r="X6698" s="2">
        <f ca="1"/>
        <v>70.974478302757291</v>
      </c>
      <c r="AG6698" s="2">
        <f ca="1"/>
        <v>9.8734413494548701E-2</v>
      </c>
      <c r="AH6698" s="2" t="str">
        <f ca="1"/>
        <v>OK</v>
      </c>
    </row>
    <row r="6699" spans="2:34" x14ac:dyDescent="0.2">
      <c r="B6699" s="2">
        <f ca="1"/>
        <v>0.24599015624968379</v>
      </c>
      <c r="O6699" s="2">
        <f ca="1"/>
        <v>-0.57942184806512498</v>
      </c>
      <c r="X6699" s="2">
        <f ca="1"/>
        <v>36.814449488311084</v>
      </c>
      <c r="AG6699" s="2">
        <f ca="1"/>
        <v>0.41074706478014389</v>
      </c>
      <c r="AH6699" s="2" t="str">
        <f ca="1"/>
        <v>Bad</v>
      </c>
    </row>
    <row r="6700" spans="2:34" x14ac:dyDescent="0.2">
      <c r="B6700" s="2">
        <f ca="1"/>
        <v>0.31992746286436158</v>
      </c>
      <c r="O6700" s="2">
        <f ca="1"/>
        <v>2.0381333678300284</v>
      </c>
      <c r="X6700" s="2">
        <f ca="1"/>
        <v>32.080062984454948</v>
      </c>
      <c r="AG6700" s="2">
        <f ca="1"/>
        <v>0.24152900447975578</v>
      </c>
      <c r="AH6700" s="2" t="str">
        <f ca="1"/>
        <v>OK</v>
      </c>
    </row>
    <row r="6701" spans="2:34" x14ac:dyDescent="0.2">
      <c r="B6701" s="2">
        <f ca="1"/>
        <v>0.91052996549043552</v>
      </c>
      <c r="O6701" s="2">
        <f ca="1"/>
        <v>-1.0075406758917558</v>
      </c>
      <c r="X6701" s="2">
        <f ca="1"/>
        <v>69.690218257498117</v>
      </c>
      <c r="AG6701" s="2">
        <f ca="1"/>
        <v>0.26449240083315639</v>
      </c>
      <c r="AH6701" s="2" t="str">
        <f ca="1"/>
        <v>OK</v>
      </c>
    </row>
    <row r="6702" spans="2:34" x14ac:dyDescent="0.2">
      <c r="B6702" s="2">
        <f ca="1"/>
        <v>0.45867875657733337</v>
      </c>
      <c r="O6702" s="2">
        <f ca="1"/>
        <v>0.79732973462233614</v>
      </c>
      <c r="X6702" s="2">
        <f ca="1"/>
        <v>24.074343386062708</v>
      </c>
      <c r="AG6702" s="2">
        <f ca="1"/>
        <v>0.99363038566107043</v>
      </c>
      <c r="AH6702" s="2" t="str">
        <f ca="1"/>
        <v>Bad</v>
      </c>
    </row>
    <row r="6703" spans="2:34" x14ac:dyDescent="0.2">
      <c r="B6703" s="2">
        <f ca="1"/>
        <v>0.97241159226424823</v>
      </c>
      <c r="O6703" s="2">
        <f ca="1"/>
        <v>0.51526313252563571</v>
      </c>
      <c r="X6703" s="2">
        <f ca="1"/>
        <v>32.286355355041948</v>
      </c>
      <c r="AG6703" s="2">
        <f ca="1"/>
        <v>0.64110163756687766</v>
      </c>
      <c r="AH6703" s="2" t="str">
        <f ca="1"/>
        <v>Bad</v>
      </c>
    </row>
    <row r="6704" spans="2:34" x14ac:dyDescent="0.2">
      <c r="B6704" s="2">
        <f ca="1"/>
        <v>0.15262982776675127</v>
      </c>
      <c r="O6704" s="2">
        <f ca="1"/>
        <v>0.96853657318277675</v>
      </c>
      <c r="X6704" s="2">
        <f ca="1"/>
        <v>65.969075158463426</v>
      </c>
      <c r="AG6704" s="2">
        <f ca="1"/>
        <v>2.3510972065373226E-2</v>
      </c>
      <c r="AH6704" s="2" t="str">
        <f ca="1"/>
        <v>Good</v>
      </c>
    </row>
    <row r="6705" spans="2:34" x14ac:dyDescent="0.2">
      <c r="B6705" s="2">
        <f ca="1"/>
        <v>0.93931879912193983</v>
      </c>
      <c r="O6705" s="2">
        <f ca="1"/>
        <v>1.0291728762805936</v>
      </c>
      <c r="X6705" s="2">
        <f ca="1"/>
        <v>42.29487285714039</v>
      </c>
      <c r="AG6705" s="2">
        <f ca="1"/>
        <v>0.70254615092881245</v>
      </c>
      <c r="AH6705" s="2" t="str">
        <f ca="1"/>
        <v>Bad</v>
      </c>
    </row>
    <row r="6706" spans="2:34" x14ac:dyDescent="0.2">
      <c r="B6706" s="2">
        <f ca="1"/>
        <v>0.18902622012966619</v>
      </c>
      <c r="O6706" s="2">
        <f ca="1"/>
        <v>-0.38678049281314053</v>
      </c>
      <c r="X6706" s="2">
        <f ca="1"/>
        <v>60.596854799997331</v>
      </c>
      <c r="AG6706" s="2">
        <f ca="1"/>
        <v>0.62839825741265076</v>
      </c>
      <c r="AH6706" s="2" t="str">
        <f ca="1"/>
        <v>Bad</v>
      </c>
    </row>
    <row r="6707" spans="2:34" x14ac:dyDescent="0.2">
      <c r="B6707" s="2">
        <f ca="1"/>
        <v>0.1172705796101956</v>
      </c>
      <c r="O6707" s="2">
        <f ca="1"/>
        <v>0.69664066518388423</v>
      </c>
      <c r="X6707" s="2">
        <f ca="1"/>
        <v>67.187814681191838</v>
      </c>
      <c r="AG6707" s="2">
        <f ca="1"/>
        <v>0.69908336767600932</v>
      </c>
      <c r="AH6707" s="2" t="str">
        <f ca="1"/>
        <v>Bad</v>
      </c>
    </row>
    <row r="6708" spans="2:34" x14ac:dyDescent="0.2">
      <c r="B6708" s="2">
        <f ca="1"/>
        <v>0.14631843384576015</v>
      </c>
      <c r="O6708" s="2">
        <f ca="1"/>
        <v>0.13351562949335774</v>
      </c>
      <c r="X6708" s="2">
        <f ca="1"/>
        <v>65.810916074035958</v>
      </c>
      <c r="AG6708" s="2">
        <f ca="1"/>
        <v>4.6894846232574894E-2</v>
      </c>
      <c r="AH6708" s="2" t="str">
        <f ca="1"/>
        <v>Good</v>
      </c>
    </row>
    <row r="6709" spans="2:34" x14ac:dyDescent="0.2">
      <c r="B6709" s="2">
        <f ca="1"/>
        <v>0.73667863548675983</v>
      </c>
      <c r="O6709" s="2">
        <f ca="1"/>
        <v>0.22027028864738232</v>
      </c>
      <c r="X6709" s="2">
        <f ca="1"/>
        <v>46.847256589678913</v>
      </c>
      <c r="AG6709" s="2">
        <f ca="1"/>
        <v>0.84927640038752372</v>
      </c>
      <c r="AH6709" s="2" t="str">
        <f ca="1"/>
        <v>Bad</v>
      </c>
    </row>
    <row r="6710" spans="2:34" x14ac:dyDescent="0.2">
      <c r="B6710" s="2">
        <f ca="1"/>
        <v>0.49545900343373805</v>
      </c>
      <c r="O6710" s="2">
        <f ca="1"/>
        <v>0.55570423482651254</v>
      </c>
      <c r="X6710" s="2">
        <f ca="1"/>
        <v>34.507129880532482</v>
      </c>
      <c r="AG6710" s="2">
        <f ca="1"/>
        <v>0.83339664926818857</v>
      </c>
      <c r="AH6710" s="2" t="str">
        <f ca="1"/>
        <v>Bad</v>
      </c>
    </row>
    <row r="6711" spans="2:34" x14ac:dyDescent="0.2">
      <c r="B6711" s="2">
        <f ca="1"/>
        <v>0.9749745172792279</v>
      </c>
      <c r="O6711" s="2">
        <f ca="1"/>
        <v>0.6571006034703577</v>
      </c>
      <c r="X6711" s="2">
        <f ca="1"/>
        <v>27.851782465395743</v>
      </c>
      <c r="AG6711" s="2">
        <f ca="1"/>
        <v>7.6750843473473163E-2</v>
      </c>
      <c r="AH6711" s="2" t="str">
        <f ca="1"/>
        <v>OK</v>
      </c>
    </row>
    <row r="6712" spans="2:34" x14ac:dyDescent="0.2">
      <c r="B6712" s="2">
        <f ca="1"/>
        <v>0.77415073415034641</v>
      </c>
      <c r="O6712" s="2">
        <f ca="1"/>
        <v>-1.0865368005378997</v>
      </c>
      <c r="X6712" s="2">
        <f ca="1"/>
        <v>97.882017707782566</v>
      </c>
      <c r="AG6712" s="2">
        <f ca="1"/>
        <v>6.1995615682971073E-2</v>
      </c>
      <c r="AH6712" s="2" t="str">
        <f ca="1"/>
        <v>OK</v>
      </c>
    </row>
    <row r="6713" spans="2:34" x14ac:dyDescent="0.2">
      <c r="B6713" s="2">
        <f ca="1"/>
        <v>0.22748827681840056</v>
      </c>
      <c r="O6713" s="2">
        <f ca="1"/>
        <v>-1.4039269021728487</v>
      </c>
      <c r="X6713" s="2">
        <f ca="1"/>
        <v>28.468330114086598</v>
      </c>
      <c r="AG6713" s="2">
        <f ca="1"/>
        <v>5.9375998006361286E-4</v>
      </c>
      <c r="AH6713" s="2" t="str">
        <f ca="1"/>
        <v>Good</v>
      </c>
    </row>
    <row r="6714" spans="2:34" x14ac:dyDescent="0.2">
      <c r="B6714" s="2">
        <f ca="1"/>
        <v>0.75450905629990106</v>
      </c>
      <c r="O6714" s="2">
        <f ca="1"/>
        <v>-0.4465444106326224</v>
      </c>
      <c r="X6714" s="2">
        <f ca="1"/>
        <v>40.814358362846541</v>
      </c>
      <c r="AG6714" s="2">
        <f ca="1"/>
        <v>0.83851107976763983</v>
      </c>
      <c r="AH6714" s="2" t="str">
        <f ca="1"/>
        <v>Bad</v>
      </c>
    </row>
    <row r="6715" spans="2:34" x14ac:dyDescent="0.2">
      <c r="B6715" s="2">
        <f ca="1"/>
        <v>0.39262890014090668</v>
      </c>
      <c r="O6715" s="2">
        <f ca="1"/>
        <v>-0.15660956476444135</v>
      </c>
      <c r="X6715" s="2">
        <f ca="1"/>
        <v>67.296466654436699</v>
      </c>
      <c r="AG6715" s="2">
        <f ca="1"/>
        <v>0.49205640395153605</v>
      </c>
      <c r="AH6715" s="2" t="str">
        <f ca="1"/>
        <v>Bad</v>
      </c>
    </row>
    <row r="6716" spans="2:34" x14ac:dyDescent="0.2">
      <c r="B6716" s="2">
        <f ca="1"/>
        <v>0.16121532468845712</v>
      </c>
      <c r="O6716" s="2">
        <f ca="1"/>
        <v>-1.8346487396736362</v>
      </c>
      <c r="X6716" s="2">
        <f ca="1"/>
        <v>30.893459500624203</v>
      </c>
      <c r="AG6716" s="2">
        <f ca="1"/>
        <v>0.43344229338106843</v>
      </c>
      <c r="AH6716" s="2" t="str">
        <f ca="1"/>
        <v>Bad</v>
      </c>
    </row>
    <row r="6717" spans="2:34" x14ac:dyDescent="0.2">
      <c r="B6717" s="2">
        <f ca="1"/>
        <v>3.7329375985951208E-2</v>
      </c>
      <c r="O6717" s="2">
        <f ca="1"/>
        <v>-0.33829066847899125</v>
      </c>
      <c r="X6717" s="2">
        <f ca="1"/>
        <v>52.078042586014945</v>
      </c>
      <c r="AG6717" s="2">
        <f ca="1"/>
        <v>0.56997516849080876</v>
      </c>
      <c r="AH6717" s="2" t="str">
        <f ca="1"/>
        <v>Bad</v>
      </c>
    </row>
    <row r="6718" spans="2:34" x14ac:dyDescent="0.2">
      <c r="B6718" s="2">
        <f ca="1"/>
        <v>0.66281780912309674</v>
      </c>
      <c r="O6718" s="2">
        <f ca="1"/>
        <v>-0.68343502833453451</v>
      </c>
      <c r="X6718" s="2">
        <f ca="1"/>
        <v>44.842959447755334</v>
      </c>
      <c r="AG6718" s="2">
        <f ca="1"/>
        <v>0.70547074317998182</v>
      </c>
      <c r="AH6718" s="2" t="str">
        <f ca="1"/>
        <v>Bad</v>
      </c>
    </row>
    <row r="6719" spans="2:34" x14ac:dyDescent="0.2">
      <c r="B6719" s="2">
        <f ca="1"/>
        <v>0.26589438920485287</v>
      </c>
      <c r="O6719" s="2">
        <f ca="1"/>
        <v>0.75978451639443634</v>
      </c>
      <c r="X6719" s="2">
        <f ca="1"/>
        <v>78.23066809791608</v>
      </c>
      <c r="AG6719" s="2">
        <f ca="1"/>
        <v>0.23607967609452474</v>
      </c>
      <c r="AH6719" s="2" t="str">
        <f ca="1"/>
        <v>OK</v>
      </c>
    </row>
    <row r="6720" spans="2:34" x14ac:dyDescent="0.2">
      <c r="B6720" s="2">
        <f ca="1"/>
        <v>0.42240918375940506</v>
      </c>
      <c r="O6720" s="2">
        <f ca="1"/>
        <v>-0.24053850943489591</v>
      </c>
      <c r="X6720" s="2">
        <f ca="1"/>
        <v>44.842272243384933</v>
      </c>
      <c r="AG6720" s="2">
        <f ca="1"/>
        <v>0.63141624445168687</v>
      </c>
      <c r="AH6720" s="2" t="str">
        <f ca="1"/>
        <v>Bad</v>
      </c>
    </row>
    <row r="6721" spans="2:34" x14ac:dyDescent="0.2">
      <c r="B6721" s="2">
        <f ca="1"/>
        <v>1.4460423459465854E-2</v>
      </c>
      <c r="O6721" s="2">
        <f ca="1"/>
        <v>0.46830333351379039</v>
      </c>
      <c r="X6721" s="2">
        <f ca="1"/>
        <v>77.462620220247643</v>
      </c>
      <c r="AG6721" s="2">
        <f ca="1"/>
        <v>0.42072669303882382</v>
      </c>
      <c r="AH6721" s="2" t="str">
        <f ca="1"/>
        <v>Bad</v>
      </c>
    </row>
    <row r="6722" spans="2:34" x14ac:dyDescent="0.2">
      <c r="B6722" s="2">
        <f ca="1"/>
        <v>0.83384510943681867</v>
      </c>
      <c r="O6722" s="2">
        <f ca="1"/>
        <v>1.5544446377164041</v>
      </c>
      <c r="X6722" s="2">
        <f ca="1"/>
        <v>21.886659307467031</v>
      </c>
      <c r="AG6722" s="2">
        <f ca="1"/>
        <v>9.9699545136351597E-2</v>
      </c>
      <c r="AH6722" s="2" t="str">
        <f ca="1"/>
        <v>OK</v>
      </c>
    </row>
    <row r="6723" spans="2:34" x14ac:dyDescent="0.2">
      <c r="B6723" s="2">
        <f ca="1"/>
        <v>0.27671427318526076</v>
      </c>
      <c r="O6723" s="2">
        <f ca="1"/>
        <v>0.18179578092858914</v>
      </c>
      <c r="X6723" s="2">
        <f ca="1"/>
        <v>32.200372206891224</v>
      </c>
      <c r="AG6723" s="2">
        <f ca="1"/>
        <v>0.57617412419755953</v>
      </c>
      <c r="AH6723" s="2" t="str">
        <f ca="1"/>
        <v>Bad</v>
      </c>
    </row>
    <row r="6724" spans="2:34" x14ac:dyDescent="0.2">
      <c r="B6724" s="2">
        <f ca="1"/>
        <v>0.23440061829064085</v>
      </c>
      <c r="O6724" s="2">
        <f ca="1"/>
        <v>-0.23186972454944077</v>
      </c>
      <c r="X6724" s="2">
        <f ca="1"/>
        <v>45.629175307435503</v>
      </c>
      <c r="AG6724" s="2">
        <f ca="1"/>
        <v>0.93490223100848158</v>
      </c>
      <c r="AH6724" s="2" t="str">
        <f ca="1"/>
        <v>Bad</v>
      </c>
    </row>
    <row r="6725" spans="2:34" x14ac:dyDescent="0.2">
      <c r="B6725" s="2">
        <f ca="1"/>
        <v>0.23114748416415876</v>
      </c>
      <c r="O6725" s="2">
        <f ca="1"/>
        <v>-1.6809443773481181</v>
      </c>
      <c r="X6725" s="2">
        <f ca="1"/>
        <v>34.633729816409279</v>
      </c>
      <c r="AG6725" s="2">
        <f ca="1"/>
        <v>0.93408671444079117</v>
      </c>
      <c r="AH6725" s="2" t="str">
        <f ca="1"/>
        <v>Bad</v>
      </c>
    </row>
    <row r="6726" spans="2:34" x14ac:dyDescent="0.2">
      <c r="B6726" s="2">
        <f ca="1"/>
        <v>0.16131657568213642</v>
      </c>
      <c r="O6726" s="2">
        <f ca="1"/>
        <v>0.25445506156173381</v>
      </c>
      <c r="X6726" s="2">
        <f ca="1"/>
        <v>44.943184414995486</v>
      </c>
      <c r="AG6726" s="2">
        <f ca="1"/>
        <v>0.40343272455830004</v>
      </c>
      <c r="AH6726" s="2" t="str">
        <f ca="1"/>
        <v>Bad</v>
      </c>
    </row>
    <row r="6727" spans="2:34" x14ac:dyDescent="0.2">
      <c r="B6727" s="2">
        <f ca="1"/>
        <v>0.65459525781746963</v>
      </c>
      <c r="O6727" s="2">
        <f ca="1"/>
        <v>-0.23164379114334874</v>
      </c>
      <c r="X6727" s="2">
        <f ca="1"/>
        <v>40.581386626002583</v>
      </c>
      <c r="AG6727" s="2">
        <f ca="1"/>
        <v>0.90753843745068208</v>
      </c>
      <c r="AH6727" s="2" t="str">
        <f ca="1"/>
        <v>Bad</v>
      </c>
    </row>
    <row r="6728" spans="2:34" x14ac:dyDescent="0.2">
      <c r="B6728" s="2">
        <f ca="1"/>
        <v>0.30053202121355715</v>
      </c>
      <c r="O6728" s="2">
        <f ca="1"/>
        <v>0.6502177747065222</v>
      </c>
      <c r="X6728" s="2">
        <f ca="1"/>
        <v>28.99948834046484</v>
      </c>
      <c r="AG6728" s="2">
        <f ca="1"/>
        <v>0.4412428860672879</v>
      </c>
      <c r="AH6728" s="2" t="str">
        <f ca="1"/>
        <v>Bad</v>
      </c>
    </row>
    <row r="6729" spans="2:34" x14ac:dyDescent="0.2">
      <c r="B6729" s="2">
        <f ca="1"/>
        <v>0.73672952195379637</v>
      </c>
      <c r="O6729" s="2">
        <f ca="1"/>
        <v>0.61992529412925568</v>
      </c>
      <c r="X6729" s="2">
        <f ca="1"/>
        <v>57.889297489518576</v>
      </c>
      <c r="AG6729" s="2">
        <f ca="1"/>
        <v>0.57572756435761341</v>
      </c>
      <c r="AH6729" s="2" t="str">
        <f ca="1"/>
        <v>Bad</v>
      </c>
    </row>
    <row r="6730" spans="2:34" x14ac:dyDescent="0.2">
      <c r="B6730" s="2">
        <f ca="1"/>
        <v>0.41637904343544019</v>
      </c>
      <c r="O6730" s="2">
        <f ca="1"/>
        <v>0.84053500387266511</v>
      </c>
      <c r="X6730" s="2">
        <f ca="1"/>
        <v>96.820770284849829</v>
      </c>
      <c r="AG6730" s="2">
        <f ca="1"/>
        <v>0.64450954493760571</v>
      </c>
      <c r="AH6730" s="2" t="str">
        <f ca="1"/>
        <v>Bad</v>
      </c>
    </row>
    <row r="6731" spans="2:34" x14ac:dyDescent="0.2">
      <c r="B6731" s="2">
        <f ca="1"/>
        <v>0.57373873696347921</v>
      </c>
      <c r="O6731" s="2">
        <f ca="1"/>
        <v>0.77758531388171637</v>
      </c>
      <c r="X6731" s="2">
        <f ca="1"/>
        <v>43.409742072109779</v>
      </c>
      <c r="AG6731" s="2">
        <f ca="1"/>
        <v>4.0296518532754622E-2</v>
      </c>
      <c r="AH6731" s="2" t="str">
        <f ca="1"/>
        <v>Good</v>
      </c>
    </row>
    <row r="6732" spans="2:34" x14ac:dyDescent="0.2">
      <c r="B6732" s="2">
        <f ca="1"/>
        <v>0.85500267581470113</v>
      </c>
      <c r="O6732" s="2">
        <f ca="1"/>
        <v>0.39568834164689748</v>
      </c>
      <c r="X6732" s="2">
        <f ca="1"/>
        <v>61.003919229320516</v>
      </c>
      <c r="AG6732" s="2">
        <f ca="1"/>
        <v>6.7131688621292707E-2</v>
      </c>
      <c r="AH6732" s="2" t="str">
        <f ca="1"/>
        <v>OK</v>
      </c>
    </row>
    <row r="6733" spans="2:34" x14ac:dyDescent="0.2">
      <c r="B6733" s="2">
        <f ca="1"/>
        <v>8.4695872983711951E-2</v>
      </c>
      <c r="O6733" s="2">
        <f ca="1"/>
        <v>2.467676996409752</v>
      </c>
      <c r="X6733" s="2">
        <f ca="1"/>
        <v>38.034128807923821</v>
      </c>
      <c r="AG6733" s="2">
        <f ca="1"/>
        <v>2.563532647880451E-2</v>
      </c>
      <c r="AH6733" s="2" t="str">
        <f ca="1"/>
        <v>Good</v>
      </c>
    </row>
    <row r="6734" spans="2:34" x14ac:dyDescent="0.2">
      <c r="B6734" s="2">
        <f ca="1"/>
        <v>0.11678277200260334</v>
      </c>
      <c r="O6734" s="2">
        <f ca="1"/>
        <v>0.93039791326808385</v>
      </c>
      <c r="X6734" s="2">
        <f ca="1"/>
        <v>42.827450929089352</v>
      </c>
      <c r="AG6734" s="2">
        <f ca="1"/>
        <v>8.3675075791117326E-2</v>
      </c>
      <c r="AH6734" s="2" t="str">
        <f ca="1"/>
        <v>OK</v>
      </c>
    </row>
    <row r="6735" spans="2:34" x14ac:dyDescent="0.2">
      <c r="B6735" s="2">
        <f ca="1"/>
        <v>0.37309400532407211</v>
      </c>
      <c r="O6735" s="2">
        <f ca="1"/>
        <v>-1.5543546400604438</v>
      </c>
      <c r="X6735" s="2">
        <f ca="1"/>
        <v>22.612667987680059</v>
      </c>
      <c r="AG6735" s="2">
        <f ca="1"/>
        <v>0.79582063150194959</v>
      </c>
      <c r="AH6735" s="2" t="str">
        <f ca="1"/>
        <v>Bad</v>
      </c>
    </row>
    <row r="6736" spans="2:34" x14ac:dyDescent="0.2">
      <c r="B6736" s="2">
        <f ca="1"/>
        <v>0.96638996145947487</v>
      </c>
      <c r="O6736" s="2">
        <f ca="1"/>
        <v>-1.7345903748350895</v>
      </c>
      <c r="X6736" s="2">
        <f ca="1"/>
        <v>53.476785378690707</v>
      </c>
      <c r="AG6736" s="2">
        <f ca="1"/>
        <v>0.42931420055571734</v>
      </c>
      <c r="AH6736" s="2" t="str">
        <f ca="1"/>
        <v>Bad</v>
      </c>
    </row>
    <row r="6737" spans="2:34" x14ac:dyDescent="0.2">
      <c r="B6737" s="2">
        <f ca="1"/>
        <v>0.74346805489493706</v>
      </c>
      <c r="O6737" s="2">
        <f ca="1"/>
        <v>1.5130885091325346</v>
      </c>
      <c r="X6737" s="2">
        <f ca="1"/>
        <v>46.833775994720106</v>
      </c>
      <c r="AG6737" s="2">
        <f ca="1"/>
        <v>0.72401875520364523</v>
      </c>
      <c r="AH6737" s="2" t="str">
        <f ca="1"/>
        <v>Bad</v>
      </c>
    </row>
    <row r="6738" spans="2:34" x14ac:dyDescent="0.2">
      <c r="B6738" s="2">
        <f ca="1"/>
        <v>0.38146224976289322</v>
      </c>
      <c r="O6738" s="2">
        <f ca="1"/>
        <v>-0.61048245861867068</v>
      </c>
      <c r="X6738" s="2">
        <f ca="1"/>
        <v>25.199633928535793</v>
      </c>
      <c r="AG6738" s="2">
        <f ca="1"/>
        <v>0.66536781023761993</v>
      </c>
      <c r="AH6738" s="2" t="str">
        <f ca="1"/>
        <v>Bad</v>
      </c>
    </row>
    <row r="6739" spans="2:34" x14ac:dyDescent="0.2">
      <c r="B6739" s="2">
        <f ca="1"/>
        <v>9.2432529128200436E-2</v>
      </c>
      <c r="O6739" s="2">
        <f ca="1"/>
        <v>4.6723131638891809E-2</v>
      </c>
      <c r="X6739" s="2">
        <f ca="1"/>
        <v>97.449359156255809</v>
      </c>
      <c r="AG6739" s="2">
        <f ca="1"/>
        <v>0.41797136114500155</v>
      </c>
      <c r="AH6739" s="2" t="str">
        <f ca="1"/>
        <v>Bad</v>
      </c>
    </row>
    <row r="6740" spans="2:34" x14ac:dyDescent="0.2">
      <c r="B6740" s="2">
        <f ca="1"/>
        <v>0.27603616908068829</v>
      </c>
      <c r="O6740" s="2">
        <f ca="1"/>
        <v>1.7783618568389621</v>
      </c>
      <c r="X6740" s="2">
        <f ca="1"/>
        <v>46.215005621020218</v>
      </c>
      <c r="AG6740" s="2">
        <f ca="1"/>
        <v>0.32030642521645669</v>
      </c>
      <c r="AH6740" s="2" t="str">
        <f ca="1"/>
        <v>OK</v>
      </c>
    </row>
    <row r="6741" spans="2:34" x14ac:dyDescent="0.2">
      <c r="B6741" s="2">
        <f ca="1"/>
        <v>0.29453507479158247</v>
      </c>
      <c r="O6741" s="2">
        <f ca="1"/>
        <v>1.0427122466685153</v>
      </c>
      <c r="X6741" s="2">
        <f ca="1"/>
        <v>63.015006550400024</v>
      </c>
      <c r="AG6741" s="2">
        <f ca="1"/>
        <v>0.78006289612005442</v>
      </c>
      <c r="AH6741" s="2" t="str">
        <f ca="1"/>
        <v>Bad</v>
      </c>
    </row>
    <row r="6742" spans="2:34" x14ac:dyDescent="0.2">
      <c r="B6742" s="2">
        <f ca="1"/>
        <v>0.79356483605345618</v>
      </c>
      <c r="O6742" s="2">
        <f ca="1"/>
        <v>-0.340360256178174</v>
      </c>
      <c r="X6742" s="2">
        <f ca="1"/>
        <v>64.000423745957519</v>
      </c>
      <c r="AG6742" s="2">
        <f ca="1"/>
        <v>0.13562345828422839</v>
      </c>
      <c r="AH6742" s="2" t="str">
        <f ca="1"/>
        <v>OK</v>
      </c>
    </row>
    <row r="6743" spans="2:34" x14ac:dyDescent="0.2">
      <c r="B6743" s="2">
        <f ca="1"/>
        <v>0.40385181084483257</v>
      </c>
      <c r="O6743" s="2">
        <f ca="1"/>
        <v>-1.3842286566511701</v>
      </c>
      <c r="X6743" s="2">
        <f ca="1"/>
        <v>39.662907971865657</v>
      </c>
      <c r="AG6743" s="2">
        <f ca="1"/>
        <v>0.3081807754347039</v>
      </c>
      <c r="AH6743" s="2" t="str">
        <f ca="1"/>
        <v>OK</v>
      </c>
    </row>
    <row r="6744" spans="2:34" x14ac:dyDescent="0.2">
      <c r="B6744" s="2">
        <f ca="1"/>
        <v>0.64896384259970685</v>
      </c>
      <c r="O6744" s="2">
        <f ca="1"/>
        <v>-0.73917469702990035</v>
      </c>
      <c r="X6744" s="2">
        <f ca="1"/>
        <v>46.748582779804046</v>
      </c>
      <c r="AG6744" s="2">
        <f ca="1"/>
        <v>0.43342066134332757</v>
      </c>
      <c r="AH6744" s="2" t="str">
        <f ca="1"/>
        <v>Bad</v>
      </c>
    </row>
    <row r="6745" spans="2:34" x14ac:dyDescent="0.2">
      <c r="B6745" s="2">
        <f ca="1"/>
        <v>0.94552882920472081</v>
      </c>
      <c r="O6745" s="2">
        <f ca="1"/>
        <v>-1.4055425777199275</v>
      </c>
      <c r="X6745" s="2">
        <f ca="1"/>
        <v>42.820133825158351</v>
      </c>
      <c r="AG6745" s="2">
        <f ca="1"/>
        <v>0.11917118019895701</v>
      </c>
      <c r="AH6745" s="2" t="str">
        <f ca="1"/>
        <v>OK</v>
      </c>
    </row>
    <row r="6746" spans="2:34" x14ac:dyDescent="0.2">
      <c r="B6746" s="2">
        <f ca="1"/>
        <v>0.15374015907131788</v>
      </c>
      <c r="O6746" s="2">
        <f ca="1"/>
        <v>-1.3350753235762145</v>
      </c>
      <c r="X6746" s="2">
        <f ca="1"/>
        <v>64.805796417864912</v>
      </c>
      <c r="AG6746" s="2">
        <f ca="1"/>
        <v>0.10007010848599363</v>
      </c>
      <c r="AH6746" s="2" t="str">
        <f ca="1"/>
        <v>OK</v>
      </c>
    </row>
    <row r="6747" spans="2:34" x14ac:dyDescent="0.2">
      <c r="B6747" s="2">
        <f ca="1"/>
        <v>0.24684798326033608</v>
      </c>
      <c r="O6747" s="2">
        <f ca="1"/>
        <v>-0.89506823102336219</v>
      </c>
      <c r="X6747" s="2">
        <f ca="1"/>
        <v>32.603891769653117</v>
      </c>
      <c r="AG6747" s="2">
        <f ca="1"/>
        <v>0.82989684419936238</v>
      </c>
      <c r="AH6747" s="2" t="str">
        <f ca="1"/>
        <v>Bad</v>
      </c>
    </row>
    <row r="6748" spans="2:34" x14ac:dyDescent="0.2">
      <c r="B6748" s="2">
        <f ca="1"/>
        <v>0.88869453305210255</v>
      </c>
      <c r="O6748" s="2">
        <f ca="1"/>
        <v>-1.8689877871983902</v>
      </c>
      <c r="X6748" s="2">
        <f ca="1"/>
        <v>51.201941400377976</v>
      </c>
      <c r="AG6748" s="2">
        <f ca="1"/>
        <v>0.7348357591917114</v>
      </c>
      <c r="AH6748" s="2" t="str">
        <f ca="1"/>
        <v>Bad</v>
      </c>
    </row>
    <row r="6749" spans="2:34" x14ac:dyDescent="0.2">
      <c r="B6749" s="2">
        <f ca="1"/>
        <v>0.27042865121629922</v>
      </c>
      <c r="O6749" s="2">
        <f ca="1"/>
        <v>2.072982140412678</v>
      </c>
      <c r="X6749" s="2">
        <f ca="1"/>
        <v>34.02039608869385</v>
      </c>
      <c r="AG6749" s="2">
        <f ca="1"/>
        <v>0.38911600474486274</v>
      </c>
      <c r="AH6749" s="2" t="str">
        <f ca="1"/>
        <v>OK</v>
      </c>
    </row>
    <row r="6750" spans="2:34" x14ac:dyDescent="0.2">
      <c r="B6750" s="2">
        <f ca="1"/>
        <v>0.58406692262548821</v>
      </c>
      <c r="O6750" s="2">
        <f ca="1"/>
        <v>-0.41239759834582479</v>
      </c>
      <c r="X6750" s="2">
        <f ca="1"/>
        <v>32.864952746456055</v>
      </c>
      <c r="AG6750" s="2">
        <f ca="1"/>
        <v>0.91052322975218392</v>
      </c>
      <c r="AH6750" s="2" t="str">
        <f ca="1"/>
        <v>Bad</v>
      </c>
    </row>
    <row r="6751" spans="2:34" x14ac:dyDescent="0.2">
      <c r="B6751" s="2">
        <f ca="1"/>
        <v>1.4550727931370799E-2</v>
      </c>
      <c r="O6751" s="2">
        <f ca="1"/>
        <v>-0.51416410939988599</v>
      </c>
      <c r="X6751" s="2">
        <f ca="1"/>
        <v>61.281893821787378</v>
      </c>
      <c r="AG6751" s="2">
        <f ca="1"/>
        <v>0.29071528783870138</v>
      </c>
      <c r="AH6751" s="2" t="str">
        <f ca="1"/>
        <v>OK</v>
      </c>
    </row>
    <row r="6752" spans="2:34" x14ac:dyDescent="0.2">
      <c r="B6752" s="2">
        <f ca="1"/>
        <v>0.82949087832619561</v>
      </c>
      <c r="O6752" s="2">
        <f ca="1"/>
        <v>-0.34752979192440203</v>
      </c>
      <c r="X6752" s="2">
        <f ca="1"/>
        <v>86.318798677179132</v>
      </c>
      <c r="AG6752" s="2">
        <f ca="1"/>
        <v>0.67069103053368662</v>
      </c>
      <c r="AH6752" s="2" t="str">
        <f ca="1"/>
        <v>Bad</v>
      </c>
    </row>
    <row r="6753" spans="2:34" x14ac:dyDescent="0.2">
      <c r="B6753" s="2">
        <f ca="1"/>
        <v>0.74880304834440858</v>
      </c>
      <c r="O6753" s="2">
        <f ca="1"/>
        <v>-0.29170724952124916</v>
      </c>
      <c r="X6753" s="2">
        <f ca="1"/>
        <v>39.379725924357622</v>
      </c>
      <c r="AG6753" s="2">
        <f ca="1"/>
        <v>0.47094011317772377</v>
      </c>
      <c r="AH6753" s="2" t="str">
        <f ca="1"/>
        <v>Bad</v>
      </c>
    </row>
    <row r="6754" spans="2:34" x14ac:dyDescent="0.2">
      <c r="B6754" s="2">
        <f ca="1"/>
        <v>2.6546220015662758E-2</v>
      </c>
      <c r="O6754" s="2">
        <f ca="1"/>
        <v>-1.4221332876618062</v>
      </c>
      <c r="X6754" s="2">
        <f ca="1"/>
        <v>34.046838600797109</v>
      </c>
      <c r="AG6754" s="2">
        <f ca="1"/>
        <v>0.45916540564703334</v>
      </c>
      <c r="AH6754" s="2" t="str">
        <f ca="1"/>
        <v>Bad</v>
      </c>
    </row>
    <row r="6755" spans="2:34" x14ac:dyDescent="0.2">
      <c r="B6755" s="2">
        <f ca="1"/>
        <v>0.85183449883498974</v>
      </c>
      <c r="O6755" s="2">
        <f ca="1"/>
        <v>0.16578235978062875</v>
      </c>
      <c r="X6755" s="2">
        <f ca="1"/>
        <v>48.595752011095257</v>
      </c>
      <c r="AG6755" s="2">
        <f ca="1"/>
        <v>0.35693393495815529</v>
      </c>
      <c r="AH6755" s="2" t="str">
        <f ca="1"/>
        <v>OK</v>
      </c>
    </row>
    <row r="6756" spans="2:34" x14ac:dyDescent="0.2">
      <c r="B6756" s="2">
        <f ca="1"/>
        <v>0.98783749599858051</v>
      </c>
      <c r="O6756" s="2">
        <f ca="1"/>
        <v>-0.66126811998936863</v>
      </c>
      <c r="X6756" s="2">
        <f ca="1"/>
        <v>60.169441816280802</v>
      </c>
      <c r="AG6756" s="2">
        <f ca="1"/>
        <v>0.67993559446043639</v>
      </c>
      <c r="AH6756" s="2" t="str">
        <f ca="1"/>
        <v>Bad</v>
      </c>
    </row>
    <row r="6757" spans="2:34" x14ac:dyDescent="0.2">
      <c r="B6757" s="2">
        <f ca="1"/>
        <v>0.79504176020369077</v>
      </c>
      <c r="O6757" s="2">
        <f ca="1"/>
        <v>-0.35773597711714544</v>
      </c>
      <c r="X6757" s="2">
        <f ca="1"/>
        <v>43.918963171763245</v>
      </c>
      <c r="AG6757" s="2">
        <f ca="1"/>
        <v>0.15268362274489955</v>
      </c>
      <c r="AH6757" s="2" t="str">
        <f ca="1"/>
        <v>OK</v>
      </c>
    </row>
    <row r="6758" spans="2:34" x14ac:dyDescent="0.2">
      <c r="B6758" s="2">
        <f ca="1"/>
        <v>0.83132181366489344</v>
      </c>
      <c r="O6758" s="2">
        <f ca="1"/>
        <v>-0.90091333737235157</v>
      </c>
      <c r="X6758" s="2">
        <f ca="1"/>
        <v>49.861170317404948</v>
      </c>
      <c r="AG6758" s="2">
        <f ca="1"/>
        <v>0.20074844711193096</v>
      </c>
      <c r="AH6758" s="2" t="str">
        <f ca="1"/>
        <v>OK</v>
      </c>
    </row>
    <row r="6759" spans="2:34" x14ac:dyDescent="0.2">
      <c r="B6759" s="2">
        <f ca="1"/>
        <v>0.59275583337693383</v>
      </c>
      <c r="O6759" s="2">
        <f ca="1"/>
        <v>-0.60955561377667677</v>
      </c>
      <c r="X6759" s="2">
        <f ca="1"/>
        <v>68.677266973124645</v>
      </c>
      <c r="AG6759" s="2">
        <f ca="1"/>
        <v>0.46520046616592281</v>
      </c>
      <c r="AH6759" s="2" t="str">
        <f ca="1"/>
        <v>Bad</v>
      </c>
    </row>
    <row r="6760" spans="2:34" x14ac:dyDescent="0.2">
      <c r="B6760" s="2">
        <f ca="1"/>
        <v>0.82013697326137702</v>
      </c>
      <c r="O6760" s="2">
        <f ca="1"/>
        <v>0.1796082367398433</v>
      </c>
      <c r="X6760" s="2">
        <f ca="1"/>
        <v>58.82446755899872</v>
      </c>
      <c r="AG6760" s="2">
        <f ca="1"/>
        <v>0.43118878538176664</v>
      </c>
      <c r="AH6760" s="2" t="str">
        <f ca="1"/>
        <v>Bad</v>
      </c>
    </row>
    <row r="6761" spans="2:34" x14ac:dyDescent="0.2">
      <c r="B6761" s="2">
        <f ca="1"/>
        <v>0.28796015964149491</v>
      </c>
      <c r="O6761" s="2">
        <f ca="1"/>
        <v>-1.0017358494579043</v>
      </c>
      <c r="X6761" s="2">
        <f ca="1"/>
        <v>66.057135548337854</v>
      </c>
      <c r="AG6761" s="2">
        <f ca="1"/>
        <v>0.43485189021059045</v>
      </c>
      <c r="AH6761" s="2" t="str">
        <f ca="1"/>
        <v>Bad</v>
      </c>
    </row>
    <row r="6762" spans="2:34" x14ac:dyDescent="0.2">
      <c r="B6762" s="2">
        <f ca="1"/>
        <v>0.11008905544157632</v>
      </c>
      <c r="O6762" s="2">
        <f ca="1"/>
        <v>0.4821024336164178</v>
      </c>
      <c r="X6762" s="2">
        <f ca="1"/>
        <v>54.337731025930545</v>
      </c>
      <c r="AG6762" s="2">
        <f ca="1"/>
        <v>0.93188192653002222</v>
      </c>
      <c r="AH6762" s="2" t="str">
        <f ca="1"/>
        <v>Bad</v>
      </c>
    </row>
    <row r="6763" spans="2:34" x14ac:dyDescent="0.2">
      <c r="B6763" s="2">
        <f ca="1"/>
        <v>0.90706970454792923</v>
      </c>
      <c r="O6763" s="2">
        <f ca="1"/>
        <v>-1.1549937524375939</v>
      </c>
      <c r="X6763" s="2">
        <f ca="1"/>
        <v>70.847472323689303</v>
      </c>
      <c r="AG6763" s="2">
        <f ca="1"/>
        <v>0.56880183721662725</v>
      </c>
      <c r="AH6763" s="2" t="str">
        <f ca="1"/>
        <v>Bad</v>
      </c>
    </row>
    <row r="6764" spans="2:34" x14ac:dyDescent="0.2">
      <c r="B6764" s="2">
        <f ca="1"/>
        <v>0.33005176530080171</v>
      </c>
      <c r="O6764" s="2">
        <f ca="1"/>
        <v>-0.97803608890517768</v>
      </c>
      <c r="X6764" s="2">
        <f ca="1"/>
        <v>49.800242488559704</v>
      </c>
      <c r="AG6764" s="2">
        <f ca="1"/>
        <v>0.122390265253016</v>
      </c>
      <c r="AH6764" s="2" t="str">
        <f ca="1"/>
        <v>OK</v>
      </c>
    </row>
    <row r="6765" spans="2:34" x14ac:dyDescent="0.2">
      <c r="B6765" s="2">
        <f ca="1"/>
        <v>0.5000037480250854</v>
      </c>
      <c r="O6765" s="2">
        <f ca="1"/>
        <v>-1.5193441243793366</v>
      </c>
      <c r="X6765" s="2">
        <f ca="1"/>
        <v>37.449443287532731</v>
      </c>
      <c r="AG6765" s="2">
        <f ca="1"/>
        <v>0.78040932035870236</v>
      </c>
      <c r="AH6765" s="2" t="str">
        <f ca="1"/>
        <v>Bad</v>
      </c>
    </row>
    <row r="6766" spans="2:34" x14ac:dyDescent="0.2">
      <c r="B6766" s="2">
        <f ca="1"/>
        <v>0.21735438047384359</v>
      </c>
      <c r="O6766" s="2">
        <f ca="1"/>
        <v>-0.57098323717974953</v>
      </c>
      <c r="X6766" s="2">
        <f ca="1"/>
        <v>51.266267855236912</v>
      </c>
      <c r="AG6766" s="2">
        <f ca="1"/>
        <v>0.50863455237035704</v>
      </c>
      <c r="AH6766" s="2" t="str">
        <f ca="1"/>
        <v>Bad</v>
      </c>
    </row>
    <row r="6767" spans="2:34" x14ac:dyDescent="0.2">
      <c r="B6767" s="2">
        <f ca="1"/>
        <v>0.7202200793746405</v>
      </c>
      <c r="O6767" s="2">
        <f ca="1"/>
        <v>0.15205181822443914</v>
      </c>
      <c r="X6767" s="2">
        <f ca="1"/>
        <v>26.293364982458559</v>
      </c>
      <c r="AG6767" s="2">
        <f ca="1"/>
        <v>0.34860004624886232</v>
      </c>
      <c r="AH6767" s="2" t="str">
        <f ca="1"/>
        <v>OK</v>
      </c>
    </row>
    <row r="6768" spans="2:34" x14ac:dyDescent="0.2">
      <c r="B6768" s="2">
        <f ca="1"/>
        <v>0.47752440686275666</v>
      </c>
      <c r="O6768" s="2">
        <f ca="1"/>
        <v>3.9325413246390944E-5</v>
      </c>
      <c r="X6768" s="2">
        <f ca="1"/>
        <v>33.456583386801817</v>
      </c>
      <c r="AG6768" s="2">
        <f ca="1"/>
        <v>0.98150902669316276</v>
      </c>
      <c r="AH6768" s="2" t="str">
        <f ca="1"/>
        <v>Bad</v>
      </c>
    </row>
    <row r="6769" spans="2:34" x14ac:dyDescent="0.2">
      <c r="B6769" s="2">
        <f ca="1"/>
        <v>0.11072452451865211</v>
      </c>
      <c r="O6769" s="2">
        <f ca="1"/>
        <v>0.18911625137489613</v>
      </c>
      <c r="X6769" s="2">
        <f ca="1"/>
        <v>76.427397623017214</v>
      </c>
      <c r="AG6769" s="2">
        <f ca="1"/>
        <v>0.24506927138479462</v>
      </c>
      <c r="AH6769" s="2" t="str">
        <f ca="1"/>
        <v>OK</v>
      </c>
    </row>
    <row r="6770" spans="2:34" x14ac:dyDescent="0.2">
      <c r="B6770" s="2">
        <f ca="1"/>
        <v>0.71481528104973857</v>
      </c>
      <c r="O6770" s="2">
        <f ca="1"/>
        <v>0.47693934698617518</v>
      </c>
      <c r="X6770" s="2">
        <f ca="1"/>
        <v>114.23714223852593</v>
      </c>
      <c r="AG6770" s="2">
        <f ca="1"/>
        <v>0.3858589846545486</v>
      </c>
      <c r="AH6770" s="2" t="str">
        <f ca="1"/>
        <v>OK</v>
      </c>
    </row>
    <row r="6771" spans="2:34" x14ac:dyDescent="0.2">
      <c r="B6771" s="2">
        <f ca="1"/>
        <v>0.80606218496933901</v>
      </c>
      <c r="O6771" s="2">
        <f ca="1"/>
        <v>0.3802580367160458</v>
      </c>
      <c r="X6771" s="2">
        <f ca="1"/>
        <v>51.571195659943669</v>
      </c>
      <c r="AG6771" s="2">
        <f ca="1"/>
        <v>8.6423259898562588E-2</v>
      </c>
      <c r="AH6771" s="2" t="str">
        <f ca="1"/>
        <v>OK</v>
      </c>
    </row>
    <row r="6772" spans="2:34" x14ac:dyDescent="0.2">
      <c r="B6772" s="2">
        <f ca="1"/>
        <v>0.18380303449120827</v>
      </c>
      <c r="O6772" s="2">
        <f ca="1"/>
        <v>-0.65145628053712257</v>
      </c>
      <c r="X6772" s="2">
        <f ca="1"/>
        <v>46.773242173751285</v>
      </c>
      <c r="AG6772" s="2">
        <f ca="1"/>
        <v>8.0442573116693783E-2</v>
      </c>
      <c r="AH6772" s="2" t="str">
        <f ca="1"/>
        <v>OK</v>
      </c>
    </row>
    <row r="6773" spans="2:34" x14ac:dyDescent="0.2">
      <c r="B6773" s="2">
        <f ca="1"/>
        <v>0.98372797334214312</v>
      </c>
      <c r="O6773" s="2">
        <f ca="1"/>
        <v>2.3658988662067113</v>
      </c>
      <c r="X6773" s="2">
        <f ca="1"/>
        <v>51.470883171292492</v>
      </c>
      <c r="AG6773" s="2">
        <f ca="1"/>
        <v>0.88937150704109103</v>
      </c>
      <c r="AH6773" s="2" t="str">
        <f ca="1"/>
        <v>Bad</v>
      </c>
    </row>
    <row r="6774" spans="2:34" x14ac:dyDescent="0.2">
      <c r="B6774" s="2">
        <f ca="1"/>
        <v>0.19197153875737416</v>
      </c>
      <c r="O6774" s="2">
        <f ca="1"/>
        <v>-0.5618797608920002</v>
      </c>
      <c r="X6774" s="2">
        <f ca="1"/>
        <v>52.945474828391539</v>
      </c>
      <c r="AG6774" s="2">
        <f ca="1"/>
        <v>0.32914012760970546</v>
      </c>
      <c r="AH6774" s="2" t="str">
        <f ca="1"/>
        <v>OK</v>
      </c>
    </row>
    <row r="6775" spans="2:34" x14ac:dyDescent="0.2">
      <c r="B6775" s="2">
        <f ca="1"/>
        <v>0.90429730874624892</v>
      </c>
      <c r="O6775" s="2">
        <f ca="1"/>
        <v>1.4129583681141014</v>
      </c>
      <c r="X6775" s="2">
        <f ca="1"/>
        <v>70.843295415589409</v>
      </c>
      <c r="AG6775" s="2">
        <f ca="1"/>
        <v>0.11855142442390454</v>
      </c>
      <c r="AH6775" s="2" t="str">
        <f ca="1"/>
        <v>OK</v>
      </c>
    </row>
    <row r="6776" spans="2:34" x14ac:dyDescent="0.2">
      <c r="B6776" s="2">
        <f ca="1"/>
        <v>0.32028822060881912</v>
      </c>
      <c r="O6776" s="2">
        <f ca="1"/>
        <v>-1.4345845232777439</v>
      </c>
      <c r="X6776" s="2">
        <f ca="1"/>
        <v>45.098763172063066</v>
      </c>
      <c r="AG6776" s="2">
        <f ca="1"/>
        <v>0.12111477376143309</v>
      </c>
      <c r="AH6776" s="2" t="str">
        <f ca="1"/>
        <v>OK</v>
      </c>
    </row>
    <row r="6777" spans="2:34" x14ac:dyDescent="0.2">
      <c r="B6777" s="2">
        <f ca="1"/>
        <v>0.37569898166806404</v>
      </c>
      <c r="O6777" s="2">
        <f ca="1"/>
        <v>-1.3907261093138821</v>
      </c>
      <c r="X6777" s="2">
        <f ca="1"/>
        <v>51.545887955997209</v>
      </c>
      <c r="AG6777" s="2">
        <f ca="1"/>
        <v>0.72891678735525534</v>
      </c>
      <c r="AH6777" s="2" t="str">
        <f ca="1"/>
        <v>Bad</v>
      </c>
    </row>
    <row r="6778" spans="2:34" x14ac:dyDescent="0.2">
      <c r="B6778" s="2">
        <f ca="1"/>
        <v>0.67937618023761215</v>
      </c>
      <c r="O6778" s="2">
        <f ca="1"/>
        <v>0.23755984233350858</v>
      </c>
      <c r="X6778" s="2">
        <f ca="1"/>
        <v>77.043955944716373</v>
      </c>
      <c r="AG6778" s="2">
        <f ca="1"/>
        <v>0.1324239330842325</v>
      </c>
      <c r="AH6778" s="2" t="str">
        <f ca="1"/>
        <v>OK</v>
      </c>
    </row>
    <row r="6779" spans="2:34" x14ac:dyDescent="0.2">
      <c r="B6779" s="2">
        <f ca="1"/>
        <v>1.7153626079985829E-2</v>
      </c>
      <c r="O6779" s="2">
        <f ca="1"/>
        <v>1.9979947031156975</v>
      </c>
      <c r="X6779" s="2">
        <f ca="1"/>
        <v>54.352355647918756</v>
      </c>
      <c r="AG6779" s="2">
        <f ca="1"/>
        <v>0.1771260150162477</v>
      </c>
      <c r="AH6779" s="2" t="str">
        <f ca="1"/>
        <v>OK</v>
      </c>
    </row>
    <row r="6780" spans="2:34" x14ac:dyDescent="0.2">
      <c r="B6780" s="2">
        <f ca="1"/>
        <v>0.41369142779167922</v>
      </c>
      <c r="O6780" s="2">
        <f ca="1"/>
        <v>2.3895505120774172</v>
      </c>
      <c r="X6780" s="2">
        <f ca="1"/>
        <v>61.324573199083446</v>
      </c>
      <c r="AG6780" s="2">
        <f ca="1"/>
        <v>0.7721297462975345</v>
      </c>
      <c r="AH6780" s="2" t="str">
        <f ca="1"/>
        <v>Bad</v>
      </c>
    </row>
    <row r="6781" spans="2:34" x14ac:dyDescent="0.2">
      <c r="B6781" s="2">
        <f ca="1"/>
        <v>0.61937881978620624</v>
      </c>
      <c r="O6781" s="2">
        <f ca="1"/>
        <v>0.45802175450218729</v>
      </c>
      <c r="X6781" s="2">
        <f ca="1"/>
        <v>50.546420449722547</v>
      </c>
      <c r="AG6781" s="2">
        <f ca="1"/>
        <v>0.58776706728055861</v>
      </c>
      <c r="AH6781" s="2" t="str">
        <f ca="1"/>
        <v>Bad</v>
      </c>
    </row>
    <row r="6782" spans="2:34" x14ac:dyDescent="0.2">
      <c r="B6782" s="2">
        <f ca="1"/>
        <v>0.67185578982939465</v>
      </c>
      <c r="O6782" s="2">
        <f ca="1"/>
        <v>0.31380355492392664</v>
      </c>
      <c r="X6782" s="2">
        <f ca="1"/>
        <v>19.355666639453727</v>
      </c>
      <c r="AG6782" s="2">
        <f ca="1"/>
        <v>0.32066380552710672</v>
      </c>
      <c r="AH6782" s="2" t="str">
        <f ca="1"/>
        <v>OK</v>
      </c>
    </row>
    <row r="6783" spans="2:34" x14ac:dyDescent="0.2">
      <c r="B6783" s="2">
        <f ca="1"/>
        <v>0.36495513472745311</v>
      </c>
      <c r="O6783" s="2">
        <f ca="1"/>
        <v>2.2472372835274691E-2</v>
      </c>
      <c r="X6783" s="2">
        <f ca="1"/>
        <v>46.180448498261242</v>
      </c>
      <c r="AG6783" s="2">
        <f ca="1"/>
        <v>0.24291055508775528</v>
      </c>
      <c r="AH6783" s="2" t="str">
        <f ca="1"/>
        <v>OK</v>
      </c>
    </row>
    <row r="6784" spans="2:34" x14ac:dyDescent="0.2">
      <c r="B6784" s="2">
        <f ca="1"/>
        <v>0.8842516416936359</v>
      </c>
      <c r="O6784" s="2">
        <f ca="1"/>
        <v>-0.3087063112193556</v>
      </c>
      <c r="X6784" s="2">
        <f ca="1"/>
        <v>63.451787988628787</v>
      </c>
      <c r="AG6784" s="2">
        <f ca="1"/>
        <v>0.4406289959297145</v>
      </c>
      <c r="AH6784" s="2" t="str">
        <f ca="1"/>
        <v>Bad</v>
      </c>
    </row>
    <row r="6785" spans="2:34" x14ac:dyDescent="0.2">
      <c r="B6785" s="2">
        <f ca="1"/>
        <v>0.85723146157116248</v>
      </c>
      <c r="O6785" s="2">
        <f ca="1"/>
        <v>0.24089805806116371</v>
      </c>
      <c r="X6785" s="2">
        <f ca="1"/>
        <v>59.472127555787964</v>
      </c>
      <c r="AG6785" s="2">
        <f ca="1"/>
        <v>0.79562210515972054</v>
      </c>
      <c r="AH6785" s="2" t="str">
        <f ca="1"/>
        <v>Bad</v>
      </c>
    </row>
    <row r="6786" spans="2:34" x14ac:dyDescent="0.2">
      <c r="B6786" s="2">
        <f ca="1"/>
        <v>1.8469160097402959E-2</v>
      </c>
      <c r="O6786" s="2">
        <f ca="1"/>
        <v>1.5589226065063704</v>
      </c>
      <c r="X6786" s="2">
        <f ca="1"/>
        <v>45.440759452554111</v>
      </c>
      <c r="AG6786" s="2">
        <f ca="1"/>
        <v>9.6692795858301483E-2</v>
      </c>
      <c r="AH6786" s="2" t="str">
        <f ca="1"/>
        <v>OK</v>
      </c>
    </row>
    <row r="6787" spans="2:34" x14ac:dyDescent="0.2">
      <c r="B6787" s="2">
        <f ca="1"/>
        <v>0.73791173888982065</v>
      </c>
      <c r="O6787" s="2">
        <f ca="1"/>
        <v>0.81652905701470524</v>
      </c>
      <c r="X6787" s="2">
        <f ca="1"/>
        <v>82.932532349165186</v>
      </c>
      <c r="AG6787" s="2">
        <f ca="1"/>
        <v>0.43319308837848647</v>
      </c>
      <c r="AH6787" s="2" t="str">
        <f ca="1"/>
        <v>Bad</v>
      </c>
    </row>
    <row r="6788" spans="2:34" x14ac:dyDescent="0.2">
      <c r="B6788" s="2">
        <f ca="1"/>
        <v>9.4034072010575009E-2</v>
      </c>
      <c r="O6788" s="2">
        <f ca="1"/>
        <v>0.75452899275298813</v>
      </c>
      <c r="X6788" s="2">
        <f ca="1"/>
        <v>63.150041894609458</v>
      </c>
      <c r="AG6788" s="2">
        <f ca="1"/>
        <v>0.88154557750885165</v>
      </c>
      <c r="AH6788" s="2" t="str">
        <f ca="1"/>
        <v>Bad</v>
      </c>
    </row>
    <row r="6789" spans="2:34" x14ac:dyDescent="0.2">
      <c r="B6789" s="2">
        <f ca="1"/>
        <v>0.94867994235100017</v>
      </c>
      <c r="O6789" s="2">
        <f ca="1"/>
        <v>0.85846768173531951</v>
      </c>
      <c r="X6789" s="2">
        <f ca="1"/>
        <v>78.08425960788945</v>
      </c>
      <c r="AG6789" s="2">
        <f ca="1"/>
        <v>0.26986113418740376</v>
      </c>
      <c r="AH6789" s="2" t="str">
        <f ca="1"/>
        <v>OK</v>
      </c>
    </row>
    <row r="6790" spans="2:34" x14ac:dyDescent="0.2">
      <c r="B6790" s="2">
        <f ca="1"/>
        <v>0.84967655216936366</v>
      </c>
      <c r="O6790" s="2">
        <f ca="1"/>
        <v>0.42665811105887641</v>
      </c>
      <c r="X6790" s="2">
        <f ca="1"/>
        <v>60.720606403271333</v>
      </c>
      <c r="AG6790" s="2">
        <f ca="1"/>
        <v>0.98895199710736503</v>
      </c>
      <c r="AH6790" s="2" t="str">
        <f ca="1"/>
        <v>Bad</v>
      </c>
    </row>
    <row r="6791" spans="2:34" x14ac:dyDescent="0.2">
      <c r="B6791" s="2">
        <f ca="1"/>
        <v>0.95025478909597583</v>
      </c>
      <c r="O6791" s="2">
        <f ca="1"/>
        <v>-2.8280239231215809E-2</v>
      </c>
      <c r="X6791" s="2">
        <f ca="1"/>
        <v>65.316595706054613</v>
      </c>
      <c r="AG6791" s="2">
        <f ca="1"/>
        <v>0.46788604136273992</v>
      </c>
      <c r="AH6791" s="2" t="str">
        <f ca="1"/>
        <v>Bad</v>
      </c>
    </row>
    <row r="6792" spans="2:34" x14ac:dyDescent="0.2">
      <c r="B6792" s="2">
        <f ca="1"/>
        <v>0.15663004039619866</v>
      </c>
      <c r="O6792" s="2">
        <f ca="1"/>
        <v>0.21491859557466117</v>
      </c>
      <c r="X6792" s="2">
        <f ca="1"/>
        <v>68.759398875744495</v>
      </c>
      <c r="AG6792" s="2">
        <f ca="1"/>
        <v>0.40007630341731559</v>
      </c>
      <c r="AH6792" s="2" t="str">
        <f ca="1"/>
        <v>Bad</v>
      </c>
    </row>
    <row r="6793" spans="2:34" x14ac:dyDescent="0.2">
      <c r="B6793" s="2">
        <f ca="1"/>
        <v>0.81483587338502361</v>
      </c>
      <c r="O6793" s="2">
        <f ca="1"/>
        <v>-0.31828093154221299</v>
      </c>
      <c r="X6793" s="2">
        <f ca="1"/>
        <v>68.509329786902256</v>
      </c>
      <c r="AG6793" s="2">
        <f ca="1"/>
        <v>0.84237007623401583</v>
      </c>
      <c r="AH6793" s="2" t="str">
        <f ca="1"/>
        <v>Bad</v>
      </c>
    </row>
    <row r="6794" spans="2:34" x14ac:dyDescent="0.2">
      <c r="B6794" s="2">
        <f ca="1"/>
        <v>0.78608413091406937</v>
      </c>
      <c r="O6794" s="2">
        <f ca="1"/>
        <v>2.3516679074402931</v>
      </c>
      <c r="X6794" s="2">
        <f ca="1"/>
        <v>27.748481613315292</v>
      </c>
      <c r="AG6794" s="2">
        <f ca="1"/>
        <v>9.2554579604267051E-2</v>
      </c>
      <c r="AH6794" s="2" t="str">
        <f ca="1"/>
        <v>OK</v>
      </c>
    </row>
    <row r="6795" spans="2:34" x14ac:dyDescent="0.2">
      <c r="B6795" s="2">
        <f ca="1"/>
        <v>0.19652557075966004</v>
      </c>
      <c r="O6795" s="2">
        <f ca="1"/>
        <v>-1.0337080079325429</v>
      </c>
      <c r="X6795" s="2">
        <f ca="1"/>
        <v>51.089261441782497</v>
      </c>
      <c r="AG6795" s="2">
        <f ca="1"/>
        <v>0.24398404141326369</v>
      </c>
      <c r="AH6795" s="2" t="str">
        <f ca="1"/>
        <v>OK</v>
      </c>
    </row>
    <row r="6796" spans="2:34" x14ac:dyDescent="0.2">
      <c r="B6796" s="2">
        <f ca="1"/>
        <v>0.66800561587436214</v>
      </c>
      <c r="O6796" s="2">
        <f ca="1"/>
        <v>-1.4137376698670225</v>
      </c>
      <c r="X6796" s="2">
        <f ca="1"/>
        <v>46.116034985480638</v>
      </c>
      <c r="AG6796" s="2">
        <f ca="1"/>
        <v>0.76886006019111086</v>
      </c>
      <c r="AH6796" s="2" t="str">
        <f ca="1"/>
        <v>Bad</v>
      </c>
    </row>
    <row r="6797" spans="2:34" x14ac:dyDescent="0.2">
      <c r="B6797" s="2">
        <f ca="1"/>
        <v>0.94221684285895324</v>
      </c>
      <c r="O6797" s="2">
        <f ca="1"/>
        <v>0.29911277904599998</v>
      </c>
      <c r="X6797" s="2">
        <f ca="1"/>
        <v>37.484553338177953</v>
      </c>
      <c r="AG6797" s="2">
        <f ca="1"/>
        <v>0.51935935614562734</v>
      </c>
      <c r="AH6797" s="2" t="str">
        <f ca="1"/>
        <v>Bad</v>
      </c>
    </row>
    <row r="6798" spans="2:34" x14ac:dyDescent="0.2">
      <c r="B6798" s="2">
        <f ca="1"/>
        <v>0.49564975533042754</v>
      </c>
      <c r="O6798" s="2">
        <f ca="1"/>
        <v>-0.62816573751927218</v>
      </c>
      <c r="X6798" s="2">
        <f ca="1"/>
        <v>36.487440943920106</v>
      </c>
      <c r="AG6798" s="2">
        <f ca="1"/>
        <v>0.80476083422062983</v>
      </c>
      <c r="AH6798" s="2" t="str">
        <f ca="1"/>
        <v>Bad</v>
      </c>
    </row>
    <row r="6799" spans="2:34" x14ac:dyDescent="0.2">
      <c r="B6799" s="2">
        <f ca="1"/>
        <v>0.10501579113809467</v>
      </c>
      <c r="O6799" s="2">
        <f ca="1"/>
        <v>-1.2556675421200088</v>
      </c>
      <c r="X6799" s="2">
        <f ca="1"/>
        <v>99.934469817061739</v>
      </c>
      <c r="AG6799" s="2">
        <f ca="1"/>
        <v>0.42382344173209141</v>
      </c>
      <c r="AH6799" s="2" t="str">
        <f ca="1"/>
        <v>Bad</v>
      </c>
    </row>
    <row r="6800" spans="2:34" x14ac:dyDescent="0.2">
      <c r="B6800" s="2">
        <f ca="1"/>
        <v>0.88422297863473354</v>
      </c>
      <c r="O6800" s="2">
        <f ca="1"/>
        <v>0.34951403401480335</v>
      </c>
      <c r="X6800" s="2">
        <f ca="1"/>
        <v>106.56754683019834</v>
      </c>
      <c r="AG6800" s="2">
        <f ca="1"/>
        <v>0.52312342521133082</v>
      </c>
      <c r="AH6800" s="2" t="str">
        <f ca="1"/>
        <v>Bad</v>
      </c>
    </row>
    <row r="6801" spans="2:34" x14ac:dyDescent="0.2">
      <c r="B6801" s="2">
        <f ca="1"/>
        <v>0.1614384223202272</v>
      </c>
      <c r="O6801" s="2">
        <f ca="1"/>
        <v>-0.48721024572821386</v>
      </c>
      <c r="X6801" s="2">
        <f ca="1"/>
        <v>46.848301359699398</v>
      </c>
      <c r="AG6801" s="2">
        <f ca="1"/>
        <v>0.48411916158443469</v>
      </c>
      <c r="AH6801" s="2" t="str">
        <f ca="1"/>
        <v>Bad</v>
      </c>
    </row>
    <row r="6802" spans="2:34" x14ac:dyDescent="0.2">
      <c r="B6802" s="2">
        <f ca="1"/>
        <v>0.92262419792153771</v>
      </c>
      <c r="O6802" s="2">
        <f ca="1"/>
        <v>0.54903798013581351</v>
      </c>
      <c r="X6802" s="2">
        <f ca="1"/>
        <v>45.340190754987404</v>
      </c>
      <c r="AG6802" s="2">
        <f ca="1"/>
        <v>0.17088535591632259</v>
      </c>
      <c r="AH6802" s="2" t="str">
        <f ca="1"/>
        <v>OK</v>
      </c>
    </row>
    <row r="6803" spans="2:34" x14ac:dyDescent="0.2">
      <c r="B6803" s="2">
        <f ca="1"/>
        <v>1.8807655343469731E-2</v>
      </c>
      <c r="O6803" s="2">
        <f ca="1"/>
        <v>-1.2544247196711844</v>
      </c>
      <c r="X6803" s="2">
        <f ca="1"/>
        <v>17.98377207154395</v>
      </c>
      <c r="AG6803" s="2">
        <f ca="1"/>
        <v>0.30564122046297992</v>
      </c>
      <c r="AH6803" s="2" t="str">
        <f ca="1"/>
        <v>OK</v>
      </c>
    </row>
    <row r="6804" spans="2:34" x14ac:dyDescent="0.2">
      <c r="B6804" s="2">
        <f ca="1"/>
        <v>0.91892735383741697</v>
      </c>
      <c r="O6804" s="2">
        <f ca="1"/>
        <v>7.1565152254533568E-2</v>
      </c>
      <c r="X6804" s="2">
        <f ca="1"/>
        <v>47.769372859469229</v>
      </c>
      <c r="AG6804" s="2">
        <f ca="1"/>
        <v>0.40097278447232609</v>
      </c>
      <c r="AH6804" s="2" t="str">
        <f ca="1"/>
        <v>Bad</v>
      </c>
    </row>
    <row r="6805" spans="2:34" x14ac:dyDescent="0.2">
      <c r="B6805" s="2">
        <f ca="1"/>
        <v>0.16438867972120508</v>
      </c>
      <c r="O6805" s="2">
        <f ca="1"/>
        <v>0.58393299051628822</v>
      </c>
      <c r="X6805" s="2">
        <f ca="1"/>
        <v>29.156703057790931</v>
      </c>
      <c r="AG6805" s="2">
        <f ca="1"/>
        <v>1.5469066493299488E-2</v>
      </c>
      <c r="AH6805" s="2" t="str">
        <f ca="1"/>
        <v>Good</v>
      </c>
    </row>
    <row r="6806" spans="2:34" x14ac:dyDescent="0.2">
      <c r="B6806" s="2">
        <f ca="1"/>
        <v>0.93297908434127774</v>
      </c>
      <c r="O6806" s="2">
        <f ca="1"/>
        <v>-0.19632076298539422</v>
      </c>
      <c r="X6806" s="2">
        <f ca="1"/>
        <v>36.922379144989144</v>
      </c>
      <c r="AG6806" s="2">
        <f ca="1"/>
        <v>0.2543329649884809</v>
      </c>
      <c r="AH6806" s="2" t="str">
        <f ca="1"/>
        <v>OK</v>
      </c>
    </row>
    <row r="6807" spans="2:34" x14ac:dyDescent="0.2">
      <c r="B6807" s="2">
        <f ca="1"/>
        <v>9.0612064259691705E-2</v>
      </c>
      <c r="O6807" s="2">
        <f ca="1"/>
        <v>7.6977509355126719E-2</v>
      </c>
      <c r="X6807" s="2">
        <f ca="1"/>
        <v>38.733366374681509</v>
      </c>
      <c r="AG6807" s="2">
        <f ca="1"/>
        <v>0.40767253932266256</v>
      </c>
      <c r="AH6807" s="2" t="str">
        <f ca="1"/>
        <v>Bad</v>
      </c>
    </row>
    <row r="6808" spans="2:34" x14ac:dyDescent="0.2">
      <c r="B6808" s="2">
        <f ca="1"/>
        <v>0.2295256234302383</v>
      </c>
      <c r="O6808" s="2">
        <f ca="1"/>
        <v>-1.3033499143970515</v>
      </c>
      <c r="X6808" s="2">
        <f ca="1"/>
        <v>35.245263671288797</v>
      </c>
      <c r="AG6808" s="2">
        <f ca="1"/>
        <v>0.85282300736392491</v>
      </c>
      <c r="AH6808" s="2" t="str">
        <f ca="1"/>
        <v>Bad</v>
      </c>
    </row>
    <row r="6809" spans="2:34" x14ac:dyDescent="0.2">
      <c r="B6809" s="2">
        <f ca="1"/>
        <v>0.67835156574510824</v>
      </c>
      <c r="O6809" s="2">
        <f ca="1"/>
        <v>-0.89616683303117717</v>
      </c>
      <c r="X6809" s="2">
        <f ca="1"/>
        <v>44.061572574251564</v>
      </c>
      <c r="AG6809" s="2">
        <f ca="1"/>
        <v>0.6609711937352345</v>
      </c>
      <c r="AH6809" s="2" t="str">
        <f ca="1"/>
        <v>Bad</v>
      </c>
    </row>
    <row r="6810" spans="2:34" x14ac:dyDescent="0.2">
      <c r="B6810" s="2">
        <f ca="1"/>
        <v>0.85782798189390475</v>
      </c>
      <c r="O6810" s="2">
        <f ca="1"/>
        <v>0.67172457434601351</v>
      </c>
      <c r="X6810" s="2">
        <f ca="1"/>
        <v>21.747399139290003</v>
      </c>
      <c r="AG6810" s="2">
        <f ca="1"/>
        <v>1.0804281593182807E-2</v>
      </c>
      <c r="AH6810" s="2" t="str">
        <f ca="1"/>
        <v>Good</v>
      </c>
    </row>
    <row r="6811" spans="2:34" x14ac:dyDescent="0.2">
      <c r="B6811" s="2">
        <f ca="1"/>
        <v>0.21963802678830158</v>
      </c>
      <c r="O6811" s="2">
        <f ca="1"/>
        <v>-0.20067858391867927</v>
      </c>
      <c r="X6811" s="2">
        <f ca="1"/>
        <v>38.11073498525402</v>
      </c>
      <c r="AG6811" s="2">
        <f ca="1"/>
        <v>0.65986545394421614</v>
      </c>
      <c r="AH6811" s="2" t="str">
        <f ca="1"/>
        <v>Bad</v>
      </c>
    </row>
    <row r="6812" spans="2:34" x14ac:dyDescent="0.2">
      <c r="B6812" s="2">
        <f ca="1"/>
        <v>0.43915611324185777</v>
      </c>
      <c r="O6812" s="2">
        <f ca="1"/>
        <v>0.14703480624338883</v>
      </c>
      <c r="X6812" s="2">
        <f ca="1"/>
        <v>52.89518853563586</v>
      </c>
      <c r="AG6812" s="2">
        <f ca="1"/>
        <v>3.6788527287787698E-2</v>
      </c>
      <c r="AH6812" s="2" t="str">
        <f ca="1"/>
        <v>Good</v>
      </c>
    </row>
    <row r="6813" spans="2:34" x14ac:dyDescent="0.2">
      <c r="B6813" s="2">
        <f ca="1"/>
        <v>0.77155521664597448</v>
      </c>
      <c r="O6813" s="2">
        <f ca="1"/>
        <v>-1.4994206506852665</v>
      </c>
      <c r="X6813" s="2">
        <f ca="1"/>
        <v>61.561280549507693</v>
      </c>
      <c r="AG6813" s="2">
        <f ca="1"/>
        <v>0.67162566445550187</v>
      </c>
      <c r="AH6813" s="2" t="str">
        <f ca="1"/>
        <v>Bad</v>
      </c>
    </row>
    <row r="6814" spans="2:34" x14ac:dyDescent="0.2">
      <c r="B6814" s="2">
        <f ca="1"/>
        <v>0.32580040897712315</v>
      </c>
      <c r="O6814" s="2">
        <f ca="1"/>
        <v>1.0857720852044614</v>
      </c>
      <c r="X6814" s="2">
        <f ca="1"/>
        <v>29.255784076830473</v>
      </c>
      <c r="AG6814" s="2">
        <f ca="1"/>
        <v>0.328153255624134</v>
      </c>
      <c r="AH6814" s="2" t="str">
        <f ca="1"/>
        <v>OK</v>
      </c>
    </row>
    <row r="6815" spans="2:34" x14ac:dyDescent="0.2">
      <c r="B6815" s="2">
        <f ca="1"/>
        <v>0.5699894325147723</v>
      </c>
      <c r="O6815" s="2">
        <f ca="1"/>
        <v>0.79946406756359556</v>
      </c>
      <c r="X6815" s="2">
        <f ca="1"/>
        <v>43.022770982290069</v>
      </c>
      <c r="AG6815" s="2">
        <f ca="1"/>
        <v>0.2784541498441282</v>
      </c>
      <c r="AH6815" s="2" t="str">
        <f ca="1"/>
        <v>OK</v>
      </c>
    </row>
    <row r="6816" spans="2:34" x14ac:dyDescent="0.2">
      <c r="B6816" s="2">
        <f ca="1"/>
        <v>0.12008941888065561</v>
      </c>
      <c r="O6816" s="2">
        <f ca="1"/>
        <v>1.5211375215053198</v>
      </c>
      <c r="X6816" s="2">
        <f ca="1"/>
        <v>31.214699889943603</v>
      </c>
      <c r="AG6816" s="2">
        <f ca="1"/>
        <v>0.93385260705503703</v>
      </c>
      <c r="AH6816" s="2" t="str">
        <f ca="1"/>
        <v>Bad</v>
      </c>
    </row>
    <row r="6817" spans="2:34" x14ac:dyDescent="0.2">
      <c r="B6817" s="2">
        <f ca="1"/>
        <v>0.24349080709039472</v>
      </c>
      <c r="O6817" s="2">
        <f ca="1"/>
        <v>1.5662050046931921</v>
      </c>
      <c r="X6817" s="2">
        <f ca="1"/>
        <v>55.91280710753508</v>
      </c>
      <c r="AG6817" s="2">
        <f ca="1"/>
        <v>0.67396601514113574</v>
      </c>
      <c r="AH6817" s="2" t="str">
        <f ca="1"/>
        <v>Bad</v>
      </c>
    </row>
    <row r="6818" spans="2:34" x14ac:dyDescent="0.2">
      <c r="B6818" s="2">
        <f ca="1"/>
        <v>0.91836477750686818</v>
      </c>
      <c r="O6818" s="2">
        <f ca="1"/>
        <v>1.0500050787246984</v>
      </c>
      <c r="X6818" s="2">
        <f ca="1"/>
        <v>65.060774717976869</v>
      </c>
      <c r="AG6818" s="2">
        <f ca="1"/>
        <v>0.95177948941014634</v>
      </c>
      <c r="AH6818" s="2" t="str">
        <f ca="1"/>
        <v>Bad</v>
      </c>
    </row>
    <row r="6819" spans="2:34" x14ac:dyDescent="0.2">
      <c r="B6819" s="2">
        <f ca="1"/>
        <v>0.83808868573727557</v>
      </c>
      <c r="O6819" s="2">
        <f ca="1"/>
        <v>1.0688312029696192</v>
      </c>
      <c r="X6819" s="2">
        <f ca="1"/>
        <v>66.008765099384902</v>
      </c>
      <c r="AG6819" s="2">
        <f ca="1"/>
        <v>0.92238277745313146</v>
      </c>
      <c r="AH6819" s="2" t="str">
        <f ca="1"/>
        <v>Bad</v>
      </c>
    </row>
    <row r="6820" spans="2:34" x14ac:dyDescent="0.2">
      <c r="B6820" s="2">
        <f ca="1"/>
        <v>0.20055251204520785</v>
      </c>
      <c r="O6820" s="2">
        <f ca="1"/>
        <v>0.23426661283617015</v>
      </c>
      <c r="X6820" s="2">
        <f ca="1"/>
        <v>53.406454969630836</v>
      </c>
      <c r="AG6820" s="2">
        <f ca="1"/>
        <v>0.87435189540571878</v>
      </c>
      <c r="AH6820" s="2" t="str">
        <f ca="1"/>
        <v>Bad</v>
      </c>
    </row>
    <row r="6821" spans="2:34" x14ac:dyDescent="0.2">
      <c r="B6821" s="2">
        <f ca="1"/>
        <v>0.36818499795538773</v>
      </c>
      <c r="O6821" s="2">
        <f ca="1"/>
        <v>0.18950578540936772</v>
      </c>
      <c r="X6821" s="2">
        <f ca="1"/>
        <v>64.342437266778958</v>
      </c>
      <c r="AG6821" s="2">
        <f ca="1"/>
        <v>2.9152984325261144E-2</v>
      </c>
      <c r="AH6821" s="2" t="str">
        <f ca="1"/>
        <v>Good</v>
      </c>
    </row>
    <row r="6822" spans="2:34" x14ac:dyDescent="0.2">
      <c r="B6822" s="2">
        <f ca="1"/>
        <v>0.28617102434775021</v>
      </c>
      <c r="O6822" s="2">
        <f ca="1"/>
        <v>-1.5381703611089927</v>
      </c>
      <c r="X6822" s="2">
        <f ca="1"/>
        <v>95.882781956907849</v>
      </c>
      <c r="AG6822" s="2">
        <f ca="1"/>
        <v>0.65070931518506914</v>
      </c>
      <c r="AH6822" s="2" t="str">
        <f ca="1"/>
        <v>Bad</v>
      </c>
    </row>
    <row r="6823" spans="2:34" x14ac:dyDescent="0.2">
      <c r="B6823" s="2">
        <f ca="1"/>
        <v>0.73861280213125591</v>
      </c>
      <c r="O6823" s="2">
        <f ca="1"/>
        <v>-0.50432600847353926</v>
      </c>
      <c r="X6823" s="2">
        <f ca="1"/>
        <v>69.821294751982819</v>
      </c>
      <c r="AG6823" s="2">
        <f ca="1"/>
        <v>0.66625849111591995</v>
      </c>
      <c r="AH6823" s="2" t="str">
        <f ca="1"/>
        <v>Bad</v>
      </c>
    </row>
    <row r="6824" spans="2:34" x14ac:dyDescent="0.2">
      <c r="B6824" s="2">
        <f ca="1"/>
        <v>0.72315706185901063</v>
      </c>
      <c r="O6824" s="2">
        <f ca="1"/>
        <v>-0.39064483778704917</v>
      </c>
      <c r="X6824" s="2">
        <f ca="1"/>
        <v>26.130830789924261</v>
      </c>
      <c r="AG6824" s="2">
        <f ca="1"/>
        <v>0.98687687318541051</v>
      </c>
      <c r="AH6824" s="2" t="str">
        <f ca="1"/>
        <v>Bad</v>
      </c>
    </row>
    <row r="6825" spans="2:34" x14ac:dyDescent="0.2">
      <c r="B6825" s="2">
        <f ca="1"/>
        <v>0.59859622057890194</v>
      </c>
      <c r="O6825" s="2">
        <f ca="1"/>
        <v>-0.22822324147466833</v>
      </c>
      <c r="X6825" s="2">
        <f ca="1"/>
        <v>54.098837933858952</v>
      </c>
      <c r="AG6825" s="2">
        <f ca="1"/>
        <v>0.691149244384474</v>
      </c>
      <c r="AH6825" s="2" t="str">
        <f ca="1"/>
        <v>Bad</v>
      </c>
    </row>
    <row r="6826" spans="2:34" x14ac:dyDescent="0.2">
      <c r="B6826" s="2">
        <f ca="1"/>
        <v>0.10564922613318273</v>
      </c>
      <c r="O6826" s="2">
        <f ca="1"/>
        <v>0.18047191105657656</v>
      </c>
      <c r="X6826" s="2">
        <f ca="1"/>
        <v>74.747660763207264</v>
      </c>
      <c r="AG6826" s="2">
        <f ca="1"/>
        <v>0.77940285766682527</v>
      </c>
      <c r="AH6826" s="2" t="str">
        <f ca="1"/>
        <v>Bad</v>
      </c>
    </row>
    <row r="6827" spans="2:34" x14ac:dyDescent="0.2">
      <c r="B6827" s="2">
        <f ca="1"/>
        <v>1.289175969879186E-2</v>
      </c>
      <c r="O6827" s="2">
        <f ca="1"/>
        <v>0.56445182977079278</v>
      </c>
      <c r="X6827" s="2">
        <f ca="1"/>
        <v>59.261013649738381</v>
      </c>
      <c r="AG6827" s="2">
        <f ca="1"/>
        <v>0.1879047837281167</v>
      </c>
      <c r="AH6827" s="2" t="str">
        <f ca="1"/>
        <v>OK</v>
      </c>
    </row>
    <row r="6828" spans="2:34" x14ac:dyDescent="0.2">
      <c r="B6828" s="2">
        <f ca="1"/>
        <v>0.2335037078676756</v>
      </c>
      <c r="O6828" s="2">
        <f ca="1"/>
        <v>0.89732516851789668</v>
      </c>
      <c r="X6828" s="2">
        <f ca="1"/>
        <v>54.920504685406158</v>
      </c>
      <c r="AG6828" s="2">
        <f ca="1"/>
        <v>1.7976054840502353E-2</v>
      </c>
      <c r="AH6828" s="2" t="str">
        <f ca="1"/>
        <v>Good</v>
      </c>
    </row>
    <row r="6829" spans="2:34" x14ac:dyDescent="0.2">
      <c r="B6829" s="2">
        <f ca="1"/>
        <v>0.9249620676122523</v>
      </c>
      <c r="O6829" s="2">
        <f ca="1"/>
        <v>-0.73867468817740256</v>
      </c>
      <c r="X6829" s="2">
        <f ca="1"/>
        <v>60.853798798525524</v>
      </c>
      <c r="AG6829" s="2">
        <f ca="1"/>
        <v>0.33557187925765342</v>
      </c>
      <c r="AH6829" s="2" t="str">
        <f ca="1"/>
        <v>OK</v>
      </c>
    </row>
    <row r="6830" spans="2:34" x14ac:dyDescent="0.2">
      <c r="B6830" s="2">
        <f ca="1"/>
        <v>0.59240336469460941</v>
      </c>
      <c r="O6830" s="2">
        <f ca="1"/>
        <v>-0.1700902581783276</v>
      </c>
      <c r="X6830" s="2">
        <f ca="1"/>
        <v>70.820896511475695</v>
      </c>
      <c r="AG6830" s="2">
        <f ca="1"/>
        <v>0.13681542756858822</v>
      </c>
      <c r="AH6830" s="2" t="str">
        <f ca="1"/>
        <v>OK</v>
      </c>
    </row>
    <row r="6831" spans="2:34" x14ac:dyDescent="0.2">
      <c r="B6831" s="2">
        <f ca="1"/>
        <v>0.27867950466317781</v>
      </c>
      <c r="O6831" s="2">
        <f ca="1"/>
        <v>-1.0044549374325491</v>
      </c>
      <c r="X6831" s="2">
        <f ca="1"/>
        <v>41.97288368954105</v>
      </c>
      <c r="AG6831" s="2">
        <f ca="1"/>
        <v>0.63013699895117092</v>
      </c>
      <c r="AH6831" s="2" t="str">
        <f ca="1"/>
        <v>Bad</v>
      </c>
    </row>
    <row r="6832" spans="2:34" x14ac:dyDescent="0.2">
      <c r="B6832" s="2">
        <f ca="1"/>
        <v>4.4364015990723038E-2</v>
      </c>
      <c r="O6832" s="2">
        <f ca="1"/>
        <v>-1.5958596491928843</v>
      </c>
      <c r="X6832" s="2">
        <f ca="1"/>
        <v>47.964995248839429</v>
      </c>
      <c r="AG6832" s="2">
        <f ca="1"/>
        <v>0.42102908575474873</v>
      </c>
      <c r="AH6832" s="2" t="str">
        <f ca="1"/>
        <v>Bad</v>
      </c>
    </row>
    <row r="6833" spans="2:34" x14ac:dyDescent="0.2">
      <c r="B6833" s="2">
        <f ca="1"/>
        <v>0.48983342057044554</v>
      </c>
      <c r="O6833" s="2">
        <f ca="1"/>
        <v>6.7185027503190442E-2</v>
      </c>
      <c r="X6833" s="2">
        <f ca="1"/>
        <v>37.154190407780249</v>
      </c>
      <c r="AG6833" s="2">
        <f ca="1"/>
        <v>0.92221793090889093</v>
      </c>
      <c r="AH6833" s="2" t="str">
        <f ca="1"/>
        <v>Bad</v>
      </c>
    </row>
    <row r="6834" spans="2:34" x14ac:dyDescent="0.2">
      <c r="B6834" s="2">
        <f ca="1"/>
        <v>0.99829742645547759</v>
      </c>
      <c r="O6834" s="2">
        <f ca="1"/>
        <v>-0.35728534780206567</v>
      </c>
      <c r="X6834" s="2">
        <f ca="1"/>
        <v>62.99100184044805</v>
      </c>
      <c r="AG6834" s="2">
        <f ca="1"/>
        <v>0.66566097229745735</v>
      </c>
      <c r="AH6834" s="2" t="str">
        <f ca="1"/>
        <v>Bad</v>
      </c>
    </row>
    <row r="6835" spans="2:34" x14ac:dyDescent="0.2">
      <c r="B6835" s="2">
        <f ca="1"/>
        <v>0.23173867112341529</v>
      </c>
      <c r="O6835" s="2">
        <f ca="1"/>
        <v>-1.169028300279767</v>
      </c>
      <c r="X6835" s="2">
        <f ca="1"/>
        <v>38.021620002527811</v>
      </c>
      <c r="AG6835" s="2">
        <f ca="1"/>
        <v>0.57235791347088338</v>
      </c>
      <c r="AH6835" s="2" t="str">
        <f ca="1"/>
        <v>Bad</v>
      </c>
    </row>
    <row r="6836" spans="2:34" x14ac:dyDescent="0.2">
      <c r="B6836" s="2">
        <f ca="1"/>
        <v>0.22913181808481298</v>
      </c>
      <c r="O6836" s="2">
        <f ca="1"/>
        <v>-0.44030621101199297</v>
      </c>
      <c r="X6836" s="2">
        <f ca="1"/>
        <v>42.627386911639832</v>
      </c>
      <c r="AG6836" s="2">
        <f ca="1"/>
        <v>0.42155693232161862</v>
      </c>
      <c r="AH6836" s="2" t="str">
        <f ca="1"/>
        <v>Bad</v>
      </c>
    </row>
    <row r="6837" spans="2:34" x14ac:dyDescent="0.2">
      <c r="B6837" s="2">
        <f ca="1"/>
        <v>0.82910858799113285</v>
      </c>
      <c r="O6837" s="2">
        <f ca="1"/>
        <v>0.81402764873042033</v>
      </c>
      <c r="X6837" s="2">
        <f ca="1"/>
        <v>28.795370849794249</v>
      </c>
      <c r="AG6837" s="2">
        <f ca="1"/>
        <v>0.28328834564629846</v>
      </c>
      <c r="AH6837" s="2" t="str">
        <f ca="1"/>
        <v>OK</v>
      </c>
    </row>
    <row r="6838" spans="2:34" x14ac:dyDescent="0.2">
      <c r="B6838" s="2">
        <f ca="1"/>
        <v>0.64746840125821126</v>
      </c>
      <c r="O6838" s="2">
        <f ca="1"/>
        <v>-0.12745134592794244</v>
      </c>
      <c r="X6838" s="2">
        <f ca="1"/>
        <v>34.711686990876927</v>
      </c>
      <c r="AG6838" s="2">
        <f ca="1"/>
        <v>0.77892784318295849</v>
      </c>
      <c r="AH6838" s="2" t="str">
        <f ca="1"/>
        <v>Bad</v>
      </c>
    </row>
    <row r="6839" spans="2:34" x14ac:dyDescent="0.2">
      <c r="B6839" s="2">
        <f ca="1"/>
        <v>1.8342886329769881E-2</v>
      </c>
      <c r="O6839" s="2">
        <f ca="1"/>
        <v>0.38628708373971321</v>
      </c>
      <c r="X6839" s="2">
        <f ca="1"/>
        <v>49.137155760517565</v>
      </c>
      <c r="AG6839" s="2">
        <f ca="1"/>
        <v>0.23435217592002422</v>
      </c>
      <c r="AH6839" s="2" t="str">
        <f ca="1"/>
        <v>OK</v>
      </c>
    </row>
    <row r="6840" spans="2:34" x14ac:dyDescent="0.2">
      <c r="B6840" s="2">
        <f ca="1"/>
        <v>0.99919860781112702</v>
      </c>
      <c r="O6840" s="2">
        <f ca="1"/>
        <v>0.3177300554853395</v>
      </c>
      <c r="X6840" s="2">
        <f ca="1"/>
        <v>44.780689393211631</v>
      </c>
      <c r="AG6840" s="2">
        <f ca="1"/>
        <v>0.18980011693753696</v>
      </c>
      <c r="AH6840" s="2" t="str">
        <f ca="1"/>
        <v>OK</v>
      </c>
    </row>
    <row r="6841" spans="2:34" x14ac:dyDescent="0.2">
      <c r="B6841" s="2">
        <f ca="1"/>
        <v>0.62632017088195457</v>
      </c>
      <c r="O6841" s="2">
        <f ca="1"/>
        <v>-1.2634036115026279</v>
      </c>
      <c r="X6841" s="2">
        <f ca="1"/>
        <v>29.588339533247957</v>
      </c>
      <c r="AG6841" s="2">
        <f ca="1"/>
        <v>0.50149633755809009</v>
      </c>
      <c r="AH6841" s="2" t="str">
        <f ca="1"/>
        <v>Bad</v>
      </c>
    </row>
    <row r="6842" spans="2:34" x14ac:dyDescent="0.2">
      <c r="B6842" s="2">
        <f ca="1"/>
        <v>0.60297349952982771</v>
      </c>
      <c r="O6842" s="2">
        <f ca="1"/>
        <v>0.87989667087917978</v>
      </c>
      <c r="X6842" s="2">
        <f ca="1"/>
        <v>58.544552852346506</v>
      </c>
      <c r="AG6842" s="2">
        <f ca="1"/>
        <v>0.40733625582361777</v>
      </c>
      <c r="AH6842" s="2" t="str">
        <f ca="1"/>
        <v>Bad</v>
      </c>
    </row>
    <row r="6843" spans="2:34" x14ac:dyDescent="0.2">
      <c r="B6843" s="2">
        <f ca="1"/>
        <v>0.51745827345311302</v>
      </c>
      <c r="O6843" s="2">
        <f ca="1"/>
        <v>-0.38960279807947495</v>
      </c>
      <c r="X6843" s="2">
        <f ca="1"/>
        <v>46.623041477718075</v>
      </c>
      <c r="AG6843" s="2">
        <f ca="1"/>
        <v>0.2345675122679185</v>
      </c>
      <c r="AH6843" s="2" t="str">
        <f ca="1"/>
        <v>OK</v>
      </c>
    </row>
    <row r="6844" spans="2:34" x14ac:dyDescent="0.2">
      <c r="B6844" s="2">
        <f ca="1"/>
        <v>0.19486839386713339</v>
      </c>
      <c r="O6844" s="2">
        <f ca="1"/>
        <v>-0.91642435659668497</v>
      </c>
      <c r="X6844" s="2">
        <f ca="1"/>
        <v>50.702305764439295</v>
      </c>
      <c r="AG6844" s="2">
        <f ca="1"/>
        <v>0.24922911009786231</v>
      </c>
      <c r="AH6844" s="2" t="str">
        <f ca="1"/>
        <v>OK</v>
      </c>
    </row>
    <row r="6845" spans="2:34" x14ac:dyDescent="0.2">
      <c r="B6845" s="2">
        <f ca="1"/>
        <v>0.61084623592027354</v>
      </c>
      <c r="O6845" s="2">
        <f ca="1"/>
        <v>-2.6288403195440728</v>
      </c>
      <c r="X6845" s="2">
        <f ca="1"/>
        <v>64.210075805872933</v>
      </c>
      <c r="AG6845" s="2">
        <f ca="1"/>
        <v>8.3234116441577299E-3</v>
      </c>
      <c r="AH6845" s="2" t="str">
        <f ca="1"/>
        <v>Good</v>
      </c>
    </row>
    <row r="6846" spans="2:34" x14ac:dyDescent="0.2">
      <c r="B6846" s="2">
        <f ca="1"/>
        <v>0.41513747289203562</v>
      </c>
      <c r="O6846" s="2">
        <f ca="1"/>
        <v>0.89558535154312224</v>
      </c>
      <c r="X6846" s="2">
        <f ca="1"/>
        <v>75.751532700373275</v>
      </c>
      <c r="AG6846" s="2">
        <f ca="1"/>
        <v>5.2587641356065307E-2</v>
      </c>
      <c r="AH6846" s="2" t="str">
        <f ca="1"/>
        <v>OK</v>
      </c>
    </row>
    <row r="6847" spans="2:34" x14ac:dyDescent="0.2">
      <c r="B6847" s="2">
        <f ca="1"/>
        <v>0.22746276170201218</v>
      </c>
      <c r="O6847" s="2">
        <f ca="1"/>
        <v>-1.4581515767661479</v>
      </c>
      <c r="X6847" s="2">
        <f ca="1"/>
        <v>63.077552778386206</v>
      </c>
      <c r="AG6847" s="2">
        <f ca="1"/>
        <v>0.99452681624265837</v>
      </c>
      <c r="AH6847" s="2" t="str">
        <f ca="1"/>
        <v>Bad</v>
      </c>
    </row>
    <row r="6848" spans="2:34" x14ac:dyDescent="0.2">
      <c r="B6848" s="2">
        <f ca="1"/>
        <v>0.21081546754974934</v>
      </c>
      <c r="O6848" s="2">
        <f ca="1"/>
        <v>0.87801033847359544</v>
      </c>
      <c r="X6848" s="2">
        <f ca="1"/>
        <v>38.091287897327767</v>
      </c>
      <c r="AG6848" s="2">
        <f ca="1"/>
        <v>0.70485177062459958</v>
      </c>
      <c r="AH6848" s="2" t="str">
        <f ca="1"/>
        <v>Bad</v>
      </c>
    </row>
    <row r="6849" spans="2:34" x14ac:dyDescent="0.2">
      <c r="B6849" s="2">
        <f ca="1"/>
        <v>0.62812102131470926</v>
      </c>
      <c r="O6849" s="2">
        <f ca="1"/>
        <v>0.33459103575427096</v>
      </c>
      <c r="X6849" s="2">
        <f ca="1"/>
        <v>56.595157420901245</v>
      </c>
      <c r="AG6849" s="2">
        <f ca="1"/>
        <v>0.74321490153361025</v>
      </c>
      <c r="AH6849" s="2" t="str">
        <f ca="1"/>
        <v>Bad</v>
      </c>
    </row>
    <row r="6850" spans="2:34" x14ac:dyDescent="0.2">
      <c r="B6850" s="2">
        <f ca="1"/>
        <v>0.29266699344656555</v>
      </c>
      <c r="O6850" s="2">
        <f ca="1"/>
        <v>-1.7807739863455159</v>
      </c>
      <c r="X6850" s="2">
        <f ca="1"/>
        <v>55.565699331904391</v>
      </c>
      <c r="AG6850" s="2">
        <f ca="1"/>
        <v>0.89610634261665778</v>
      </c>
      <c r="AH6850" s="2" t="str">
        <f ca="1"/>
        <v>Bad</v>
      </c>
    </row>
    <row r="6851" spans="2:34" x14ac:dyDescent="0.2">
      <c r="B6851" s="2">
        <f ca="1"/>
        <v>0.6381424935698643</v>
      </c>
      <c r="O6851" s="2">
        <f ca="1"/>
        <v>-0.109556639564587</v>
      </c>
      <c r="X6851" s="2">
        <f ca="1"/>
        <v>60.191122890472066</v>
      </c>
      <c r="AG6851" s="2">
        <f ca="1"/>
        <v>0.89418815013184472</v>
      </c>
      <c r="AH6851" s="2" t="str">
        <f ca="1"/>
        <v>Bad</v>
      </c>
    </row>
    <row r="6852" spans="2:34" x14ac:dyDescent="0.2">
      <c r="B6852" s="2">
        <f ca="1"/>
        <v>0.62597905345177129</v>
      </c>
      <c r="O6852" s="2">
        <f ca="1"/>
        <v>0.73939966220235687</v>
      </c>
      <c r="X6852" s="2">
        <f ca="1"/>
        <v>46.445082802758179</v>
      </c>
      <c r="AG6852" s="2">
        <f ca="1"/>
        <v>0.63288807699257887</v>
      </c>
      <c r="AH6852" s="2" t="str">
        <f ca="1"/>
        <v>Bad</v>
      </c>
    </row>
    <row r="6853" spans="2:34" x14ac:dyDescent="0.2">
      <c r="B6853" s="2">
        <f ca="1"/>
        <v>4.0181040942635082E-2</v>
      </c>
      <c r="O6853" s="2">
        <f ca="1"/>
        <v>1.6375670393129167E-2</v>
      </c>
      <c r="X6853" s="2">
        <f ca="1"/>
        <v>52.971618681395505</v>
      </c>
      <c r="AG6853" s="2">
        <f ca="1"/>
        <v>0.6011938928889653</v>
      </c>
      <c r="AH6853" s="2" t="str">
        <f ca="1"/>
        <v>Bad</v>
      </c>
    </row>
    <row r="6854" spans="2:34" x14ac:dyDescent="0.2">
      <c r="B6854" s="2">
        <f ca="1"/>
        <v>0.50207270298804407</v>
      </c>
      <c r="O6854" s="2">
        <f ca="1"/>
        <v>0.49623059001433201</v>
      </c>
      <c r="X6854" s="2">
        <f ca="1"/>
        <v>57.447777383898043</v>
      </c>
      <c r="AG6854" s="2">
        <f ca="1"/>
        <v>0.41030225408739973</v>
      </c>
      <c r="AH6854" s="2" t="str">
        <f ca="1"/>
        <v>Bad</v>
      </c>
    </row>
    <row r="6855" spans="2:34" x14ac:dyDescent="0.2">
      <c r="B6855" s="2">
        <f ca="1"/>
        <v>0.44028053049626714</v>
      </c>
      <c r="O6855" s="2">
        <f ca="1"/>
        <v>1.8694553224584773</v>
      </c>
      <c r="X6855" s="2">
        <f ca="1"/>
        <v>44.726518859044248</v>
      </c>
      <c r="AG6855" s="2">
        <f ca="1"/>
        <v>8.55287367825599E-2</v>
      </c>
      <c r="AH6855" s="2" t="str">
        <f ca="1"/>
        <v>OK</v>
      </c>
    </row>
    <row r="6856" spans="2:34" x14ac:dyDescent="0.2">
      <c r="B6856" s="2">
        <f ca="1"/>
        <v>0.40854696565032422</v>
      </c>
      <c r="O6856" s="2">
        <f ca="1"/>
        <v>0.12356718653027407</v>
      </c>
      <c r="X6856" s="2">
        <f ca="1"/>
        <v>92.728722862887167</v>
      </c>
      <c r="AG6856" s="2">
        <f ca="1"/>
        <v>0.1233641702240067</v>
      </c>
      <c r="AH6856" s="2" t="str">
        <f ca="1"/>
        <v>OK</v>
      </c>
    </row>
    <row r="6857" spans="2:34" x14ac:dyDescent="0.2">
      <c r="B6857" s="2">
        <f ca="1"/>
        <v>0.61236243613101315</v>
      </c>
      <c r="O6857" s="2">
        <f ca="1"/>
        <v>1.1606336964908075</v>
      </c>
      <c r="X6857" s="2">
        <f ca="1"/>
        <v>56.038463023182288</v>
      </c>
      <c r="AG6857" s="2">
        <f ca="1"/>
        <v>0.26357457705604781</v>
      </c>
      <c r="AH6857" s="2" t="str">
        <f ca="1"/>
        <v>OK</v>
      </c>
    </row>
    <row r="6858" spans="2:34" x14ac:dyDescent="0.2">
      <c r="B6858" s="2">
        <f ca="1"/>
        <v>0.71964066684642103</v>
      </c>
      <c r="O6858" s="2">
        <f ca="1"/>
        <v>0.76276967989206967</v>
      </c>
      <c r="X6858" s="2">
        <f ca="1"/>
        <v>50.497321759847011</v>
      </c>
      <c r="AG6858" s="2">
        <f ca="1"/>
        <v>0.67681692166601159</v>
      </c>
      <c r="AH6858" s="2" t="str">
        <f ca="1"/>
        <v>Bad</v>
      </c>
    </row>
    <row r="6859" spans="2:34" x14ac:dyDescent="0.2">
      <c r="B6859" s="2">
        <f ca="1"/>
        <v>0.24932407909456722</v>
      </c>
      <c r="O6859" s="2">
        <f ca="1"/>
        <v>-0.71689941140626723</v>
      </c>
      <c r="X6859" s="2">
        <f ca="1"/>
        <v>22.747970795776386</v>
      </c>
      <c r="AG6859" s="2">
        <f ca="1"/>
        <v>0.11582215681676034</v>
      </c>
      <c r="AH6859" s="2" t="str">
        <f ca="1"/>
        <v>OK</v>
      </c>
    </row>
    <row r="6860" spans="2:34" x14ac:dyDescent="0.2">
      <c r="B6860" s="2">
        <f ca="1"/>
        <v>6.0844362322156398E-2</v>
      </c>
      <c r="O6860" s="2">
        <f ca="1"/>
        <v>-0.86878091102659616</v>
      </c>
      <c r="X6860" s="2">
        <f ca="1"/>
        <v>51.631364725764527</v>
      </c>
      <c r="AG6860" s="2">
        <f ca="1"/>
        <v>0.60901953919684626</v>
      </c>
      <c r="AH6860" s="2" t="str">
        <f ca="1"/>
        <v>Bad</v>
      </c>
    </row>
    <row r="6861" spans="2:34" x14ac:dyDescent="0.2">
      <c r="B6861" s="2">
        <f ca="1"/>
        <v>0.6650619220799423</v>
      </c>
      <c r="O6861" s="2">
        <f ca="1"/>
        <v>-6.8815399164504826E-2</v>
      </c>
      <c r="X6861" s="2">
        <f ca="1"/>
        <v>84.224270269365476</v>
      </c>
      <c r="AG6861" s="2">
        <f ca="1"/>
        <v>3.5692215551629047E-2</v>
      </c>
      <c r="AH6861" s="2" t="str">
        <f ca="1"/>
        <v>Good</v>
      </c>
    </row>
    <row r="6862" spans="2:34" x14ac:dyDescent="0.2">
      <c r="B6862" s="2">
        <f ca="1"/>
        <v>0.1606354644487864</v>
      </c>
      <c r="O6862" s="2">
        <f ca="1"/>
        <v>-0.52467169991733142</v>
      </c>
      <c r="X6862" s="2">
        <f ca="1"/>
        <v>56.452236114364609</v>
      </c>
      <c r="AG6862" s="2">
        <f ca="1"/>
        <v>0.58073293223714728</v>
      </c>
      <c r="AH6862" s="2" t="str">
        <f ca="1"/>
        <v>Bad</v>
      </c>
    </row>
    <row r="6863" spans="2:34" x14ac:dyDescent="0.2">
      <c r="B6863" s="2">
        <f ca="1"/>
        <v>1.421429857554779E-3</v>
      </c>
      <c r="O6863" s="2">
        <f ca="1"/>
        <v>6.4291369715491334E-2</v>
      </c>
      <c r="X6863" s="2">
        <f ca="1"/>
        <v>33.473991816399725</v>
      </c>
      <c r="AG6863" s="2">
        <f ca="1"/>
        <v>8.2991693984213022E-2</v>
      </c>
      <c r="AH6863" s="2" t="str">
        <f ca="1"/>
        <v>OK</v>
      </c>
    </row>
    <row r="6864" spans="2:34" x14ac:dyDescent="0.2">
      <c r="B6864" s="2">
        <f ca="1"/>
        <v>0.19040397836042433</v>
      </c>
      <c r="O6864" s="2">
        <f ca="1"/>
        <v>1.0913850589468632</v>
      </c>
      <c r="X6864" s="2">
        <f ca="1"/>
        <v>57.801839899247696</v>
      </c>
      <c r="AG6864" s="2">
        <f ca="1"/>
        <v>0.55427864633188828</v>
      </c>
      <c r="AH6864" s="2" t="str">
        <f ca="1"/>
        <v>Bad</v>
      </c>
    </row>
    <row r="6865" spans="2:34" x14ac:dyDescent="0.2">
      <c r="B6865" s="2">
        <f ca="1"/>
        <v>0.44702456618702913</v>
      </c>
      <c r="O6865" s="2">
        <f ca="1"/>
        <v>0.54139286483050963</v>
      </c>
      <c r="X6865" s="2">
        <f ca="1"/>
        <v>31.814270108538842</v>
      </c>
      <c r="AG6865" s="2">
        <f ca="1"/>
        <v>0.63158743283302843</v>
      </c>
      <c r="AH6865" s="2" t="str">
        <f ca="1"/>
        <v>Bad</v>
      </c>
    </row>
    <row r="6866" spans="2:34" x14ac:dyDescent="0.2">
      <c r="B6866" s="2">
        <f ca="1"/>
        <v>0.7462785366290543</v>
      </c>
      <c r="O6866" s="2">
        <f ca="1"/>
        <v>-1.7702804350227455</v>
      </c>
      <c r="X6866" s="2">
        <f ca="1"/>
        <v>52.094528928463184</v>
      </c>
      <c r="AG6866" s="2">
        <f ca="1"/>
        <v>0.28484812191522391</v>
      </c>
      <c r="AH6866" s="2" t="str">
        <f ca="1"/>
        <v>OK</v>
      </c>
    </row>
    <row r="6867" spans="2:34" x14ac:dyDescent="0.2">
      <c r="B6867" s="2">
        <f ca="1"/>
        <v>0.19229614142507678</v>
      </c>
      <c r="O6867" s="2">
        <f ca="1"/>
        <v>0.49880031900069866</v>
      </c>
      <c r="X6867" s="2">
        <f ca="1"/>
        <v>65.85372947457293</v>
      </c>
      <c r="AG6867" s="2">
        <f ca="1"/>
        <v>0.88093460801599632</v>
      </c>
      <c r="AH6867" s="2" t="str">
        <f ca="1"/>
        <v>Bad</v>
      </c>
    </row>
    <row r="6868" spans="2:34" x14ac:dyDescent="0.2">
      <c r="B6868" s="2">
        <f ca="1"/>
        <v>0.70116532652270291</v>
      </c>
      <c r="O6868" s="2">
        <f ca="1"/>
        <v>0.25898774601466007</v>
      </c>
      <c r="X6868" s="2">
        <f ca="1"/>
        <v>21.181782352834748</v>
      </c>
      <c r="AG6868" s="2">
        <f ca="1"/>
        <v>0.71116592416247504</v>
      </c>
      <c r="AH6868" s="2" t="str">
        <f ca="1"/>
        <v>Bad</v>
      </c>
    </row>
    <row r="6869" spans="2:34" x14ac:dyDescent="0.2">
      <c r="B6869" s="2">
        <f ca="1"/>
        <v>0.77788711201580796</v>
      </c>
      <c r="O6869" s="2">
        <f ca="1"/>
        <v>1.4201087586916636</v>
      </c>
      <c r="X6869" s="2">
        <f ca="1"/>
        <v>34.868756297614269</v>
      </c>
      <c r="AG6869" s="2">
        <f ca="1"/>
        <v>0.37811111932610642</v>
      </c>
      <c r="AH6869" s="2" t="str">
        <f ca="1"/>
        <v>OK</v>
      </c>
    </row>
    <row r="6870" spans="2:34" x14ac:dyDescent="0.2">
      <c r="B6870" s="2">
        <f ca="1"/>
        <v>0.827090635030304</v>
      </c>
      <c r="O6870" s="2">
        <f ca="1"/>
        <v>-2.3200499701907304</v>
      </c>
      <c r="X6870" s="2">
        <f ca="1"/>
        <v>61.516575082507082</v>
      </c>
      <c r="AG6870" s="2">
        <f ca="1"/>
        <v>0.62073639636372735</v>
      </c>
      <c r="AH6870" s="2" t="str">
        <f ca="1"/>
        <v>Bad</v>
      </c>
    </row>
    <row r="6871" spans="2:34" x14ac:dyDescent="0.2">
      <c r="B6871" s="2">
        <f ca="1"/>
        <v>0.17512447402738474</v>
      </c>
      <c r="O6871" s="2">
        <f ca="1"/>
        <v>0.19642334979451134</v>
      </c>
      <c r="X6871" s="2">
        <f ca="1"/>
        <v>32.849844331879027</v>
      </c>
      <c r="AG6871" s="2">
        <f ca="1"/>
        <v>4.0479292354772101E-2</v>
      </c>
      <c r="AH6871" s="2" t="str">
        <f ca="1"/>
        <v>Good</v>
      </c>
    </row>
    <row r="6872" spans="2:34" x14ac:dyDescent="0.2">
      <c r="B6872" s="2">
        <f ca="1"/>
        <v>0.47156251209801159</v>
      </c>
      <c r="O6872" s="2">
        <f ca="1"/>
        <v>-0.80536918546717062</v>
      </c>
      <c r="X6872" s="2">
        <f ca="1"/>
        <v>61.158936457863518</v>
      </c>
      <c r="AG6872" s="2">
        <f ca="1"/>
        <v>0.73303678907771963</v>
      </c>
      <c r="AH6872" s="2" t="str">
        <f ca="1"/>
        <v>Bad</v>
      </c>
    </row>
    <row r="6873" spans="2:34" x14ac:dyDescent="0.2">
      <c r="B6873" s="2">
        <f ca="1"/>
        <v>0.82595760241956584</v>
      </c>
      <c r="O6873" s="2">
        <f ca="1"/>
        <v>-1.5369884812375167</v>
      </c>
      <c r="X6873" s="2">
        <f ca="1"/>
        <v>56.42242589795984</v>
      </c>
      <c r="AG6873" s="2">
        <f ca="1"/>
        <v>0.1250159008583227</v>
      </c>
      <c r="AH6873" s="2" t="str">
        <f ca="1"/>
        <v>OK</v>
      </c>
    </row>
    <row r="6874" spans="2:34" x14ac:dyDescent="0.2">
      <c r="B6874" s="2">
        <f ca="1"/>
        <v>0.23952328845223847</v>
      </c>
      <c r="O6874" s="2">
        <f ca="1"/>
        <v>0.21913894047990556</v>
      </c>
      <c r="X6874" s="2">
        <f ca="1"/>
        <v>29.118323158590805</v>
      </c>
      <c r="AG6874" s="2">
        <f ca="1"/>
        <v>0.78366768890915783</v>
      </c>
      <c r="AH6874" s="2" t="str">
        <f ca="1"/>
        <v>Bad</v>
      </c>
    </row>
    <row r="6875" spans="2:34" x14ac:dyDescent="0.2">
      <c r="B6875" s="2">
        <f ca="1"/>
        <v>0.66105098388150085</v>
      </c>
      <c r="O6875" s="2">
        <f ca="1"/>
        <v>1.6123227671995859</v>
      </c>
      <c r="X6875" s="2">
        <f ca="1"/>
        <v>33.90401689447053</v>
      </c>
      <c r="AG6875" s="2">
        <f ca="1"/>
        <v>0.38785793529677171</v>
      </c>
      <c r="AH6875" s="2" t="str">
        <f ca="1"/>
        <v>OK</v>
      </c>
    </row>
    <row r="6876" spans="2:34" x14ac:dyDescent="0.2">
      <c r="B6876" s="2">
        <f ca="1"/>
        <v>0.21277313472626136</v>
      </c>
      <c r="O6876" s="2">
        <f ca="1"/>
        <v>-6.4271619302865096E-2</v>
      </c>
      <c r="X6876" s="2">
        <f ca="1"/>
        <v>28.973090198067503</v>
      </c>
      <c r="AG6876" s="2">
        <f ca="1"/>
        <v>0.56863771018219378</v>
      </c>
      <c r="AH6876" s="2" t="str">
        <f ca="1"/>
        <v>Bad</v>
      </c>
    </row>
    <row r="6877" spans="2:34" x14ac:dyDescent="0.2">
      <c r="B6877" s="2">
        <f ca="1"/>
        <v>0.5523156092599748</v>
      </c>
      <c r="O6877" s="2">
        <f ca="1"/>
        <v>1.6275940852750537</v>
      </c>
      <c r="X6877" s="2">
        <f ca="1"/>
        <v>19.309271119900636</v>
      </c>
      <c r="AG6877" s="2">
        <f ca="1"/>
        <v>0.41109803203857309</v>
      </c>
      <c r="AH6877" s="2" t="str">
        <f ca="1"/>
        <v>Bad</v>
      </c>
    </row>
    <row r="6878" spans="2:34" x14ac:dyDescent="0.2">
      <c r="B6878" s="2">
        <f ca="1"/>
        <v>0.18124523098796241</v>
      </c>
      <c r="O6878" s="2">
        <f ca="1"/>
        <v>-0.42123820555291325</v>
      </c>
      <c r="X6878" s="2">
        <f ca="1"/>
        <v>42.968090585297382</v>
      </c>
      <c r="AG6878" s="2">
        <f ca="1"/>
        <v>0.73701537819509477</v>
      </c>
      <c r="AH6878" s="2" t="str">
        <f ca="1"/>
        <v>Bad</v>
      </c>
    </row>
    <row r="6879" spans="2:34" x14ac:dyDescent="0.2">
      <c r="B6879" s="2">
        <f ca="1"/>
        <v>5.9421551179303256E-2</v>
      </c>
      <c r="O6879" s="2">
        <f ca="1"/>
        <v>0.44931177431336428</v>
      </c>
      <c r="X6879" s="2">
        <f ca="1"/>
        <v>41.935387723971154</v>
      </c>
      <c r="AG6879" s="2">
        <f ca="1"/>
        <v>0.2394163178322819</v>
      </c>
      <c r="AH6879" s="2" t="str">
        <f ca="1"/>
        <v>OK</v>
      </c>
    </row>
    <row r="6880" spans="2:34" x14ac:dyDescent="0.2">
      <c r="B6880" s="2">
        <f ca="1"/>
        <v>0.22487749625859155</v>
      </c>
      <c r="O6880" s="2">
        <f ca="1"/>
        <v>-2.0121780032984913</v>
      </c>
      <c r="X6880" s="2">
        <f ca="1"/>
        <v>76.574378806064743</v>
      </c>
      <c r="AG6880" s="2">
        <f ca="1"/>
        <v>0.35634631320095678</v>
      </c>
      <c r="AH6880" s="2" t="str">
        <f ca="1"/>
        <v>OK</v>
      </c>
    </row>
    <row r="6881" spans="2:34" x14ac:dyDescent="0.2">
      <c r="B6881" s="2">
        <f ca="1"/>
        <v>0.60641700982107993</v>
      </c>
      <c r="O6881" s="2">
        <f ca="1"/>
        <v>-0.40718212463865594</v>
      </c>
      <c r="X6881" s="2">
        <f ca="1"/>
        <v>57.802763355829399</v>
      </c>
      <c r="AG6881" s="2">
        <f ca="1"/>
        <v>3.00714274108278E-2</v>
      </c>
      <c r="AH6881" s="2" t="str">
        <f ca="1"/>
        <v>Good</v>
      </c>
    </row>
    <row r="6882" spans="2:34" x14ac:dyDescent="0.2">
      <c r="B6882" s="2">
        <f ca="1"/>
        <v>0.48473262629213032</v>
      </c>
      <c r="O6882" s="2">
        <f ca="1"/>
        <v>7.7438278777176919E-2</v>
      </c>
      <c r="X6882" s="2">
        <f ca="1"/>
        <v>76.236842266743849</v>
      </c>
      <c r="AG6882" s="2">
        <f ca="1"/>
        <v>9.4369371473146391E-2</v>
      </c>
      <c r="AH6882" s="2" t="str">
        <f ca="1"/>
        <v>OK</v>
      </c>
    </row>
    <row r="6883" spans="2:34" x14ac:dyDescent="0.2">
      <c r="B6883" s="2">
        <f ca="1"/>
        <v>0.87623390112436472</v>
      </c>
      <c r="O6883" s="2">
        <f ca="1"/>
        <v>0.31312744200844111</v>
      </c>
      <c r="X6883" s="2">
        <f ca="1"/>
        <v>23.588485441826045</v>
      </c>
      <c r="AG6883" s="2">
        <f ca="1"/>
        <v>0.92475335828287974</v>
      </c>
      <c r="AH6883" s="2" t="str">
        <f ca="1"/>
        <v>Bad</v>
      </c>
    </row>
    <row r="6884" spans="2:34" x14ac:dyDescent="0.2">
      <c r="B6884" s="2">
        <f ca="1"/>
        <v>0.71653249171211164</v>
      </c>
      <c r="O6884" s="2">
        <f ca="1"/>
        <v>-0.56622419602062679</v>
      </c>
      <c r="X6884" s="2">
        <f ca="1"/>
        <v>35.045933223704175</v>
      </c>
      <c r="AG6884" s="2">
        <f ca="1"/>
        <v>4.9119435480370788E-2</v>
      </c>
      <c r="AH6884" s="2" t="str">
        <f ca="1"/>
        <v>Good</v>
      </c>
    </row>
    <row r="6885" spans="2:34" x14ac:dyDescent="0.2">
      <c r="B6885" s="2">
        <f ca="1"/>
        <v>0.15350076215730524</v>
      </c>
      <c r="O6885" s="2">
        <f ca="1"/>
        <v>0.96253633941774275</v>
      </c>
      <c r="X6885" s="2">
        <f ca="1"/>
        <v>50.209610519608098</v>
      </c>
      <c r="AG6885" s="2">
        <f ca="1"/>
        <v>0.75971247434085676</v>
      </c>
      <c r="AH6885" s="2" t="str">
        <f ca="1"/>
        <v>Bad</v>
      </c>
    </row>
    <row r="6886" spans="2:34" x14ac:dyDescent="0.2">
      <c r="B6886" s="2">
        <f ca="1"/>
        <v>0.1934533553142741</v>
      </c>
      <c r="O6886" s="2">
        <f ca="1"/>
        <v>-0.61586323376049612</v>
      </c>
      <c r="X6886" s="2">
        <f ca="1"/>
        <v>53.520299152670525</v>
      </c>
      <c r="AG6886" s="2">
        <f ca="1"/>
        <v>0.74230818788157027</v>
      </c>
      <c r="AH6886" s="2" t="str">
        <f ca="1"/>
        <v>Bad</v>
      </c>
    </row>
    <row r="6887" spans="2:34" x14ac:dyDescent="0.2">
      <c r="B6887" s="2">
        <f ca="1"/>
        <v>0.67878708406885302</v>
      </c>
      <c r="O6887" s="2">
        <f ca="1"/>
        <v>-1.0953050404932585</v>
      </c>
      <c r="X6887" s="2">
        <f ca="1"/>
        <v>50.738383170654231</v>
      </c>
      <c r="AG6887" s="2">
        <f ca="1"/>
        <v>0.31984896447390398</v>
      </c>
      <c r="AH6887" s="2" t="str">
        <f ca="1"/>
        <v>OK</v>
      </c>
    </row>
    <row r="6888" spans="2:34" x14ac:dyDescent="0.2">
      <c r="B6888" s="2">
        <f ca="1"/>
        <v>0.11827506560827783</v>
      </c>
      <c r="O6888" s="2">
        <f ca="1"/>
        <v>-0.29188657598231416</v>
      </c>
      <c r="X6888" s="2">
        <f ca="1"/>
        <v>58.246418287721447</v>
      </c>
      <c r="AG6888" s="2">
        <f ca="1"/>
        <v>0.55868329651682735</v>
      </c>
      <c r="AH6888" s="2" t="str">
        <f ca="1"/>
        <v>Bad</v>
      </c>
    </row>
    <row r="6889" spans="2:34" x14ac:dyDescent="0.2">
      <c r="B6889" s="2">
        <f ca="1"/>
        <v>2.7290230569378959E-3</v>
      </c>
      <c r="O6889" s="2">
        <f ca="1"/>
        <v>1.7319758015809059</v>
      </c>
      <c r="X6889" s="2">
        <f ca="1"/>
        <v>98.349187649593688</v>
      </c>
      <c r="AG6889" s="2">
        <f ca="1"/>
        <v>1.4471260417647791E-3</v>
      </c>
      <c r="AH6889" s="2" t="str">
        <f ca="1"/>
        <v>Good</v>
      </c>
    </row>
    <row r="6890" spans="2:34" x14ac:dyDescent="0.2">
      <c r="B6890" s="2">
        <f ca="1"/>
        <v>0.59111583633939513</v>
      </c>
      <c r="O6890" s="2">
        <f ca="1"/>
        <v>-0.2008192833324049</v>
      </c>
      <c r="X6890" s="2">
        <f ca="1"/>
        <v>61.574114653237288</v>
      </c>
      <c r="AG6890" s="2">
        <f ca="1"/>
        <v>0.77400908297368387</v>
      </c>
      <c r="AH6890" s="2" t="str">
        <f ca="1"/>
        <v>Bad</v>
      </c>
    </row>
    <row r="6891" spans="2:34" x14ac:dyDescent="0.2">
      <c r="B6891" s="2">
        <f ca="1"/>
        <v>0.54524202562558588</v>
      </c>
      <c r="O6891" s="2">
        <f ca="1"/>
        <v>-0.81995015315927289</v>
      </c>
      <c r="X6891" s="2">
        <f ca="1"/>
        <v>43.319628226453744</v>
      </c>
      <c r="AG6891" s="2">
        <f ca="1"/>
        <v>0.54513681087293908</v>
      </c>
      <c r="AH6891" s="2" t="str">
        <f ca="1"/>
        <v>Bad</v>
      </c>
    </row>
    <row r="6892" spans="2:34" x14ac:dyDescent="0.2">
      <c r="B6892" s="2">
        <f ca="1"/>
        <v>0.43479504604379637</v>
      </c>
      <c r="O6892" s="2">
        <f ca="1"/>
        <v>0.10276301574745236</v>
      </c>
      <c r="X6892" s="2">
        <f ca="1"/>
        <v>28.646607092093355</v>
      </c>
      <c r="AG6892" s="2">
        <f ca="1"/>
        <v>0.80489808745059466</v>
      </c>
      <c r="AH6892" s="2" t="str">
        <f ca="1"/>
        <v>Bad</v>
      </c>
    </row>
    <row r="6893" spans="2:34" x14ac:dyDescent="0.2">
      <c r="B6893" s="2">
        <f ca="1"/>
        <v>0.50490214564995095</v>
      </c>
      <c r="O6893" s="2">
        <f ca="1"/>
        <v>2.0508184103243763</v>
      </c>
      <c r="X6893" s="2">
        <f ca="1"/>
        <v>40.935618851231716</v>
      </c>
      <c r="AG6893" s="2">
        <f ca="1"/>
        <v>0.56776237155653919</v>
      </c>
      <c r="AH6893" s="2" t="str">
        <f ca="1"/>
        <v>Bad</v>
      </c>
    </row>
    <row r="6894" spans="2:34" x14ac:dyDescent="0.2">
      <c r="B6894" s="2">
        <f ca="1"/>
        <v>0.64203710878170983</v>
      </c>
      <c r="O6894" s="2">
        <f ca="1"/>
        <v>-0.47894335775574226</v>
      </c>
      <c r="X6894" s="2">
        <f ca="1"/>
        <v>26.741311498037213</v>
      </c>
      <c r="AG6894" s="2">
        <f ca="1"/>
        <v>0.61811407232957882</v>
      </c>
      <c r="AH6894" s="2" t="str">
        <f ca="1"/>
        <v>Bad</v>
      </c>
    </row>
    <row r="6895" spans="2:34" x14ac:dyDescent="0.2">
      <c r="B6895" s="2">
        <f ca="1"/>
        <v>0.36993086577916157</v>
      </c>
      <c r="O6895" s="2">
        <f ca="1"/>
        <v>0.22167845786448598</v>
      </c>
      <c r="X6895" s="2">
        <f ca="1"/>
        <v>57.166920099031529</v>
      </c>
      <c r="AG6895" s="2">
        <f ca="1"/>
        <v>9.8342710059208915E-2</v>
      </c>
      <c r="AH6895" s="2" t="str">
        <f ca="1"/>
        <v>OK</v>
      </c>
    </row>
    <row r="6896" spans="2:34" x14ac:dyDescent="0.2">
      <c r="B6896" s="2">
        <f ca="1"/>
        <v>0.68475114170444873</v>
      </c>
      <c r="O6896" s="2">
        <f ca="1"/>
        <v>2.0342855728731752</v>
      </c>
      <c r="X6896" s="2">
        <f ca="1"/>
        <v>23.55334620191972</v>
      </c>
      <c r="AG6896" s="2">
        <f ca="1"/>
        <v>0.84883113449525638</v>
      </c>
      <c r="AH6896" s="2" t="str">
        <f ca="1"/>
        <v>Bad</v>
      </c>
    </row>
    <row r="6897" spans="2:34" x14ac:dyDescent="0.2">
      <c r="B6897" s="2">
        <f ca="1"/>
        <v>0.27658921748648013</v>
      </c>
      <c r="O6897" s="2">
        <f ca="1"/>
        <v>4.1125574822712591E-2</v>
      </c>
      <c r="X6897" s="2">
        <f ca="1"/>
        <v>61.34583175183532</v>
      </c>
      <c r="AG6897" s="2">
        <f ca="1"/>
        <v>0.12667727091682646</v>
      </c>
      <c r="AH6897" s="2" t="str">
        <f ca="1"/>
        <v>OK</v>
      </c>
    </row>
    <row r="6898" spans="2:34" x14ac:dyDescent="0.2">
      <c r="B6898" s="2">
        <f ca="1"/>
        <v>0.96710597799007725</v>
      </c>
      <c r="O6898" s="2">
        <f ca="1"/>
        <v>6.0334311029874216E-2</v>
      </c>
      <c r="X6898" s="2">
        <f ca="1"/>
        <v>34.112604575172789</v>
      </c>
      <c r="AG6898" s="2">
        <f ca="1"/>
        <v>0.36603522984879588</v>
      </c>
      <c r="AH6898" s="2" t="str">
        <f ca="1"/>
        <v>OK</v>
      </c>
    </row>
    <row r="6899" spans="2:34" x14ac:dyDescent="0.2">
      <c r="B6899" s="2">
        <f ca="1"/>
        <v>0.55245135744963481</v>
      </c>
      <c r="O6899" s="2">
        <f ca="1"/>
        <v>-0.22944722336926776</v>
      </c>
      <c r="X6899" s="2">
        <f ca="1"/>
        <v>58.616975945777021</v>
      </c>
      <c r="AG6899" s="2">
        <f ca="1"/>
        <v>6.0210912747865386E-2</v>
      </c>
      <c r="AH6899" s="2" t="str">
        <f ca="1"/>
        <v>OK</v>
      </c>
    </row>
    <row r="6900" spans="2:34" x14ac:dyDescent="0.2">
      <c r="B6900" s="2">
        <f ca="1"/>
        <v>0.65379073799948717</v>
      </c>
      <c r="O6900" s="2">
        <f ca="1"/>
        <v>0.14820711553456212</v>
      </c>
      <c r="X6900" s="2">
        <f ca="1"/>
        <v>43.454597770290249</v>
      </c>
      <c r="AG6900" s="2">
        <f ca="1"/>
        <v>0.10187541903072272</v>
      </c>
      <c r="AH6900" s="2" t="str">
        <f ca="1"/>
        <v>OK</v>
      </c>
    </row>
    <row r="6901" spans="2:34" x14ac:dyDescent="0.2">
      <c r="B6901" s="2">
        <f ca="1"/>
        <v>0.16565240887424548</v>
      </c>
      <c r="O6901" s="2">
        <f ca="1"/>
        <v>1.1808595164065845</v>
      </c>
      <c r="X6901" s="2">
        <f ca="1"/>
        <v>46.715553906684804</v>
      </c>
      <c r="AG6901" s="2">
        <f ca="1"/>
        <v>0.62748143581720384</v>
      </c>
      <c r="AH6901" s="2" t="str">
        <f ca="1"/>
        <v>Bad</v>
      </c>
    </row>
    <row r="6902" spans="2:34" x14ac:dyDescent="0.2">
      <c r="B6902" s="2">
        <f ca="1"/>
        <v>0.61282975823671282</v>
      </c>
      <c r="O6902" s="2">
        <f ca="1"/>
        <v>1.8841253034716936</v>
      </c>
      <c r="X6902" s="2">
        <f ca="1"/>
        <v>43.785749310330353</v>
      </c>
      <c r="AG6902" s="2">
        <f ca="1"/>
        <v>0.78968886680522865</v>
      </c>
      <c r="AH6902" s="2" t="str">
        <f ca="1"/>
        <v>Bad</v>
      </c>
    </row>
    <row r="6903" spans="2:34" x14ac:dyDescent="0.2">
      <c r="B6903" s="2">
        <f ca="1"/>
        <v>0.77923474935631343</v>
      </c>
      <c r="O6903" s="2">
        <f ca="1"/>
        <v>-1.5736302295004592</v>
      </c>
      <c r="X6903" s="2">
        <f ca="1"/>
        <v>46.017874911891646</v>
      </c>
      <c r="AG6903" s="2">
        <f ca="1"/>
        <v>0.25602756210223121</v>
      </c>
      <c r="AH6903" s="2" t="str">
        <f ca="1"/>
        <v>OK</v>
      </c>
    </row>
    <row r="6904" spans="2:34" x14ac:dyDescent="0.2">
      <c r="B6904" s="2">
        <f ca="1"/>
        <v>0.56856780251213412</v>
      </c>
      <c r="O6904" s="2">
        <f ca="1"/>
        <v>0.55190201379075465</v>
      </c>
      <c r="X6904" s="2">
        <f ca="1"/>
        <v>65.040331294698191</v>
      </c>
      <c r="AG6904" s="2">
        <f ca="1"/>
        <v>0.98439785255145518</v>
      </c>
      <c r="AH6904" s="2" t="str">
        <f ca="1"/>
        <v>Bad</v>
      </c>
    </row>
    <row r="6905" spans="2:34" x14ac:dyDescent="0.2">
      <c r="B6905" s="2">
        <f ca="1"/>
        <v>0.25562595810748734</v>
      </c>
      <c r="O6905" s="2">
        <f ca="1"/>
        <v>-1.3291265859281429</v>
      </c>
      <c r="X6905" s="2">
        <f ca="1"/>
        <v>36.590922117980313</v>
      </c>
      <c r="AG6905" s="2">
        <f ca="1"/>
        <v>0.62604237736246304</v>
      </c>
      <c r="AH6905" s="2" t="str">
        <f ca="1"/>
        <v>Bad</v>
      </c>
    </row>
    <row r="6906" spans="2:34" x14ac:dyDescent="0.2">
      <c r="B6906" s="2">
        <f ca="1"/>
        <v>0.62791813646084149</v>
      </c>
      <c r="O6906" s="2">
        <f ca="1"/>
        <v>-0.31417751128672444</v>
      </c>
      <c r="X6906" s="2">
        <f ca="1"/>
        <v>42.431877627495645</v>
      </c>
      <c r="AG6906" s="2">
        <f ca="1"/>
        <v>0.5954342575468794</v>
      </c>
      <c r="AH6906" s="2" t="str">
        <f ca="1"/>
        <v>Bad</v>
      </c>
    </row>
    <row r="6907" spans="2:34" x14ac:dyDescent="0.2">
      <c r="B6907" s="2">
        <f ca="1"/>
        <v>0.16195932344384678</v>
      </c>
      <c r="O6907" s="2">
        <f ca="1"/>
        <v>1.2747663202617374</v>
      </c>
      <c r="X6907" s="2">
        <f ca="1"/>
        <v>41.903550868778979</v>
      </c>
      <c r="AG6907" s="2">
        <f ca="1"/>
        <v>4.8142907304565608E-2</v>
      </c>
      <c r="AH6907" s="2" t="str">
        <f ca="1"/>
        <v>Good</v>
      </c>
    </row>
    <row r="6908" spans="2:34" x14ac:dyDescent="0.2">
      <c r="B6908" s="2">
        <f ca="1"/>
        <v>0.16968497162453877</v>
      </c>
      <c r="O6908" s="2">
        <f ca="1"/>
        <v>0.89711149066083928</v>
      </c>
      <c r="X6908" s="2">
        <f ca="1"/>
        <v>43.263274183283322</v>
      </c>
      <c r="AG6908" s="2">
        <f ca="1"/>
        <v>0.82806758673228575</v>
      </c>
      <c r="AH6908" s="2" t="str">
        <f ca="1"/>
        <v>Bad</v>
      </c>
    </row>
    <row r="6909" spans="2:34" x14ac:dyDescent="0.2">
      <c r="B6909" s="2">
        <f ca="1"/>
        <v>0.21850378619552968</v>
      </c>
      <c r="O6909" s="2">
        <f ca="1"/>
        <v>0.1244869053476178</v>
      </c>
      <c r="X6909" s="2">
        <f ca="1"/>
        <v>34.97163214405785</v>
      </c>
      <c r="AG6909" s="2">
        <f ca="1"/>
        <v>0.1725353004290191</v>
      </c>
      <c r="AH6909" s="2" t="str">
        <f ca="1"/>
        <v>OK</v>
      </c>
    </row>
    <row r="6910" spans="2:34" x14ac:dyDescent="0.2">
      <c r="B6910" s="2">
        <f ca="1"/>
        <v>0.99963169116793238</v>
      </c>
      <c r="O6910" s="2">
        <f ca="1"/>
        <v>0.25608242269876968</v>
      </c>
      <c r="X6910" s="2">
        <f ca="1"/>
        <v>64.076508723003258</v>
      </c>
      <c r="AG6910" s="2">
        <f ca="1"/>
        <v>0.72988587816066786</v>
      </c>
      <c r="AH6910" s="2" t="str">
        <f ca="1"/>
        <v>Bad</v>
      </c>
    </row>
    <row r="6911" spans="2:34" x14ac:dyDescent="0.2">
      <c r="B6911" s="2">
        <f ca="1"/>
        <v>0.33049248133503162</v>
      </c>
      <c r="O6911" s="2">
        <f ca="1"/>
        <v>-1.5854568659455106</v>
      </c>
      <c r="X6911" s="2">
        <f ca="1"/>
        <v>39.147923384808138</v>
      </c>
      <c r="AG6911" s="2">
        <f ca="1"/>
        <v>0.54562297498772283</v>
      </c>
      <c r="AH6911" s="2" t="str">
        <f ca="1"/>
        <v>Bad</v>
      </c>
    </row>
    <row r="6912" spans="2:34" x14ac:dyDescent="0.2">
      <c r="B6912" s="2">
        <f ca="1"/>
        <v>0.47542025798829735</v>
      </c>
      <c r="O6912" s="2">
        <f ca="1"/>
        <v>-0.10319273507026307</v>
      </c>
      <c r="X6912" s="2">
        <f ca="1"/>
        <v>41.581135152633081</v>
      </c>
      <c r="AG6912" s="2">
        <f ca="1"/>
        <v>0.15694058517443987</v>
      </c>
      <c r="AH6912" s="2" t="str">
        <f ca="1"/>
        <v>OK</v>
      </c>
    </row>
    <row r="6913" spans="2:34" x14ac:dyDescent="0.2">
      <c r="B6913" s="2">
        <f ca="1"/>
        <v>0.84361611685697735</v>
      </c>
      <c r="O6913" s="2">
        <f ca="1"/>
        <v>-0.63685603391540802</v>
      </c>
      <c r="X6913" s="2">
        <f ca="1"/>
        <v>57.842162538299206</v>
      </c>
      <c r="AG6913" s="2">
        <f ca="1"/>
        <v>0.36256175331651463</v>
      </c>
      <c r="AH6913" s="2" t="str">
        <f ca="1"/>
        <v>OK</v>
      </c>
    </row>
    <row r="6914" spans="2:34" x14ac:dyDescent="0.2">
      <c r="B6914" s="2">
        <f ca="1"/>
        <v>0.83005222159508318</v>
      </c>
      <c r="O6914" s="2">
        <f ca="1"/>
        <v>2.0044376933114902</v>
      </c>
      <c r="X6914" s="2">
        <f ca="1"/>
        <v>64.013331074524743</v>
      </c>
      <c r="AG6914" s="2">
        <f ca="1"/>
        <v>0.6180420019735624</v>
      </c>
      <c r="AH6914" s="2" t="str">
        <f ca="1"/>
        <v>Bad</v>
      </c>
    </row>
    <row r="6915" spans="2:34" x14ac:dyDescent="0.2">
      <c r="B6915" s="2">
        <f ca="1"/>
        <v>0.77480789931084426</v>
      </c>
      <c r="O6915" s="2">
        <f ca="1"/>
        <v>0.5314459629849676</v>
      </c>
      <c r="X6915" s="2">
        <f ca="1"/>
        <v>35.536367612268492</v>
      </c>
      <c r="AG6915" s="2">
        <f ca="1"/>
        <v>0.13625545968799524</v>
      </c>
      <c r="AH6915" s="2" t="str">
        <f ca="1"/>
        <v>OK</v>
      </c>
    </row>
    <row r="6916" spans="2:34" x14ac:dyDescent="0.2">
      <c r="B6916" s="2">
        <f ca="1"/>
        <v>3.3447103963386793E-2</v>
      </c>
      <c r="O6916" s="2">
        <f ca="1"/>
        <v>1.4689987401681344</v>
      </c>
      <c r="X6916" s="2">
        <f ca="1"/>
        <v>51.746569677489262</v>
      </c>
      <c r="AG6916" s="2">
        <f ca="1"/>
        <v>0.58712115067163206</v>
      </c>
      <c r="AH6916" s="2" t="str">
        <f ca="1"/>
        <v>Bad</v>
      </c>
    </row>
    <row r="6917" spans="2:34" x14ac:dyDescent="0.2">
      <c r="B6917" s="2">
        <f ca="1"/>
        <v>0.89091427368940446</v>
      </c>
      <c r="O6917" s="2">
        <f ca="1"/>
        <v>0.95439635430554359</v>
      </c>
      <c r="X6917" s="2">
        <f ca="1"/>
        <v>40.075149495607143</v>
      </c>
      <c r="AG6917" s="2">
        <f ca="1"/>
        <v>0.94875600400892424</v>
      </c>
      <c r="AH6917" s="2" t="str">
        <f ca="1"/>
        <v>Bad</v>
      </c>
    </row>
    <row r="6918" spans="2:34" x14ac:dyDescent="0.2">
      <c r="B6918" s="2">
        <f ca="1"/>
        <v>0.45788692554593879</v>
      </c>
      <c r="O6918" s="2">
        <f ca="1"/>
        <v>-2.5035863390697834E-2</v>
      </c>
      <c r="X6918" s="2">
        <f ca="1"/>
        <v>40.459743996087269</v>
      </c>
      <c r="AG6918" s="2">
        <f ca="1"/>
        <v>1.7009229959300765E-2</v>
      </c>
      <c r="AH6918" s="2" t="str">
        <f ca="1"/>
        <v>Good</v>
      </c>
    </row>
    <row r="6919" spans="2:34" x14ac:dyDescent="0.2">
      <c r="B6919" s="2">
        <f ca="1"/>
        <v>0.77518866105033379</v>
      </c>
      <c r="O6919" s="2">
        <f ca="1"/>
        <v>0.59393178532725188</v>
      </c>
      <c r="X6919" s="2">
        <f ca="1"/>
        <v>51.698703693812142</v>
      </c>
      <c r="AG6919" s="2">
        <f ca="1"/>
        <v>0.8351924185893087</v>
      </c>
      <c r="AH6919" s="2" t="str">
        <f ca="1"/>
        <v>Bad</v>
      </c>
    </row>
    <row r="6920" spans="2:34" x14ac:dyDescent="0.2">
      <c r="B6920" s="2">
        <f ca="1"/>
        <v>0.49292979995950126</v>
      </c>
      <c r="O6920" s="2">
        <f ca="1"/>
        <v>0.22716578058859319</v>
      </c>
      <c r="X6920" s="2">
        <f ca="1"/>
        <v>91.449812063721424</v>
      </c>
      <c r="AG6920" s="2">
        <f ca="1"/>
        <v>0.29101536338210887</v>
      </c>
      <c r="AH6920" s="2" t="str">
        <f ca="1"/>
        <v>OK</v>
      </c>
    </row>
    <row r="6921" spans="2:34" x14ac:dyDescent="0.2">
      <c r="B6921" s="2">
        <f ca="1"/>
        <v>0.21425792879114147</v>
      </c>
      <c r="O6921" s="2">
        <f ca="1"/>
        <v>-1.3560339566500712</v>
      </c>
      <c r="X6921" s="2">
        <f ca="1"/>
        <v>54.494108755101223</v>
      </c>
      <c r="AG6921" s="2">
        <f ca="1"/>
        <v>0.55027746939494016</v>
      </c>
      <c r="AH6921" s="2" t="str">
        <f ca="1"/>
        <v>Bad</v>
      </c>
    </row>
    <row r="6922" spans="2:34" x14ac:dyDescent="0.2">
      <c r="B6922" s="2">
        <f ca="1"/>
        <v>0.90155236600029487</v>
      </c>
      <c r="O6922" s="2">
        <f ca="1"/>
        <v>0.58773712165572645</v>
      </c>
      <c r="X6922" s="2">
        <f ca="1"/>
        <v>84.53183632513165</v>
      </c>
      <c r="AG6922" s="2">
        <f ca="1"/>
        <v>0.3103838646957302</v>
      </c>
      <c r="AH6922" s="2" t="str">
        <f ca="1"/>
        <v>OK</v>
      </c>
    </row>
    <row r="6923" spans="2:34" x14ac:dyDescent="0.2">
      <c r="B6923" s="2">
        <f ca="1"/>
        <v>0.79214349811200457</v>
      </c>
      <c r="O6923" s="2">
        <f ca="1"/>
        <v>1.3739889244963419</v>
      </c>
      <c r="X6923" s="2">
        <f ca="1"/>
        <v>51.223100200048997</v>
      </c>
      <c r="AG6923" s="2">
        <f ca="1"/>
        <v>0.17638610589465342</v>
      </c>
      <c r="AH6923" s="2" t="str">
        <f ca="1"/>
        <v>OK</v>
      </c>
    </row>
    <row r="6924" spans="2:34" x14ac:dyDescent="0.2">
      <c r="B6924" s="2">
        <f ca="1"/>
        <v>0.91375751208220946</v>
      </c>
      <c r="O6924" s="2">
        <f ca="1"/>
        <v>-0.33110894955603631</v>
      </c>
      <c r="X6924" s="2">
        <f ca="1"/>
        <v>73.748891024292305</v>
      </c>
      <c r="AG6924" s="2">
        <f ca="1"/>
        <v>0.10991516927910361</v>
      </c>
      <c r="AH6924" s="2" t="str">
        <f ca="1"/>
        <v>OK</v>
      </c>
    </row>
    <row r="6925" spans="2:34" x14ac:dyDescent="0.2">
      <c r="B6925" s="2">
        <f ca="1"/>
        <v>0.31647995180367383</v>
      </c>
      <c r="O6925" s="2">
        <f ca="1"/>
        <v>-7.3882601843687043E-2</v>
      </c>
      <c r="X6925" s="2">
        <f ca="1"/>
        <v>58.098793950141427</v>
      </c>
      <c r="AG6925" s="2">
        <f ca="1"/>
        <v>0.22575720166882229</v>
      </c>
      <c r="AH6925" s="2" t="str">
        <f ca="1"/>
        <v>OK</v>
      </c>
    </row>
    <row r="6926" spans="2:34" x14ac:dyDescent="0.2">
      <c r="B6926" s="2">
        <f ca="1"/>
        <v>6.9821392917404301E-2</v>
      </c>
      <c r="O6926" s="2">
        <f ca="1"/>
        <v>1.0851734953355781</v>
      </c>
      <c r="X6926" s="2">
        <f ca="1"/>
        <v>46.53061487100377</v>
      </c>
      <c r="AG6926" s="2">
        <f ca="1"/>
        <v>0.45163134349629575</v>
      </c>
      <c r="AH6926" s="2" t="str">
        <f ca="1"/>
        <v>Bad</v>
      </c>
    </row>
    <row r="6927" spans="2:34" x14ac:dyDescent="0.2">
      <c r="B6927" s="2">
        <f ca="1"/>
        <v>0.28494878542703428</v>
      </c>
      <c r="O6927" s="2">
        <f ca="1"/>
        <v>0.27609342054318153</v>
      </c>
      <c r="X6927" s="2">
        <f ca="1"/>
        <v>25.905963122801722</v>
      </c>
      <c r="AG6927" s="2">
        <f ca="1"/>
        <v>0.44187146544331024</v>
      </c>
      <c r="AH6927" s="2" t="str">
        <f ca="1"/>
        <v>Bad</v>
      </c>
    </row>
    <row r="6928" spans="2:34" x14ac:dyDescent="0.2">
      <c r="B6928" s="2">
        <f ca="1"/>
        <v>0.91898812451444556</v>
      </c>
      <c r="O6928" s="2">
        <f ca="1"/>
        <v>0.7531756233501562</v>
      </c>
      <c r="X6928" s="2">
        <f ca="1"/>
        <v>54.238065934707855</v>
      </c>
      <c r="AG6928" s="2">
        <f ca="1"/>
        <v>0.15084631672840376</v>
      </c>
      <c r="AH6928" s="2" t="str">
        <f ca="1"/>
        <v>OK</v>
      </c>
    </row>
    <row r="6929" spans="2:34" x14ac:dyDescent="0.2">
      <c r="B6929" s="2">
        <f ca="1"/>
        <v>0.31612406041452656</v>
      </c>
      <c r="O6929" s="2">
        <f ca="1"/>
        <v>0.1182189474172272</v>
      </c>
      <c r="X6929" s="2">
        <f ca="1"/>
        <v>28.957841010879356</v>
      </c>
      <c r="AG6929" s="2">
        <f ca="1"/>
        <v>0.3141868770261973</v>
      </c>
      <c r="AH6929" s="2" t="str">
        <f ca="1"/>
        <v>OK</v>
      </c>
    </row>
    <row r="6930" spans="2:34" x14ac:dyDescent="0.2">
      <c r="B6930" s="2">
        <f ca="1"/>
        <v>0.49251176888193182</v>
      </c>
      <c r="O6930" s="2">
        <f ca="1"/>
        <v>0.51083020043203597</v>
      </c>
      <c r="X6930" s="2">
        <f ca="1"/>
        <v>61.653191082444607</v>
      </c>
      <c r="AG6930" s="2">
        <f ca="1"/>
        <v>0.39641809449623922</v>
      </c>
      <c r="AH6930" s="2" t="str">
        <f ca="1"/>
        <v>OK</v>
      </c>
    </row>
    <row r="6931" spans="2:34" x14ac:dyDescent="0.2">
      <c r="B6931" s="2">
        <f ca="1"/>
        <v>0.19366964905994943</v>
      </c>
      <c r="O6931" s="2">
        <f ca="1"/>
        <v>0.44318888133127549</v>
      </c>
      <c r="X6931" s="2">
        <f ca="1"/>
        <v>54.36317214684798</v>
      </c>
      <c r="AG6931" s="2">
        <f ca="1"/>
        <v>0.83391323027510866</v>
      </c>
      <c r="AH6931" s="2" t="str">
        <f ca="1"/>
        <v>Bad</v>
      </c>
    </row>
    <row r="6932" spans="2:34" x14ac:dyDescent="0.2">
      <c r="B6932" s="2">
        <f ca="1"/>
        <v>0.6523877502415476</v>
      </c>
      <c r="O6932" s="2">
        <f ca="1"/>
        <v>1.2557175766057769</v>
      </c>
      <c r="X6932" s="2">
        <f ca="1"/>
        <v>50.443465941718259</v>
      </c>
      <c r="AG6932" s="2">
        <f ca="1"/>
        <v>0.3325027579113875</v>
      </c>
      <c r="AH6932" s="2" t="str">
        <f ca="1"/>
        <v>OK</v>
      </c>
    </row>
    <row r="6933" spans="2:34" x14ac:dyDescent="0.2">
      <c r="B6933" s="2">
        <f ca="1"/>
        <v>0.71865729278625157</v>
      </c>
      <c r="O6933" s="2">
        <f ca="1"/>
        <v>-0.28368914117105659</v>
      </c>
      <c r="X6933" s="2">
        <f ca="1"/>
        <v>44.387122568487463</v>
      </c>
      <c r="AG6933" s="2">
        <f ca="1"/>
        <v>0.57784839018612599</v>
      </c>
      <c r="AH6933" s="2" t="str">
        <f ca="1"/>
        <v>Bad</v>
      </c>
    </row>
    <row r="6934" spans="2:34" x14ac:dyDescent="0.2">
      <c r="B6934" s="2">
        <f ca="1"/>
        <v>9.4665554266256224E-2</v>
      </c>
      <c r="O6934" s="2">
        <f ca="1"/>
        <v>-9.2457652715585606E-2</v>
      </c>
      <c r="X6934" s="2">
        <f ca="1"/>
        <v>30.443699500899406</v>
      </c>
      <c r="AG6934" s="2">
        <f ca="1"/>
        <v>0.62337290502102261</v>
      </c>
      <c r="AH6934" s="2" t="str">
        <f ca="1"/>
        <v>Bad</v>
      </c>
    </row>
    <row r="6935" spans="2:34" x14ac:dyDescent="0.2">
      <c r="B6935" s="2">
        <f ca="1"/>
        <v>0.81336533409138645</v>
      </c>
      <c r="O6935" s="2">
        <f ca="1"/>
        <v>1.0979861196752294</v>
      </c>
      <c r="X6935" s="2">
        <f ca="1"/>
        <v>56.356278612021072</v>
      </c>
      <c r="AG6935" s="2">
        <f ca="1"/>
        <v>0.69590494783066625</v>
      </c>
      <c r="AH6935" s="2" t="str">
        <f ca="1"/>
        <v>Bad</v>
      </c>
    </row>
    <row r="6936" spans="2:34" x14ac:dyDescent="0.2">
      <c r="B6936" s="2">
        <f ca="1"/>
        <v>0.94947467818684794</v>
      </c>
      <c r="O6936" s="2">
        <f ca="1"/>
        <v>-9.8295478821441878E-2</v>
      </c>
      <c r="X6936" s="2">
        <f ca="1"/>
        <v>52.701737301994356</v>
      </c>
      <c r="AG6936" s="2">
        <f ca="1"/>
        <v>0.12314361431377274</v>
      </c>
      <c r="AH6936" s="2" t="str">
        <f ca="1"/>
        <v>OK</v>
      </c>
    </row>
    <row r="6937" spans="2:34" x14ac:dyDescent="0.2">
      <c r="B6937" s="2">
        <f ca="1"/>
        <v>2.9639878159858357E-2</v>
      </c>
      <c r="O6937" s="2">
        <f ca="1"/>
        <v>0.17552295729028242</v>
      </c>
      <c r="X6937" s="2">
        <f ca="1"/>
        <v>43.035834299917653</v>
      </c>
      <c r="AG6937" s="2">
        <f ca="1"/>
        <v>0.33666863822452808</v>
      </c>
      <c r="AH6937" s="2" t="str">
        <f ca="1"/>
        <v>OK</v>
      </c>
    </row>
    <row r="6938" spans="2:34" x14ac:dyDescent="0.2">
      <c r="B6938" s="2">
        <f ca="1"/>
        <v>0.88879093167223777</v>
      </c>
      <c r="O6938" s="2">
        <f ca="1"/>
        <v>0.2408110699338058</v>
      </c>
      <c r="X6938" s="2">
        <f ca="1"/>
        <v>55.933066702621289</v>
      </c>
      <c r="AG6938" s="2">
        <f ca="1"/>
        <v>0.73326912910937359</v>
      </c>
      <c r="AH6938" s="2" t="str">
        <f ca="1"/>
        <v>Bad</v>
      </c>
    </row>
    <row r="6939" spans="2:34" x14ac:dyDescent="0.2">
      <c r="B6939" s="2">
        <f ca="1"/>
        <v>0.54773965837722227</v>
      </c>
      <c r="O6939" s="2">
        <f ca="1"/>
        <v>-0.49466639917180744</v>
      </c>
      <c r="X6939" s="2">
        <f ca="1"/>
        <v>73.280224605300461</v>
      </c>
      <c r="AG6939" s="2">
        <f ca="1"/>
        <v>0.91034073231711155</v>
      </c>
      <c r="AH6939" s="2" t="str">
        <f ca="1"/>
        <v>Bad</v>
      </c>
    </row>
    <row r="6940" spans="2:34" x14ac:dyDescent="0.2">
      <c r="B6940" s="2">
        <f ca="1"/>
        <v>0.98314563783825659</v>
      </c>
      <c r="O6940" s="2">
        <f ca="1"/>
        <v>1.1799857850117637</v>
      </c>
      <c r="X6940" s="2">
        <f ca="1"/>
        <v>70.973496216780688</v>
      </c>
      <c r="AG6940" s="2">
        <f ca="1"/>
        <v>0.61248175274613992</v>
      </c>
      <c r="AH6940" s="2" t="str">
        <f ca="1"/>
        <v>Bad</v>
      </c>
    </row>
    <row r="6941" spans="2:34" x14ac:dyDescent="0.2">
      <c r="B6941" s="2">
        <f ca="1"/>
        <v>0.54539696626218004</v>
      </c>
      <c r="O6941" s="2">
        <f ca="1"/>
        <v>1.4198274665687511</v>
      </c>
      <c r="X6941" s="2">
        <f ca="1"/>
        <v>37.817622931754144</v>
      </c>
      <c r="AG6941" s="2">
        <f ca="1"/>
        <v>0.79498468895460439</v>
      </c>
      <c r="AH6941" s="2" t="str">
        <f ca="1"/>
        <v>Bad</v>
      </c>
    </row>
    <row r="6942" spans="2:34" x14ac:dyDescent="0.2">
      <c r="B6942" s="2">
        <f ca="1"/>
        <v>9.0908559217804497E-2</v>
      </c>
      <c r="O6942" s="2">
        <f ca="1"/>
        <v>-0.78392997516313301</v>
      </c>
      <c r="X6942" s="2">
        <f ca="1"/>
        <v>24.054638955355955</v>
      </c>
      <c r="AG6942" s="2">
        <f ca="1"/>
        <v>0.11346421159663067</v>
      </c>
      <c r="AH6942" s="2" t="str">
        <f ca="1"/>
        <v>OK</v>
      </c>
    </row>
    <row r="6943" spans="2:34" x14ac:dyDescent="0.2">
      <c r="B6943" s="2">
        <f ca="1"/>
        <v>0.50625617410923884</v>
      </c>
      <c r="O6943" s="2">
        <f ca="1"/>
        <v>0.4351580432709577</v>
      </c>
      <c r="X6943" s="2">
        <f ca="1"/>
        <v>25.60794498175218</v>
      </c>
      <c r="AG6943" s="2">
        <f ca="1"/>
        <v>0.51624795505408816</v>
      </c>
      <c r="AH6943" s="2" t="str">
        <f ca="1"/>
        <v>Bad</v>
      </c>
    </row>
    <row r="6944" spans="2:34" x14ac:dyDescent="0.2">
      <c r="B6944" s="2">
        <f ca="1"/>
        <v>0.31906041615099445</v>
      </c>
      <c r="O6944" s="2">
        <f ca="1"/>
        <v>-0.49340309132955978</v>
      </c>
      <c r="X6944" s="2">
        <f ca="1"/>
        <v>36.976249704625474</v>
      </c>
      <c r="AG6944" s="2">
        <f ca="1"/>
        <v>0.80419680895028534</v>
      </c>
      <c r="AH6944" s="2" t="str">
        <f ca="1"/>
        <v>Bad</v>
      </c>
    </row>
    <row r="6945" spans="2:34" x14ac:dyDescent="0.2">
      <c r="B6945" s="2">
        <f ca="1"/>
        <v>0.39519599017519447</v>
      </c>
      <c r="O6945" s="2">
        <f ca="1"/>
        <v>2.5381109566106361</v>
      </c>
      <c r="X6945" s="2">
        <f ca="1"/>
        <v>35.706869259919294</v>
      </c>
      <c r="AG6945" s="2">
        <f ca="1"/>
        <v>0.77447518778745983</v>
      </c>
      <c r="AH6945" s="2" t="str">
        <f ca="1"/>
        <v>Bad</v>
      </c>
    </row>
    <row r="6946" spans="2:34" x14ac:dyDescent="0.2">
      <c r="B6946" s="2">
        <f ca="1"/>
        <v>0.68736824350185799</v>
      </c>
      <c r="O6946" s="2">
        <f ca="1"/>
        <v>0.52544487290483266</v>
      </c>
      <c r="X6946" s="2">
        <f ca="1"/>
        <v>53.021601920855268</v>
      </c>
      <c r="AG6946" s="2">
        <f ca="1"/>
        <v>0.89733617347156791</v>
      </c>
      <c r="AH6946" s="2" t="str">
        <f ca="1"/>
        <v>Bad</v>
      </c>
    </row>
    <row r="6947" spans="2:34" x14ac:dyDescent="0.2">
      <c r="B6947" s="2">
        <f ca="1"/>
        <v>0.24106783707123203</v>
      </c>
      <c r="O6947" s="2">
        <f ca="1"/>
        <v>-0.46597365873445695</v>
      </c>
      <c r="X6947" s="2">
        <f ca="1"/>
        <v>62.385675499957351</v>
      </c>
      <c r="AG6947" s="2">
        <f ca="1"/>
        <v>0.65253757415622138</v>
      </c>
      <c r="AH6947" s="2" t="str">
        <f ca="1"/>
        <v>Bad</v>
      </c>
    </row>
    <row r="6948" spans="2:34" x14ac:dyDescent="0.2">
      <c r="B6948" s="2">
        <f ca="1"/>
        <v>0.43773100758749495</v>
      </c>
      <c r="O6948" s="2">
        <f ca="1"/>
        <v>-0.41521867567619775</v>
      </c>
      <c r="X6948" s="2">
        <f ca="1"/>
        <v>121.61001295966962</v>
      </c>
      <c r="AG6948" s="2">
        <f ca="1"/>
        <v>0.1426517516446022</v>
      </c>
      <c r="AH6948" s="2" t="str">
        <f ca="1"/>
        <v>OK</v>
      </c>
    </row>
    <row r="6949" spans="2:34" x14ac:dyDescent="0.2">
      <c r="B6949" s="2">
        <f ca="1"/>
        <v>0.13923672055318947</v>
      </c>
      <c r="O6949" s="2">
        <f ca="1"/>
        <v>-0.52001459181455745</v>
      </c>
      <c r="X6949" s="2">
        <f ca="1"/>
        <v>31.416000950504227</v>
      </c>
      <c r="AG6949" s="2">
        <f ca="1"/>
        <v>0.72048068700791501</v>
      </c>
      <c r="AH6949" s="2" t="str">
        <f ca="1"/>
        <v>Bad</v>
      </c>
    </row>
    <row r="6950" spans="2:34" x14ac:dyDescent="0.2">
      <c r="B6950" s="2">
        <f ca="1"/>
        <v>8.1969804319420581E-2</v>
      </c>
      <c r="O6950" s="2">
        <f ca="1"/>
        <v>0.56717619406286779</v>
      </c>
      <c r="X6950" s="2">
        <f ca="1"/>
        <v>56.515107018136348</v>
      </c>
      <c r="AG6950" s="2">
        <f ca="1"/>
        <v>0.61813725518647233</v>
      </c>
      <c r="AH6950" s="2" t="str">
        <f ca="1"/>
        <v>Bad</v>
      </c>
    </row>
    <row r="6951" spans="2:34" x14ac:dyDescent="0.2">
      <c r="B6951" s="2">
        <f ca="1"/>
        <v>0.92132582745586289</v>
      </c>
      <c r="O6951" s="2">
        <f ca="1"/>
        <v>0.17064492476728874</v>
      </c>
      <c r="X6951" s="2">
        <f ca="1"/>
        <v>53.3576212996769</v>
      </c>
      <c r="AG6951" s="2">
        <f ca="1"/>
        <v>0.88056130499939189</v>
      </c>
      <c r="AH6951" s="2" t="str">
        <f ca="1"/>
        <v>Bad</v>
      </c>
    </row>
    <row r="6952" spans="2:34" x14ac:dyDescent="0.2">
      <c r="B6952" s="2">
        <f ca="1"/>
        <v>0.48360170116081247</v>
      </c>
      <c r="O6952" s="2">
        <f ca="1"/>
        <v>0.87361440309498239</v>
      </c>
      <c r="X6952" s="2">
        <f ca="1"/>
        <v>41.629589619302685</v>
      </c>
      <c r="AG6952" s="2">
        <f ca="1"/>
        <v>0.43609040441257552</v>
      </c>
      <c r="AH6952" s="2" t="str">
        <f ca="1"/>
        <v>Bad</v>
      </c>
    </row>
    <row r="6953" spans="2:34" x14ac:dyDescent="0.2">
      <c r="B6953" s="2">
        <f ca="1"/>
        <v>0.69273302906956236</v>
      </c>
      <c r="O6953" s="2">
        <f ca="1"/>
        <v>0.32247474787337149</v>
      </c>
      <c r="X6953" s="2">
        <f ca="1"/>
        <v>31.697075467625652</v>
      </c>
      <c r="AG6953" s="2">
        <f ca="1"/>
        <v>0.77179139984623668</v>
      </c>
      <c r="AH6953" s="2" t="str">
        <f ca="1"/>
        <v>Bad</v>
      </c>
    </row>
    <row r="6954" spans="2:34" x14ac:dyDescent="0.2">
      <c r="B6954" s="2">
        <f ca="1"/>
        <v>0.32383342410014238</v>
      </c>
      <c r="O6954" s="2">
        <f ca="1"/>
        <v>1.4410568335911513</v>
      </c>
      <c r="X6954" s="2">
        <f ca="1"/>
        <v>40.405483537263713</v>
      </c>
      <c r="AG6954" s="2">
        <f ca="1"/>
        <v>0.29395242820868117</v>
      </c>
      <c r="AH6954" s="2" t="str">
        <f ca="1"/>
        <v>OK</v>
      </c>
    </row>
    <row r="6955" spans="2:34" x14ac:dyDescent="0.2">
      <c r="B6955" s="2">
        <f ca="1"/>
        <v>0.56466650032456944</v>
      </c>
      <c r="O6955" s="2">
        <f ca="1"/>
        <v>-0.79291223610746719</v>
      </c>
      <c r="X6955" s="2">
        <f ca="1"/>
        <v>34.354272859116215</v>
      </c>
      <c r="AG6955" s="2">
        <f ca="1"/>
        <v>1.0897486499282572E-2</v>
      </c>
      <c r="AH6955" s="2" t="str">
        <f ca="1"/>
        <v>Good</v>
      </c>
    </row>
    <row r="6956" spans="2:34" x14ac:dyDescent="0.2">
      <c r="B6956" s="2">
        <f ca="1"/>
        <v>0.19169590669222325</v>
      </c>
      <c r="O6956" s="2">
        <f ca="1"/>
        <v>-0.1602535825923681</v>
      </c>
      <c r="X6956" s="2">
        <f ca="1"/>
        <v>53.488561211161795</v>
      </c>
      <c r="AG6956" s="2">
        <f ca="1"/>
        <v>0.67163414612058769</v>
      </c>
      <c r="AH6956" s="2" t="str">
        <f ca="1"/>
        <v>Bad</v>
      </c>
    </row>
    <row r="6957" spans="2:34" x14ac:dyDescent="0.2">
      <c r="B6957" s="2">
        <f ca="1"/>
        <v>5.0511507892576191E-2</v>
      </c>
      <c r="O6957" s="2">
        <f ca="1"/>
        <v>0.91907085340981276</v>
      </c>
      <c r="X6957" s="2">
        <f ca="1"/>
        <v>71.058585480766766</v>
      </c>
      <c r="AG6957" s="2">
        <f ca="1"/>
        <v>8.652409361682567E-2</v>
      </c>
      <c r="AH6957" s="2" t="str">
        <f ca="1"/>
        <v>OK</v>
      </c>
    </row>
    <row r="6958" spans="2:34" x14ac:dyDescent="0.2">
      <c r="B6958" s="2">
        <f ca="1"/>
        <v>0.43048697095195299</v>
      </c>
      <c r="O6958" s="2">
        <f ca="1"/>
        <v>0.26408635324508162</v>
      </c>
      <c r="X6958" s="2">
        <f ca="1"/>
        <v>47.983561455446477</v>
      </c>
      <c r="AG6958" s="2">
        <f ca="1"/>
        <v>9.7935199415246865E-2</v>
      </c>
      <c r="AH6958" s="2" t="str">
        <f ca="1"/>
        <v>OK</v>
      </c>
    </row>
    <row r="6959" spans="2:34" x14ac:dyDescent="0.2">
      <c r="B6959" s="2">
        <f ca="1"/>
        <v>0.13735273687254712</v>
      </c>
      <c r="O6959" s="2">
        <f ca="1"/>
        <v>-0.54673595540947262</v>
      </c>
      <c r="X6959" s="2">
        <f ca="1"/>
        <v>32.417636895741417</v>
      </c>
      <c r="AG6959" s="2">
        <f ca="1"/>
        <v>8.6840138374977505E-2</v>
      </c>
      <c r="AH6959" s="2" t="str">
        <f ca="1"/>
        <v>OK</v>
      </c>
    </row>
    <row r="6960" spans="2:34" x14ac:dyDescent="0.2">
      <c r="B6960" s="2">
        <f ca="1"/>
        <v>0.29984953881336418</v>
      </c>
      <c r="O6960" s="2">
        <f ca="1"/>
        <v>1.2458780777803224</v>
      </c>
      <c r="X6960" s="2">
        <f ca="1"/>
        <v>82.148816659222092</v>
      </c>
      <c r="AG6960" s="2">
        <f ca="1"/>
        <v>0.37634876273067164</v>
      </c>
      <c r="AH6960" s="2" t="str">
        <f ca="1"/>
        <v>OK</v>
      </c>
    </row>
    <row r="6961" spans="2:34" x14ac:dyDescent="0.2">
      <c r="B6961" s="2">
        <f ca="1"/>
        <v>0.22888886323675139</v>
      </c>
      <c r="O6961" s="2">
        <f ca="1"/>
        <v>-1.4668367273803569</v>
      </c>
      <c r="X6961" s="2">
        <f ca="1"/>
        <v>61.735737555102183</v>
      </c>
      <c r="AG6961" s="2">
        <f ca="1"/>
        <v>0.74954963432606947</v>
      </c>
      <c r="AH6961" s="2" t="str">
        <f ca="1"/>
        <v>Bad</v>
      </c>
    </row>
    <row r="6962" spans="2:34" x14ac:dyDescent="0.2">
      <c r="B6962" s="2">
        <f ca="1"/>
        <v>0.49240674358869096</v>
      </c>
      <c r="O6962" s="2">
        <f ca="1"/>
        <v>0.24281511111325549</v>
      </c>
      <c r="X6962" s="2">
        <f ca="1"/>
        <v>38.387032904463645</v>
      </c>
      <c r="AG6962" s="2">
        <f ca="1"/>
        <v>0.59533423593333334</v>
      </c>
      <c r="AH6962" s="2" t="str">
        <f ca="1"/>
        <v>Bad</v>
      </c>
    </row>
    <row r="6963" spans="2:34" x14ac:dyDescent="0.2">
      <c r="B6963" s="2">
        <f ca="1"/>
        <v>0.46677265267800006</v>
      </c>
      <c r="O6963" s="2">
        <f ca="1"/>
        <v>1.5594633015350952</v>
      </c>
      <c r="X6963" s="2">
        <f ca="1"/>
        <v>49.741024796419417</v>
      </c>
      <c r="AG6963" s="2">
        <f ca="1"/>
        <v>0.14103299909509026</v>
      </c>
      <c r="AH6963" s="2" t="str">
        <f ca="1"/>
        <v>OK</v>
      </c>
    </row>
    <row r="6964" spans="2:34" x14ac:dyDescent="0.2">
      <c r="B6964" s="2">
        <f ca="1"/>
        <v>0.78681263481850738</v>
      </c>
      <c r="O6964" s="2">
        <f ca="1"/>
        <v>-0.72108711329419473</v>
      </c>
      <c r="X6964" s="2">
        <f ca="1"/>
        <v>37.342587428415371</v>
      </c>
      <c r="AG6964" s="2">
        <f ca="1"/>
        <v>9.897716300536441E-2</v>
      </c>
      <c r="AH6964" s="2" t="str">
        <f ca="1"/>
        <v>OK</v>
      </c>
    </row>
    <row r="6965" spans="2:34" x14ac:dyDescent="0.2">
      <c r="B6965" s="2">
        <f ca="1"/>
        <v>0.30614595114016274</v>
      </c>
      <c r="O6965" s="2">
        <f ca="1"/>
        <v>-2.4666952344042787</v>
      </c>
      <c r="X6965" s="2">
        <f ca="1"/>
        <v>36.649223581669723</v>
      </c>
      <c r="AG6965" s="2">
        <f ca="1"/>
        <v>0.7597081066568292</v>
      </c>
      <c r="AH6965" s="2" t="str">
        <f ca="1"/>
        <v>Bad</v>
      </c>
    </row>
    <row r="6966" spans="2:34" x14ac:dyDescent="0.2">
      <c r="B6966" s="2">
        <f ca="1"/>
        <v>0.51213458046835525</v>
      </c>
      <c r="O6966" s="2">
        <f ca="1"/>
        <v>-3.799957505843151E-2</v>
      </c>
      <c r="X6966" s="2">
        <f ca="1"/>
        <v>36.69324940990505</v>
      </c>
      <c r="AG6966" s="2">
        <f ca="1"/>
        <v>0.53889499489322468</v>
      </c>
      <c r="AH6966" s="2" t="str">
        <f ca="1"/>
        <v>Bad</v>
      </c>
    </row>
    <row r="6967" spans="2:34" x14ac:dyDescent="0.2">
      <c r="B6967" s="2">
        <f ca="1"/>
        <v>6.4716466191579114E-2</v>
      </c>
      <c r="O6967" s="2">
        <f ca="1"/>
        <v>-0.15851430157634699</v>
      </c>
      <c r="X6967" s="2">
        <f ca="1"/>
        <v>75.08604004548117</v>
      </c>
      <c r="AG6967" s="2">
        <f ca="1"/>
        <v>0.30553724829998474</v>
      </c>
      <c r="AH6967" s="2" t="str">
        <f ca="1"/>
        <v>OK</v>
      </c>
    </row>
    <row r="6968" spans="2:34" x14ac:dyDescent="0.2">
      <c r="B6968" s="2">
        <f ca="1"/>
        <v>0.7557698906016217</v>
      </c>
      <c r="O6968" s="2">
        <f ca="1"/>
        <v>-0.39403507419566636</v>
      </c>
      <c r="X6968" s="2">
        <f ca="1"/>
        <v>57.044481576937116</v>
      </c>
      <c r="AG6968" s="2">
        <f ca="1"/>
        <v>0.85228723125757755</v>
      </c>
      <c r="AH6968" s="2" t="str">
        <f ca="1"/>
        <v>Bad</v>
      </c>
    </row>
    <row r="6969" spans="2:34" x14ac:dyDescent="0.2">
      <c r="B6969" s="2">
        <f ca="1"/>
        <v>0.58912261343559691</v>
      </c>
      <c r="O6969" s="2">
        <f ca="1"/>
        <v>1.5853253851477676</v>
      </c>
      <c r="X6969" s="2">
        <f ca="1"/>
        <v>52.61841222871378</v>
      </c>
      <c r="AG6969" s="2">
        <f ca="1"/>
        <v>0.97926442762005173</v>
      </c>
      <c r="AH6969" s="2" t="str">
        <f ca="1"/>
        <v>Bad</v>
      </c>
    </row>
    <row r="6970" spans="2:34" x14ac:dyDescent="0.2">
      <c r="B6970" s="2">
        <f ca="1"/>
        <v>0.27723230569467505</v>
      </c>
      <c r="O6970" s="2">
        <f ca="1"/>
        <v>-0.13609419607967704</v>
      </c>
      <c r="X6970" s="2">
        <f ca="1"/>
        <v>49.077963389546269</v>
      </c>
      <c r="AG6970" s="2">
        <f ca="1"/>
        <v>0.8803757260870877</v>
      </c>
      <c r="AH6970" s="2" t="str">
        <f ca="1"/>
        <v>Bad</v>
      </c>
    </row>
    <row r="6971" spans="2:34" x14ac:dyDescent="0.2">
      <c r="B6971" s="2">
        <f ca="1"/>
        <v>0.55899112058760303</v>
      </c>
      <c r="O6971" s="2">
        <f ca="1"/>
        <v>1.7886039511586063</v>
      </c>
      <c r="X6971" s="2">
        <f ca="1"/>
        <v>39.512057664103054</v>
      </c>
      <c r="AG6971" s="2">
        <f ca="1"/>
        <v>0.98323432059324478</v>
      </c>
      <c r="AH6971" s="2" t="str">
        <f ca="1"/>
        <v>Bad</v>
      </c>
    </row>
    <row r="6972" spans="2:34" x14ac:dyDescent="0.2">
      <c r="B6972" s="2">
        <f ca="1"/>
        <v>0.63406663072325009</v>
      </c>
      <c r="O6972" s="2">
        <f ca="1"/>
        <v>0.75945876550235558</v>
      </c>
      <c r="X6972" s="2">
        <f ca="1"/>
        <v>62.137865692297972</v>
      </c>
      <c r="AG6972" s="2">
        <f ca="1"/>
        <v>0.82616995251162795</v>
      </c>
      <c r="AH6972" s="2" t="str">
        <f ca="1"/>
        <v>Bad</v>
      </c>
    </row>
    <row r="6973" spans="2:34" x14ac:dyDescent="0.2">
      <c r="B6973" s="2">
        <f ca="1"/>
        <v>0.55415509773442539</v>
      </c>
      <c r="O6973" s="2">
        <f ca="1"/>
        <v>-0.80196577310903006</v>
      </c>
      <c r="X6973" s="2">
        <f ca="1"/>
        <v>25.896074786521112</v>
      </c>
      <c r="AG6973" s="2">
        <f ca="1"/>
        <v>0.89597290968680943</v>
      </c>
      <c r="AH6973" s="2" t="str">
        <f ca="1"/>
        <v>Bad</v>
      </c>
    </row>
    <row r="6974" spans="2:34" x14ac:dyDescent="0.2">
      <c r="B6974" s="2">
        <f ca="1"/>
        <v>0.80850201660007115</v>
      </c>
      <c r="O6974" s="2">
        <f ca="1"/>
        <v>-0.80176255175879918</v>
      </c>
      <c r="X6974" s="2">
        <f ca="1"/>
        <v>59.707274227387011</v>
      </c>
      <c r="AG6974" s="2">
        <f ca="1"/>
        <v>0.59490473609918815</v>
      </c>
      <c r="AH6974" s="2" t="str">
        <f ca="1"/>
        <v>Bad</v>
      </c>
    </row>
    <row r="6975" spans="2:34" x14ac:dyDescent="0.2">
      <c r="B6975" s="2">
        <f ca="1"/>
        <v>0.88301346330083952</v>
      </c>
      <c r="O6975" s="2">
        <f ca="1"/>
        <v>-0.78850834197381925</v>
      </c>
      <c r="X6975" s="2">
        <f ca="1"/>
        <v>30.400692313004946</v>
      </c>
      <c r="AG6975" s="2">
        <f ca="1"/>
        <v>0.9035653210397141</v>
      </c>
      <c r="AH6975" s="2" t="str">
        <f ca="1"/>
        <v>Bad</v>
      </c>
    </row>
    <row r="6976" spans="2:34" x14ac:dyDescent="0.2">
      <c r="B6976" s="2">
        <f ca="1"/>
        <v>7.7808925027193165E-2</v>
      </c>
      <c r="O6976" s="2">
        <f ca="1"/>
        <v>-0.37034086825952728</v>
      </c>
      <c r="X6976" s="2">
        <f ca="1"/>
        <v>59.883737269714914</v>
      </c>
      <c r="AG6976" s="2">
        <f ca="1"/>
        <v>6.7952069411508997E-2</v>
      </c>
      <c r="AH6976" s="2" t="str">
        <f ca="1"/>
        <v>OK</v>
      </c>
    </row>
    <row r="6977" spans="2:34" x14ac:dyDescent="0.2">
      <c r="B6977" s="2">
        <f ca="1"/>
        <v>0.22938400377955803</v>
      </c>
      <c r="O6977" s="2">
        <f ca="1"/>
        <v>0.76264028950101803</v>
      </c>
      <c r="X6977" s="2">
        <f ca="1"/>
        <v>58.645618777437392</v>
      </c>
      <c r="AG6977" s="2">
        <f ca="1"/>
        <v>0.6593312163231948</v>
      </c>
      <c r="AH6977" s="2" t="str">
        <f ca="1"/>
        <v>Bad</v>
      </c>
    </row>
    <row r="6978" spans="2:34" x14ac:dyDescent="0.2">
      <c r="B6978" s="2">
        <f ca="1"/>
        <v>0.47115000036769006</v>
      </c>
      <c r="O6978" s="2">
        <f ca="1"/>
        <v>-0.65951237344488156</v>
      </c>
      <c r="X6978" s="2">
        <f ca="1"/>
        <v>49.823213001740818</v>
      </c>
      <c r="AG6978" s="2">
        <f ca="1"/>
        <v>4.7404825404217865E-2</v>
      </c>
      <c r="AH6978" s="2" t="str">
        <f ca="1"/>
        <v>Good</v>
      </c>
    </row>
    <row r="6979" spans="2:34" x14ac:dyDescent="0.2">
      <c r="B6979" s="2">
        <f ca="1"/>
        <v>8.3833135738800024E-3</v>
      </c>
      <c r="O6979" s="2">
        <f ca="1"/>
        <v>-0.49815227157912284</v>
      </c>
      <c r="X6979" s="2">
        <f ca="1"/>
        <v>66.111805770108163</v>
      </c>
      <c r="AG6979" s="2">
        <f ca="1"/>
        <v>0.71426898459159371</v>
      </c>
      <c r="AH6979" s="2" t="str">
        <f ca="1"/>
        <v>Bad</v>
      </c>
    </row>
    <row r="6980" spans="2:34" x14ac:dyDescent="0.2">
      <c r="B6980" s="2">
        <f ca="1"/>
        <v>0.95388655939763467</v>
      </c>
      <c r="O6980" s="2">
        <f ca="1"/>
        <v>-0.68937951827369537</v>
      </c>
      <c r="X6980" s="2">
        <f ca="1"/>
        <v>54.249922264346012</v>
      </c>
      <c r="AG6980" s="2">
        <f ca="1"/>
        <v>1.3633972170192354E-2</v>
      </c>
      <c r="AH6980" s="2" t="str">
        <f ca="1"/>
        <v>Good</v>
      </c>
    </row>
    <row r="6981" spans="2:34" x14ac:dyDescent="0.2">
      <c r="B6981" s="2">
        <f ca="1"/>
        <v>0.89716530346243362</v>
      </c>
      <c r="O6981" s="2">
        <f ca="1"/>
        <v>-1.1834394857172756</v>
      </c>
      <c r="X6981" s="2">
        <f ca="1"/>
        <v>31.748553123978624</v>
      </c>
      <c r="AG6981" s="2">
        <f ca="1"/>
        <v>0.5381858209124879</v>
      </c>
      <c r="AH6981" s="2" t="str">
        <f ca="1"/>
        <v>Bad</v>
      </c>
    </row>
    <row r="6982" spans="2:34" x14ac:dyDescent="0.2">
      <c r="B6982" s="2">
        <f ca="1"/>
        <v>0.33308755419979375</v>
      </c>
      <c r="O6982" s="2">
        <f ca="1"/>
        <v>-0.72813005046456669</v>
      </c>
      <c r="X6982" s="2">
        <f ca="1"/>
        <v>46.606811746436094</v>
      </c>
      <c r="AG6982" s="2">
        <f ca="1"/>
        <v>0.41303646299327768</v>
      </c>
      <c r="AH6982" s="2" t="str">
        <f ca="1"/>
        <v>Bad</v>
      </c>
    </row>
    <row r="6983" spans="2:34" x14ac:dyDescent="0.2">
      <c r="B6983" s="2">
        <f ca="1"/>
        <v>0.7661864499181561</v>
      </c>
      <c r="O6983" s="2">
        <f ca="1"/>
        <v>1.1272288186380206</v>
      </c>
      <c r="X6983" s="2">
        <f ca="1"/>
        <v>74.344812532918411</v>
      </c>
      <c r="AG6983" s="2">
        <f ca="1"/>
        <v>0.22417931489968801</v>
      </c>
      <c r="AH6983" s="2" t="str">
        <f ca="1"/>
        <v>OK</v>
      </c>
    </row>
    <row r="6984" spans="2:34" x14ac:dyDescent="0.2">
      <c r="B6984" s="2">
        <f ca="1"/>
        <v>0.88628922226727425</v>
      </c>
      <c r="O6984" s="2">
        <f ca="1"/>
        <v>0.82169762094799725</v>
      </c>
      <c r="X6984" s="2">
        <f ca="1"/>
        <v>69.190942837204418</v>
      </c>
      <c r="AG6984" s="2">
        <f ca="1"/>
        <v>0.34462973998010904</v>
      </c>
      <c r="AH6984" s="2" t="str">
        <f ca="1"/>
        <v>OK</v>
      </c>
    </row>
    <row r="6985" spans="2:34" x14ac:dyDescent="0.2">
      <c r="B6985" s="2">
        <f ca="1"/>
        <v>0.528494554828427</v>
      </c>
      <c r="O6985" s="2">
        <f ca="1"/>
        <v>1.7538429422964523</v>
      </c>
      <c r="X6985" s="2">
        <f ca="1"/>
        <v>57.232312624727577</v>
      </c>
      <c r="AG6985" s="2">
        <f ca="1"/>
        <v>0.21427705113153506</v>
      </c>
      <c r="AH6985" s="2" t="str">
        <f ca="1"/>
        <v>OK</v>
      </c>
    </row>
    <row r="6986" spans="2:34" x14ac:dyDescent="0.2">
      <c r="B6986" s="2">
        <f ca="1"/>
        <v>0.55441122616665939</v>
      </c>
      <c r="O6986" s="2">
        <f ca="1"/>
        <v>-0.77675063140699041</v>
      </c>
      <c r="X6986" s="2">
        <f ca="1"/>
        <v>40.542096087628494</v>
      </c>
      <c r="AG6986" s="2">
        <f ca="1"/>
        <v>0.29815642808240095</v>
      </c>
      <c r="AH6986" s="2" t="str">
        <f ca="1"/>
        <v>OK</v>
      </c>
    </row>
    <row r="6987" spans="2:34" x14ac:dyDescent="0.2">
      <c r="B6987" s="2">
        <f ca="1"/>
        <v>0.75682228158843556</v>
      </c>
      <c r="O6987" s="2">
        <f ca="1"/>
        <v>0.23088593478877975</v>
      </c>
      <c r="X6987" s="2">
        <f ca="1"/>
        <v>88.71774403299689</v>
      </c>
      <c r="AG6987" s="2">
        <f ca="1"/>
        <v>0.77513381992526864</v>
      </c>
      <c r="AH6987" s="2" t="str">
        <f ca="1"/>
        <v>Bad</v>
      </c>
    </row>
    <row r="6988" spans="2:34" x14ac:dyDescent="0.2">
      <c r="B6988" s="2">
        <f ca="1"/>
        <v>0.33345273093878824</v>
      </c>
      <c r="O6988" s="2">
        <f ca="1"/>
        <v>0.99705572328495518</v>
      </c>
      <c r="X6988" s="2">
        <f ca="1"/>
        <v>33.815036221940233</v>
      </c>
      <c r="AG6988" s="2">
        <f ca="1"/>
        <v>0.78623201455282965</v>
      </c>
      <c r="AH6988" s="2" t="str">
        <f ca="1"/>
        <v>Bad</v>
      </c>
    </row>
    <row r="6989" spans="2:34" x14ac:dyDescent="0.2">
      <c r="B6989" s="2">
        <f ca="1"/>
        <v>0.13180711206556484</v>
      </c>
      <c r="O6989" s="2">
        <f ca="1"/>
        <v>0.68908448834597502</v>
      </c>
      <c r="X6989" s="2">
        <f ca="1"/>
        <v>40.625560951522971</v>
      </c>
      <c r="AG6989" s="2">
        <f ca="1"/>
        <v>0.90752313042082267</v>
      </c>
      <c r="AH6989" s="2" t="str">
        <f ca="1"/>
        <v>Bad</v>
      </c>
    </row>
    <row r="6990" spans="2:34" x14ac:dyDescent="0.2">
      <c r="B6990" s="2">
        <f ca="1"/>
        <v>0.25356285749501573</v>
      </c>
      <c r="O6990" s="2">
        <f ca="1"/>
        <v>1.307089712394933</v>
      </c>
      <c r="X6990" s="2">
        <f ca="1"/>
        <v>41.049126518894489</v>
      </c>
      <c r="AG6990" s="2">
        <f ca="1"/>
        <v>0.84301087473000602</v>
      </c>
      <c r="AH6990" s="2" t="str">
        <f ca="1"/>
        <v>Bad</v>
      </c>
    </row>
    <row r="6991" spans="2:34" x14ac:dyDescent="0.2">
      <c r="B6991" s="2">
        <f ca="1"/>
        <v>0.86286110040468578</v>
      </c>
      <c r="O6991" s="2">
        <f ca="1"/>
        <v>-1.3320850816324628</v>
      </c>
      <c r="X6991" s="2">
        <f ca="1"/>
        <v>25.513689215144506</v>
      </c>
      <c r="AG6991" s="2">
        <f ca="1"/>
        <v>0.39313468921826233</v>
      </c>
      <c r="AH6991" s="2" t="str">
        <f ca="1"/>
        <v>OK</v>
      </c>
    </row>
    <row r="6992" spans="2:34" x14ac:dyDescent="0.2">
      <c r="B6992" s="2">
        <f ca="1"/>
        <v>0.3671753884361395</v>
      </c>
      <c r="O6992" s="2">
        <f ca="1"/>
        <v>0.38540989986167462</v>
      </c>
      <c r="X6992" s="2">
        <f ca="1"/>
        <v>47.169483999260692</v>
      </c>
      <c r="AG6992" s="2">
        <f ca="1"/>
        <v>0.27821155678790532</v>
      </c>
      <c r="AH6992" s="2" t="str">
        <f ca="1"/>
        <v>OK</v>
      </c>
    </row>
    <row r="6993" spans="2:34" x14ac:dyDescent="0.2">
      <c r="B6993" s="2">
        <f ca="1"/>
        <v>0.81454619243824622</v>
      </c>
      <c r="O6993" s="2">
        <f ca="1"/>
        <v>-9.6822392788566067E-2</v>
      </c>
      <c r="X6993" s="2">
        <f ca="1"/>
        <v>51.376831224990568</v>
      </c>
      <c r="AG6993" s="2">
        <f ca="1"/>
        <v>0.35543999562685835</v>
      </c>
      <c r="AH6993" s="2" t="str">
        <f ca="1"/>
        <v>OK</v>
      </c>
    </row>
    <row r="6994" spans="2:34" x14ac:dyDescent="0.2">
      <c r="B6994" s="2">
        <f ca="1"/>
        <v>0.80728064541018796</v>
      </c>
      <c r="O6994" s="2">
        <f ca="1"/>
        <v>-0.6469213537051427</v>
      </c>
      <c r="X6994" s="2">
        <f ca="1"/>
        <v>70.195014697955116</v>
      </c>
      <c r="AG6994" s="2">
        <f ca="1"/>
        <v>0.82414091954356739</v>
      </c>
      <c r="AH6994" s="2" t="str">
        <f ca="1"/>
        <v>Bad</v>
      </c>
    </row>
    <row r="6995" spans="2:34" x14ac:dyDescent="0.2">
      <c r="B6995" s="2">
        <f ca="1"/>
        <v>0.33832035169123342</v>
      </c>
      <c r="O6995" s="2">
        <f ca="1"/>
        <v>-0.85363856660016146</v>
      </c>
      <c r="X6995" s="2">
        <f ca="1"/>
        <v>58.240321544809099</v>
      </c>
      <c r="AG6995" s="2">
        <f ca="1"/>
        <v>0.96785246599788999</v>
      </c>
      <c r="AH6995" s="2" t="str">
        <f ca="1"/>
        <v>Bad</v>
      </c>
    </row>
    <row r="6996" spans="2:34" x14ac:dyDescent="0.2">
      <c r="B6996" s="2">
        <f ca="1"/>
        <v>0.54378821886514439</v>
      </c>
      <c r="O6996" s="2">
        <f ca="1"/>
        <v>-0.28482601043642841</v>
      </c>
      <c r="X6996" s="2">
        <f ca="1"/>
        <v>50.74849673690747</v>
      </c>
      <c r="AG6996" s="2">
        <f ca="1"/>
        <v>0.15746059401201618</v>
      </c>
      <c r="AH6996" s="2" t="str">
        <f ca="1"/>
        <v>OK</v>
      </c>
    </row>
    <row r="6997" spans="2:34" x14ac:dyDescent="0.2">
      <c r="B6997" s="2">
        <f ca="1"/>
        <v>0.43068607340222931</v>
      </c>
      <c r="O6997" s="2">
        <f ca="1"/>
        <v>0.15977776702132346</v>
      </c>
      <c r="X6997" s="2">
        <f ca="1"/>
        <v>85.956104986699074</v>
      </c>
      <c r="AG6997" s="2">
        <f ca="1"/>
        <v>0.7083537267869997</v>
      </c>
      <c r="AH6997" s="2" t="str">
        <f ca="1"/>
        <v>Bad</v>
      </c>
    </row>
    <row r="6998" spans="2:34" x14ac:dyDescent="0.2">
      <c r="B6998" s="2">
        <f ca="1"/>
        <v>0.74445565239354416</v>
      </c>
      <c r="O6998" s="2">
        <f ca="1"/>
        <v>-0.15906565290953031</v>
      </c>
      <c r="X6998" s="2">
        <f ca="1"/>
        <v>66.967499363839366</v>
      </c>
      <c r="AG6998" s="2">
        <f ca="1"/>
        <v>0.98757630362807114</v>
      </c>
      <c r="AH6998" s="2" t="str">
        <f ca="1"/>
        <v>Bad</v>
      </c>
    </row>
    <row r="6999" spans="2:34" x14ac:dyDescent="0.2">
      <c r="B6999" s="2">
        <f ca="1"/>
        <v>0.64713082300627112</v>
      </c>
      <c r="O6999" s="2">
        <f ca="1"/>
        <v>0.64324171154790077</v>
      </c>
      <c r="X6999" s="2">
        <f ca="1"/>
        <v>50.508238141832955</v>
      </c>
      <c r="AG6999" s="2">
        <f ca="1"/>
        <v>0.65325521199247261</v>
      </c>
      <c r="AH6999" s="2" t="str">
        <f ca="1"/>
        <v>Bad</v>
      </c>
    </row>
    <row r="7000" spans="2:34" x14ac:dyDescent="0.2">
      <c r="B7000" s="2">
        <f ca="1"/>
        <v>0.45133053748420049</v>
      </c>
      <c r="O7000" s="2">
        <f ca="1"/>
        <v>9.2505296933536749E-2</v>
      </c>
      <c r="X7000" s="2">
        <f ca="1"/>
        <v>59.999551817520128</v>
      </c>
      <c r="AG7000" s="2">
        <f ca="1"/>
        <v>0.51893446117396946</v>
      </c>
      <c r="AH7000" s="2" t="str">
        <f ca="1"/>
        <v>Bad</v>
      </c>
    </row>
    <row r="7001" spans="2:34" x14ac:dyDescent="0.2">
      <c r="B7001" s="2">
        <f ca="1"/>
        <v>0.33463360517741036</v>
      </c>
      <c r="O7001" s="2">
        <f ca="1"/>
        <v>-0.21976303609747319</v>
      </c>
      <c r="X7001" s="2">
        <f ca="1"/>
        <v>82.064304249909256</v>
      </c>
      <c r="AG7001" s="2">
        <f ca="1"/>
        <v>0.83052502037965481</v>
      </c>
      <c r="AH7001" s="2" t="str">
        <f ca="1"/>
        <v>Bad</v>
      </c>
    </row>
    <row r="7002" spans="2:34" x14ac:dyDescent="0.2">
      <c r="B7002" s="2">
        <f ca="1"/>
        <v>0.73257157650627902</v>
      </c>
      <c r="O7002" s="2">
        <f ca="1"/>
        <v>-0.95249457063531895</v>
      </c>
      <c r="X7002" s="2">
        <f ca="1"/>
        <v>20.072521950041757</v>
      </c>
      <c r="AG7002" s="2">
        <f ca="1"/>
        <v>0.17712069874625236</v>
      </c>
      <c r="AH7002" s="2" t="str">
        <f ca="1"/>
        <v>OK</v>
      </c>
    </row>
    <row r="7003" spans="2:34" x14ac:dyDescent="0.2">
      <c r="B7003" s="2">
        <f ca="1"/>
        <v>0.1857232300575038</v>
      </c>
      <c r="O7003" s="2">
        <f ca="1"/>
        <v>0.64144197661396574</v>
      </c>
      <c r="X7003" s="2">
        <f ca="1"/>
        <v>39.39857305932405</v>
      </c>
      <c r="AG7003" s="2">
        <f ca="1"/>
        <v>0.29902655011094637</v>
      </c>
      <c r="AH7003" s="2" t="str">
        <f ca="1"/>
        <v>OK</v>
      </c>
    </row>
    <row r="7004" spans="2:34" x14ac:dyDescent="0.2">
      <c r="B7004" s="2">
        <f ca="1"/>
        <v>0.21584439050422177</v>
      </c>
      <c r="O7004" s="2">
        <f ca="1"/>
        <v>0.39903437208858689</v>
      </c>
      <c r="X7004" s="2">
        <f ca="1"/>
        <v>45.794252099665201</v>
      </c>
      <c r="AG7004" s="2">
        <f ca="1"/>
        <v>0.40628699543991087</v>
      </c>
      <c r="AH7004" s="2" t="str">
        <f ca="1"/>
        <v>Bad</v>
      </c>
    </row>
    <row r="7005" spans="2:34" x14ac:dyDescent="0.2">
      <c r="B7005" s="2">
        <f ca="1"/>
        <v>0.31251885541219271</v>
      </c>
      <c r="O7005" s="2">
        <f ca="1"/>
        <v>0.89977375968231488</v>
      </c>
      <c r="X7005" s="2">
        <f ca="1"/>
        <v>63.011843412456024</v>
      </c>
      <c r="AG7005" s="2">
        <f ca="1"/>
        <v>0.16277643171760681</v>
      </c>
      <c r="AH7005" s="2" t="str">
        <f ca="1"/>
        <v>OK</v>
      </c>
    </row>
    <row r="7006" spans="2:34" x14ac:dyDescent="0.2">
      <c r="B7006" s="2">
        <f ca="1"/>
        <v>0.77027623821412994</v>
      </c>
      <c r="O7006" s="2">
        <f ca="1"/>
        <v>0.11390075860699671</v>
      </c>
      <c r="X7006" s="2">
        <f ca="1"/>
        <v>67.535918754203294</v>
      </c>
      <c r="AG7006" s="2">
        <f ca="1"/>
        <v>0.97467141118272482</v>
      </c>
      <c r="AH7006" s="2" t="str">
        <f ca="1"/>
        <v>Bad</v>
      </c>
    </row>
    <row r="7007" spans="2:34" x14ac:dyDescent="0.2">
      <c r="B7007" s="2">
        <f ca="1"/>
        <v>0.85160780065311048</v>
      </c>
      <c r="O7007" s="2">
        <f ca="1"/>
        <v>-0.3587519356582819</v>
      </c>
      <c r="X7007" s="2">
        <f ca="1"/>
        <v>56.847102082588222</v>
      </c>
      <c r="AG7007" s="2">
        <f ca="1"/>
        <v>5.3826854048981465E-2</v>
      </c>
      <c r="AH7007" s="2" t="str">
        <f ca="1"/>
        <v>OK</v>
      </c>
    </row>
    <row r="7008" spans="2:34" x14ac:dyDescent="0.2">
      <c r="B7008" s="2">
        <f ca="1"/>
        <v>0.81688876397800403</v>
      </c>
      <c r="O7008" s="2">
        <f ca="1"/>
        <v>-3.7235929479178115E-2</v>
      </c>
      <c r="X7008" s="2">
        <f ca="1"/>
        <v>67.617764046794733</v>
      </c>
      <c r="AG7008" s="2">
        <f ca="1"/>
        <v>0.9860507299341239</v>
      </c>
      <c r="AH7008" s="2" t="str">
        <f ca="1"/>
        <v>Bad</v>
      </c>
    </row>
    <row r="7009" spans="2:34" x14ac:dyDescent="0.2">
      <c r="B7009" s="2">
        <f ca="1"/>
        <v>0.11668522184728269</v>
      </c>
      <c r="O7009" s="2">
        <f ca="1"/>
        <v>1.2139147328269486</v>
      </c>
      <c r="X7009" s="2">
        <f ca="1"/>
        <v>42.534395458767506</v>
      </c>
      <c r="AG7009" s="2">
        <f ca="1"/>
        <v>5.2851190319804786E-2</v>
      </c>
      <c r="AH7009" s="2" t="str">
        <f ca="1"/>
        <v>OK</v>
      </c>
    </row>
    <row r="7010" spans="2:34" x14ac:dyDescent="0.2">
      <c r="B7010" s="2">
        <f ca="1"/>
        <v>8.3787393322023895E-2</v>
      </c>
      <c r="O7010" s="2">
        <f ca="1"/>
        <v>0.30353541865879685</v>
      </c>
      <c r="X7010" s="2">
        <f ca="1"/>
        <v>41.664692099429416</v>
      </c>
      <c r="AG7010" s="2">
        <f ca="1"/>
        <v>0.13481723050040606</v>
      </c>
      <c r="AH7010" s="2" t="str">
        <f ca="1"/>
        <v>OK</v>
      </c>
    </row>
    <row r="7011" spans="2:34" x14ac:dyDescent="0.2">
      <c r="B7011" s="2">
        <f ca="1"/>
        <v>0.12564545783401715</v>
      </c>
      <c r="O7011" s="2">
        <f ca="1"/>
        <v>0.61009856349297953</v>
      </c>
      <c r="X7011" s="2">
        <f ca="1"/>
        <v>51.253740125358092</v>
      </c>
      <c r="AG7011" s="2">
        <f ca="1"/>
        <v>0.46508079279574277</v>
      </c>
      <c r="AH7011" s="2" t="str">
        <f ca="1"/>
        <v>Bad</v>
      </c>
    </row>
    <row r="7012" spans="2:34" x14ac:dyDescent="0.2">
      <c r="B7012" s="2">
        <f ca="1"/>
        <v>0.21885240571767461</v>
      </c>
      <c r="O7012" s="2">
        <f ca="1"/>
        <v>0.18185747392481438</v>
      </c>
      <c r="X7012" s="2">
        <f ca="1"/>
        <v>24.841501950709347</v>
      </c>
      <c r="AG7012" s="2">
        <f ca="1"/>
        <v>0.60893807823568924</v>
      </c>
      <c r="AH7012" s="2" t="str">
        <f ca="1"/>
        <v>Bad</v>
      </c>
    </row>
    <row r="7013" spans="2:34" x14ac:dyDescent="0.2">
      <c r="B7013" s="2">
        <f ca="1"/>
        <v>0.16881696090690856</v>
      </c>
      <c r="O7013" s="2">
        <f ca="1"/>
        <v>-0.22559830189695645</v>
      </c>
      <c r="X7013" s="2">
        <f ca="1"/>
        <v>37.321914711523497</v>
      </c>
      <c r="AG7013" s="2">
        <f ca="1"/>
        <v>0.94299009368660802</v>
      </c>
      <c r="AH7013" s="2" t="str">
        <f ca="1"/>
        <v>Bad</v>
      </c>
    </row>
    <row r="7014" spans="2:34" x14ac:dyDescent="0.2">
      <c r="B7014" s="2">
        <f ca="1"/>
        <v>0.1916819446222271</v>
      </c>
      <c r="O7014" s="2">
        <f ca="1"/>
        <v>1.2852824586882914</v>
      </c>
      <c r="X7014" s="2">
        <f ca="1"/>
        <v>37.776947008115222</v>
      </c>
      <c r="AG7014" s="2">
        <f ca="1"/>
        <v>0.11504569801239728</v>
      </c>
      <c r="AH7014" s="2" t="str">
        <f ca="1"/>
        <v>OK</v>
      </c>
    </row>
    <row r="7015" spans="2:34" x14ac:dyDescent="0.2">
      <c r="B7015" s="2">
        <f ca="1"/>
        <v>0.38230815437259946</v>
      </c>
      <c r="O7015" s="2">
        <f ca="1"/>
        <v>-7.7045881769165811E-2</v>
      </c>
      <c r="X7015" s="2">
        <f ca="1"/>
        <v>46.617094977205362</v>
      </c>
      <c r="AG7015" s="2">
        <f ca="1"/>
        <v>0.17142545541304277</v>
      </c>
      <c r="AH7015" s="2" t="str">
        <f ca="1"/>
        <v>OK</v>
      </c>
    </row>
    <row r="7016" spans="2:34" x14ac:dyDescent="0.2">
      <c r="B7016" s="2">
        <f ca="1"/>
        <v>0.20292024871421033</v>
      </c>
      <c r="O7016" s="2">
        <f ca="1"/>
        <v>1.5673151508345589</v>
      </c>
      <c r="X7016" s="2">
        <f ca="1"/>
        <v>44.542717531994924</v>
      </c>
      <c r="AG7016" s="2">
        <f ca="1"/>
        <v>0.92745062166503622</v>
      </c>
      <c r="AH7016" s="2" t="str">
        <f ca="1"/>
        <v>Bad</v>
      </c>
    </row>
    <row r="7017" spans="2:34" x14ac:dyDescent="0.2">
      <c r="B7017" s="2">
        <f ca="1"/>
        <v>0.29598946390876946</v>
      </c>
      <c r="O7017" s="2">
        <f ca="1"/>
        <v>0.22052804490525316</v>
      </c>
      <c r="X7017" s="2">
        <f ca="1"/>
        <v>53.151064932550831</v>
      </c>
      <c r="AG7017" s="2">
        <f ca="1"/>
        <v>0.46753001750219769</v>
      </c>
      <c r="AH7017" s="2" t="str">
        <f ca="1"/>
        <v>Bad</v>
      </c>
    </row>
    <row r="7018" spans="2:34" x14ac:dyDescent="0.2">
      <c r="B7018" s="2">
        <f ca="1"/>
        <v>0.88863739701080124</v>
      </c>
      <c r="O7018" s="2">
        <f ca="1"/>
        <v>0.17486293197136354</v>
      </c>
      <c r="X7018" s="2">
        <f ca="1"/>
        <v>37.756556596785458</v>
      </c>
      <c r="AG7018" s="2">
        <f ca="1"/>
        <v>0.95806386885238681</v>
      </c>
      <c r="AH7018" s="2" t="str">
        <f ca="1"/>
        <v>Bad</v>
      </c>
    </row>
    <row r="7019" spans="2:34" x14ac:dyDescent="0.2">
      <c r="B7019" s="2">
        <f ca="1"/>
        <v>0.34835929720185166</v>
      </c>
      <c r="O7019" s="2">
        <f ca="1"/>
        <v>-0.53228195456054439</v>
      </c>
      <c r="X7019" s="2">
        <f ca="1"/>
        <v>41.564473908186869</v>
      </c>
      <c r="AG7019" s="2">
        <f ca="1"/>
        <v>0.55508622839508703</v>
      </c>
      <c r="AH7019" s="2" t="str">
        <f ca="1"/>
        <v>Bad</v>
      </c>
    </row>
    <row r="7020" spans="2:34" x14ac:dyDescent="0.2">
      <c r="B7020" s="2">
        <f ca="1"/>
        <v>0.27139346287354504</v>
      </c>
      <c r="O7020" s="2">
        <f ca="1"/>
        <v>0.57150205527926756</v>
      </c>
      <c r="X7020" s="2">
        <f ca="1"/>
        <v>28.283640913610853</v>
      </c>
      <c r="AG7020" s="2">
        <f ca="1"/>
        <v>0.52143219352599601</v>
      </c>
      <c r="AH7020" s="2" t="str">
        <f ca="1"/>
        <v>Bad</v>
      </c>
    </row>
    <row r="7021" spans="2:34" x14ac:dyDescent="0.2">
      <c r="B7021" s="2">
        <f ca="1"/>
        <v>0.95544123220544108</v>
      </c>
      <c r="O7021" s="2">
        <f ca="1"/>
        <v>0.97369218340739694</v>
      </c>
      <c r="X7021" s="2">
        <f ca="1"/>
        <v>41.910878587183767</v>
      </c>
      <c r="AG7021" s="2">
        <f ca="1"/>
        <v>0.56868703095025119</v>
      </c>
      <c r="AH7021" s="2" t="str">
        <f ca="1"/>
        <v>Bad</v>
      </c>
    </row>
    <row r="7022" spans="2:34" x14ac:dyDescent="0.2">
      <c r="B7022" s="2">
        <f ca="1"/>
        <v>0.99686188591552449</v>
      </c>
      <c r="O7022" s="2">
        <f ca="1"/>
        <v>-0.25567418515722756</v>
      </c>
      <c r="X7022" s="2">
        <f ca="1"/>
        <v>53.784849300301083</v>
      </c>
      <c r="AG7022" s="2">
        <f ca="1"/>
        <v>0.96607074924467251</v>
      </c>
      <c r="AH7022" s="2" t="str">
        <f ca="1"/>
        <v>Bad</v>
      </c>
    </row>
    <row r="7023" spans="2:34" x14ac:dyDescent="0.2">
      <c r="B7023" s="2">
        <f ca="1"/>
        <v>0.87827336926675126</v>
      </c>
      <c r="O7023" s="2">
        <f ca="1"/>
        <v>-2.1728602602454998</v>
      </c>
      <c r="X7023" s="2">
        <f ca="1"/>
        <v>31.695678998913145</v>
      </c>
      <c r="AG7023" s="2">
        <f ca="1"/>
        <v>0.65586256940835863</v>
      </c>
      <c r="AH7023" s="2" t="str">
        <f ca="1"/>
        <v>Bad</v>
      </c>
    </row>
    <row r="7024" spans="2:34" x14ac:dyDescent="0.2">
      <c r="B7024" s="2">
        <f ca="1"/>
        <v>0.66426482293384082</v>
      </c>
      <c r="O7024" s="2">
        <f ca="1"/>
        <v>1.0205598710430233</v>
      </c>
      <c r="X7024" s="2">
        <f ca="1"/>
        <v>46.753583566009155</v>
      </c>
      <c r="AG7024" s="2">
        <f ca="1"/>
        <v>0.70611738818661673</v>
      </c>
      <c r="AH7024" s="2" t="str">
        <f ca="1"/>
        <v>Bad</v>
      </c>
    </row>
    <row r="7025" spans="2:34" x14ac:dyDescent="0.2">
      <c r="B7025" s="2">
        <f ca="1"/>
        <v>6.7067811074675188E-2</v>
      </c>
      <c r="O7025" s="2">
        <f ca="1"/>
        <v>0.76171905553942443</v>
      </c>
      <c r="X7025" s="2">
        <f ca="1"/>
        <v>54.565224765176403</v>
      </c>
      <c r="AG7025" s="2">
        <f ca="1"/>
        <v>0.27971975333428922</v>
      </c>
      <c r="AH7025" s="2" t="str">
        <f ca="1"/>
        <v>OK</v>
      </c>
    </row>
    <row r="7026" spans="2:34" x14ac:dyDescent="0.2">
      <c r="B7026" s="2">
        <f ca="1"/>
        <v>0.3711800306770221</v>
      </c>
      <c r="O7026" s="2">
        <f ca="1"/>
        <v>1.5585125559641411</v>
      </c>
      <c r="X7026" s="2">
        <f ca="1"/>
        <v>74.023133552466078</v>
      </c>
      <c r="AG7026" s="2">
        <f ca="1"/>
        <v>0.94630124551291983</v>
      </c>
      <c r="AH7026" s="2" t="str">
        <f ca="1"/>
        <v>Bad</v>
      </c>
    </row>
    <row r="7027" spans="2:34" x14ac:dyDescent="0.2">
      <c r="B7027" s="2">
        <f ca="1"/>
        <v>0.55707304846061656</v>
      </c>
      <c r="O7027" s="2">
        <f ca="1"/>
        <v>-1.0420178610040285</v>
      </c>
      <c r="X7027" s="2">
        <f ca="1"/>
        <v>39.359232441315733</v>
      </c>
      <c r="AG7027" s="2">
        <f ca="1"/>
        <v>0.50980830452158465</v>
      </c>
      <c r="AH7027" s="2" t="str">
        <f ca="1"/>
        <v>Bad</v>
      </c>
    </row>
    <row r="7028" spans="2:34" x14ac:dyDescent="0.2">
      <c r="B7028" s="2">
        <f ca="1"/>
        <v>0.87960094739807926</v>
      </c>
      <c r="O7028" s="2">
        <f ca="1"/>
        <v>0.624474161596552</v>
      </c>
      <c r="X7028" s="2">
        <f ca="1"/>
        <v>64.314043510494542</v>
      </c>
      <c r="AG7028" s="2">
        <f ca="1"/>
        <v>0.61731819855053183</v>
      </c>
      <c r="AH7028" s="2" t="str">
        <f ca="1"/>
        <v>Bad</v>
      </c>
    </row>
    <row r="7029" spans="2:34" x14ac:dyDescent="0.2">
      <c r="B7029" s="2">
        <f ca="1"/>
        <v>0.82375767925006205</v>
      </c>
      <c r="O7029" s="2">
        <f ca="1"/>
        <v>-2.025049718644238</v>
      </c>
      <c r="X7029" s="2">
        <f ca="1"/>
        <v>16.397007524566124</v>
      </c>
      <c r="AG7029" s="2">
        <f ca="1"/>
        <v>0.6761314434091803</v>
      </c>
      <c r="AH7029" s="2" t="str">
        <f ca="1"/>
        <v>Bad</v>
      </c>
    </row>
    <row r="7030" spans="2:34" x14ac:dyDescent="0.2">
      <c r="B7030" s="2">
        <f ca="1"/>
        <v>0.6802196661088209</v>
      </c>
      <c r="O7030" s="2">
        <f ca="1"/>
        <v>1.7909306845620485</v>
      </c>
      <c r="X7030" s="2">
        <f ca="1"/>
        <v>99.393794440082303</v>
      </c>
      <c r="AG7030" s="2">
        <f ca="1"/>
        <v>0.82582824658231657</v>
      </c>
      <c r="AH7030" s="2" t="str">
        <f ca="1"/>
        <v>Bad</v>
      </c>
    </row>
    <row r="7031" spans="2:34" x14ac:dyDescent="0.2">
      <c r="B7031" s="2">
        <f ca="1"/>
        <v>0.60587974642104259</v>
      </c>
      <c r="O7031" s="2">
        <f ca="1"/>
        <v>-0.20894510242056866</v>
      </c>
      <c r="X7031" s="2">
        <f ca="1"/>
        <v>33.321685910145732</v>
      </c>
      <c r="AG7031" s="2">
        <f ca="1"/>
        <v>0.86574503277694159</v>
      </c>
      <c r="AH7031" s="2" t="str">
        <f ca="1"/>
        <v>Bad</v>
      </c>
    </row>
    <row r="7032" spans="2:34" x14ac:dyDescent="0.2">
      <c r="B7032" s="2">
        <f ca="1"/>
        <v>0.10821540143282915</v>
      </c>
      <c r="O7032" s="2">
        <f ca="1"/>
        <v>-1.3212411614848343</v>
      </c>
      <c r="X7032" s="2">
        <f ca="1"/>
        <v>32.435309382002941</v>
      </c>
      <c r="AG7032" s="2">
        <f ca="1"/>
        <v>0.35182629015083555</v>
      </c>
      <c r="AH7032" s="2" t="str">
        <f ca="1"/>
        <v>OK</v>
      </c>
    </row>
    <row r="7033" spans="2:34" x14ac:dyDescent="0.2">
      <c r="B7033" s="2">
        <f ca="1"/>
        <v>0.1017423382603726</v>
      </c>
      <c r="O7033" s="2">
        <f ca="1"/>
        <v>-1.4338207443107402</v>
      </c>
      <c r="X7033" s="2">
        <f ca="1"/>
        <v>31.567774396348792</v>
      </c>
      <c r="AG7033" s="2">
        <f ca="1"/>
        <v>0.32146598852706232</v>
      </c>
      <c r="AH7033" s="2" t="str">
        <f ca="1"/>
        <v>OK</v>
      </c>
    </row>
    <row r="7034" spans="2:34" x14ac:dyDescent="0.2">
      <c r="B7034" s="2">
        <f ca="1"/>
        <v>0.47413580542301137</v>
      </c>
      <c r="O7034" s="2">
        <f ca="1"/>
        <v>0.73323311013976611</v>
      </c>
      <c r="X7034" s="2">
        <f ca="1"/>
        <v>41.653982405691991</v>
      </c>
      <c r="AG7034" s="2">
        <f ca="1"/>
        <v>0.76412626048156951</v>
      </c>
      <c r="AH7034" s="2" t="str">
        <f ca="1"/>
        <v>Bad</v>
      </c>
    </row>
    <row r="7035" spans="2:34" x14ac:dyDescent="0.2">
      <c r="B7035" s="2">
        <f ca="1"/>
        <v>0.16077151459933003</v>
      </c>
      <c r="O7035" s="2">
        <f ca="1"/>
        <v>-1.0564519446135088</v>
      </c>
      <c r="X7035" s="2">
        <f ca="1"/>
        <v>54.900311713520495</v>
      </c>
      <c r="AG7035" s="2">
        <f ca="1"/>
        <v>0.70066924996213986</v>
      </c>
      <c r="AH7035" s="2" t="str">
        <f ca="1"/>
        <v>Bad</v>
      </c>
    </row>
    <row r="7036" spans="2:34" x14ac:dyDescent="0.2">
      <c r="B7036" s="2">
        <f ca="1"/>
        <v>0.36169967975072104</v>
      </c>
      <c r="O7036" s="2">
        <f ca="1"/>
        <v>1.9220406283114546</v>
      </c>
      <c r="X7036" s="2">
        <f ca="1"/>
        <v>56.840901107538784</v>
      </c>
      <c r="AG7036" s="2">
        <f ca="1"/>
        <v>0.19758349863218472</v>
      </c>
      <c r="AH7036" s="2" t="str">
        <f ca="1"/>
        <v>OK</v>
      </c>
    </row>
    <row r="7037" spans="2:34" x14ac:dyDescent="0.2">
      <c r="B7037" s="2">
        <f ca="1"/>
        <v>0.80021591280919657</v>
      </c>
      <c r="O7037" s="2">
        <f ca="1"/>
        <v>0.14539433867296028</v>
      </c>
      <c r="X7037" s="2">
        <f ca="1"/>
        <v>87.38688349753437</v>
      </c>
      <c r="AG7037" s="2">
        <f ca="1"/>
        <v>0.6831315709080461</v>
      </c>
      <c r="AH7037" s="2" t="str">
        <f ca="1"/>
        <v>Bad</v>
      </c>
    </row>
    <row r="7038" spans="2:34" x14ac:dyDescent="0.2">
      <c r="B7038" s="2">
        <f ca="1"/>
        <v>0.28132438415303263</v>
      </c>
      <c r="O7038" s="2">
        <f ca="1"/>
        <v>1.0775149892117679</v>
      </c>
      <c r="X7038" s="2">
        <f ca="1"/>
        <v>42.790427596714522</v>
      </c>
      <c r="AG7038" s="2">
        <f ca="1"/>
        <v>0.92332774651775051</v>
      </c>
      <c r="AH7038" s="2" t="str">
        <f ca="1"/>
        <v>Bad</v>
      </c>
    </row>
    <row r="7039" spans="2:34" x14ac:dyDescent="0.2">
      <c r="B7039" s="2">
        <f ca="1"/>
        <v>0.31410277210381699</v>
      </c>
      <c r="O7039" s="2">
        <f ca="1"/>
        <v>-1.3944814614140169</v>
      </c>
      <c r="X7039" s="2">
        <f ca="1"/>
        <v>77.429145134860192</v>
      </c>
      <c r="AG7039" s="2">
        <f ca="1"/>
        <v>3.086661346869346E-2</v>
      </c>
      <c r="AH7039" s="2" t="str">
        <f ca="1"/>
        <v>Good</v>
      </c>
    </row>
    <row r="7040" spans="2:34" x14ac:dyDescent="0.2">
      <c r="B7040" s="2">
        <f ca="1"/>
        <v>0.44988443593316951</v>
      </c>
      <c r="O7040" s="2">
        <f ca="1"/>
        <v>1.3308188993449064</v>
      </c>
      <c r="X7040" s="2">
        <f ca="1"/>
        <v>64.571694358228953</v>
      </c>
      <c r="AG7040" s="2">
        <f ca="1"/>
        <v>0.867372542516883</v>
      </c>
      <c r="AH7040" s="2" t="str">
        <f ca="1"/>
        <v>Bad</v>
      </c>
    </row>
    <row r="7041" spans="2:34" x14ac:dyDescent="0.2">
      <c r="B7041" s="2">
        <f ca="1"/>
        <v>0.64777832541852276</v>
      </c>
      <c r="O7041" s="2">
        <f ca="1"/>
        <v>-0.14667286624581671</v>
      </c>
      <c r="X7041" s="2">
        <f ca="1"/>
        <v>64.580000313474258</v>
      </c>
      <c r="AG7041" s="2">
        <f ca="1"/>
        <v>0.74505556361000846</v>
      </c>
      <c r="AH7041" s="2" t="str">
        <f ca="1"/>
        <v>Bad</v>
      </c>
    </row>
    <row r="7042" spans="2:34" x14ac:dyDescent="0.2">
      <c r="B7042" s="2">
        <f ca="1"/>
        <v>1.8115938949724297E-2</v>
      </c>
      <c r="O7042" s="2">
        <f ca="1"/>
        <v>-1.179045858263418</v>
      </c>
      <c r="X7042" s="2">
        <f ca="1"/>
        <v>43.840785429804413</v>
      </c>
      <c r="AG7042" s="2">
        <f ca="1"/>
        <v>0.13053059049064863</v>
      </c>
      <c r="AH7042" s="2" t="str">
        <f ca="1"/>
        <v>OK</v>
      </c>
    </row>
    <row r="7043" spans="2:34" x14ac:dyDescent="0.2">
      <c r="B7043" s="2">
        <f ca="1"/>
        <v>0.41027189665938435</v>
      </c>
      <c r="O7043" s="2">
        <f ca="1"/>
        <v>-0.16125795884896893</v>
      </c>
      <c r="X7043" s="2">
        <f ca="1"/>
        <v>36.626238560321831</v>
      </c>
      <c r="AG7043" s="2">
        <f ca="1"/>
        <v>0.65640925137756057</v>
      </c>
      <c r="AH7043" s="2" t="str">
        <f ca="1"/>
        <v>Bad</v>
      </c>
    </row>
    <row r="7044" spans="2:34" x14ac:dyDescent="0.2">
      <c r="B7044" s="2">
        <f ca="1"/>
        <v>0.27289361097430587</v>
      </c>
      <c r="O7044" s="2">
        <f ca="1"/>
        <v>0.39867530794935196</v>
      </c>
      <c r="X7044" s="2">
        <f ca="1"/>
        <v>58.852041676826722</v>
      </c>
      <c r="AG7044" s="2">
        <f ca="1"/>
        <v>0.92636792178098148</v>
      </c>
      <c r="AH7044" s="2" t="str">
        <f ca="1"/>
        <v>Bad</v>
      </c>
    </row>
    <row r="7045" spans="2:34" x14ac:dyDescent="0.2">
      <c r="B7045" s="2">
        <f ca="1"/>
        <v>1.0132990755254756E-2</v>
      </c>
      <c r="O7045" s="2">
        <f ca="1"/>
        <v>-0.22552807746773751</v>
      </c>
      <c r="X7045" s="2">
        <f ca="1"/>
        <v>38.15552463792293</v>
      </c>
      <c r="AG7045" s="2">
        <f ca="1"/>
        <v>0.43003777653707354</v>
      </c>
      <c r="AH7045" s="2" t="str">
        <f ca="1"/>
        <v>Bad</v>
      </c>
    </row>
    <row r="7046" spans="2:34" x14ac:dyDescent="0.2">
      <c r="B7046" s="2">
        <f ca="1"/>
        <v>0.88001567391794944</v>
      </c>
      <c r="O7046" s="2">
        <f ca="1"/>
        <v>-0.48908972793540595</v>
      </c>
      <c r="X7046" s="2">
        <f ca="1"/>
        <v>34.177083738567376</v>
      </c>
      <c r="AG7046" s="2">
        <f ca="1"/>
        <v>0.36874092943958225</v>
      </c>
      <c r="AH7046" s="2" t="str">
        <f ca="1"/>
        <v>OK</v>
      </c>
    </row>
    <row r="7047" spans="2:34" x14ac:dyDescent="0.2">
      <c r="B7047" s="2">
        <f ca="1"/>
        <v>0.66582574435579467</v>
      </c>
      <c r="O7047" s="2">
        <f ca="1"/>
        <v>-0.51194660681817539</v>
      </c>
      <c r="X7047" s="2">
        <f ca="1"/>
        <v>52.845248484300633</v>
      </c>
      <c r="AG7047" s="2">
        <f ca="1"/>
        <v>0.30566801039484193</v>
      </c>
      <c r="AH7047" s="2" t="str">
        <f ca="1"/>
        <v>OK</v>
      </c>
    </row>
    <row r="7048" spans="2:34" x14ac:dyDescent="0.2">
      <c r="B7048" s="2">
        <f ca="1"/>
        <v>0.39142812027893781</v>
      </c>
      <c r="O7048" s="2">
        <f ca="1"/>
        <v>-1.2221292164711068</v>
      </c>
      <c r="X7048" s="2">
        <f ca="1"/>
        <v>40.72694807699736</v>
      </c>
      <c r="AG7048" s="2">
        <f ca="1"/>
        <v>0.38757915563246903</v>
      </c>
      <c r="AH7048" s="2" t="str">
        <f ca="1"/>
        <v>OK</v>
      </c>
    </row>
    <row r="7049" spans="2:34" x14ac:dyDescent="0.2">
      <c r="B7049" s="2">
        <f ca="1"/>
        <v>0.2444189630433431</v>
      </c>
      <c r="O7049" s="2">
        <f ca="1"/>
        <v>1.4143485960851585</v>
      </c>
      <c r="X7049" s="2">
        <f ca="1"/>
        <v>54.902446922265952</v>
      </c>
      <c r="AG7049" s="2">
        <f ca="1"/>
        <v>0.89212029726919417</v>
      </c>
      <c r="AH7049" s="2" t="str">
        <f ca="1"/>
        <v>Bad</v>
      </c>
    </row>
    <row r="7050" spans="2:34" x14ac:dyDescent="0.2">
      <c r="B7050" s="2">
        <f ca="1"/>
        <v>0.27054225149897859</v>
      </c>
      <c r="O7050" s="2">
        <f ca="1"/>
        <v>-0.72544593513236499</v>
      </c>
      <c r="X7050" s="2">
        <f ca="1"/>
        <v>15.99304069941846</v>
      </c>
      <c r="AG7050" s="2">
        <f ca="1"/>
        <v>0.26039346365874771</v>
      </c>
      <c r="AH7050" s="2" t="str">
        <f ca="1"/>
        <v>OK</v>
      </c>
    </row>
    <row r="7051" spans="2:34" x14ac:dyDescent="0.2">
      <c r="B7051" s="2">
        <f ca="1"/>
        <v>0.2161246821773084</v>
      </c>
      <c r="O7051" s="2">
        <f ca="1"/>
        <v>0.73487054317769185</v>
      </c>
      <c r="X7051" s="2">
        <f ca="1"/>
        <v>28.226430683372307</v>
      </c>
      <c r="AG7051" s="2">
        <f ca="1"/>
        <v>0.65441541805342829</v>
      </c>
      <c r="AH7051" s="2" t="str">
        <f ca="1"/>
        <v>Bad</v>
      </c>
    </row>
    <row r="7052" spans="2:34" x14ac:dyDescent="0.2">
      <c r="B7052" s="2">
        <f ca="1"/>
        <v>0.85168615210530163</v>
      </c>
      <c r="O7052" s="2">
        <f ca="1"/>
        <v>0.71313313460106131</v>
      </c>
      <c r="X7052" s="2">
        <f ca="1"/>
        <v>51.501767378041791</v>
      </c>
      <c r="AG7052" s="2">
        <f ca="1"/>
        <v>0.47026118854999965</v>
      </c>
      <c r="AH7052" s="2" t="str">
        <f ca="1"/>
        <v>Bad</v>
      </c>
    </row>
    <row r="7053" spans="2:34" x14ac:dyDescent="0.2">
      <c r="B7053" s="2">
        <f ca="1"/>
        <v>0.41690290616435322</v>
      </c>
      <c r="O7053" s="2">
        <f ca="1"/>
        <v>0.48273435723233604</v>
      </c>
      <c r="X7053" s="2">
        <f ca="1"/>
        <v>57.17299033097153</v>
      </c>
      <c r="AG7053" s="2">
        <f ca="1"/>
        <v>0.64402996598934448</v>
      </c>
      <c r="AH7053" s="2" t="str">
        <f ca="1"/>
        <v>Bad</v>
      </c>
    </row>
    <row r="7054" spans="2:34" x14ac:dyDescent="0.2">
      <c r="B7054" s="2">
        <f ca="1"/>
        <v>0.82243925257868744</v>
      </c>
      <c r="O7054" s="2">
        <f ca="1"/>
        <v>0.41705938717356111</v>
      </c>
      <c r="X7054" s="2">
        <f ca="1"/>
        <v>81.012538336605374</v>
      </c>
      <c r="AG7054" s="2">
        <f ca="1"/>
        <v>0.93903526466691289</v>
      </c>
      <c r="AH7054" s="2" t="str">
        <f ca="1"/>
        <v>Bad</v>
      </c>
    </row>
    <row r="7055" spans="2:34" x14ac:dyDescent="0.2">
      <c r="B7055" s="2">
        <f ca="1"/>
        <v>0.44573765014741062</v>
      </c>
      <c r="O7055" s="2">
        <f ca="1"/>
        <v>-0.9170733765066118</v>
      </c>
      <c r="X7055" s="2">
        <f ca="1"/>
        <v>67.654080284838727</v>
      </c>
      <c r="AG7055" s="2">
        <f ca="1"/>
        <v>0.84422143606793654</v>
      </c>
      <c r="AH7055" s="2" t="str">
        <f ca="1"/>
        <v>Bad</v>
      </c>
    </row>
    <row r="7056" spans="2:34" x14ac:dyDescent="0.2">
      <c r="B7056" s="2">
        <f ca="1"/>
        <v>0.9037355581874853</v>
      </c>
      <c r="O7056" s="2">
        <f ca="1"/>
        <v>1.152362208302256</v>
      </c>
      <c r="X7056" s="2">
        <f ca="1"/>
        <v>44.017430591303921</v>
      </c>
      <c r="AG7056" s="2">
        <f ca="1"/>
        <v>0.49251014211681676</v>
      </c>
      <c r="AH7056" s="2" t="str">
        <f ca="1"/>
        <v>Bad</v>
      </c>
    </row>
    <row r="7057" spans="2:34" x14ac:dyDescent="0.2">
      <c r="B7057" s="2">
        <f ca="1"/>
        <v>0.9286875825429326</v>
      </c>
      <c r="O7057" s="2">
        <f ca="1"/>
        <v>1.1039231508214915</v>
      </c>
      <c r="X7057" s="2">
        <f ca="1"/>
        <v>40.828303216797188</v>
      </c>
      <c r="AG7057" s="2">
        <f ca="1"/>
        <v>0.90352182602253039</v>
      </c>
      <c r="AH7057" s="2" t="str">
        <f ca="1"/>
        <v>Bad</v>
      </c>
    </row>
    <row r="7058" spans="2:34" x14ac:dyDescent="0.2">
      <c r="B7058" s="2">
        <f ca="1"/>
        <v>0.93897282236464119</v>
      </c>
      <c r="O7058" s="2">
        <f ca="1"/>
        <v>8.5243894273778154E-2</v>
      </c>
      <c r="X7058" s="2">
        <f ca="1"/>
        <v>44.795321329000458</v>
      </c>
      <c r="AG7058" s="2">
        <f ca="1"/>
        <v>0.73806759809804512</v>
      </c>
      <c r="AH7058" s="2" t="str">
        <f ca="1"/>
        <v>Bad</v>
      </c>
    </row>
    <row r="7059" spans="2:34" x14ac:dyDescent="0.2">
      <c r="B7059" s="2">
        <f ca="1"/>
        <v>0.95726633627892777</v>
      </c>
      <c r="O7059" s="2">
        <f ca="1"/>
        <v>-0.14340172644502991</v>
      </c>
      <c r="X7059" s="2">
        <f ca="1"/>
        <v>62.089848481576951</v>
      </c>
      <c r="AG7059" s="2">
        <f ca="1"/>
        <v>0.16554055976150073</v>
      </c>
      <c r="AH7059" s="2" t="str">
        <f ca="1"/>
        <v>OK</v>
      </c>
    </row>
    <row r="7060" spans="2:34" x14ac:dyDescent="0.2">
      <c r="B7060" s="2">
        <f ca="1"/>
        <v>0.5931940144681358</v>
      </c>
      <c r="O7060" s="2">
        <f ca="1"/>
        <v>-1.1845068404779078</v>
      </c>
      <c r="X7060" s="2">
        <f ca="1"/>
        <v>60.848984850819903</v>
      </c>
      <c r="AG7060" s="2">
        <f ca="1"/>
        <v>0.39932400569114312</v>
      </c>
      <c r="AH7060" s="2" t="str">
        <f ca="1"/>
        <v>OK</v>
      </c>
    </row>
    <row r="7061" spans="2:34" x14ac:dyDescent="0.2">
      <c r="B7061" s="2">
        <f ca="1"/>
        <v>0.60443669869900107</v>
      </c>
      <c r="O7061" s="2">
        <f ca="1"/>
        <v>-0.49978472846824051</v>
      </c>
      <c r="X7061" s="2">
        <f ca="1"/>
        <v>59.275619623012965</v>
      </c>
      <c r="AG7061" s="2">
        <f ca="1"/>
        <v>0.21431853478944896</v>
      </c>
      <c r="AH7061" s="2" t="str">
        <f ca="1"/>
        <v>OK</v>
      </c>
    </row>
    <row r="7062" spans="2:34" x14ac:dyDescent="0.2">
      <c r="B7062" s="2">
        <f ca="1"/>
        <v>0.11592435980678695</v>
      </c>
      <c r="O7062" s="2">
        <f ca="1"/>
        <v>-0.98599562973421584</v>
      </c>
      <c r="X7062" s="2">
        <f ca="1"/>
        <v>45.432416934530536</v>
      </c>
      <c r="AG7062" s="2">
        <f ca="1"/>
        <v>0.80427660292159375</v>
      </c>
      <c r="AH7062" s="2" t="str">
        <f ca="1"/>
        <v>Bad</v>
      </c>
    </row>
    <row r="7063" spans="2:34" x14ac:dyDescent="0.2">
      <c r="B7063" s="2">
        <f ca="1"/>
        <v>0.17626657689118552</v>
      </c>
      <c r="O7063" s="2">
        <f ca="1"/>
        <v>-0.41944220812985522</v>
      </c>
      <c r="X7063" s="2">
        <f ca="1"/>
        <v>40.977572104968388</v>
      </c>
      <c r="AG7063" s="2">
        <f ca="1"/>
        <v>0.96883574285979934</v>
      </c>
      <c r="AH7063" s="2" t="str">
        <f ca="1"/>
        <v>Bad</v>
      </c>
    </row>
    <row r="7064" spans="2:34" x14ac:dyDescent="0.2">
      <c r="B7064" s="2">
        <f ca="1"/>
        <v>0.42327446218011322</v>
      </c>
      <c r="O7064" s="2">
        <f ca="1"/>
        <v>0.79868386666119351</v>
      </c>
      <c r="X7064" s="2">
        <f ca="1"/>
        <v>51.742701956217502</v>
      </c>
      <c r="AG7064" s="2">
        <f ca="1"/>
        <v>0.40576759373555227</v>
      </c>
      <c r="AH7064" s="2" t="str">
        <f ca="1"/>
        <v>Bad</v>
      </c>
    </row>
    <row r="7065" spans="2:34" x14ac:dyDescent="0.2">
      <c r="B7065" s="2">
        <f ca="1"/>
        <v>0.84770587482202986</v>
      </c>
      <c r="O7065" s="2">
        <f ca="1"/>
        <v>1.4163516213857901</v>
      </c>
      <c r="X7065" s="2">
        <f ca="1"/>
        <v>82.656678902700804</v>
      </c>
      <c r="AG7065" s="2">
        <f ca="1"/>
        <v>0.41895768568072955</v>
      </c>
      <c r="AH7065" s="2" t="str">
        <f ca="1"/>
        <v>Bad</v>
      </c>
    </row>
    <row r="7066" spans="2:34" x14ac:dyDescent="0.2">
      <c r="B7066" s="2">
        <f ca="1"/>
        <v>0.72206591686532384</v>
      </c>
      <c r="O7066" s="2">
        <f ca="1"/>
        <v>1.1574708438396855</v>
      </c>
      <c r="X7066" s="2">
        <f ca="1"/>
        <v>32.264340744821361</v>
      </c>
      <c r="AG7066" s="2">
        <f ca="1"/>
        <v>0.73380173555119721</v>
      </c>
      <c r="AH7066" s="2" t="str">
        <f ca="1"/>
        <v>Bad</v>
      </c>
    </row>
    <row r="7067" spans="2:34" x14ac:dyDescent="0.2">
      <c r="B7067" s="2">
        <f ca="1"/>
        <v>0.48719193942686911</v>
      </c>
      <c r="O7067" s="2">
        <f ca="1"/>
        <v>-1.1483892749594942</v>
      </c>
      <c r="X7067" s="2">
        <f ca="1"/>
        <v>58.785877817045048</v>
      </c>
      <c r="AG7067" s="2">
        <f ca="1"/>
        <v>0.15785844307855323</v>
      </c>
      <c r="AH7067" s="2" t="str">
        <f ca="1"/>
        <v>OK</v>
      </c>
    </row>
    <row r="7068" spans="2:34" x14ac:dyDescent="0.2">
      <c r="B7068" s="2">
        <f ca="1"/>
        <v>0.58260221443337668</v>
      </c>
      <c r="O7068" s="2">
        <f ca="1"/>
        <v>0.62827125267594364</v>
      </c>
      <c r="X7068" s="2">
        <f ca="1"/>
        <v>32.994115196014789</v>
      </c>
      <c r="AG7068" s="2">
        <f ca="1"/>
        <v>0.70120537149614171</v>
      </c>
      <c r="AH7068" s="2" t="str">
        <f ca="1"/>
        <v>Bad</v>
      </c>
    </row>
    <row r="7069" spans="2:34" x14ac:dyDescent="0.2">
      <c r="B7069" s="2">
        <f ca="1"/>
        <v>0.59221419043931278</v>
      </c>
      <c r="O7069" s="2">
        <f ca="1"/>
        <v>0.66628808745242152</v>
      </c>
      <c r="X7069" s="2">
        <f ca="1"/>
        <v>26.462197340562174</v>
      </c>
      <c r="AG7069" s="2">
        <f ca="1"/>
        <v>0.18981080822636787</v>
      </c>
      <c r="AH7069" s="2" t="str">
        <f ca="1"/>
        <v>OK</v>
      </c>
    </row>
    <row r="7070" spans="2:34" x14ac:dyDescent="0.2">
      <c r="B7070" s="2">
        <f ca="1"/>
        <v>0.62519942390121197</v>
      </c>
      <c r="O7070" s="2">
        <f ca="1"/>
        <v>0.34618763706072114</v>
      </c>
      <c r="X7070" s="2">
        <f ca="1"/>
        <v>63.718186214915264</v>
      </c>
      <c r="AG7070" s="2">
        <f ca="1"/>
        <v>0.68699200999706589</v>
      </c>
      <c r="AH7070" s="2" t="str">
        <f ca="1"/>
        <v>Bad</v>
      </c>
    </row>
    <row r="7071" spans="2:34" x14ac:dyDescent="0.2">
      <c r="B7071" s="2">
        <f ca="1"/>
        <v>0.60703699255039179</v>
      </c>
      <c r="O7071" s="2">
        <f ca="1"/>
        <v>0.88834506372371957</v>
      </c>
      <c r="X7071" s="2">
        <f ca="1"/>
        <v>60.483487662594371</v>
      </c>
      <c r="AG7071" s="2">
        <f ca="1"/>
        <v>0.67817868570698181</v>
      </c>
      <c r="AH7071" s="2" t="str">
        <f ca="1"/>
        <v>Bad</v>
      </c>
    </row>
    <row r="7072" spans="2:34" x14ac:dyDescent="0.2">
      <c r="B7072" s="2">
        <f ca="1"/>
        <v>0.76187549107308672</v>
      </c>
      <c r="O7072" s="2">
        <f ca="1"/>
        <v>-0.6191326071837937</v>
      </c>
      <c r="X7072" s="2">
        <f ca="1"/>
        <v>60.216190334893362</v>
      </c>
      <c r="AG7072" s="2">
        <f ca="1"/>
        <v>0.23051248012468339</v>
      </c>
      <c r="AH7072" s="2" t="str">
        <f ca="1"/>
        <v>OK</v>
      </c>
    </row>
    <row r="7073" spans="2:34" x14ac:dyDescent="0.2">
      <c r="B7073" s="2">
        <f ca="1"/>
        <v>0.40574518934092096</v>
      </c>
      <c r="O7073" s="2">
        <f ca="1"/>
        <v>-1.166574577327407</v>
      </c>
      <c r="X7073" s="2">
        <f ca="1"/>
        <v>56.115477297187148</v>
      </c>
      <c r="AG7073" s="2">
        <f ca="1"/>
        <v>0.81490559657501294</v>
      </c>
      <c r="AH7073" s="2" t="str">
        <f ca="1"/>
        <v>Bad</v>
      </c>
    </row>
    <row r="7074" spans="2:34" x14ac:dyDescent="0.2">
      <c r="B7074" s="2">
        <f ca="1"/>
        <v>0.50269415231377046</v>
      </c>
      <c r="O7074" s="2">
        <f ca="1"/>
        <v>-0.72239117653028528</v>
      </c>
      <c r="X7074" s="2">
        <f ca="1"/>
        <v>38.042443637632275</v>
      </c>
      <c r="AG7074" s="2">
        <f ca="1"/>
        <v>6.6531003463419891E-2</v>
      </c>
      <c r="AH7074" s="2" t="str">
        <f ca="1"/>
        <v>OK</v>
      </c>
    </row>
    <row r="7075" spans="2:34" x14ac:dyDescent="0.2">
      <c r="B7075" s="2">
        <f ca="1"/>
        <v>0.11793015939512519</v>
      </c>
      <c r="O7075" s="2">
        <f ca="1"/>
        <v>0.47141106154066559</v>
      </c>
      <c r="X7075" s="2">
        <f ca="1"/>
        <v>56.102846296669242</v>
      </c>
      <c r="AG7075" s="2">
        <f ca="1"/>
        <v>0.32278927105269295</v>
      </c>
      <c r="AH7075" s="2" t="str">
        <f ca="1"/>
        <v>OK</v>
      </c>
    </row>
    <row r="7076" spans="2:34" x14ac:dyDescent="0.2">
      <c r="B7076" s="2">
        <f ca="1"/>
        <v>0.1907876260346324</v>
      </c>
      <c r="O7076" s="2">
        <f ca="1"/>
        <v>-0.61954590462802994</v>
      </c>
      <c r="X7076" s="2">
        <f ca="1"/>
        <v>39.791792160418076</v>
      </c>
      <c r="AG7076" s="2">
        <f ca="1"/>
        <v>0.42891913862087261</v>
      </c>
      <c r="AH7076" s="2" t="str">
        <f ca="1"/>
        <v>Bad</v>
      </c>
    </row>
    <row r="7077" spans="2:34" x14ac:dyDescent="0.2">
      <c r="B7077" s="2">
        <f ca="1"/>
        <v>0.83533095985883699</v>
      </c>
      <c r="O7077" s="2">
        <f ca="1"/>
        <v>0.11445245975421427</v>
      </c>
      <c r="X7077" s="2">
        <f ca="1"/>
        <v>50.240387823289367</v>
      </c>
      <c r="AG7077" s="2">
        <f ca="1"/>
        <v>0.42291660822958499</v>
      </c>
      <c r="AH7077" s="2" t="str">
        <f ca="1"/>
        <v>Bad</v>
      </c>
    </row>
    <row r="7078" spans="2:34" x14ac:dyDescent="0.2">
      <c r="B7078" s="2">
        <f ca="1"/>
        <v>0.67344399016139689</v>
      </c>
      <c r="O7078" s="2">
        <f ca="1"/>
        <v>-0.11483665508857195</v>
      </c>
      <c r="X7078" s="2">
        <f ca="1"/>
        <v>43.847219746179391</v>
      </c>
      <c r="AG7078" s="2">
        <f ca="1"/>
        <v>0.13837038251659517</v>
      </c>
      <c r="AH7078" s="2" t="str">
        <f ca="1"/>
        <v>OK</v>
      </c>
    </row>
    <row r="7079" spans="2:34" x14ac:dyDescent="0.2">
      <c r="B7079" s="2">
        <f ca="1"/>
        <v>0.95841555918432553</v>
      </c>
      <c r="O7079" s="2">
        <f ca="1"/>
        <v>-0.41408463785644123</v>
      </c>
      <c r="X7079" s="2">
        <f ca="1"/>
        <v>44.28660275302768</v>
      </c>
      <c r="AG7079" s="2">
        <f ca="1"/>
        <v>0.2768610566488845</v>
      </c>
      <c r="AH7079" s="2" t="str">
        <f ca="1"/>
        <v>OK</v>
      </c>
    </row>
    <row r="7080" spans="2:34" x14ac:dyDescent="0.2">
      <c r="B7080" s="2">
        <f ca="1"/>
        <v>0.5417612112017387</v>
      </c>
      <c r="O7080" s="2">
        <f ca="1"/>
        <v>0.80701210563895387</v>
      </c>
      <c r="X7080" s="2">
        <f ca="1"/>
        <v>64.138940097301457</v>
      </c>
      <c r="AG7080" s="2">
        <f ca="1"/>
        <v>0.83727074091028109</v>
      </c>
      <c r="AH7080" s="2" t="str">
        <f ca="1"/>
        <v>Bad</v>
      </c>
    </row>
    <row r="7081" spans="2:34" x14ac:dyDescent="0.2">
      <c r="B7081" s="2">
        <f ca="1"/>
        <v>0.57660118764802615</v>
      </c>
      <c r="O7081" s="2">
        <f ca="1"/>
        <v>0.85512330961553751</v>
      </c>
      <c r="X7081" s="2">
        <f ca="1"/>
        <v>39.898815239508394</v>
      </c>
      <c r="AG7081" s="2">
        <f ca="1"/>
        <v>0.28379335808179995</v>
      </c>
      <c r="AH7081" s="2" t="str">
        <f ca="1"/>
        <v>OK</v>
      </c>
    </row>
    <row r="7082" spans="2:34" x14ac:dyDescent="0.2">
      <c r="B7082" s="2">
        <f ca="1"/>
        <v>0.58715621208824342</v>
      </c>
      <c r="O7082" s="2">
        <f ca="1"/>
        <v>0.51146638419662283</v>
      </c>
      <c r="X7082" s="2">
        <f ca="1"/>
        <v>53.79330752768405</v>
      </c>
      <c r="AG7082" s="2">
        <f ca="1"/>
        <v>0.9986083549496878</v>
      </c>
      <c r="AH7082" s="2" t="str">
        <f ca="1"/>
        <v>Bad</v>
      </c>
    </row>
    <row r="7083" spans="2:34" x14ac:dyDescent="0.2">
      <c r="B7083" s="2">
        <f ca="1"/>
        <v>0.9630159554839699</v>
      </c>
      <c r="O7083" s="2">
        <f ca="1"/>
        <v>1.7762624230370778</v>
      </c>
      <c r="X7083" s="2">
        <f ca="1"/>
        <v>51.78256831517934</v>
      </c>
      <c r="AG7083" s="2">
        <f ca="1"/>
        <v>0.48172451364212843</v>
      </c>
      <c r="AH7083" s="2" t="str">
        <f ca="1"/>
        <v>Bad</v>
      </c>
    </row>
    <row r="7084" spans="2:34" x14ac:dyDescent="0.2">
      <c r="B7084" s="2">
        <f ca="1"/>
        <v>0.43484998428986166</v>
      </c>
      <c r="O7084" s="2">
        <f ca="1"/>
        <v>0.8767468078248738</v>
      </c>
      <c r="X7084" s="2">
        <f ca="1"/>
        <v>81.429354760143454</v>
      </c>
      <c r="AG7084" s="2">
        <f ca="1"/>
        <v>0.12456671990386381</v>
      </c>
      <c r="AH7084" s="2" t="str">
        <f ca="1"/>
        <v>OK</v>
      </c>
    </row>
    <row r="7085" spans="2:34" x14ac:dyDescent="0.2">
      <c r="B7085" s="2">
        <f ca="1"/>
        <v>0.83066588606208391</v>
      </c>
      <c r="O7085" s="2">
        <f ca="1"/>
        <v>-0.80739146723276245</v>
      </c>
      <c r="X7085" s="2">
        <f ca="1"/>
        <v>40.974646199697055</v>
      </c>
      <c r="AG7085" s="2">
        <f ca="1"/>
        <v>0.90265648734859716</v>
      </c>
      <c r="AH7085" s="2" t="str">
        <f ca="1"/>
        <v>Bad</v>
      </c>
    </row>
    <row r="7086" spans="2:34" x14ac:dyDescent="0.2">
      <c r="B7086" s="2">
        <f ca="1"/>
        <v>0.57124066481570646</v>
      </c>
      <c r="O7086" s="2">
        <f ca="1"/>
        <v>-0.27114065988855907</v>
      </c>
      <c r="X7086" s="2">
        <f ca="1"/>
        <v>55.389493426841668</v>
      </c>
      <c r="AG7086" s="2">
        <f ca="1"/>
        <v>0.79817623924557934</v>
      </c>
      <c r="AH7086" s="2" t="str">
        <f ca="1"/>
        <v>Bad</v>
      </c>
    </row>
    <row r="7087" spans="2:34" x14ac:dyDescent="0.2">
      <c r="B7087" s="2">
        <f ca="1"/>
        <v>0.51188588510095978</v>
      </c>
      <c r="O7087" s="2">
        <f ca="1"/>
        <v>0.4607536176775559</v>
      </c>
      <c r="X7087" s="2">
        <f ca="1"/>
        <v>58.82706279354251</v>
      </c>
      <c r="AG7087" s="2">
        <f ca="1"/>
        <v>0.21677262736702474</v>
      </c>
      <c r="AH7087" s="2" t="str">
        <f ca="1"/>
        <v>OK</v>
      </c>
    </row>
    <row r="7088" spans="2:34" x14ac:dyDescent="0.2">
      <c r="B7088" s="2">
        <f ca="1"/>
        <v>0.57816167408954056</v>
      </c>
      <c r="O7088" s="2">
        <f ca="1"/>
        <v>0.19868538436747743</v>
      </c>
      <c r="X7088" s="2">
        <f ca="1"/>
        <v>54.676607789951319</v>
      </c>
      <c r="AG7088" s="2">
        <f ca="1"/>
        <v>0.51513301707854708</v>
      </c>
      <c r="AH7088" s="2" t="str">
        <f ca="1"/>
        <v>Bad</v>
      </c>
    </row>
    <row r="7089" spans="2:34" x14ac:dyDescent="0.2">
      <c r="B7089" s="2">
        <f ca="1"/>
        <v>0.71779661125588246</v>
      </c>
      <c r="O7089" s="2">
        <f ca="1"/>
        <v>-1.8479450786957559</v>
      </c>
      <c r="X7089" s="2">
        <f ca="1"/>
        <v>50.673795381274402</v>
      </c>
      <c r="AG7089" s="2">
        <f ca="1"/>
        <v>0.92099621278556953</v>
      </c>
      <c r="AH7089" s="2" t="str">
        <f ca="1"/>
        <v>Bad</v>
      </c>
    </row>
    <row r="7090" spans="2:34" x14ac:dyDescent="0.2">
      <c r="B7090" s="2">
        <f ca="1"/>
        <v>0.67299307473669479</v>
      </c>
      <c r="O7090" s="2">
        <f ca="1"/>
        <v>1.196765949873883</v>
      </c>
      <c r="X7090" s="2">
        <f ca="1"/>
        <v>69.481695846472206</v>
      </c>
      <c r="AG7090" s="2">
        <f ca="1"/>
        <v>0.27034627863899185</v>
      </c>
      <c r="AH7090" s="2" t="str">
        <f ca="1"/>
        <v>OK</v>
      </c>
    </row>
    <row r="7091" spans="2:34" x14ac:dyDescent="0.2">
      <c r="B7091" s="2">
        <f ca="1"/>
        <v>0.28955414191214635</v>
      </c>
      <c r="O7091" s="2">
        <f ca="1"/>
        <v>-0.18645180074985943</v>
      </c>
      <c r="X7091" s="2">
        <f ca="1"/>
        <v>33.467781236821537</v>
      </c>
      <c r="AG7091" s="2">
        <f ca="1"/>
        <v>0.17652364598908843</v>
      </c>
      <c r="AH7091" s="2" t="str">
        <f ca="1"/>
        <v>OK</v>
      </c>
    </row>
    <row r="7092" spans="2:34" x14ac:dyDescent="0.2">
      <c r="B7092" s="2">
        <f ca="1"/>
        <v>0.55244981229295465</v>
      </c>
      <c r="O7092" s="2">
        <f ca="1"/>
        <v>-0.27649425599968985</v>
      </c>
      <c r="X7092" s="2">
        <f ca="1"/>
        <v>57.681626263374362</v>
      </c>
      <c r="AG7092" s="2">
        <f ca="1"/>
        <v>0.68831962887650811</v>
      </c>
      <c r="AH7092" s="2" t="str">
        <f ca="1"/>
        <v>Bad</v>
      </c>
    </row>
    <row r="7093" spans="2:34" x14ac:dyDescent="0.2">
      <c r="B7093" s="2">
        <f ca="1"/>
        <v>0.62458037732767124</v>
      </c>
      <c r="O7093" s="2">
        <f ca="1"/>
        <v>-1.6685094853655096</v>
      </c>
      <c r="X7093" s="2">
        <f ca="1"/>
        <v>30.930138746480502</v>
      </c>
      <c r="AG7093" s="2">
        <f ca="1"/>
        <v>0.22074367078785406</v>
      </c>
      <c r="AH7093" s="2" t="str">
        <f ca="1"/>
        <v>OK</v>
      </c>
    </row>
    <row r="7094" spans="2:34" x14ac:dyDescent="0.2">
      <c r="B7094" s="2">
        <f ca="1"/>
        <v>0.68870308171945527</v>
      </c>
      <c r="O7094" s="2">
        <f ca="1"/>
        <v>0.17448132968163491</v>
      </c>
      <c r="X7094" s="2">
        <f ca="1"/>
        <v>46.761353989525091</v>
      </c>
      <c r="AG7094" s="2">
        <f ca="1"/>
        <v>7.273404608691747E-3</v>
      </c>
      <c r="AH7094" s="2" t="str">
        <f ca="1"/>
        <v>Good</v>
      </c>
    </row>
    <row r="7095" spans="2:34" x14ac:dyDescent="0.2">
      <c r="B7095" s="2">
        <f ca="1"/>
        <v>0.52402557950145257</v>
      </c>
      <c r="O7095" s="2">
        <f ca="1"/>
        <v>0.24105172220823576</v>
      </c>
      <c r="X7095" s="2">
        <f ca="1"/>
        <v>38.284227055827543</v>
      </c>
      <c r="AG7095" s="2">
        <f ca="1"/>
        <v>0.84933088954544966</v>
      </c>
      <c r="AH7095" s="2" t="str">
        <f ca="1"/>
        <v>Bad</v>
      </c>
    </row>
    <row r="7096" spans="2:34" x14ac:dyDescent="0.2">
      <c r="B7096" s="2">
        <f ca="1"/>
        <v>0.32986648690676312</v>
      </c>
      <c r="O7096" s="2">
        <f ca="1"/>
        <v>-0.14395819331296206</v>
      </c>
      <c r="X7096" s="2">
        <f ca="1"/>
        <v>55.411073358067604</v>
      </c>
      <c r="AG7096" s="2">
        <f ca="1"/>
        <v>2.2834547553676199E-3</v>
      </c>
      <c r="AH7096" s="2" t="str">
        <f ca="1"/>
        <v>Good</v>
      </c>
    </row>
    <row r="7097" spans="2:34" x14ac:dyDescent="0.2">
      <c r="B7097" s="2">
        <f ca="1"/>
        <v>0.21397038753893871</v>
      </c>
      <c r="O7097" s="2">
        <f ca="1"/>
        <v>0.79816441555270856</v>
      </c>
      <c r="X7097" s="2">
        <f ca="1"/>
        <v>55.126947919213563</v>
      </c>
      <c r="AG7097" s="2">
        <f ca="1"/>
        <v>0.49202783145199813</v>
      </c>
      <c r="AH7097" s="2" t="str">
        <f ca="1"/>
        <v>Bad</v>
      </c>
    </row>
    <row r="7098" spans="2:34" x14ac:dyDescent="0.2">
      <c r="B7098" s="2">
        <f ca="1"/>
        <v>0.58663779399009797</v>
      </c>
      <c r="O7098" s="2">
        <f ca="1"/>
        <v>-0.39971907538432194</v>
      </c>
      <c r="X7098" s="2">
        <f ca="1"/>
        <v>78.619121112375552</v>
      </c>
      <c r="AG7098" s="2">
        <f ca="1"/>
        <v>0.15942955280633653</v>
      </c>
      <c r="AH7098" s="2" t="str">
        <f ca="1"/>
        <v>OK</v>
      </c>
    </row>
    <row r="7099" spans="2:34" x14ac:dyDescent="0.2">
      <c r="B7099" s="2">
        <f ca="1"/>
        <v>0.94393439319413264</v>
      </c>
      <c r="O7099" s="2">
        <f ca="1"/>
        <v>-2.4451452296850973E-2</v>
      </c>
      <c r="X7099" s="2">
        <f ca="1"/>
        <v>60.59486853571515</v>
      </c>
      <c r="AG7099" s="2">
        <f ca="1"/>
        <v>0.14115175148293369</v>
      </c>
      <c r="AH7099" s="2" t="str">
        <f ca="1"/>
        <v>OK</v>
      </c>
    </row>
    <row r="7100" spans="2:34" x14ac:dyDescent="0.2">
      <c r="B7100" s="2">
        <f ca="1"/>
        <v>0.3498306926948811</v>
      </c>
      <c r="O7100" s="2">
        <f ca="1"/>
        <v>0.73031920475142154</v>
      </c>
      <c r="X7100" s="2">
        <f ca="1"/>
        <v>57.452965711807195</v>
      </c>
      <c r="AG7100" s="2">
        <f ca="1"/>
        <v>8.976752087964468E-2</v>
      </c>
      <c r="AH7100" s="2" t="str">
        <f ca="1"/>
        <v>OK</v>
      </c>
    </row>
    <row r="7101" spans="2:34" x14ac:dyDescent="0.2">
      <c r="B7101" s="2">
        <f ca="1"/>
        <v>0.43118137215052488</v>
      </c>
      <c r="O7101" s="2">
        <f ca="1"/>
        <v>-2.6375329679640283</v>
      </c>
      <c r="X7101" s="2">
        <f ca="1"/>
        <v>45.748156680831045</v>
      </c>
      <c r="AG7101" s="2">
        <f ca="1"/>
        <v>0.93256866779586778</v>
      </c>
      <c r="AH7101" s="2" t="str">
        <f ca="1"/>
        <v>Bad</v>
      </c>
    </row>
    <row r="7102" spans="2:34" x14ac:dyDescent="0.2">
      <c r="B7102" s="2">
        <f ca="1"/>
        <v>0.83174842237196556</v>
      </c>
      <c r="O7102" s="2">
        <f ca="1"/>
        <v>1.2521442630068007</v>
      </c>
      <c r="X7102" s="2">
        <f ca="1"/>
        <v>49.413734820397288</v>
      </c>
      <c r="AG7102" s="2">
        <f ca="1"/>
        <v>0.69702744459237032</v>
      </c>
      <c r="AH7102" s="2" t="str">
        <f ca="1"/>
        <v>Bad</v>
      </c>
    </row>
    <row r="7103" spans="2:34" x14ac:dyDescent="0.2">
      <c r="B7103" s="2">
        <f ca="1"/>
        <v>0.81957088123815525</v>
      </c>
      <c r="O7103" s="2">
        <f ca="1"/>
        <v>-1.0372586401419874</v>
      </c>
      <c r="X7103" s="2">
        <f ca="1"/>
        <v>30.936953030475198</v>
      </c>
      <c r="AG7103" s="2">
        <f ca="1"/>
        <v>0.9286424004085525</v>
      </c>
      <c r="AH7103" s="2" t="str">
        <f ca="1"/>
        <v>Bad</v>
      </c>
    </row>
    <row r="7104" spans="2:34" x14ac:dyDescent="0.2">
      <c r="B7104" s="2">
        <f ca="1"/>
        <v>0.56947291317977444</v>
      </c>
      <c r="O7104" s="2">
        <f ca="1"/>
        <v>1.7394127997949707</v>
      </c>
      <c r="X7104" s="2">
        <f ca="1"/>
        <v>36.405644471948399</v>
      </c>
      <c r="AG7104" s="2">
        <f ca="1"/>
        <v>0.75553566741635692</v>
      </c>
      <c r="AH7104" s="2" t="str">
        <f ca="1"/>
        <v>Bad</v>
      </c>
    </row>
    <row r="7105" spans="2:34" x14ac:dyDescent="0.2">
      <c r="B7105" s="2">
        <f ca="1"/>
        <v>0.86140805340465132</v>
      </c>
      <c r="O7105" s="2">
        <f ca="1"/>
        <v>0.85238251267947318</v>
      </c>
      <c r="X7105" s="2">
        <f ca="1"/>
        <v>59.100879789246854</v>
      </c>
      <c r="AG7105" s="2">
        <f ca="1"/>
        <v>0.64095480744332156</v>
      </c>
      <c r="AH7105" s="2" t="str">
        <f ca="1"/>
        <v>Bad</v>
      </c>
    </row>
    <row r="7106" spans="2:34" x14ac:dyDescent="0.2">
      <c r="B7106" s="2">
        <f ca="1"/>
        <v>0.67483912375166222</v>
      </c>
      <c r="O7106" s="2">
        <f ca="1"/>
        <v>1.4631756850261124</v>
      </c>
      <c r="X7106" s="2">
        <f ca="1"/>
        <v>48.999555060924834</v>
      </c>
      <c r="AG7106" s="2">
        <f ca="1"/>
        <v>0.25360547780824905</v>
      </c>
      <c r="AH7106" s="2" t="str">
        <f ca="1"/>
        <v>OK</v>
      </c>
    </row>
    <row r="7107" spans="2:34" x14ac:dyDescent="0.2">
      <c r="B7107" s="2">
        <f ca="1"/>
        <v>0.21130904479357659</v>
      </c>
      <c r="O7107" s="2">
        <f ca="1"/>
        <v>0.201404991411442</v>
      </c>
      <c r="X7107" s="2">
        <f ca="1"/>
        <v>48.264134291697935</v>
      </c>
      <c r="AG7107" s="2">
        <f ca="1"/>
        <v>0.70923526702909223</v>
      </c>
      <c r="AH7107" s="2" t="str">
        <f ca="1"/>
        <v>Bad</v>
      </c>
    </row>
    <row r="7108" spans="2:34" x14ac:dyDescent="0.2">
      <c r="B7108" s="2">
        <f ca="1"/>
        <v>0.58752356831897945</v>
      </c>
      <c r="O7108" s="2">
        <f ca="1"/>
        <v>-1.3041117405963023</v>
      </c>
      <c r="X7108" s="2">
        <f ca="1"/>
        <v>46.008688049337188</v>
      </c>
      <c r="AG7108" s="2">
        <f ca="1"/>
        <v>0.66112608863163658</v>
      </c>
      <c r="AH7108" s="2" t="str">
        <f ca="1"/>
        <v>Bad</v>
      </c>
    </row>
    <row r="7109" spans="2:34" x14ac:dyDescent="0.2">
      <c r="B7109" s="2">
        <f ca="1"/>
        <v>7.7268359919832497E-2</v>
      </c>
      <c r="O7109" s="2">
        <f ca="1"/>
        <v>1.2631731508877182</v>
      </c>
      <c r="X7109" s="2">
        <f ca="1"/>
        <v>60.736981572104689</v>
      </c>
      <c r="AG7109" s="2">
        <f ca="1"/>
        <v>0.79819035775792235</v>
      </c>
      <c r="AH7109" s="2" t="str">
        <f ca="1"/>
        <v>Bad</v>
      </c>
    </row>
    <row r="7110" spans="2:34" x14ac:dyDescent="0.2">
      <c r="B7110" s="2">
        <f ca="1"/>
        <v>0.95758345463248307</v>
      </c>
      <c r="O7110" s="2">
        <f ca="1"/>
        <v>-0.25630372521131772</v>
      </c>
      <c r="X7110" s="2">
        <f ca="1"/>
        <v>42.527802882262044</v>
      </c>
      <c r="AG7110" s="2">
        <f ca="1"/>
        <v>0.8793311266022692</v>
      </c>
      <c r="AH7110" s="2" t="str">
        <f ca="1"/>
        <v>Bad</v>
      </c>
    </row>
    <row r="7111" spans="2:34" x14ac:dyDescent="0.2">
      <c r="B7111" s="2">
        <f ca="1"/>
        <v>0.72859245637239201</v>
      </c>
      <c r="O7111" s="2">
        <f ca="1"/>
        <v>1.2881444492219896</v>
      </c>
      <c r="X7111" s="2">
        <f ca="1"/>
        <v>35.842200888548398</v>
      </c>
      <c r="AG7111" s="2">
        <f ca="1"/>
        <v>0.36704383216229042</v>
      </c>
      <c r="AH7111" s="2" t="str">
        <f ca="1"/>
        <v>OK</v>
      </c>
    </row>
    <row r="7112" spans="2:34" x14ac:dyDescent="0.2">
      <c r="B7112" s="2">
        <f ca="1"/>
        <v>0.85676024944264406</v>
      </c>
      <c r="O7112" s="2">
        <f ca="1"/>
        <v>-1.4053739656569517</v>
      </c>
      <c r="X7112" s="2">
        <f ca="1"/>
        <v>43.298803850780779</v>
      </c>
      <c r="AG7112" s="2">
        <f ca="1"/>
        <v>7.898869229230332E-3</v>
      </c>
      <c r="AH7112" s="2" t="str">
        <f ca="1"/>
        <v>Good</v>
      </c>
    </row>
    <row r="7113" spans="2:34" x14ac:dyDescent="0.2">
      <c r="B7113" s="2">
        <f ca="1"/>
        <v>0.84729845172401497</v>
      </c>
      <c r="O7113" s="2">
        <f ca="1"/>
        <v>0.90243431420374132</v>
      </c>
      <c r="X7113" s="2">
        <f ca="1"/>
        <v>55.993086643883828</v>
      </c>
      <c r="AG7113" s="2">
        <f ca="1"/>
        <v>0.30945872637496841</v>
      </c>
      <c r="AH7113" s="2" t="str">
        <f ca="1"/>
        <v>OK</v>
      </c>
    </row>
    <row r="7114" spans="2:34" x14ac:dyDescent="0.2">
      <c r="B7114" s="2">
        <f ca="1"/>
        <v>0.41398192355178454</v>
      </c>
      <c r="O7114" s="2">
        <f ca="1"/>
        <v>1.0172872399543524</v>
      </c>
      <c r="X7114" s="2">
        <f ca="1"/>
        <v>50.091470756420485</v>
      </c>
      <c r="AG7114" s="2">
        <f ca="1"/>
        <v>0.13443886646896508</v>
      </c>
      <c r="AH7114" s="2" t="str">
        <f ca="1"/>
        <v>OK</v>
      </c>
    </row>
    <row r="7115" spans="2:34" x14ac:dyDescent="0.2">
      <c r="B7115" s="2">
        <f ca="1"/>
        <v>7.688785845367363E-3</v>
      </c>
      <c r="O7115" s="2">
        <f ca="1"/>
        <v>-0.29317404552913362</v>
      </c>
      <c r="X7115" s="2">
        <f ca="1"/>
        <v>39.199284241509154</v>
      </c>
      <c r="AG7115" s="2">
        <f ca="1"/>
        <v>0.64059233802394422</v>
      </c>
      <c r="AH7115" s="2" t="str">
        <f ca="1"/>
        <v>Bad</v>
      </c>
    </row>
    <row r="7116" spans="2:34" x14ac:dyDescent="0.2">
      <c r="B7116" s="2">
        <f ca="1"/>
        <v>0.96963800067861827</v>
      </c>
      <c r="O7116" s="2">
        <f ca="1"/>
        <v>-0.13471152937009132</v>
      </c>
      <c r="X7116" s="2">
        <f ca="1"/>
        <v>43.465702935625458</v>
      </c>
      <c r="AG7116" s="2">
        <f ca="1"/>
        <v>0.64064529249536117</v>
      </c>
      <c r="AH7116" s="2" t="str">
        <f ca="1"/>
        <v>Bad</v>
      </c>
    </row>
    <row r="7117" spans="2:34" x14ac:dyDescent="0.2">
      <c r="B7117" s="2">
        <f ca="1"/>
        <v>0.32575264843751017</v>
      </c>
      <c r="O7117" s="2">
        <f ca="1"/>
        <v>0.12892696748566373</v>
      </c>
      <c r="X7117" s="2">
        <f ca="1"/>
        <v>44.538961578606653</v>
      </c>
      <c r="AG7117" s="2">
        <f ca="1"/>
        <v>8.2930032388496278E-2</v>
      </c>
      <c r="AH7117" s="2" t="str">
        <f ca="1"/>
        <v>OK</v>
      </c>
    </row>
    <row r="7118" spans="2:34" x14ac:dyDescent="0.2">
      <c r="B7118" s="2">
        <f ca="1"/>
        <v>4.5090239222063566E-2</v>
      </c>
      <c r="O7118" s="2">
        <f ca="1"/>
        <v>1.0389309070219186</v>
      </c>
      <c r="X7118" s="2">
        <f ca="1"/>
        <v>63.067804882235485</v>
      </c>
      <c r="AG7118" s="2">
        <f ca="1"/>
        <v>0.75475820139316707</v>
      </c>
      <c r="AH7118" s="2" t="str">
        <f ca="1"/>
        <v>Bad</v>
      </c>
    </row>
    <row r="7119" spans="2:34" x14ac:dyDescent="0.2">
      <c r="B7119" s="2">
        <f ca="1"/>
        <v>0.61657808173708939</v>
      </c>
      <c r="O7119" s="2">
        <f ca="1"/>
        <v>1.391849687505162</v>
      </c>
      <c r="X7119" s="2">
        <f ca="1"/>
        <v>70.326949780319012</v>
      </c>
      <c r="AG7119" s="2">
        <f ca="1"/>
        <v>0.66124913982896882</v>
      </c>
      <c r="AH7119" s="2" t="str">
        <f ca="1"/>
        <v>Bad</v>
      </c>
    </row>
    <row r="7120" spans="2:34" x14ac:dyDescent="0.2">
      <c r="B7120" s="2">
        <f ca="1"/>
        <v>0.71817347299938272</v>
      </c>
      <c r="O7120" s="2">
        <f ca="1"/>
        <v>0.39669803604121895</v>
      </c>
      <c r="X7120" s="2">
        <f ca="1"/>
        <v>62.170608435129822</v>
      </c>
      <c r="AG7120" s="2">
        <f ca="1"/>
        <v>0.20094342280665312</v>
      </c>
      <c r="AH7120" s="2" t="str">
        <f ca="1"/>
        <v>OK</v>
      </c>
    </row>
    <row r="7121" spans="2:34" x14ac:dyDescent="0.2">
      <c r="B7121" s="2">
        <f ca="1"/>
        <v>0.96069435137017467</v>
      </c>
      <c r="O7121" s="2">
        <f ca="1"/>
        <v>0.44938001755491913</v>
      </c>
      <c r="X7121" s="2">
        <f ca="1"/>
        <v>33.778071273822803</v>
      </c>
      <c r="AG7121" s="2">
        <f ca="1"/>
        <v>0.54877984766915833</v>
      </c>
      <c r="AH7121" s="2" t="str">
        <f ca="1"/>
        <v>Bad</v>
      </c>
    </row>
    <row r="7122" spans="2:34" x14ac:dyDescent="0.2">
      <c r="B7122" s="2">
        <f ca="1"/>
        <v>0.23674947120956791</v>
      </c>
      <c r="O7122" s="2">
        <f ca="1"/>
        <v>8.836188840486052E-2</v>
      </c>
      <c r="X7122" s="2">
        <f ca="1"/>
        <v>35.386855806380851</v>
      </c>
      <c r="AG7122" s="2">
        <f ca="1"/>
        <v>0.23666378932901999</v>
      </c>
      <c r="AH7122" s="2" t="str">
        <f ca="1"/>
        <v>OK</v>
      </c>
    </row>
    <row r="7123" spans="2:34" x14ac:dyDescent="0.2">
      <c r="B7123" s="2">
        <f ca="1"/>
        <v>0.27375915072754164</v>
      </c>
      <c r="O7123" s="2">
        <f ca="1"/>
        <v>0.32574050564120571</v>
      </c>
      <c r="X7123" s="2">
        <f ca="1"/>
        <v>45.974870072855595</v>
      </c>
      <c r="AG7123" s="2">
        <f ca="1"/>
        <v>0.778240066026332</v>
      </c>
      <c r="AH7123" s="2" t="str">
        <f ca="1"/>
        <v>Bad</v>
      </c>
    </row>
    <row r="7124" spans="2:34" x14ac:dyDescent="0.2">
      <c r="B7124" s="2">
        <f ca="1"/>
        <v>0.64739079867731797</v>
      </c>
      <c r="O7124" s="2">
        <f ca="1"/>
        <v>-1.1343923124583652</v>
      </c>
      <c r="X7124" s="2">
        <f ca="1"/>
        <v>31.744894194403756</v>
      </c>
      <c r="AG7124" s="2">
        <f ca="1"/>
        <v>0.82516170045392268</v>
      </c>
      <c r="AH7124" s="2" t="str">
        <f ca="1"/>
        <v>Bad</v>
      </c>
    </row>
    <row r="7125" spans="2:34" x14ac:dyDescent="0.2">
      <c r="B7125" s="2">
        <f ca="1"/>
        <v>0.47862739029750001</v>
      </c>
      <c r="O7125" s="2">
        <f ca="1"/>
        <v>-1.5012615860721783</v>
      </c>
      <c r="X7125" s="2">
        <f ca="1"/>
        <v>48.554564588816703</v>
      </c>
      <c r="AG7125" s="2">
        <f ca="1"/>
        <v>0.43431551787942957</v>
      </c>
      <c r="AH7125" s="2" t="str">
        <f ca="1"/>
        <v>Bad</v>
      </c>
    </row>
    <row r="7126" spans="2:34" x14ac:dyDescent="0.2">
      <c r="B7126" s="2">
        <f ca="1"/>
        <v>0.29103292631444333</v>
      </c>
      <c r="O7126" s="2">
        <f ca="1"/>
        <v>-1.002611849100784</v>
      </c>
      <c r="X7126" s="2">
        <f ca="1"/>
        <v>74.186707358485066</v>
      </c>
      <c r="AG7126" s="2">
        <f ca="1"/>
        <v>2.9384642613421663E-2</v>
      </c>
      <c r="AH7126" s="2" t="str">
        <f ca="1"/>
        <v>Good</v>
      </c>
    </row>
    <row r="7127" spans="2:34" x14ac:dyDescent="0.2">
      <c r="B7127" s="2">
        <f ca="1"/>
        <v>0.79064909237199821</v>
      </c>
      <c r="O7127" s="2">
        <f ca="1"/>
        <v>2.1821719405002691</v>
      </c>
      <c r="X7127" s="2">
        <f ca="1"/>
        <v>52.508021935832048</v>
      </c>
      <c r="AG7127" s="2">
        <f ca="1"/>
        <v>0.14121089763123029</v>
      </c>
      <c r="AH7127" s="2" t="str">
        <f ca="1"/>
        <v>OK</v>
      </c>
    </row>
    <row r="7128" spans="2:34" x14ac:dyDescent="0.2">
      <c r="B7128" s="2">
        <f ca="1"/>
        <v>0.25706767499490724</v>
      </c>
      <c r="O7128" s="2">
        <f ca="1"/>
        <v>0.20400819127535316</v>
      </c>
      <c r="X7128" s="2">
        <f ca="1"/>
        <v>60.852374784644923</v>
      </c>
      <c r="AG7128" s="2">
        <f ca="1"/>
        <v>0.76899089584920377</v>
      </c>
      <c r="AH7128" s="2" t="str">
        <f ca="1"/>
        <v>Bad</v>
      </c>
    </row>
    <row r="7129" spans="2:34" x14ac:dyDescent="0.2">
      <c r="B7129" s="2">
        <f ca="1"/>
        <v>0.50827950231530283</v>
      </c>
      <c r="O7129" s="2">
        <f ca="1"/>
        <v>1.9055414055038082</v>
      </c>
      <c r="X7129" s="2">
        <f ca="1"/>
        <v>69.786066661937213</v>
      </c>
      <c r="AG7129" s="2">
        <f ca="1"/>
        <v>0.41625028135580688</v>
      </c>
      <c r="AH7129" s="2" t="str">
        <f ca="1"/>
        <v>Bad</v>
      </c>
    </row>
    <row r="7130" spans="2:34" x14ac:dyDescent="0.2">
      <c r="B7130" s="2">
        <f ca="1"/>
        <v>0.90656616302624893</v>
      </c>
      <c r="O7130" s="2">
        <f ca="1"/>
        <v>1.4031301053349248</v>
      </c>
      <c r="X7130" s="2">
        <f ca="1"/>
        <v>36.066467935553234</v>
      </c>
      <c r="AG7130" s="2">
        <f ca="1"/>
        <v>0.78833579786569685</v>
      </c>
      <c r="AH7130" s="2" t="str">
        <f ca="1"/>
        <v>Bad</v>
      </c>
    </row>
    <row r="7131" spans="2:34" x14ac:dyDescent="0.2">
      <c r="B7131" s="2">
        <f ca="1"/>
        <v>0.57712654458968138</v>
      </c>
      <c r="O7131" s="2">
        <f ca="1"/>
        <v>0.15011283359061006</v>
      </c>
      <c r="X7131" s="2">
        <f ca="1"/>
        <v>39.138705861551948</v>
      </c>
      <c r="AG7131" s="2">
        <f ca="1"/>
        <v>0.13072402744412348</v>
      </c>
      <c r="AH7131" s="2" t="str">
        <f ca="1"/>
        <v>OK</v>
      </c>
    </row>
    <row r="7132" spans="2:34" x14ac:dyDescent="0.2">
      <c r="B7132" s="2">
        <f ca="1"/>
        <v>0.86414343170793395</v>
      </c>
      <c r="O7132" s="2">
        <f ca="1"/>
        <v>-0.79843018479190597</v>
      </c>
      <c r="X7132" s="2">
        <f ca="1"/>
        <v>61.115665112093609</v>
      </c>
      <c r="AG7132" s="2">
        <f ca="1"/>
        <v>0.66490138691817036</v>
      </c>
      <c r="AH7132" s="2" t="str">
        <f ca="1"/>
        <v>Bad</v>
      </c>
    </row>
    <row r="7133" spans="2:34" x14ac:dyDescent="0.2">
      <c r="B7133" s="2">
        <f ca="1"/>
        <v>0.56330949370788597</v>
      </c>
      <c r="O7133" s="2">
        <f ca="1"/>
        <v>-0.14502174755950353</v>
      </c>
      <c r="X7133" s="2">
        <f ca="1"/>
        <v>63.859591070906902</v>
      </c>
      <c r="AG7133" s="2">
        <f ca="1"/>
        <v>0.93242842045747398</v>
      </c>
      <c r="AH7133" s="2" t="str">
        <f ca="1"/>
        <v>Bad</v>
      </c>
    </row>
    <row r="7134" spans="2:34" x14ac:dyDescent="0.2">
      <c r="B7134" s="2">
        <f ca="1"/>
        <v>0.21977004082928642</v>
      </c>
      <c r="O7134" s="2">
        <f ca="1"/>
        <v>-0.22429705793276744</v>
      </c>
      <c r="X7134" s="2">
        <f ca="1"/>
        <v>67.975928666644563</v>
      </c>
      <c r="AG7134" s="2">
        <f ca="1"/>
        <v>0.37863720929537137</v>
      </c>
      <c r="AH7134" s="2" t="str">
        <f ca="1"/>
        <v>OK</v>
      </c>
    </row>
    <row r="7135" spans="2:34" x14ac:dyDescent="0.2">
      <c r="B7135" s="2">
        <f ca="1"/>
        <v>0.58141728350240163</v>
      </c>
      <c r="O7135" s="2">
        <f ca="1"/>
        <v>-0.23350777348099366</v>
      </c>
      <c r="X7135" s="2">
        <f ca="1"/>
        <v>19.430799688299377</v>
      </c>
      <c r="AG7135" s="2">
        <f ca="1"/>
        <v>0.36459901715914689</v>
      </c>
      <c r="AH7135" s="2" t="str">
        <f ca="1"/>
        <v>OK</v>
      </c>
    </row>
    <row r="7136" spans="2:34" x14ac:dyDescent="0.2">
      <c r="B7136" s="2">
        <f ca="1"/>
        <v>0.8669802002281739</v>
      </c>
      <c r="O7136" s="2">
        <f ca="1"/>
        <v>2.0234117390220572</v>
      </c>
      <c r="X7136" s="2">
        <f ca="1"/>
        <v>44.458246761244659</v>
      </c>
      <c r="AG7136" s="2">
        <f ca="1"/>
        <v>0.85247796274135967</v>
      </c>
      <c r="AH7136" s="2" t="str">
        <f ca="1"/>
        <v>Bad</v>
      </c>
    </row>
    <row r="7137" spans="2:34" x14ac:dyDescent="0.2">
      <c r="B7137" s="2">
        <f ca="1"/>
        <v>0.58973867544826497</v>
      </c>
      <c r="O7137" s="2">
        <f ca="1"/>
        <v>0.3413206491886796</v>
      </c>
      <c r="X7137" s="2">
        <f ca="1"/>
        <v>67.671075652904705</v>
      </c>
      <c r="AG7137" s="2">
        <f ca="1"/>
        <v>0.49490808873641257</v>
      </c>
      <c r="AH7137" s="2" t="str">
        <f ca="1"/>
        <v>Bad</v>
      </c>
    </row>
    <row r="7138" spans="2:34" x14ac:dyDescent="0.2">
      <c r="B7138" s="2">
        <f ca="1"/>
        <v>0.47470271606064207</v>
      </c>
      <c r="O7138" s="2">
        <f ca="1"/>
        <v>0.66304051440069145</v>
      </c>
      <c r="X7138" s="2">
        <f ca="1"/>
        <v>43.359292336046416</v>
      </c>
      <c r="AG7138" s="2">
        <f ca="1"/>
        <v>0.69562309859908211</v>
      </c>
      <c r="AH7138" s="2" t="str">
        <f ca="1"/>
        <v>Bad</v>
      </c>
    </row>
    <row r="7139" spans="2:34" x14ac:dyDescent="0.2">
      <c r="B7139" s="2">
        <f ca="1"/>
        <v>0.50073301392651137</v>
      </c>
      <c r="O7139" s="2">
        <f ca="1"/>
        <v>-0.11339193849717601</v>
      </c>
      <c r="X7139" s="2">
        <f ca="1"/>
        <v>27.58681149010939</v>
      </c>
      <c r="AG7139" s="2">
        <f ca="1"/>
        <v>0.3384757366861213</v>
      </c>
      <c r="AH7139" s="2" t="str">
        <f ca="1"/>
        <v>OK</v>
      </c>
    </row>
    <row r="7140" spans="2:34" x14ac:dyDescent="0.2">
      <c r="B7140" s="2">
        <f ca="1"/>
        <v>0.99887646455037604</v>
      </c>
      <c r="O7140" s="2">
        <f ca="1"/>
        <v>0.67107473668113704</v>
      </c>
      <c r="X7140" s="2">
        <f ca="1"/>
        <v>57.927635338628882</v>
      </c>
      <c r="AG7140" s="2">
        <f ca="1"/>
        <v>0.19092742392239592</v>
      </c>
      <c r="AH7140" s="2" t="str">
        <f ca="1"/>
        <v>OK</v>
      </c>
    </row>
    <row r="7141" spans="2:34" x14ac:dyDescent="0.2">
      <c r="B7141" s="2">
        <f ca="1"/>
        <v>0.5544210861723835</v>
      </c>
      <c r="O7141" s="2">
        <f ca="1"/>
        <v>-0.34126597887844662</v>
      </c>
      <c r="X7141" s="2">
        <f ca="1"/>
        <v>89.954849912448381</v>
      </c>
      <c r="AG7141" s="2">
        <f ca="1"/>
        <v>0.21156979476833038</v>
      </c>
      <c r="AH7141" s="2" t="str">
        <f ca="1"/>
        <v>OK</v>
      </c>
    </row>
    <row r="7142" spans="2:34" x14ac:dyDescent="0.2">
      <c r="B7142" s="2">
        <f ca="1"/>
        <v>0.15324947323232974</v>
      </c>
      <c r="O7142" s="2">
        <f ca="1"/>
        <v>-0.50729099258541477</v>
      </c>
      <c r="X7142" s="2">
        <f ca="1"/>
        <v>72.736864739328581</v>
      </c>
      <c r="AG7142" s="2">
        <f ca="1"/>
        <v>0.62442328296800964</v>
      </c>
      <c r="AH7142" s="2" t="str">
        <f ca="1"/>
        <v>Bad</v>
      </c>
    </row>
    <row r="7143" spans="2:34" x14ac:dyDescent="0.2">
      <c r="B7143" s="2">
        <f ca="1"/>
        <v>0.1921008138010365</v>
      </c>
      <c r="O7143" s="2">
        <f ca="1"/>
        <v>-1.2124021443822679</v>
      </c>
      <c r="X7143" s="2">
        <f ca="1"/>
        <v>94.382430352171099</v>
      </c>
      <c r="AG7143" s="2">
        <f ca="1"/>
        <v>0.61353176345024929</v>
      </c>
      <c r="AH7143" s="2" t="str">
        <f ca="1"/>
        <v>Bad</v>
      </c>
    </row>
    <row r="7144" spans="2:34" x14ac:dyDescent="0.2">
      <c r="B7144" s="2">
        <f ca="1"/>
        <v>7.0652636050626327E-2</v>
      </c>
      <c r="O7144" s="2">
        <f ca="1"/>
        <v>3.7241502051568343E-2</v>
      </c>
      <c r="X7144" s="2">
        <f ca="1"/>
        <v>41.589816360415817</v>
      </c>
      <c r="AG7144" s="2">
        <f ca="1"/>
        <v>0.1609547238792568</v>
      </c>
      <c r="AH7144" s="2" t="str">
        <f ca="1"/>
        <v>OK</v>
      </c>
    </row>
    <row r="7145" spans="2:34" x14ac:dyDescent="0.2">
      <c r="B7145" s="2">
        <f ca="1"/>
        <v>0.65493762205874262</v>
      </c>
      <c r="O7145" s="2">
        <f ca="1"/>
        <v>-0.51435026525791083</v>
      </c>
      <c r="X7145" s="2">
        <f ca="1"/>
        <v>57.194576953870218</v>
      </c>
      <c r="AG7145" s="2">
        <f ca="1"/>
        <v>0.99977030714015536</v>
      </c>
      <c r="AH7145" s="2" t="str">
        <f ca="1"/>
        <v>Bad</v>
      </c>
    </row>
    <row r="7146" spans="2:34" x14ac:dyDescent="0.2">
      <c r="B7146" s="2">
        <f ca="1"/>
        <v>0.90600986095435099</v>
      </c>
      <c r="O7146" s="2">
        <f ca="1"/>
        <v>-0.37585048062906989</v>
      </c>
      <c r="X7146" s="2">
        <f ca="1"/>
        <v>60.153940380327668</v>
      </c>
      <c r="AG7146" s="2">
        <f ca="1"/>
        <v>0.95660144604200958</v>
      </c>
      <c r="AH7146" s="2" t="str">
        <f ca="1"/>
        <v>Bad</v>
      </c>
    </row>
    <row r="7147" spans="2:34" x14ac:dyDescent="0.2">
      <c r="B7147" s="2">
        <f ca="1"/>
        <v>0.88236345736144806</v>
      </c>
      <c r="O7147" s="2">
        <f ca="1"/>
        <v>5.3316920821303321E-2</v>
      </c>
      <c r="X7147" s="2">
        <f ca="1"/>
        <v>51.298941322404787</v>
      </c>
      <c r="AG7147" s="2">
        <f ca="1"/>
        <v>0.63210753867527614</v>
      </c>
      <c r="AH7147" s="2" t="str">
        <f ca="1"/>
        <v>Bad</v>
      </c>
    </row>
    <row r="7148" spans="2:34" x14ac:dyDescent="0.2">
      <c r="B7148" s="2">
        <f ca="1"/>
        <v>0.95476838492845428</v>
      </c>
      <c r="O7148" s="2">
        <f ca="1"/>
        <v>-0.41743433607328051</v>
      </c>
      <c r="X7148" s="2">
        <f ca="1"/>
        <v>34.012629644586298</v>
      </c>
      <c r="AG7148" s="2">
        <f ca="1"/>
        <v>0.3748547996054501</v>
      </c>
      <c r="AH7148" s="2" t="str">
        <f ca="1"/>
        <v>OK</v>
      </c>
    </row>
    <row r="7149" spans="2:34" x14ac:dyDescent="0.2">
      <c r="B7149" s="2">
        <f ca="1"/>
        <v>8.3241203097212724E-2</v>
      </c>
      <c r="O7149" s="2">
        <f ca="1"/>
        <v>0.5101361436540861</v>
      </c>
      <c r="X7149" s="2">
        <f ca="1"/>
        <v>63.508089644269674</v>
      </c>
      <c r="AG7149" s="2">
        <f ca="1"/>
        <v>0.26066188554246583</v>
      </c>
      <c r="AH7149" s="2" t="str">
        <f ca="1"/>
        <v>OK</v>
      </c>
    </row>
    <row r="7150" spans="2:34" x14ac:dyDescent="0.2">
      <c r="B7150" s="2">
        <f ca="1"/>
        <v>0.30248486059479673</v>
      </c>
      <c r="O7150" s="2">
        <f ca="1"/>
        <v>-0.66093978781216378</v>
      </c>
      <c r="X7150" s="2">
        <f ca="1"/>
        <v>48.857936932735406</v>
      </c>
      <c r="AG7150" s="2">
        <f ca="1"/>
        <v>0.62441195421261275</v>
      </c>
      <c r="AH7150" s="2" t="str">
        <f ca="1"/>
        <v>Bad</v>
      </c>
    </row>
    <row r="7151" spans="2:34" x14ac:dyDescent="0.2">
      <c r="B7151" s="2">
        <f ca="1"/>
        <v>0.78916432227102362</v>
      </c>
      <c r="O7151" s="2">
        <f ca="1"/>
        <v>0.68989409729272755</v>
      </c>
      <c r="X7151" s="2">
        <f ca="1"/>
        <v>57.139197657618524</v>
      </c>
      <c r="AG7151" s="2">
        <f ca="1"/>
        <v>0.13220768491997847</v>
      </c>
      <c r="AH7151" s="2" t="str">
        <f ca="1"/>
        <v>OK</v>
      </c>
    </row>
    <row r="7152" spans="2:34" x14ac:dyDescent="0.2">
      <c r="B7152" s="2">
        <f ca="1"/>
        <v>0.20583982452627114</v>
      </c>
      <c r="O7152" s="2">
        <f ca="1"/>
        <v>-0.67290197188800327</v>
      </c>
      <c r="X7152" s="2">
        <f ca="1"/>
        <v>27.196833166375626</v>
      </c>
      <c r="AG7152" s="2">
        <f ca="1"/>
        <v>0.93579360172811166</v>
      </c>
      <c r="AH7152" s="2" t="str">
        <f ca="1"/>
        <v>Bad</v>
      </c>
    </row>
    <row r="7153" spans="2:34" x14ac:dyDescent="0.2">
      <c r="B7153" s="2">
        <f ca="1"/>
        <v>0.50709360693492833</v>
      </c>
      <c r="O7153" s="2">
        <f ca="1"/>
        <v>0.36924902648339281</v>
      </c>
      <c r="X7153" s="2">
        <f ca="1"/>
        <v>43.680871855395189</v>
      </c>
      <c r="AG7153" s="2">
        <f ca="1"/>
        <v>0.64108753530396179</v>
      </c>
      <c r="AH7153" s="2" t="str">
        <f ca="1"/>
        <v>Bad</v>
      </c>
    </row>
    <row r="7154" spans="2:34" x14ac:dyDescent="0.2">
      <c r="B7154" s="2">
        <f ca="1"/>
        <v>0.12231880290316477</v>
      </c>
      <c r="O7154" s="2">
        <f ca="1"/>
        <v>0.43250914711616845</v>
      </c>
      <c r="X7154" s="2">
        <f ca="1"/>
        <v>48.51413020304318</v>
      </c>
      <c r="AG7154" s="2">
        <f ca="1"/>
        <v>0.39867100136854106</v>
      </c>
      <c r="AH7154" s="2" t="str">
        <f ca="1"/>
        <v>OK</v>
      </c>
    </row>
    <row r="7155" spans="2:34" x14ac:dyDescent="0.2">
      <c r="B7155" s="2">
        <f ca="1"/>
        <v>0.29952974845593294</v>
      </c>
      <c r="O7155" s="2">
        <f ca="1"/>
        <v>0.50930984243732469</v>
      </c>
      <c r="X7155" s="2">
        <f ca="1"/>
        <v>30.480709399083914</v>
      </c>
      <c r="AG7155" s="2">
        <f ca="1"/>
        <v>0.73149323249099685</v>
      </c>
      <c r="AH7155" s="2" t="str">
        <f ca="1"/>
        <v>Bad</v>
      </c>
    </row>
    <row r="7156" spans="2:34" x14ac:dyDescent="0.2">
      <c r="B7156" s="2">
        <f ca="1"/>
        <v>0.14362957679946686</v>
      </c>
      <c r="O7156" s="2">
        <f ca="1"/>
        <v>-0.76439044272159329</v>
      </c>
      <c r="X7156" s="2">
        <f ca="1"/>
        <v>64.179670186574157</v>
      </c>
      <c r="AG7156" s="2">
        <f ca="1"/>
        <v>0.67846657417240297</v>
      </c>
      <c r="AH7156" s="2" t="str">
        <f ca="1"/>
        <v>Bad</v>
      </c>
    </row>
    <row r="7157" spans="2:34" x14ac:dyDescent="0.2">
      <c r="B7157" s="2">
        <f ca="1"/>
        <v>0.24862675004201917</v>
      </c>
      <c r="O7157" s="2">
        <f ca="1"/>
        <v>0.73648083107895423</v>
      </c>
      <c r="X7157" s="2">
        <f ca="1"/>
        <v>59.01321009102255</v>
      </c>
      <c r="AG7157" s="2">
        <f ca="1"/>
        <v>0.10165494986495682</v>
      </c>
      <c r="AH7157" s="2" t="str">
        <f ca="1"/>
        <v>OK</v>
      </c>
    </row>
    <row r="7158" spans="2:34" x14ac:dyDescent="0.2">
      <c r="B7158" s="2">
        <f ca="1"/>
        <v>0.34850975756964031</v>
      </c>
      <c r="O7158" s="2">
        <f ca="1"/>
        <v>-1.0645394714317926</v>
      </c>
      <c r="X7158" s="2">
        <f ca="1"/>
        <v>42.459033540169038</v>
      </c>
      <c r="AG7158" s="2">
        <f ca="1"/>
        <v>0.12603412696620575</v>
      </c>
      <c r="AH7158" s="2" t="str">
        <f ca="1"/>
        <v>OK</v>
      </c>
    </row>
    <row r="7159" spans="2:34" x14ac:dyDescent="0.2">
      <c r="B7159" s="2">
        <f ca="1"/>
        <v>0.21371269584291586</v>
      </c>
      <c r="O7159" s="2">
        <f ca="1"/>
        <v>-0.78064552929338293</v>
      </c>
      <c r="X7159" s="2">
        <f ca="1"/>
        <v>39.896830516083824</v>
      </c>
      <c r="AG7159" s="2">
        <f ca="1"/>
        <v>0.18101797774873751</v>
      </c>
      <c r="AH7159" s="2" t="str">
        <f ca="1"/>
        <v>OK</v>
      </c>
    </row>
    <row r="7160" spans="2:34" x14ac:dyDescent="0.2">
      <c r="B7160" s="2">
        <f ca="1"/>
        <v>0.85936220502051319</v>
      </c>
      <c r="O7160" s="2">
        <f ca="1"/>
        <v>0.48333449186938865</v>
      </c>
      <c r="X7160" s="2">
        <f ca="1"/>
        <v>47.688311138009169</v>
      </c>
      <c r="AG7160" s="2">
        <f ca="1"/>
        <v>0.79142440521529234</v>
      </c>
      <c r="AH7160" s="2" t="str">
        <f ca="1"/>
        <v>Bad</v>
      </c>
    </row>
    <row r="7161" spans="2:34" x14ac:dyDescent="0.2">
      <c r="B7161" s="2">
        <f ca="1"/>
        <v>0.78816286491741772</v>
      </c>
      <c r="O7161" s="2">
        <f ca="1"/>
        <v>2.145429506841674</v>
      </c>
      <c r="X7161" s="2">
        <f ca="1"/>
        <v>34.831345685465621</v>
      </c>
      <c r="AG7161" s="2">
        <f ca="1"/>
        <v>0.96448605356939598</v>
      </c>
      <c r="AH7161" s="2" t="str">
        <f ca="1"/>
        <v>Bad</v>
      </c>
    </row>
    <row r="7162" spans="2:34" x14ac:dyDescent="0.2">
      <c r="B7162" s="2">
        <f ca="1"/>
        <v>0.89440117767702176</v>
      </c>
      <c r="O7162" s="2">
        <f ca="1"/>
        <v>0.12107196377972722</v>
      </c>
      <c r="X7162" s="2">
        <f ca="1"/>
        <v>30.643055346075258</v>
      </c>
      <c r="AG7162" s="2">
        <f ca="1"/>
        <v>0.80758087940787715</v>
      </c>
      <c r="AH7162" s="2" t="str">
        <f ca="1"/>
        <v>Bad</v>
      </c>
    </row>
    <row r="7163" spans="2:34" x14ac:dyDescent="0.2">
      <c r="B7163" s="2">
        <f ca="1"/>
        <v>0.30508106420942993</v>
      </c>
      <c r="O7163" s="2">
        <f ca="1"/>
        <v>1.6304621391415566</v>
      </c>
      <c r="X7163" s="2">
        <f ca="1"/>
        <v>47.119456911327973</v>
      </c>
      <c r="AG7163" s="2">
        <f ca="1"/>
        <v>0.99291402997900557</v>
      </c>
      <c r="AH7163" s="2" t="str">
        <f ca="1"/>
        <v>Bad</v>
      </c>
    </row>
    <row r="7164" spans="2:34" x14ac:dyDescent="0.2">
      <c r="B7164" s="2">
        <f ca="1"/>
        <v>0.33508530696861771</v>
      </c>
      <c r="O7164" s="2">
        <f ca="1"/>
        <v>0.36834467810364108</v>
      </c>
      <c r="X7164" s="2">
        <f ca="1"/>
        <v>63.396653238001448</v>
      </c>
      <c r="AG7164" s="2">
        <f ca="1"/>
        <v>0.66061306891149907</v>
      </c>
      <c r="AH7164" s="2" t="str">
        <f ca="1"/>
        <v>Bad</v>
      </c>
    </row>
    <row r="7165" spans="2:34" x14ac:dyDescent="0.2">
      <c r="B7165" s="2">
        <f ca="1"/>
        <v>0.34714699379483349</v>
      </c>
      <c r="O7165" s="2">
        <f ca="1"/>
        <v>-1.2543568099135738</v>
      </c>
      <c r="X7165" s="2">
        <f ca="1"/>
        <v>40.298771905335641</v>
      </c>
      <c r="AG7165" s="2">
        <f ca="1"/>
        <v>0.35427617191554006</v>
      </c>
      <c r="AH7165" s="2" t="str">
        <f ca="1"/>
        <v>OK</v>
      </c>
    </row>
    <row r="7166" spans="2:34" x14ac:dyDescent="0.2">
      <c r="B7166" s="2">
        <f ca="1"/>
        <v>0.98967904509136506</v>
      </c>
      <c r="O7166" s="2">
        <f ca="1"/>
        <v>2.1185665619924222E-2</v>
      </c>
      <c r="X7166" s="2">
        <f ca="1"/>
        <v>38.257981320996024</v>
      </c>
      <c r="AG7166" s="2">
        <f ca="1"/>
        <v>0.36815224470752894</v>
      </c>
      <c r="AH7166" s="2" t="str">
        <f ca="1"/>
        <v>OK</v>
      </c>
    </row>
    <row r="7167" spans="2:34" x14ac:dyDescent="0.2">
      <c r="B7167" s="2">
        <f ca="1"/>
        <v>0.58730985371517686</v>
      </c>
      <c r="O7167" s="2">
        <f ca="1"/>
        <v>-0.62536454773037187</v>
      </c>
      <c r="X7167" s="2">
        <f ca="1"/>
        <v>92.378507409872071</v>
      </c>
      <c r="AG7167" s="2">
        <f ca="1"/>
        <v>0.89119858924398554</v>
      </c>
      <c r="AH7167" s="2" t="str">
        <f ca="1"/>
        <v>Bad</v>
      </c>
    </row>
    <row r="7168" spans="2:34" x14ac:dyDescent="0.2">
      <c r="B7168" s="2">
        <f ca="1"/>
        <v>0.74067628420446163</v>
      </c>
      <c r="O7168" s="2">
        <f ca="1"/>
        <v>0.28396785055576668</v>
      </c>
      <c r="X7168" s="2">
        <f ca="1"/>
        <v>64.671046873773577</v>
      </c>
      <c r="AG7168" s="2">
        <f ca="1"/>
        <v>0.63669952162576049</v>
      </c>
      <c r="AH7168" s="2" t="str">
        <f ca="1"/>
        <v>Bad</v>
      </c>
    </row>
    <row r="7169" spans="2:34" x14ac:dyDescent="0.2">
      <c r="B7169" s="2">
        <f ca="1"/>
        <v>0.33444188493839655</v>
      </c>
      <c r="O7169" s="2">
        <f ca="1"/>
        <v>0.41861027084580255</v>
      </c>
      <c r="X7169" s="2">
        <f ca="1"/>
        <v>28.644102014806482</v>
      </c>
      <c r="AG7169" s="2">
        <f ca="1"/>
        <v>0.83631819213838599</v>
      </c>
      <c r="AH7169" s="2" t="str">
        <f ca="1"/>
        <v>Bad</v>
      </c>
    </row>
    <row r="7170" spans="2:34" x14ac:dyDescent="0.2">
      <c r="B7170" s="2">
        <f ca="1"/>
        <v>0.60227776072435502</v>
      </c>
      <c r="O7170" s="2">
        <f ca="1"/>
        <v>-0.77115976590526469</v>
      </c>
      <c r="X7170" s="2">
        <f ca="1"/>
        <v>65.154359795395422</v>
      </c>
      <c r="AG7170" s="2">
        <f ca="1"/>
        <v>0.27532019838696997</v>
      </c>
      <c r="AH7170" s="2" t="str">
        <f ca="1"/>
        <v>OK</v>
      </c>
    </row>
    <row r="7171" spans="2:34" x14ac:dyDescent="0.2">
      <c r="B7171" s="2">
        <f ca="1"/>
        <v>0.5550324515933871</v>
      </c>
      <c r="O7171" s="2">
        <f ca="1"/>
        <v>0.24633687229099299</v>
      </c>
      <c r="X7171" s="2">
        <f ca="1"/>
        <v>65.883180094474056</v>
      </c>
      <c r="AG7171" s="2">
        <f ca="1"/>
        <v>0.54828943566502164</v>
      </c>
      <c r="AH7171" s="2" t="str">
        <f ca="1"/>
        <v>Bad</v>
      </c>
    </row>
    <row r="7172" spans="2:34" x14ac:dyDescent="0.2">
      <c r="B7172" s="2">
        <f ca="1"/>
        <v>0.54038142271738288</v>
      </c>
      <c r="O7172" s="2">
        <f ca="1"/>
        <v>-1.0908982324563403</v>
      </c>
      <c r="X7172" s="2">
        <f ca="1"/>
        <v>60.769599416295208</v>
      </c>
      <c r="AG7172" s="2">
        <f ca="1"/>
        <v>0.42546716550476815</v>
      </c>
      <c r="AH7172" s="2" t="str">
        <f ca="1"/>
        <v>Bad</v>
      </c>
    </row>
    <row r="7173" spans="2:34" x14ac:dyDescent="0.2">
      <c r="B7173" s="2">
        <f ca="1"/>
        <v>0.34775996698496625</v>
      </c>
      <c r="O7173" s="2">
        <f ca="1"/>
        <v>9.4506022941023032E-2</v>
      </c>
      <c r="X7173" s="2">
        <f ca="1"/>
        <v>43.894276454308397</v>
      </c>
      <c r="AG7173" s="2">
        <f ca="1"/>
        <v>0.54309241541486464</v>
      </c>
      <c r="AH7173" s="2" t="str">
        <f ca="1"/>
        <v>Bad</v>
      </c>
    </row>
    <row r="7174" spans="2:34" x14ac:dyDescent="0.2">
      <c r="B7174" s="2">
        <f ca="1"/>
        <v>0.93413314339735853</v>
      </c>
      <c r="O7174" s="2">
        <f ca="1"/>
        <v>0.55932611209132421</v>
      </c>
      <c r="X7174" s="2">
        <f ca="1"/>
        <v>41.613784541792626</v>
      </c>
      <c r="AG7174" s="2">
        <f ca="1"/>
        <v>0.88105942911037638</v>
      </c>
      <c r="AH7174" s="2" t="str">
        <f ca="1"/>
        <v>Bad</v>
      </c>
    </row>
    <row r="7175" spans="2:34" x14ac:dyDescent="0.2">
      <c r="B7175" s="2">
        <f ca="1"/>
        <v>0.38049886501722718</v>
      </c>
      <c r="O7175" s="2">
        <f ca="1"/>
        <v>-0.2628873208751536</v>
      </c>
      <c r="X7175" s="2">
        <f ca="1"/>
        <v>43.283031451507448</v>
      </c>
      <c r="AG7175" s="2">
        <f ca="1"/>
        <v>0.71362461042355729</v>
      </c>
      <c r="AH7175" s="2" t="str">
        <f ca="1"/>
        <v>Bad</v>
      </c>
    </row>
    <row r="7176" spans="2:34" x14ac:dyDescent="0.2">
      <c r="B7176" s="2">
        <f ca="1"/>
        <v>0.34750519387552181</v>
      </c>
      <c r="O7176" s="2">
        <f ca="1"/>
        <v>-1.0324167702809917</v>
      </c>
      <c r="X7176" s="2">
        <f ca="1"/>
        <v>61.168022068626556</v>
      </c>
      <c r="AG7176" s="2">
        <f ca="1"/>
        <v>0.57127210454839106</v>
      </c>
      <c r="AH7176" s="2" t="str">
        <f ca="1"/>
        <v>Bad</v>
      </c>
    </row>
    <row r="7177" spans="2:34" x14ac:dyDescent="0.2">
      <c r="B7177" s="2">
        <f ca="1"/>
        <v>0.9637411673704368</v>
      </c>
      <c r="O7177" s="2">
        <f ca="1"/>
        <v>-0.76599821482861719</v>
      </c>
      <c r="X7177" s="2">
        <f ca="1"/>
        <v>49.141063712055626</v>
      </c>
      <c r="AG7177" s="2">
        <f ca="1"/>
        <v>0.35779048661773771</v>
      </c>
      <c r="AH7177" s="2" t="str">
        <f ca="1"/>
        <v>OK</v>
      </c>
    </row>
    <row r="7178" spans="2:34" x14ac:dyDescent="0.2">
      <c r="B7178" s="2">
        <f ca="1"/>
        <v>0.45707095606651205</v>
      </c>
      <c r="O7178" s="2">
        <f ca="1"/>
        <v>0.36520532761581248</v>
      </c>
      <c r="X7178" s="2">
        <f ca="1"/>
        <v>57.292929241314667</v>
      </c>
      <c r="AG7178" s="2">
        <f ca="1"/>
        <v>0.49698557541326083</v>
      </c>
      <c r="AH7178" s="2" t="str">
        <f ca="1"/>
        <v>Bad</v>
      </c>
    </row>
    <row r="7179" spans="2:34" x14ac:dyDescent="0.2">
      <c r="B7179" s="2">
        <f ca="1"/>
        <v>0.20938803673058071</v>
      </c>
      <c r="O7179" s="2">
        <f ca="1"/>
        <v>-0.73048259204988431</v>
      </c>
      <c r="X7179" s="2">
        <f ca="1"/>
        <v>39.476739009605637</v>
      </c>
      <c r="AG7179" s="2">
        <f ca="1"/>
        <v>0.10724637544945259</v>
      </c>
      <c r="AH7179" s="2" t="str">
        <f ca="1"/>
        <v>OK</v>
      </c>
    </row>
    <row r="7180" spans="2:34" x14ac:dyDescent="0.2">
      <c r="B7180" s="2">
        <f ca="1"/>
        <v>0.52532249324297098</v>
      </c>
      <c r="O7180" s="2">
        <f ca="1"/>
        <v>-2.0397762023653834</v>
      </c>
      <c r="X7180" s="2">
        <f ca="1"/>
        <v>21.034845952666434</v>
      </c>
      <c r="AG7180" s="2">
        <f ca="1"/>
        <v>8.9107246381466387E-2</v>
      </c>
      <c r="AH7180" s="2" t="str">
        <f ca="1"/>
        <v>OK</v>
      </c>
    </row>
    <row r="7181" spans="2:34" x14ac:dyDescent="0.2">
      <c r="B7181" s="2">
        <f ca="1"/>
        <v>0.81996240758338557</v>
      </c>
      <c r="O7181" s="2">
        <f ca="1"/>
        <v>0.33135316820036503</v>
      </c>
      <c r="X7181" s="2">
        <f ca="1"/>
        <v>42.208628062265987</v>
      </c>
      <c r="AG7181" s="2">
        <f ca="1"/>
        <v>0.98312315183093735</v>
      </c>
      <c r="AH7181" s="2" t="str">
        <f ca="1"/>
        <v>Bad</v>
      </c>
    </row>
    <row r="7182" spans="2:34" x14ac:dyDescent="0.2">
      <c r="B7182" s="2">
        <f ca="1"/>
        <v>0.51084127302905546</v>
      </c>
      <c r="O7182" s="2">
        <f ca="1"/>
        <v>0.30184100035496042</v>
      </c>
      <c r="X7182" s="2">
        <f ca="1"/>
        <v>27.976375502570253</v>
      </c>
      <c r="AG7182" s="2">
        <f ca="1"/>
        <v>0.77923007629219354</v>
      </c>
      <c r="AH7182" s="2" t="str">
        <f ca="1"/>
        <v>Bad</v>
      </c>
    </row>
    <row r="7183" spans="2:34" x14ac:dyDescent="0.2">
      <c r="B7183" s="2">
        <f ca="1"/>
        <v>4.6712544405818068E-3</v>
      </c>
      <c r="O7183" s="2">
        <f ca="1"/>
        <v>-0.895538294151356</v>
      </c>
      <c r="X7183" s="2">
        <f ca="1"/>
        <v>69.113330910148647</v>
      </c>
      <c r="AG7183" s="2">
        <f ca="1"/>
        <v>6.7293524202437283E-2</v>
      </c>
      <c r="AH7183" s="2" t="str">
        <f ca="1"/>
        <v>OK</v>
      </c>
    </row>
    <row r="7184" spans="2:34" x14ac:dyDescent="0.2">
      <c r="B7184" s="2">
        <f ca="1"/>
        <v>0.66174423637444479</v>
      </c>
      <c r="O7184" s="2">
        <f ca="1"/>
        <v>-9.5339052423640283E-2</v>
      </c>
      <c r="X7184" s="2">
        <f ca="1"/>
        <v>50.956184451796311</v>
      </c>
      <c r="AG7184" s="2">
        <f ca="1"/>
        <v>0.55754084582622854</v>
      </c>
      <c r="AH7184" s="2" t="str">
        <f ca="1"/>
        <v>Bad</v>
      </c>
    </row>
    <row r="7185" spans="2:34" x14ac:dyDescent="0.2">
      <c r="B7185" s="2">
        <f ca="1"/>
        <v>0.79292902894611927</v>
      </c>
      <c r="O7185" s="2">
        <f ca="1"/>
        <v>1.2906790914665367</v>
      </c>
      <c r="X7185" s="2">
        <f ca="1"/>
        <v>45.733854652154555</v>
      </c>
      <c r="AG7185" s="2">
        <f ca="1"/>
        <v>0.23429741228026102</v>
      </c>
      <c r="AH7185" s="2" t="str">
        <f ca="1"/>
        <v>OK</v>
      </c>
    </row>
    <row r="7186" spans="2:34" x14ac:dyDescent="0.2">
      <c r="B7186" s="2">
        <f ca="1"/>
        <v>0.48566527904171797</v>
      </c>
      <c r="O7186" s="2">
        <f ca="1"/>
        <v>1.1487186191109651</v>
      </c>
      <c r="X7186" s="2">
        <f ca="1"/>
        <v>31.313253562657266</v>
      </c>
      <c r="AG7186" s="2">
        <f ca="1"/>
        <v>0.29089233877554665</v>
      </c>
      <c r="AH7186" s="2" t="str">
        <f ca="1"/>
        <v>OK</v>
      </c>
    </row>
    <row r="7187" spans="2:34" x14ac:dyDescent="0.2">
      <c r="B7187" s="2">
        <f ca="1"/>
        <v>0.17558648964071177</v>
      </c>
      <c r="O7187" s="2">
        <f ca="1"/>
        <v>0.82089070914229578</v>
      </c>
      <c r="X7187" s="2">
        <f ca="1"/>
        <v>63.457475442512177</v>
      </c>
      <c r="AG7187" s="2">
        <f ca="1"/>
        <v>0.11256828705235278</v>
      </c>
      <c r="AH7187" s="2" t="str">
        <f ca="1"/>
        <v>OK</v>
      </c>
    </row>
    <row r="7188" spans="2:34" x14ac:dyDescent="0.2">
      <c r="B7188" s="2">
        <f ca="1"/>
        <v>0.25451502327192799</v>
      </c>
      <c r="O7188" s="2">
        <f ca="1"/>
        <v>-0.48814773381164067</v>
      </c>
      <c r="X7188" s="2">
        <f ca="1"/>
        <v>46.072380699684928</v>
      </c>
      <c r="AG7188" s="2">
        <f ca="1"/>
        <v>0.43068334048394363</v>
      </c>
      <c r="AH7188" s="2" t="str">
        <f ca="1"/>
        <v>Bad</v>
      </c>
    </row>
    <row r="7189" spans="2:34" x14ac:dyDescent="0.2">
      <c r="B7189" s="2">
        <f ca="1"/>
        <v>0.82398336870007638</v>
      </c>
      <c r="O7189" s="2">
        <f ca="1"/>
        <v>1.8576401978237658</v>
      </c>
      <c r="X7189" s="2">
        <f ca="1"/>
        <v>45.619491707523295</v>
      </c>
      <c r="AG7189" s="2">
        <f ca="1"/>
        <v>4.2963567499864741E-2</v>
      </c>
      <c r="AH7189" s="2" t="str">
        <f ca="1"/>
        <v>Good</v>
      </c>
    </row>
    <row r="7190" spans="2:34" x14ac:dyDescent="0.2">
      <c r="B7190" s="2">
        <f ca="1"/>
        <v>0.24597671332068693</v>
      </c>
      <c r="O7190" s="2">
        <f ca="1"/>
        <v>0.84835938120786825</v>
      </c>
      <c r="X7190" s="2">
        <f ca="1"/>
        <v>46.446695066317389</v>
      </c>
      <c r="AG7190" s="2">
        <f ca="1"/>
        <v>0.97644490195590827</v>
      </c>
      <c r="AH7190" s="2" t="str">
        <f ca="1"/>
        <v>Bad</v>
      </c>
    </row>
    <row r="7191" spans="2:34" x14ac:dyDescent="0.2">
      <c r="B7191" s="2">
        <f ca="1"/>
        <v>0.78459977630987465</v>
      </c>
      <c r="O7191" s="2">
        <f ca="1"/>
        <v>-0.72487326760002491</v>
      </c>
      <c r="X7191" s="2">
        <f ca="1"/>
        <v>61.381313527748574</v>
      </c>
      <c r="AG7191" s="2">
        <f ca="1"/>
        <v>0.48022248836732584</v>
      </c>
      <c r="AH7191" s="2" t="str">
        <f ca="1"/>
        <v>Bad</v>
      </c>
    </row>
    <row r="7192" spans="2:34" x14ac:dyDescent="0.2">
      <c r="B7192" s="2">
        <f ca="1"/>
        <v>0.14272107076907048</v>
      </c>
      <c r="O7192" s="2">
        <f ca="1"/>
        <v>-1.0947454941466279</v>
      </c>
      <c r="X7192" s="2">
        <f ca="1"/>
        <v>29.766086885652779</v>
      </c>
      <c r="AG7192" s="2">
        <f ca="1"/>
        <v>6.888272312943422E-2</v>
      </c>
      <c r="AH7192" s="2" t="str">
        <f ca="1"/>
        <v>OK</v>
      </c>
    </row>
    <row r="7193" spans="2:34" x14ac:dyDescent="0.2">
      <c r="B7193" s="2">
        <f ca="1"/>
        <v>0.83876012264499789</v>
      </c>
      <c r="O7193" s="2">
        <f ca="1"/>
        <v>3.9381417391513218E-3</v>
      </c>
      <c r="X7193" s="2">
        <f ca="1"/>
        <v>32.89238943835754</v>
      </c>
      <c r="AG7193" s="2">
        <f ca="1"/>
        <v>0.49218455363810953</v>
      </c>
      <c r="AH7193" s="2" t="str">
        <f ca="1"/>
        <v>Bad</v>
      </c>
    </row>
    <row r="7194" spans="2:34" x14ac:dyDescent="0.2">
      <c r="B7194" s="2">
        <f ca="1"/>
        <v>0.99848370598412384</v>
      </c>
      <c r="O7194" s="2">
        <f ca="1"/>
        <v>-7.380571303005895E-2</v>
      </c>
      <c r="X7194" s="2">
        <f ca="1"/>
        <v>74.693104006610952</v>
      </c>
      <c r="AG7194" s="2">
        <f ca="1"/>
        <v>0.34273136669028426</v>
      </c>
      <c r="AH7194" s="2" t="str">
        <f ca="1"/>
        <v>OK</v>
      </c>
    </row>
    <row r="7195" spans="2:34" x14ac:dyDescent="0.2">
      <c r="B7195" s="2">
        <f ca="1"/>
        <v>0.56089977180233141</v>
      </c>
      <c r="O7195" s="2">
        <f ca="1"/>
        <v>-0.47590122740076041</v>
      </c>
      <c r="X7195" s="2">
        <f ca="1"/>
        <v>44.777886352476919</v>
      </c>
      <c r="AG7195" s="2">
        <f ca="1"/>
        <v>4.3778061862846052E-2</v>
      </c>
      <c r="AH7195" s="2" t="str">
        <f ca="1"/>
        <v>Good</v>
      </c>
    </row>
    <row r="7196" spans="2:34" x14ac:dyDescent="0.2">
      <c r="B7196" s="2">
        <f ca="1"/>
        <v>0.49467263566696618</v>
      </c>
      <c r="O7196" s="2">
        <f ca="1"/>
        <v>1.1754042053381684</v>
      </c>
      <c r="X7196" s="2">
        <f ca="1"/>
        <v>31.069771603035061</v>
      </c>
      <c r="AG7196" s="2">
        <f ca="1"/>
        <v>0.50754696493423479</v>
      </c>
      <c r="AH7196" s="2" t="str">
        <f ca="1"/>
        <v>Bad</v>
      </c>
    </row>
    <row r="7197" spans="2:34" x14ac:dyDescent="0.2">
      <c r="B7197" s="2">
        <f ca="1"/>
        <v>0.23413300399499759</v>
      </c>
      <c r="O7197" s="2">
        <f ca="1"/>
        <v>-0.78502327456941479</v>
      </c>
      <c r="X7197" s="2">
        <f ca="1"/>
        <v>53.387085451761521</v>
      </c>
      <c r="AG7197" s="2">
        <f ca="1"/>
        <v>0.22259647201315036</v>
      </c>
      <c r="AH7197" s="2" t="str">
        <f ca="1"/>
        <v>OK</v>
      </c>
    </row>
    <row r="7198" spans="2:34" x14ac:dyDescent="0.2">
      <c r="B7198" s="2">
        <f ca="1"/>
        <v>0.51307264518602969</v>
      </c>
      <c r="O7198" s="2">
        <f ca="1"/>
        <v>-5.4124475658812177E-2</v>
      </c>
      <c r="X7198" s="2">
        <f ca="1"/>
        <v>48.086119892641122</v>
      </c>
      <c r="AG7198" s="2">
        <f ca="1"/>
        <v>0.77303207912042127</v>
      </c>
      <c r="AH7198" s="2" t="str">
        <f ca="1"/>
        <v>Bad</v>
      </c>
    </row>
    <row r="7199" spans="2:34" x14ac:dyDescent="0.2">
      <c r="B7199" s="2">
        <f ca="1"/>
        <v>0.18643136166554197</v>
      </c>
      <c r="O7199" s="2">
        <f ca="1"/>
        <v>-0.27762817738662421</v>
      </c>
      <c r="X7199" s="2">
        <f ca="1"/>
        <v>46.971574936445613</v>
      </c>
      <c r="AG7199" s="2">
        <f ca="1"/>
        <v>0.37392089609768209</v>
      </c>
      <c r="AH7199" s="2" t="str">
        <f ca="1"/>
        <v>OK</v>
      </c>
    </row>
    <row r="7200" spans="2:34" x14ac:dyDescent="0.2">
      <c r="B7200" s="2">
        <f ca="1"/>
        <v>0.59453649724293944</v>
      </c>
      <c r="O7200" s="2">
        <f ca="1"/>
        <v>-1.5667042090209531</v>
      </c>
      <c r="X7200" s="2">
        <f ca="1"/>
        <v>36.07063487237874</v>
      </c>
      <c r="AG7200" s="2">
        <f ca="1"/>
        <v>0.15318613507551082</v>
      </c>
      <c r="AH7200" s="2" t="str">
        <f ca="1"/>
        <v>OK</v>
      </c>
    </row>
    <row r="7201" spans="2:34" x14ac:dyDescent="0.2">
      <c r="B7201" s="2">
        <f ca="1"/>
        <v>0.21429428338206669</v>
      </c>
      <c r="O7201" s="2">
        <f ca="1"/>
        <v>-0.70740054319550516</v>
      </c>
      <c r="X7201" s="2">
        <f ca="1"/>
        <v>49.380465257830821</v>
      </c>
      <c r="AG7201" s="2">
        <f ca="1"/>
        <v>8.4044251181508267E-2</v>
      </c>
      <c r="AH7201" s="2" t="str">
        <f ca="1"/>
        <v>OK</v>
      </c>
    </row>
    <row r="7202" spans="2:34" x14ac:dyDescent="0.2">
      <c r="B7202" s="2">
        <f ca="1"/>
        <v>0.34702268771654854</v>
      </c>
      <c r="O7202" s="2">
        <f ca="1"/>
        <v>-1.2635988870760828</v>
      </c>
      <c r="X7202" s="2">
        <f ca="1"/>
        <v>59.794265468297908</v>
      </c>
      <c r="AG7202" s="2">
        <f ca="1"/>
        <v>0.44902983501020444</v>
      </c>
      <c r="AH7202" s="2" t="str">
        <f ca="1"/>
        <v>Bad</v>
      </c>
    </row>
    <row r="7203" spans="2:34" x14ac:dyDescent="0.2">
      <c r="B7203" s="2">
        <f ca="1"/>
        <v>0.64811997802495069</v>
      </c>
      <c r="O7203" s="2">
        <f ca="1"/>
        <v>0.66138016483019169</v>
      </c>
      <c r="X7203" s="2">
        <f ca="1"/>
        <v>60.847768872745604</v>
      </c>
      <c r="AG7203" s="2">
        <f ca="1"/>
        <v>0.14382961072716105</v>
      </c>
      <c r="AH7203" s="2" t="str">
        <f ca="1"/>
        <v>OK</v>
      </c>
    </row>
    <row r="7204" spans="2:34" x14ac:dyDescent="0.2">
      <c r="B7204" s="2">
        <f ca="1"/>
        <v>0.89328181409816376</v>
      </c>
      <c r="O7204" s="2">
        <f ca="1"/>
        <v>-9.2096071236912519E-2</v>
      </c>
      <c r="X7204" s="2">
        <f ca="1"/>
        <v>47.772474991265483</v>
      </c>
      <c r="AG7204" s="2">
        <f ca="1"/>
        <v>0.68447115253039237</v>
      </c>
      <c r="AH7204" s="2" t="str">
        <f ca="1"/>
        <v>Bad</v>
      </c>
    </row>
    <row r="7205" spans="2:34" x14ac:dyDescent="0.2">
      <c r="B7205" s="2">
        <f ca="1"/>
        <v>0.7039820443206668</v>
      </c>
      <c r="O7205" s="2">
        <f ca="1"/>
        <v>-0.69811417563091849</v>
      </c>
      <c r="X7205" s="2">
        <f ca="1"/>
        <v>24.716382619847597</v>
      </c>
      <c r="AG7205" s="2">
        <f ca="1"/>
        <v>0.59317978061089494</v>
      </c>
      <c r="AH7205" s="2" t="str">
        <f ca="1"/>
        <v>Bad</v>
      </c>
    </row>
    <row r="7206" spans="2:34" x14ac:dyDescent="0.2">
      <c r="B7206" s="2">
        <f ca="1"/>
        <v>0.29986792575970744</v>
      </c>
      <c r="O7206" s="2">
        <f ca="1"/>
        <v>1.8367450647354275</v>
      </c>
      <c r="X7206" s="2">
        <f ca="1"/>
        <v>70.194088231802709</v>
      </c>
      <c r="AG7206" s="2">
        <f ca="1"/>
        <v>1.5848712022124234E-2</v>
      </c>
      <c r="AH7206" s="2" t="str">
        <f ca="1"/>
        <v>Good</v>
      </c>
    </row>
    <row r="7207" spans="2:34" x14ac:dyDescent="0.2">
      <c r="B7207" s="2">
        <f ca="1"/>
        <v>0.51675694025502805</v>
      </c>
      <c r="O7207" s="2">
        <f ca="1"/>
        <v>-0.88581667660326946</v>
      </c>
      <c r="X7207" s="2">
        <f ca="1"/>
        <v>37.981473963303195</v>
      </c>
      <c r="AG7207" s="2">
        <f ca="1"/>
        <v>0.18036747201874825</v>
      </c>
      <c r="AH7207" s="2" t="str">
        <f ca="1"/>
        <v>OK</v>
      </c>
    </row>
    <row r="7208" spans="2:34" x14ac:dyDescent="0.2">
      <c r="B7208" s="2">
        <f ca="1"/>
        <v>0.95270902592557394</v>
      </c>
      <c r="O7208" s="2">
        <f ca="1"/>
        <v>1.4971949211343303</v>
      </c>
      <c r="X7208" s="2">
        <f ca="1"/>
        <v>40.570464268614344</v>
      </c>
      <c r="AG7208" s="2">
        <f ca="1"/>
        <v>0.34450169098797079</v>
      </c>
      <c r="AH7208" s="2" t="str">
        <f ca="1"/>
        <v>OK</v>
      </c>
    </row>
    <row r="7209" spans="2:34" x14ac:dyDescent="0.2">
      <c r="B7209" s="2">
        <f ca="1"/>
        <v>0.35266867430843218</v>
      </c>
      <c r="O7209" s="2">
        <f ca="1"/>
        <v>1.1027347779216212</v>
      </c>
      <c r="X7209" s="2">
        <f ca="1"/>
        <v>41.138200088344007</v>
      </c>
      <c r="AG7209" s="2">
        <f ca="1"/>
        <v>0.30318735326769009</v>
      </c>
      <c r="AH7209" s="2" t="str">
        <f ca="1"/>
        <v>OK</v>
      </c>
    </row>
    <row r="7210" spans="2:34" x14ac:dyDescent="0.2">
      <c r="B7210" s="2">
        <f ca="1"/>
        <v>0.81702418990117476</v>
      </c>
      <c r="O7210" s="2">
        <f ca="1"/>
        <v>-1.7765603317312919</v>
      </c>
      <c r="X7210" s="2">
        <f ca="1"/>
        <v>29.31644019627781</v>
      </c>
      <c r="AG7210" s="2">
        <f ca="1"/>
        <v>0.15254964802332549</v>
      </c>
      <c r="AH7210" s="2" t="str">
        <f ca="1"/>
        <v>OK</v>
      </c>
    </row>
    <row r="7211" spans="2:34" x14ac:dyDescent="0.2">
      <c r="B7211" s="2">
        <f ca="1"/>
        <v>0.33943802674363899</v>
      </c>
      <c r="O7211" s="2">
        <f ca="1"/>
        <v>-0.51738570288432395</v>
      </c>
      <c r="X7211" s="2">
        <f ca="1"/>
        <v>35.764817941880466</v>
      </c>
      <c r="AG7211" s="2">
        <f ca="1"/>
        <v>0.13842167579820197</v>
      </c>
      <c r="AH7211" s="2" t="str">
        <f ca="1"/>
        <v>OK</v>
      </c>
    </row>
    <row r="7212" spans="2:34" x14ac:dyDescent="0.2">
      <c r="B7212" s="2">
        <f ca="1"/>
        <v>0.93444640950717894</v>
      </c>
      <c r="O7212" s="2">
        <f ca="1"/>
        <v>4.7812376167126226E-3</v>
      </c>
      <c r="X7212" s="2">
        <f ca="1"/>
        <v>54.083556520404805</v>
      </c>
      <c r="AG7212" s="2">
        <f ca="1"/>
        <v>0.53570110219749489</v>
      </c>
      <c r="AH7212" s="2" t="str">
        <f ca="1"/>
        <v>Bad</v>
      </c>
    </row>
    <row r="7213" spans="2:34" x14ac:dyDescent="0.2">
      <c r="B7213" s="2">
        <f ca="1"/>
        <v>0.7438556289860212</v>
      </c>
      <c r="O7213" s="2">
        <f ca="1"/>
        <v>-0.70492287414182897</v>
      </c>
      <c r="X7213" s="2">
        <f ca="1"/>
        <v>25.252930629215879</v>
      </c>
      <c r="AG7213" s="2">
        <f ca="1"/>
        <v>0.28374643127877408</v>
      </c>
      <c r="AH7213" s="2" t="str">
        <f ca="1"/>
        <v>OK</v>
      </c>
    </row>
    <row r="7214" spans="2:34" x14ac:dyDescent="0.2">
      <c r="B7214" s="2">
        <f ca="1"/>
        <v>0.46629685295837087</v>
      </c>
      <c r="O7214" s="2">
        <f ca="1"/>
        <v>-0.24994363623065799</v>
      </c>
      <c r="X7214" s="2">
        <f ca="1"/>
        <v>69.929905904611559</v>
      </c>
      <c r="AG7214" s="2">
        <f ca="1"/>
        <v>0.64493592760266805</v>
      </c>
      <c r="AH7214" s="2" t="str">
        <f ca="1"/>
        <v>Bad</v>
      </c>
    </row>
    <row r="7215" spans="2:34" x14ac:dyDescent="0.2">
      <c r="B7215" s="2">
        <f ca="1"/>
        <v>0.25461260925451579</v>
      </c>
      <c r="O7215" s="2">
        <f ca="1"/>
        <v>1.3392224884419759</v>
      </c>
      <c r="X7215" s="2">
        <f ca="1"/>
        <v>58.85979310639221</v>
      </c>
      <c r="AG7215" s="2">
        <f ca="1"/>
        <v>6.2914196307992665E-2</v>
      </c>
      <c r="AH7215" s="2" t="str">
        <f ca="1"/>
        <v>OK</v>
      </c>
    </row>
    <row r="7216" spans="2:34" x14ac:dyDescent="0.2">
      <c r="B7216" s="2">
        <f ca="1"/>
        <v>0.36564449298497559</v>
      </c>
      <c r="O7216" s="2">
        <f ca="1"/>
        <v>0.41849600395195191</v>
      </c>
      <c r="X7216" s="2">
        <f ca="1"/>
        <v>70.996070785224518</v>
      </c>
      <c r="AG7216" s="2">
        <f ca="1"/>
        <v>0.15349720533465971</v>
      </c>
      <c r="AH7216" s="2" t="str">
        <f ca="1"/>
        <v>OK</v>
      </c>
    </row>
    <row r="7217" spans="2:34" x14ac:dyDescent="0.2">
      <c r="B7217" s="2">
        <f ca="1"/>
        <v>0.54391759939382278</v>
      </c>
      <c r="O7217" s="2">
        <f ca="1"/>
        <v>0.58444026591317788</v>
      </c>
      <c r="X7217" s="2">
        <f ca="1"/>
        <v>40.89520684177301</v>
      </c>
      <c r="AG7217" s="2">
        <f ca="1"/>
        <v>0.50441173021750152</v>
      </c>
      <c r="AH7217" s="2" t="str">
        <f ca="1"/>
        <v>Bad</v>
      </c>
    </row>
    <row r="7218" spans="2:34" x14ac:dyDescent="0.2">
      <c r="B7218" s="2">
        <f ca="1"/>
        <v>0.22286823624062868</v>
      </c>
      <c r="O7218" s="2">
        <f ca="1"/>
        <v>-0.44302591420615456</v>
      </c>
      <c r="X7218" s="2">
        <f ca="1"/>
        <v>95.273718057562405</v>
      </c>
      <c r="AG7218" s="2">
        <f ca="1"/>
        <v>0.31288240967955749</v>
      </c>
      <c r="AH7218" s="2" t="str">
        <f ca="1"/>
        <v>OK</v>
      </c>
    </row>
    <row r="7219" spans="2:34" x14ac:dyDescent="0.2">
      <c r="B7219" s="2">
        <f ca="1"/>
        <v>0.21509568220257114</v>
      </c>
      <c r="O7219" s="2">
        <f ca="1"/>
        <v>-0.75140755869880627</v>
      </c>
      <c r="X7219" s="2">
        <f ca="1"/>
        <v>61.357644216199809</v>
      </c>
      <c r="AG7219" s="2">
        <f ca="1"/>
        <v>0.68544080192548851</v>
      </c>
      <c r="AH7219" s="2" t="str">
        <f ca="1"/>
        <v>Bad</v>
      </c>
    </row>
    <row r="7220" spans="2:34" x14ac:dyDescent="0.2">
      <c r="B7220" s="2">
        <f ca="1"/>
        <v>0.40235671507811199</v>
      </c>
      <c r="O7220" s="2">
        <f ca="1"/>
        <v>-0.73882251879718097</v>
      </c>
      <c r="X7220" s="2">
        <f ca="1"/>
        <v>46.413618169198259</v>
      </c>
      <c r="AG7220" s="2">
        <f ca="1"/>
        <v>0.32311920081635126</v>
      </c>
      <c r="AH7220" s="2" t="str">
        <f ca="1"/>
        <v>OK</v>
      </c>
    </row>
    <row r="7221" spans="2:34" x14ac:dyDescent="0.2">
      <c r="B7221" s="2">
        <f ca="1"/>
        <v>9.5088558192236716E-2</v>
      </c>
      <c r="O7221" s="2">
        <f ca="1"/>
        <v>0.4659519323244426</v>
      </c>
      <c r="X7221" s="2">
        <f ca="1"/>
        <v>52.825649763362144</v>
      </c>
      <c r="AG7221" s="2">
        <f ca="1"/>
        <v>4.5301003156812403E-2</v>
      </c>
      <c r="AH7221" s="2" t="str">
        <f ca="1"/>
        <v>Good</v>
      </c>
    </row>
    <row r="7222" spans="2:34" x14ac:dyDescent="0.2">
      <c r="B7222" s="2">
        <f ca="1"/>
        <v>0.85009101921593078</v>
      </c>
      <c r="O7222" s="2">
        <f ca="1"/>
        <v>-1.6669720432260098</v>
      </c>
      <c r="X7222" s="2">
        <f ca="1"/>
        <v>42.075257187221425</v>
      </c>
      <c r="AG7222" s="2">
        <f ca="1"/>
        <v>0.64399857679515571</v>
      </c>
      <c r="AH7222" s="2" t="str">
        <f ca="1"/>
        <v>Bad</v>
      </c>
    </row>
    <row r="7223" spans="2:34" x14ac:dyDescent="0.2">
      <c r="B7223" s="2">
        <f ca="1"/>
        <v>0.71037395745476828</v>
      </c>
      <c r="O7223" s="2">
        <f ca="1"/>
        <v>1.2871333623670225</v>
      </c>
      <c r="X7223" s="2">
        <f ca="1"/>
        <v>33.864915972466349</v>
      </c>
      <c r="AG7223" s="2">
        <f ca="1"/>
        <v>0.882691844330036</v>
      </c>
      <c r="AH7223" s="2" t="str">
        <f ca="1"/>
        <v>Bad</v>
      </c>
    </row>
    <row r="7224" spans="2:34" x14ac:dyDescent="0.2">
      <c r="B7224" s="2">
        <f ca="1"/>
        <v>0.78936269713004936</v>
      </c>
      <c r="O7224" s="2">
        <f ca="1"/>
        <v>8.48169175270614E-2</v>
      </c>
      <c r="X7224" s="2">
        <f ca="1"/>
        <v>90.412960234436568</v>
      </c>
      <c r="AG7224" s="2">
        <f ca="1"/>
        <v>0.60911050922823673</v>
      </c>
      <c r="AH7224" s="2" t="str">
        <f ca="1"/>
        <v>Bad</v>
      </c>
    </row>
    <row r="7225" spans="2:34" x14ac:dyDescent="0.2">
      <c r="B7225" s="2">
        <f ca="1"/>
        <v>0.488178173491854</v>
      </c>
      <c r="O7225" s="2">
        <f ca="1"/>
        <v>2.0624058766336972</v>
      </c>
      <c r="X7225" s="2">
        <f ca="1"/>
        <v>63.769446629025204</v>
      </c>
      <c r="AG7225" s="2">
        <f ca="1"/>
        <v>0.62458489090700953</v>
      </c>
      <c r="AH7225" s="2" t="str">
        <f ca="1"/>
        <v>Bad</v>
      </c>
    </row>
    <row r="7226" spans="2:34" x14ac:dyDescent="0.2">
      <c r="B7226" s="2">
        <f ca="1"/>
        <v>0.77252036360807441</v>
      </c>
      <c r="O7226" s="2">
        <f ca="1"/>
        <v>0.82191981475473808</v>
      </c>
      <c r="X7226" s="2">
        <f ca="1"/>
        <v>71.065450680221943</v>
      </c>
      <c r="AG7226" s="2">
        <f ca="1"/>
        <v>0.29338654623902172</v>
      </c>
      <c r="AH7226" s="2" t="str">
        <f ca="1"/>
        <v>OK</v>
      </c>
    </row>
    <row r="7227" spans="2:34" x14ac:dyDescent="0.2">
      <c r="B7227" s="2">
        <f ca="1"/>
        <v>0.28899631146258153</v>
      </c>
      <c r="O7227" s="2">
        <f ca="1"/>
        <v>-0.32408941922491463</v>
      </c>
      <c r="X7227" s="2">
        <f ca="1"/>
        <v>53.463519037398598</v>
      </c>
      <c r="AG7227" s="2">
        <f ca="1"/>
        <v>0.22337764992940157</v>
      </c>
      <c r="AH7227" s="2" t="str">
        <f ca="1"/>
        <v>OK</v>
      </c>
    </row>
    <row r="7228" spans="2:34" x14ac:dyDescent="0.2">
      <c r="B7228" s="2">
        <f ca="1"/>
        <v>0.4249159408726253</v>
      </c>
      <c r="O7228" s="2">
        <f ca="1"/>
        <v>-0.18809232493385686</v>
      </c>
      <c r="X7228" s="2">
        <f ca="1"/>
        <v>13.590035072894267</v>
      </c>
      <c r="AG7228" s="2">
        <f ca="1"/>
        <v>0.73741691536366516</v>
      </c>
      <c r="AH7228" s="2" t="str">
        <f ca="1"/>
        <v>Bad</v>
      </c>
    </row>
    <row r="7229" spans="2:34" x14ac:dyDescent="0.2">
      <c r="B7229" s="2">
        <f ca="1"/>
        <v>0.9875367185752173</v>
      </c>
      <c r="O7229" s="2">
        <f ca="1"/>
        <v>-0.38555200220401586</v>
      </c>
      <c r="X7229" s="2">
        <f ca="1"/>
        <v>38.495544173067621</v>
      </c>
      <c r="AG7229" s="2">
        <f ca="1"/>
        <v>0.97751000410219069</v>
      </c>
      <c r="AH7229" s="2" t="str">
        <f ca="1"/>
        <v>Bad</v>
      </c>
    </row>
    <row r="7230" spans="2:34" x14ac:dyDescent="0.2">
      <c r="B7230" s="2">
        <f ca="1"/>
        <v>0.88032766172964005</v>
      </c>
      <c r="O7230" s="2">
        <f ca="1"/>
        <v>-1.3049086933983465</v>
      </c>
      <c r="X7230" s="2">
        <f ca="1"/>
        <v>51.113044885506191</v>
      </c>
      <c r="AG7230" s="2">
        <f ca="1"/>
        <v>0.12293103989887699</v>
      </c>
      <c r="AH7230" s="2" t="str">
        <f ca="1"/>
        <v>OK</v>
      </c>
    </row>
    <row r="7231" spans="2:34" x14ac:dyDescent="0.2">
      <c r="B7231" s="2">
        <f ca="1"/>
        <v>0.60390845991545539</v>
      </c>
      <c r="O7231" s="2">
        <f ca="1"/>
        <v>0.18875697357147628</v>
      </c>
      <c r="X7231" s="2">
        <f ca="1"/>
        <v>40.670531174016475</v>
      </c>
      <c r="AG7231" s="2">
        <f ca="1"/>
        <v>0.59369981081016232</v>
      </c>
      <c r="AH7231" s="2" t="str">
        <f ca="1"/>
        <v>Bad</v>
      </c>
    </row>
    <row r="7232" spans="2:34" x14ac:dyDescent="0.2">
      <c r="B7232" s="2">
        <f ca="1"/>
        <v>0.83719328601211651</v>
      </c>
      <c r="O7232" s="2">
        <f ca="1"/>
        <v>-0.24224945431023365</v>
      </c>
      <c r="X7232" s="2">
        <f ca="1"/>
        <v>59.635896347972441</v>
      </c>
      <c r="AG7232" s="2">
        <f ca="1"/>
        <v>3.6904508043702489E-2</v>
      </c>
      <c r="AH7232" s="2" t="str">
        <f ca="1"/>
        <v>Good</v>
      </c>
    </row>
    <row r="7233" spans="2:34" x14ac:dyDescent="0.2">
      <c r="B7233" s="2">
        <f ca="1"/>
        <v>0.53341431398438766</v>
      </c>
      <c r="O7233" s="2">
        <f ca="1"/>
        <v>-0.42577532703895854</v>
      </c>
      <c r="X7233" s="2">
        <f ca="1"/>
        <v>35.937864753997012</v>
      </c>
      <c r="AG7233" s="2">
        <f ca="1"/>
        <v>0.97981706920237022</v>
      </c>
      <c r="AH7233" s="2" t="str">
        <f ca="1"/>
        <v>Bad</v>
      </c>
    </row>
    <row r="7234" spans="2:34" x14ac:dyDescent="0.2">
      <c r="B7234" s="2">
        <f ca="1"/>
        <v>0.84701457639236377</v>
      </c>
      <c r="O7234" s="2">
        <f ca="1"/>
        <v>0.94600043856540206</v>
      </c>
      <c r="X7234" s="2">
        <f ca="1"/>
        <v>57.306379435721453</v>
      </c>
      <c r="AG7234" s="2">
        <f ca="1"/>
        <v>0.63951039996633074</v>
      </c>
      <c r="AH7234" s="2" t="str">
        <f ca="1"/>
        <v>Bad</v>
      </c>
    </row>
    <row r="7235" spans="2:34" x14ac:dyDescent="0.2">
      <c r="B7235" s="2">
        <f ca="1"/>
        <v>0.31555770025350682</v>
      </c>
      <c r="O7235" s="2">
        <f ca="1"/>
        <v>-0.64941268317808054</v>
      </c>
      <c r="X7235" s="2">
        <f ca="1"/>
        <v>41.816925865104821</v>
      </c>
      <c r="AG7235" s="2">
        <f ca="1"/>
        <v>8.4842159976844522E-2</v>
      </c>
      <c r="AH7235" s="2" t="str">
        <f ca="1"/>
        <v>OK</v>
      </c>
    </row>
    <row r="7236" spans="2:34" x14ac:dyDescent="0.2">
      <c r="B7236" s="2">
        <f ca="1"/>
        <v>0.30391495852595285</v>
      </c>
      <c r="O7236" s="2">
        <f ca="1"/>
        <v>9.1779109061884676E-2</v>
      </c>
      <c r="X7236" s="2">
        <f ca="1"/>
        <v>24.081344992300252</v>
      </c>
      <c r="AG7236" s="2">
        <f ca="1"/>
        <v>0.75698186919499966</v>
      </c>
      <c r="AH7236" s="2" t="str">
        <f ca="1"/>
        <v>Bad</v>
      </c>
    </row>
    <row r="7237" spans="2:34" x14ac:dyDescent="0.2">
      <c r="B7237" s="2">
        <f ca="1"/>
        <v>0.10488574334533296</v>
      </c>
      <c r="O7237" s="2">
        <f ca="1"/>
        <v>0.65454247288623879</v>
      </c>
      <c r="X7237" s="2">
        <f ca="1"/>
        <v>49.434661075108259</v>
      </c>
      <c r="AG7237" s="2">
        <f ca="1"/>
        <v>0.28377739484105624</v>
      </c>
      <c r="AH7237" s="2" t="str">
        <f ca="1"/>
        <v>OK</v>
      </c>
    </row>
    <row r="7238" spans="2:34" x14ac:dyDescent="0.2">
      <c r="B7238" s="2">
        <f ca="1"/>
        <v>5.3191818185077233E-2</v>
      </c>
      <c r="O7238" s="2">
        <f ca="1"/>
        <v>-0.39103827794686136</v>
      </c>
      <c r="X7238" s="2">
        <f ca="1"/>
        <v>66.960390812337664</v>
      </c>
      <c r="AG7238" s="2">
        <f ca="1"/>
        <v>0.45829395622276348</v>
      </c>
      <c r="AH7238" s="2" t="str">
        <f ca="1"/>
        <v>Bad</v>
      </c>
    </row>
    <row r="7239" spans="2:34" x14ac:dyDescent="0.2">
      <c r="B7239" s="2">
        <f ca="1"/>
        <v>0.4386659294246138</v>
      </c>
      <c r="O7239" s="2">
        <f ca="1"/>
        <v>-1.1147326623934211</v>
      </c>
      <c r="X7239" s="2">
        <f ca="1"/>
        <v>37.034362641454173</v>
      </c>
      <c r="AG7239" s="2">
        <f ca="1"/>
        <v>0.12197005641885106</v>
      </c>
      <c r="AH7239" s="2" t="str">
        <f ca="1"/>
        <v>OK</v>
      </c>
    </row>
    <row r="7240" spans="2:34" x14ac:dyDescent="0.2">
      <c r="B7240" s="2">
        <f ca="1"/>
        <v>0.68623383956992057</v>
      </c>
      <c r="O7240" s="2">
        <f ca="1"/>
        <v>0.20051993988859126</v>
      </c>
      <c r="X7240" s="2">
        <f ca="1"/>
        <v>59.915657219683339</v>
      </c>
      <c r="AG7240" s="2">
        <f ca="1"/>
        <v>0.80145979886781671</v>
      </c>
      <c r="AH7240" s="2" t="str">
        <f ca="1"/>
        <v>Bad</v>
      </c>
    </row>
    <row r="7241" spans="2:34" x14ac:dyDescent="0.2">
      <c r="B7241" s="2">
        <f ca="1"/>
        <v>0.52607595448049516</v>
      </c>
      <c r="O7241" s="2">
        <f ca="1"/>
        <v>-0.76742798355839614</v>
      </c>
      <c r="X7241" s="2">
        <f ca="1"/>
        <v>44.837035578185038</v>
      </c>
      <c r="AG7241" s="2">
        <f ca="1"/>
        <v>0.61405206136330159</v>
      </c>
      <c r="AH7241" s="2" t="str">
        <f ca="1"/>
        <v>Bad</v>
      </c>
    </row>
    <row r="7242" spans="2:34" x14ac:dyDescent="0.2">
      <c r="B7242" s="2">
        <f ca="1"/>
        <v>3.3573742281444607E-2</v>
      </c>
      <c r="O7242" s="2">
        <f ca="1"/>
        <v>0.15884783974783426</v>
      </c>
      <c r="X7242" s="2">
        <f ca="1"/>
        <v>35.574191326837614</v>
      </c>
      <c r="AG7242" s="2">
        <f ca="1"/>
        <v>6.9434682268068038E-2</v>
      </c>
      <c r="AH7242" s="2" t="str">
        <f ca="1"/>
        <v>OK</v>
      </c>
    </row>
    <row r="7243" spans="2:34" x14ac:dyDescent="0.2">
      <c r="B7243" s="2">
        <f ca="1"/>
        <v>0.69891559472513665</v>
      </c>
      <c r="O7243" s="2">
        <f ca="1"/>
        <v>0.24715473767588969</v>
      </c>
      <c r="X7243" s="2">
        <f ca="1"/>
        <v>41.234276040769082</v>
      </c>
      <c r="AG7243" s="2">
        <f ca="1"/>
        <v>0.42923541162865919</v>
      </c>
      <c r="AH7243" s="2" t="str">
        <f ca="1"/>
        <v>Bad</v>
      </c>
    </row>
    <row r="7244" spans="2:34" x14ac:dyDescent="0.2">
      <c r="B7244" s="2">
        <f ca="1"/>
        <v>4.9747915120943675E-2</v>
      </c>
      <c r="O7244" s="2">
        <f ca="1"/>
        <v>-1.0289975991494678</v>
      </c>
      <c r="X7244" s="2">
        <f ca="1"/>
        <v>65.100115305423913</v>
      </c>
      <c r="AG7244" s="2">
        <f ca="1"/>
        <v>0.77900857175427807</v>
      </c>
      <c r="AH7244" s="2" t="str">
        <f ca="1"/>
        <v>Bad</v>
      </c>
    </row>
    <row r="7245" spans="2:34" x14ac:dyDescent="0.2">
      <c r="B7245" s="2">
        <f ca="1"/>
        <v>0.55504872886972456</v>
      </c>
      <c r="O7245" s="2">
        <f ca="1"/>
        <v>-0.2096627373712189</v>
      </c>
      <c r="X7245" s="2">
        <f ca="1"/>
        <v>46.571677786709166</v>
      </c>
      <c r="AG7245" s="2">
        <f ca="1"/>
        <v>0.31875061180040487</v>
      </c>
      <c r="AH7245" s="2" t="str">
        <f ca="1"/>
        <v>OK</v>
      </c>
    </row>
    <row r="7246" spans="2:34" x14ac:dyDescent="0.2">
      <c r="B7246" s="2">
        <f ca="1"/>
        <v>0.21487388696427701</v>
      </c>
      <c r="O7246" s="2">
        <f ca="1"/>
        <v>-0.61006129775923768</v>
      </c>
      <c r="X7246" s="2">
        <f ca="1"/>
        <v>46.016363484535503</v>
      </c>
      <c r="AG7246" s="2">
        <f ca="1"/>
        <v>9.8071188643835683E-3</v>
      </c>
      <c r="AH7246" s="2" t="str">
        <f ca="1"/>
        <v>Good</v>
      </c>
    </row>
    <row r="7247" spans="2:34" x14ac:dyDescent="0.2">
      <c r="B7247" s="2">
        <f ca="1"/>
        <v>3.2107042934766294E-2</v>
      </c>
      <c r="O7247" s="2">
        <f ca="1"/>
        <v>1.9628879778342923</v>
      </c>
      <c r="X7247" s="2">
        <f ca="1"/>
        <v>86.341380547695309</v>
      </c>
      <c r="AG7247" s="2">
        <f ca="1"/>
        <v>0.27655505304944827</v>
      </c>
      <c r="AH7247" s="2" t="str">
        <f ca="1"/>
        <v>OK</v>
      </c>
    </row>
    <row r="7248" spans="2:34" x14ac:dyDescent="0.2">
      <c r="B7248" s="2">
        <f ca="1"/>
        <v>0.16957891754765986</v>
      </c>
      <c r="O7248" s="2">
        <f ca="1"/>
        <v>1.1890346107873186</v>
      </c>
      <c r="X7248" s="2">
        <f ca="1"/>
        <v>48.879136865418566</v>
      </c>
      <c r="AG7248" s="2">
        <f ca="1"/>
        <v>0.94356333504794687</v>
      </c>
      <c r="AH7248" s="2" t="str">
        <f ca="1"/>
        <v>Bad</v>
      </c>
    </row>
    <row r="7249" spans="2:34" x14ac:dyDescent="0.2">
      <c r="B7249" s="2">
        <f ca="1"/>
        <v>0.82641103167496155</v>
      </c>
      <c r="O7249" s="2">
        <f ca="1"/>
        <v>1.925607434032965</v>
      </c>
      <c r="X7249" s="2">
        <f ca="1"/>
        <v>35.974697299211897</v>
      </c>
      <c r="AG7249" s="2">
        <f ca="1"/>
        <v>8.0405006654751254E-3</v>
      </c>
      <c r="AH7249" s="2" t="str">
        <f ca="1"/>
        <v>Good</v>
      </c>
    </row>
    <row r="7250" spans="2:34" x14ac:dyDescent="0.2">
      <c r="B7250" s="2">
        <f ca="1"/>
        <v>0.52479364137640094</v>
      </c>
      <c r="O7250" s="2">
        <f ca="1"/>
        <v>-1.353921520044423</v>
      </c>
      <c r="X7250" s="2">
        <f ca="1"/>
        <v>43.827898435104828</v>
      </c>
      <c r="AG7250" s="2">
        <f ca="1"/>
        <v>0.54068212504592372</v>
      </c>
      <c r="AH7250" s="2" t="str">
        <f ca="1"/>
        <v>Bad</v>
      </c>
    </row>
    <row r="7251" spans="2:34" x14ac:dyDescent="0.2">
      <c r="B7251" s="2">
        <f ca="1"/>
        <v>0.69031763145217884</v>
      </c>
      <c r="O7251" s="2">
        <f ca="1"/>
        <v>-0.14394524458155494</v>
      </c>
      <c r="X7251" s="2">
        <f ca="1"/>
        <v>63.858625652052865</v>
      </c>
      <c r="AG7251" s="2">
        <f ca="1"/>
        <v>0.90148531488230477</v>
      </c>
      <c r="AH7251" s="2" t="str">
        <f ca="1"/>
        <v>Bad</v>
      </c>
    </row>
    <row r="7252" spans="2:34" x14ac:dyDescent="0.2">
      <c r="B7252" s="2">
        <f ca="1"/>
        <v>0.18663620137718939</v>
      </c>
      <c r="O7252" s="2">
        <f ca="1"/>
        <v>-2.3340703235332949</v>
      </c>
      <c r="X7252" s="2">
        <f ca="1"/>
        <v>68.902823267009197</v>
      </c>
      <c r="AG7252" s="2">
        <f ca="1"/>
        <v>9.7177526107927736E-3</v>
      </c>
      <c r="AH7252" s="2" t="str">
        <f ca="1"/>
        <v>Good</v>
      </c>
    </row>
    <row r="7253" spans="2:34" x14ac:dyDescent="0.2">
      <c r="B7253" s="2">
        <f ca="1"/>
        <v>0.53908770132714445</v>
      </c>
      <c r="O7253" s="2">
        <f ca="1"/>
        <v>-0.14477492139598483</v>
      </c>
      <c r="X7253" s="2">
        <f ca="1"/>
        <v>73.373061731939671</v>
      </c>
      <c r="AG7253" s="2">
        <f ca="1"/>
        <v>0.80984753975220891</v>
      </c>
      <c r="AH7253" s="2" t="str">
        <f ca="1"/>
        <v>Bad</v>
      </c>
    </row>
    <row r="7254" spans="2:34" x14ac:dyDescent="0.2">
      <c r="B7254" s="2">
        <f ca="1"/>
        <v>0.80209207751057532</v>
      </c>
      <c r="O7254" s="2">
        <f ca="1"/>
        <v>3.9754168916111832E-3</v>
      </c>
      <c r="X7254" s="2">
        <f ca="1"/>
        <v>99.055602339703</v>
      </c>
      <c r="AG7254" s="2">
        <f ca="1"/>
        <v>0.83871303356035631</v>
      </c>
      <c r="AH7254" s="2" t="str">
        <f ca="1"/>
        <v>Bad</v>
      </c>
    </row>
    <row r="7255" spans="2:34" x14ac:dyDescent="0.2">
      <c r="B7255" s="2">
        <f ca="1"/>
        <v>0.33676929655100585</v>
      </c>
      <c r="O7255" s="2">
        <f ca="1"/>
        <v>-1.0779625730088744</v>
      </c>
      <c r="X7255" s="2">
        <f ca="1"/>
        <v>48.851537206389764</v>
      </c>
      <c r="AG7255" s="2">
        <f ca="1"/>
        <v>0.31993760983274511</v>
      </c>
      <c r="AH7255" s="2" t="str">
        <f ca="1"/>
        <v>OK</v>
      </c>
    </row>
    <row r="7256" spans="2:34" x14ac:dyDescent="0.2">
      <c r="B7256" s="2">
        <f ca="1"/>
        <v>3.4841051791483002E-2</v>
      </c>
      <c r="O7256" s="2">
        <f ca="1"/>
        <v>0.5592746146658204</v>
      </c>
      <c r="X7256" s="2">
        <f ca="1"/>
        <v>73.159851513892036</v>
      </c>
      <c r="AG7256" s="2">
        <f ca="1"/>
        <v>0.96548370594198474</v>
      </c>
      <c r="AH7256" s="2" t="str">
        <f ca="1"/>
        <v>Bad</v>
      </c>
    </row>
    <row r="7257" spans="2:34" x14ac:dyDescent="0.2">
      <c r="B7257" s="2">
        <f ca="1"/>
        <v>0.88731753282410653</v>
      </c>
      <c r="O7257" s="2">
        <f ca="1"/>
        <v>0.77102650088622504</v>
      </c>
      <c r="X7257" s="2">
        <f ca="1"/>
        <v>62.479895095049997</v>
      </c>
      <c r="AG7257" s="2">
        <f ca="1"/>
        <v>0.56048549438596251</v>
      </c>
      <c r="AH7257" s="2" t="str">
        <f ca="1"/>
        <v>Bad</v>
      </c>
    </row>
    <row r="7258" spans="2:34" x14ac:dyDescent="0.2">
      <c r="B7258" s="2">
        <f ca="1"/>
        <v>0.43608880598180466</v>
      </c>
      <c r="O7258" s="2">
        <f ca="1"/>
        <v>-0.27552366947129747</v>
      </c>
      <c r="X7258" s="2">
        <f ca="1"/>
        <v>48.463325820652791</v>
      </c>
      <c r="AG7258" s="2">
        <f ca="1"/>
        <v>0.79752025447588504</v>
      </c>
      <c r="AH7258" s="2" t="str">
        <f ca="1"/>
        <v>Bad</v>
      </c>
    </row>
    <row r="7259" spans="2:34" x14ac:dyDescent="0.2">
      <c r="B7259" s="2">
        <f ca="1"/>
        <v>0.6383704648054267</v>
      </c>
      <c r="O7259" s="2">
        <f ca="1"/>
        <v>0.77664117088668094</v>
      </c>
      <c r="X7259" s="2">
        <f ca="1"/>
        <v>35.655212672672121</v>
      </c>
      <c r="AG7259" s="2">
        <f ca="1"/>
        <v>4.983703717695831E-2</v>
      </c>
      <c r="AH7259" s="2" t="str">
        <f ca="1"/>
        <v>Good</v>
      </c>
    </row>
    <row r="7260" spans="2:34" x14ac:dyDescent="0.2">
      <c r="B7260" s="2">
        <f ca="1"/>
        <v>8.3893313541560266E-2</v>
      </c>
      <c r="O7260" s="2">
        <f ca="1"/>
        <v>-1.3715408828332754</v>
      </c>
      <c r="X7260" s="2">
        <f ca="1"/>
        <v>22.256007414383237</v>
      </c>
      <c r="AG7260" s="2">
        <f ca="1"/>
        <v>5.6770388928071069E-2</v>
      </c>
      <c r="AH7260" s="2" t="str">
        <f ca="1"/>
        <v>OK</v>
      </c>
    </row>
    <row r="7261" spans="2:34" x14ac:dyDescent="0.2">
      <c r="B7261" s="2">
        <f ca="1"/>
        <v>0.66652498462836296</v>
      </c>
      <c r="O7261" s="2">
        <f ca="1"/>
        <v>-1.3144511852667151</v>
      </c>
      <c r="X7261" s="2">
        <f ca="1"/>
        <v>72.674850723388118</v>
      </c>
      <c r="AG7261" s="2">
        <f ca="1"/>
        <v>0.50095979225818588</v>
      </c>
      <c r="AH7261" s="2" t="str">
        <f ca="1"/>
        <v>Bad</v>
      </c>
    </row>
    <row r="7262" spans="2:34" x14ac:dyDescent="0.2">
      <c r="B7262" s="2">
        <f ca="1"/>
        <v>0.83262480290109275</v>
      </c>
      <c r="O7262" s="2">
        <f ca="1"/>
        <v>0.23847033944833385</v>
      </c>
      <c r="X7262" s="2">
        <f ca="1"/>
        <v>55.813638310778877</v>
      </c>
      <c r="AG7262" s="2">
        <f ca="1"/>
        <v>0.30938764229017268</v>
      </c>
      <c r="AH7262" s="2" t="str">
        <f ca="1"/>
        <v>OK</v>
      </c>
    </row>
    <row r="7263" spans="2:34" x14ac:dyDescent="0.2">
      <c r="B7263" s="2">
        <f ca="1"/>
        <v>0.50392983171140493</v>
      </c>
      <c r="O7263" s="2">
        <f ca="1"/>
        <v>1.4224879844711653</v>
      </c>
      <c r="X7263" s="2">
        <f ca="1"/>
        <v>84.030519906523025</v>
      </c>
      <c r="AG7263" s="2">
        <f ca="1"/>
        <v>0.30012958088620123</v>
      </c>
      <c r="AH7263" s="2" t="str">
        <f ca="1"/>
        <v>OK</v>
      </c>
    </row>
    <row r="7264" spans="2:34" x14ac:dyDescent="0.2">
      <c r="B7264" s="2">
        <f ca="1"/>
        <v>1.2239255831103524E-3</v>
      </c>
      <c r="O7264" s="2">
        <f ca="1"/>
        <v>-0.68601649240829043</v>
      </c>
      <c r="X7264" s="2">
        <f ca="1"/>
        <v>35.98492363375847</v>
      </c>
      <c r="AG7264" s="2">
        <f ca="1"/>
        <v>0.86541638498213436</v>
      </c>
      <c r="AH7264" s="2" t="str">
        <f ca="1"/>
        <v>Bad</v>
      </c>
    </row>
    <row r="7265" spans="2:34" x14ac:dyDescent="0.2">
      <c r="B7265" s="2">
        <f ca="1"/>
        <v>0.94566827288411748</v>
      </c>
      <c r="O7265" s="2">
        <f ca="1"/>
        <v>-1.4989025753246228</v>
      </c>
      <c r="X7265" s="2">
        <f ca="1"/>
        <v>73.746242278807145</v>
      </c>
      <c r="AG7265" s="2">
        <f ca="1"/>
        <v>9.4787329666765618E-3</v>
      </c>
      <c r="AH7265" s="2" t="str">
        <f ca="1"/>
        <v>Good</v>
      </c>
    </row>
    <row r="7266" spans="2:34" x14ac:dyDescent="0.2">
      <c r="B7266" s="2">
        <f ca="1"/>
        <v>0.24266913337700502</v>
      </c>
      <c r="O7266" s="2">
        <f ca="1"/>
        <v>-0.17106485861651866</v>
      </c>
      <c r="X7266" s="2">
        <f ca="1"/>
        <v>73.094428307044069</v>
      </c>
      <c r="AG7266" s="2">
        <f ca="1"/>
        <v>0.12792537104364277</v>
      </c>
      <c r="AH7266" s="2" t="str">
        <f ca="1"/>
        <v>OK</v>
      </c>
    </row>
    <row r="7267" spans="2:34" x14ac:dyDescent="0.2">
      <c r="B7267" s="2">
        <f ca="1"/>
        <v>0.22920130442365561</v>
      </c>
      <c r="O7267" s="2">
        <f ca="1"/>
        <v>-0.32684815303665987</v>
      </c>
      <c r="X7267" s="2">
        <f ca="1"/>
        <v>63.970135123297567</v>
      </c>
      <c r="AG7267" s="2">
        <f ca="1"/>
        <v>0.5747208456902464</v>
      </c>
      <c r="AH7267" s="2" t="str">
        <f ca="1"/>
        <v>Bad</v>
      </c>
    </row>
    <row r="7268" spans="2:34" x14ac:dyDescent="0.2">
      <c r="B7268" s="2">
        <f ca="1"/>
        <v>0.41105801944986964</v>
      </c>
      <c r="O7268" s="2">
        <f ca="1"/>
        <v>-1.4305323808320285</v>
      </c>
      <c r="X7268" s="2">
        <f ca="1"/>
        <v>41.200459612033988</v>
      </c>
      <c r="AG7268" s="2">
        <f ca="1"/>
        <v>0.5219925644619523</v>
      </c>
      <c r="AH7268" s="2" t="str">
        <f ca="1"/>
        <v>Bad</v>
      </c>
    </row>
    <row r="7269" spans="2:34" x14ac:dyDescent="0.2">
      <c r="B7269" s="2">
        <f ca="1"/>
        <v>0.51139018888554455</v>
      </c>
      <c r="O7269" s="2">
        <f ca="1"/>
        <v>0.19173681580071661</v>
      </c>
      <c r="X7269" s="2">
        <f ca="1"/>
        <v>62.395115911082542</v>
      </c>
      <c r="AG7269" s="2">
        <f ca="1"/>
        <v>4.5534297391689682E-2</v>
      </c>
      <c r="AH7269" s="2" t="str">
        <f ca="1"/>
        <v>Good</v>
      </c>
    </row>
    <row r="7270" spans="2:34" x14ac:dyDescent="0.2">
      <c r="B7270" s="2">
        <f ca="1"/>
        <v>0.11704908934611558</v>
      </c>
      <c r="O7270" s="2">
        <f ca="1"/>
        <v>-6.4017175645526878E-2</v>
      </c>
      <c r="X7270" s="2">
        <f ca="1"/>
        <v>38.160493858759367</v>
      </c>
      <c r="AG7270" s="2">
        <f ca="1"/>
        <v>6.6758752503945029E-2</v>
      </c>
      <c r="AH7270" s="2" t="str">
        <f ca="1"/>
        <v>OK</v>
      </c>
    </row>
    <row r="7271" spans="2:34" x14ac:dyDescent="0.2">
      <c r="B7271" s="2">
        <f ca="1"/>
        <v>0.18905972485045242</v>
      </c>
      <c r="O7271" s="2">
        <f ca="1"/>
        <v>1.1574990776948391</v>
      </c>
      <c r="X7271" s="2">
        <f ca="1"/>
        <v>31.748411613448102</v>
      </c>
      <c r="AG7271" s="2">
        <f ca="1"/>
        <v>0.97041595485528376</v>
      </c>
      <c r="AH7271" s="2" t="str">
        <f ca="1"/>
        <v>Bad</v>
      </c>
    </row>
    <row r="7272" spans="2:34" x14ac:dyDescent="0.2">
      <c r="B7272" s="2">
        <f ca="1"/>
        <v>0.1239214868062084</v>
      </c>
      <c r="O7272" s="2">
        <f ca="1"/>
        <v>0.12939230152922818</v>
      </c>
      <c r="X7272" s="2">
        <f ca="1"/>
        <v>24.665433234143357</v>
      </c>
      <c r="AG7272" s="2">
        <f ca="1"/>
        <v>0.86758120187371413</v>
      </c>
      <c r="AH7272" s="2" t="str">
        <f ca="1"/>
        <v>Bad</v>
      </c>
    </row>
    <row r="7273" spans="2:34" x14ac:dyDescent="0.2">
      <c r="B7273" s="2">
        <f ca="1"/>
        <v>5.2675576974309246E-2</v>
      </c>
      <c r="O7273" s="2">
        <f ca="1"/>
        <v>0.13130799741165494</v>
      </c>
      <c r="X7273" s="2">
        <f ca="1"/>
        <v>38.043772106813016</v>
      </c>
      <c r="AG7273" s="2">
        <f ca="1"/>
        <v>0.31119466003550489</v>
      </c>
      <c r="AH7273" s="2" t="str">
        <f ca="1"/>
        <v>OK</v>
      </c>
    </row>
    <row r="7274" spans="2:34" x14ac:dyDescent="0.2">
      <c r="B7274" s="2">
        <f ca="1"/>
        <v>0.85674946013687525</v>
      </c>
      <c r="O7274" s="2">
        <f ca="1"/>
        <v>5.324208626550344E-2</v>
      </c>
      <c r="X7274" s="2">
        <f ca="1"/>
        <v>19.053124673739077</v>
      </c>
      <c r="AG7274" s="2">
        <f ca="1"/>
        <v>0.84507876856222008</v>
      </c>
      <c r="AH7274" s="2" t="str">
        <f ca="1"/>
        <v>Bad</v>
      </c>
    </row>
    <row r="7275" spans="2:34" x14ac:dyDescent="0.2">
      <c r="B7275" s="2">
        <f ca="1"/>
        <v>0.11175933423164897</v>
      </c>
      <c r="O7275" s="2">
        <f ca="1"/>
        <v>-0.16865968849761237</v>
      </c>
      <c r="X7275" s="2">
        <f ca="1"/>
        <v>33.559511502847094</v>
      </c>
      <c r="AG7275" s="2">
        <f ca="1"/>
        <v>0.78953899648388037</v>
      </c>
      <c r="AH7275" s="2" t="str">
        <f ca="1"/>
        <v>Bad</v>
      </c>
    </row>
    <row r="7276" spans="2:34" x14ac:dyDescent="0.2">
      <c r="B7276" s="2">
        <f ca="1"/>
        <v>0.82200341252234277</v>
      </c>
      <c r="O7276" s="2">
        <f ca="1"/>
        <v>-0.19499863032231649</v>
      </c>
      <c r="X7276" s="2">
        <f ca="1"/>
        <v>22.984092622382096</v>
      </c>
      <c r="AG7276" s="2">
        <f ca="1"/>
        <v>0.46763511190162177</v>
      </c>
      <c r="AH7276" s="2" t="str">
        <f ca="1"/>
        <v>Bad</v>
      </c>
    </row>
    <row r="7277" spans="2:34" x14ac:dyDescent="0.2">
      <c r="B7277" s="2">
        <f ca="1"/>
        <v>0.72257750558317024</v>
      </c>
      <c r="O7277" s="2">
        <f ca="1"/>
        <v>0.74952454337419572</v>
      </c>
      <c r="X7277" s="2">
        <f ca="1"/>
        <v>54.115345403695926</v>
      </c>
      <c r="AG7277" s="2">
        <f ca="1"/>
        <v>0.88251319720800336</v>
      </c>
      <c r="AH7277" s="2" t="str">
        <f ca="1"/>
        <v>Bad</v>
      </c>
    </row>
    <row r="7278" spans="2:34" x14ac:dyDescent="0.2">
      <c r="B7278" s="2">
        <f ca="1"/>
        <v>6.629154407282023E-2</v>
      </c>
      <c r="O7278" s="2">
        <f ca="1"/>
        <v>1.7321533790347926E-2</v>
      </c>
      <c r="X7278" s="2">
        <f ca="1"/>
        <v>32.862366586938698</v>
      </c>
      <c r="AG7278" s="2">
        <f ca="1"/>
        <v>0.50095090612599669</v>
      </c>
      <c r="AH7278" s="2" t="str">
        <f ca="1"/>
        <v>Bad</v>
      </c>
    </row>
    <row r="7279" spans="2:34" x14ac:dyDescent="0.2">
      <c r="B7279" s="2">
        <f ca="1"/>
        <v>0.70653613267050286</v>
      </c>
      <c r="O7279" s="2">
        <f ca="1"/>
        <v>0.76085995976585585</v>
      </c>
      <c r="X7279" s="2">
        <f ca="1"/>
        <v>45.706566760058635</v>
      </c>
      <c r="AG7279" s="2">
        <f ca="1"/>
        <v>0.37998448655785189</v>
      </c>
      <c r="AH7279" s="2" t="str">
        <f ca="1"/>
        <v>OK</v>
      </c>
    </row>
    <row r="7280" spans="2:34" x14ac:dyDescent="0.2">
      <c r="B7280" s="2">
        <f ca="1"/>
        <v>0.72585112690037668</v>
      </c>
      <c r="O7280" s="2">
        <f ca="1"/>
        <v>2.2652671951582968</v>
      </c>
      <c r="X7280" s="2">
        <f ca="1"/>
        <v>81.292748220413898</v>
      </c>
      <c r="AG7280" s="2">
        <f ca="1"/>
        <v>0.24200012673978977</v>
      </c>
      <c r="AH7280" s="2" t="str">
        <f ca="1"/>
        <v>OK</v>
      </c>
    </row>
    <row r="7281" spans="2:34" x14ac:dyDescent="0.2">
      <c r="B7281" s="2">
        <f ca="1"/>
        <v>0.15069900786123958</v>
      </c>
      <c r="O7281" s="2">
        <f ca="1"/>
        <v>0.48035157775299353</v>
      </c>
      <c r="X7281" s="2">
        <f ca="1"/>
        <v>46.116924557667865</v>
      </c>
      <c r="AG7281" s="2">
        <f ca="1"/>
        <v>0.40555131494106522</v>
      </c>
      <c r="AH7281" s="2" t="str">
        <f ca="1"/>
        <v>Bad</v>
      </c>
    </row>
    <row r="7282" spans="2:34" x14ac:dyDescent="0.2">
      <c r="B7282" s="2">
        <f ca="1"/>
        <v>2.2464786685600924E-3</v>
      </c>
      <c r="O7282" s="2">
        <f ca="1"/>
        <v>0.79251894289185576</v>
      </c>
      <c r="X7282" s="2">
        <f ca="1"/>
        <v>41.971613184056473</v>
      </c>
      <c r="AG7282" s="2">
        <f ca="1"/>
        <v>0.81546208213977378</v>
      </c>
      <c r="AH7282" s="2" t="str">
        <f ca="1"/>
        <v>Bad</v>
      </c>
    </row>
    <row r="7283" spans="2:34" x14ac:dyDescent="0.2">
      <c r="B7283" s="2">
        <f ca="1"/>
        <v>0.6214516145991662</v>
      </c>
      <c r="O7283" s="2">
        <f ca="1"/>
        <v>0.42027931338093283</v>
      </c>
      <c r="X7283" s="2">
        <f ca="1"/>
        <v>27.270118794686677</v>
      </c>
      <c r="AG7283" s="2">
        <f ca="1"/>
        <v>0.18324900633567198</v>
      </c>
      <c r="AH7283" s="2" t="str">
        <f ca="1"/>
        <v>OK</v>
      </c>
    </row>
    <row r="7284" spans="2:34" x14ac:dyDescent="0.2">
      <c r="B7284" s="2">
        <f ca="1"/>
        <v>0.4132231115904168</v>
      </c>
      <c r="O7284" s="2">
        <f ca="1"/>
        <v>0.50825710527020029</v>
      </c>
      <c r="X7284" s="2">
        <f ca="1"/>
        <v>49.21922636972468</v>
      </c>
      <c r="AG7284" s="2">
        <f ca="1"/>
        <v>0.68819358770305317</v>
      </c>
      <c r="AH7284" s="2" t="str">
        <f ca="1"/>
        <v>Bad</v>
      </c>
    </row>
    <row r="7285" spans="2:34" x14ac:dyDescent="0.2">
      <c r="B7285" s="2">
        <f ca="1"/>
        <v>0.2674906039033389</v>
      </c>
      <c r="O7285" s="2">
        <f ca="1"/>
        <v>-1.8243316052652302E-2</v>
      </c>
      <c r="X7285" s="2">
        <f ca="1"/>
        <v>39.509685571055428</v>
      </c>
      <c r="AG7285" s="2">
        <f ca="1"/>
        <v>0.97685390318873</v>
      </c>
      <c r="AH7285" s="2" t="str">
        <f ca="1"/>
        <v>Bad</v>
      </c>
    </row>
    <row r="7286" spans="2:34" x14ac:dyDescent="0.2">
      <c r="B7286" s="2">
        <f ca="1"/>
        <v>0.53481474686946617</v>
      </c>
      <c r="O7286" s="2">
        <f ca="1"/>
        <v>-9.8838867906890213E-2</v>
      </c>
      <c r="X7286" s="2">
        <f ca="1"/>
        <v>54.880495635234894</v>
      </c>
      <c r="AG7286" s="2">
        <f ca="1"/>
        <v>0.39166323032074102</v>
      </c>
      <c r="AH7286" s="2" t="str">
        <f ca="1"/>
        <v>OK</v>
      </c>
    </row>
    <row r="7287" spans="2:34" x14ac:dyDescent="0.2">
      <c r="B7287" s="2">
        <f ca="1"/>
        <v>0.52886049762944087</v>
      </c>
      <c r="O7287" s="2">
        <f ca="1"/>
        <v>1.2849888761409929</v>
      </c>
      <c r="X7287" s="2">
        <f ca="1"/>
        <v>45.971613121024149</v>
      </c>
      <c r="AG7287" s="2">
        <f ca="1"/>
        <v>0.33181747556447472</v>
      </c>
      <c r="AH7287" s="2" t="str">
        <f ca="1"/>
        <v>OK</v>
      </c>
    </row>
    <row r="7288" spans="2:34" x14ac:dyDescent="0.2">
      <c r="B7288" s="2">
        <f ca="1"/>
        <v>0.82478230087506477</v>
      </c>
      <c r="O7288" s="2">
        <f ca="1"/>
        <v>-1.3439855126772238</v>
      </c>
      <c r="X7288" s="2">
        <f ca="1"/>
        <v>54.705208233692716</v>
      </c>
      <c r="AG7288" s="2">
        <f ca="1"/>
        <v>0.16174461835367127</v>
      </c>
      <c r="AH7288" s="2" t="str">
        <f ca="1"/>
        <v>OK</v>
      </c>
    </row>
    <row r="7289" spans="2:34" x14ac:dyDescent="0.2">
      <c r="B7289" s="2">
        <f ca="1"/>
        <v>0.89171810023360876</v>
      </c>
      <c r="O7289" s="2">
        <f ca="1"/>
        <v>-1.1228551692264728</v>
      </c>
      <c r="X7289" s="2">
        <f ca="1"/>
        <v>43.832362398856148</v>
      </c>
      <c r="AG7289" s="2">
        <f ca="1"/>
        <v>0.79179486483983763</v>
      </c>
      <c r="AH7289" s="2" t="str">
        <f ca="1"/>
        <v>Bad</v>
      </c>
    </row>
    <row r="7290" spans="2:34" x14ac:dyDescent="0.2">
      <c r="B7290" s="2">
        <f ca="1"/>
        <v>0.28752002635958962</v>
      </c>
      <c r="O7290" s="2">
        <f ca="1"/>
        <v>2.3071786965171337</v>
      </c>
      <c r="X7290" s="2">
        <f ca="1"/>
        <v>44.396405740850312</v>
      </c>
      <c r="AG7290" s="2">
        <f ca="1"/>
        <v>1.4635143660182148E-2</v>
      </c>
      <c r="AH7290" s="2" t="str">
        <f ca="1"/>
        <v>Good</v>
      </c>
    </row>
    <row r="7291" spans="2:34" x14ac:dyDescent="0.2">
      <c r="B7291" s="2">
        <f ca="1"/>
        <v>0.51788319919779791</v>
      </c>
      <c r="O7291" s="2">
        <f ca="1"/>
        <v>0.4423264801018712</v>
      </c>
      <c r="X7291" s="2">
        <f ca="1"/>
        <v>61.256537864660046</v>
      </c>
      <c r="AG7291" s="2">
        <f ca="1"/>
        <v>0.4251470470590879</v>
      </c>
      <c r="AH7291" s="2" t="str">
        <f ca="1"/>
        <v>Bad</v>
      </c>
    </row>
    <row r="7292" spans="2:34" x14ac:dyDescent="0.2">
      <c r="B7292" s="2">
        <f ca="1"/>
        <v>0.25459950986993518</v>
      </c>
      <c r="O7292" s="2">
        <f ca="1"/>
        <v>-1.4536246960116366</v>
      </c>
      <c r="X7292" s="2">
        <f ca="1"/>
        <v>33.871683092863698</v>
      </c>
      <c r="AG7292" s="2">
        <f ca="1"/>
        <v>0.2819235992755742</v>
      </c>
      <c r="AH7292" s="2" t="str">
        <f ca="1"/>
        <v>OK</v>
      </c>
    </row>
    <row r="7293" spans="2:34" x14ac:dyDescent="0.2">
      <c r="B7293" s="2">
        <f ca="1"/>
        <v>0.56875918994979791</v>
      </c>
      <c r="O7293" s="2">
        <f ca="1"/>
        <v>0.32893118611633521</v>
      </c>
      <c r="X7293" s="2">
        <f ca="1"/>
        <v>40.758603999325203</v>
      </c>
      <c r="AG7293" s="2">
        <f ca="1"/>
        <v>0.14750536026185501</v>
      </c>
      <c r="AH7293" s="2" t="str">
        <f ca="1"/>
        <v>OK</v>
      </c>
    </row>
    <row r="7294" spans="2:34" x14ac:dyDescent="0.2">
      <c r="B7294" s="2">
        <f ca="1"/>
        <v>4.7174700074941178E-2</v>
      </c>
      <c r="O7294" s="2">
        <f ca="1"/>
        <v>0.45114277725557755</v>
      </c>
      <c r="X7294" s="2">
        <f ca="1"/>
        <v>39.220954492022557</v>
      </c>
      <c r="AG7294" s="2">
        <f ca="1"/>
        <v>9.0438182431646696E-2</v>
      </c>
      <c r="AH7294" s="2" t="str">
        <f ca="1"/>
        <v>OK</v>
      </c>
    </row>
    <row r="7295" spans="2:34" x14ac:dyDescent="0.2">
      <c r="B7295" s="2">
        <f ca="1"/>
        <v>0.74813240217446397</v>
      </c>
      <c r="O7295" s="2">
        <f ca="1"/>
        <v>-0.32874140462550078</v>
      </c>
      <c r="X7295" s="2">
        <f ca="1"/>
        <v>57.809551318570428</v>
      </c>
      <c r="AG7295" s="2">
        <f ca="1"/>
        <v>0.73097094430395093</v>
      </c>
      <c r="AH7295" s="2" t="str">
        <f ca="1"/>
        <v>Bad</v>
      </c>
    </row>
    <row r="7296" spans="2:34" x14ac:dyDescent="0.2">
      <c r="B7296" s="2">
        <f ca="1"/>
        <v>0.53232999092442634</v>
      </c>
      <c r="O7296" s="2">
        <f ca="1"/>
        <v>-0.68062964395628278</v>
      </c>
      <c r="X7296" s="2">
        <f ca="1"/>
        <v>46.142714202844665</v>
      </c>
      <c r="AG7296" s="2">
        <f ca="1"/>
        <v>0.6639958792883871</v>
      </c>
      <c r="AH7296" s="2" t="str">
        <f ca="1"/>
        <v>Bad</v>
      </c>
    </row>
    <row r="7297" spans="2:34" x14ac:dyDescent="0.2">
      <c r="B7297" s="2">
        <f ca="1"/>
        <v>0.60047147722858019</v>
      </c>
      <c r="O7297" s="2">
        <f ca="1"/>
        <v>-0.44452629057968851</v>
      </c>
      <c r="X7297" s="2">
        <f ca="1"/>
        <v>46.593462540663666</v>
      </c>
      <c r="AG7297" s="2">
        <f ca="1"/>
        <v>0.69587703954830582</v>
      </c>
      <c r="AH7297" s="2" t="str">
        <f ca="1"/>
        <v>Bad</v>
      </c>
    </row>
    <row r="7298" spans="2:34" x14ac:dyDescent="0.2">
      <c r="B7298" s="2">
        <f ca="1"/>
        <v>0.96256645130422935</v>
      </c>
      <c r="O7298" s="2">
        <f ca="1"/>
        <v>0.48489426401832814</v>
      </c>
      <c r="X7298" s="2">
        <f ca="1"/>
        <v>51.755381130455163</v>
      </c>
      <c r="AG7298" s="2">
        <f ca="1"/>
        <v>0.52305800351094978</v>
      </c>
      <c r="AH7298" s="2" t="str">
        <f ca="1"/>
        <v>Bad</v>
      </c>
    </row>
    <row r="7299" spans="2:34" x14ac:dyDescent="0.2">
      <c r="B7299" s="2">
        <f ca="1"/>
        <v>0.26695296147052905</v>
      </c>
      <c r="O7299" s="2">
        <f ca="1"/>
        <v>-0.37484468644197561</v>
      </c>
      <c r="X7299" s="2">
        <f ca="1"/>
        <v>33.498175473560401</v>
      </c>
      <c r="AG7299" s="2">
        <f ca="1"/>
        <v>0.3578142038615344</v>
      </c>
      <c r="AH7299" s="2" t="str">
        <f ca="1"/>
        <v>OK</v>
      </c>
    </row>
    <row r="7300" spans="2:34" x14ac:dyDescent="0.2">
      <c r="B7300" s="2">
        <f ca="1"/>
        <v>4.8152625409518368E-2</v>
      </c>
      <c r="O7300" s="2">
        <f ca="1"/>
        <v>1.1880672474388436</v>
      </c>
      <c r="X7300" s="2">
        <f ca="1"/>
        <v>45.198173636163446</v>
      </c>
      <c r="AG7300" s="2">
        <f ca="1"/>
        <v>0.25538393801176618</v>
      </c>
      <c r="AH7300" s="2" t="str">
        <f ca="1"/>
        <v>OK</v>
      </c>
    </row>
    <row r="7301" spans="2:34" x14ac:dyDescent="0.2">
      <c r="B7301" s="2">
        <f ca="1"/>
        <v>0.84312519676468312</v>
      </c>
      <c r="O7301" s="2">
        <f ca="1"/>
        <v>1.4334587824316189</v>
      </c>
      <c r="X7301" s="2">
        <f ca="1"/>
        <v>70.537052880521884</v>
      </c>
      <c r="AG7301" s="2">
        <f ca="1"/>
        <v>0.42254508362796939</v>
      </c>
      <c r="AH7301" s="2" t="str">
        <f ca="1"/>
        <v>Bad</v>
      </c>
    </row>
    <row r="7302" spans="2:34" x14ac:dyDescent="0.2">
      <c r="B7302" s="2">
        <f ca="1"/>
        <v>0.87539413807245969</v>
      </c>
      <c r="O7302" s="2">
        <f ca="1"/>
        <v>1.2637889818990762</v>
      </c>
      <c r="X7302" s="2">
        <f ca="1"/>
        <v>68.726308285923309</v>
      </c>
      <c r="AG7302" s="2">
        <f ca="1"/>
        <v>0.25986750692512417</v>
      </c>
      <c r="AH7302" s="2" t="str">
        <f ca="1"/>
        <v>OK</v>
      </c>
    </row>
    <row r="7303" spans="2:34" x14ac:dyDescent="0.2">
      <c r="B7303" s="2">
        <f ca="1"/>
        <v>0.2866070895377193</v>
      </c>
      <c r="O7303" s="2">
        <f ca="1"/>
        <v>-1.6811385469678599</v>
      </c>
      <c r="X7303" s="2">
        <f ca="1"/>
        <v>31.958628093660369</v>
      </c>
      <c r="AG7303" s="2">
        <f ca="1"/>
        <v>4.7430860749780424E-2</v>
      </c>
      <c r="AH7303" s="2" t="str">
        <f ca="1"/>
        <v>Good</v>
      </c>
    </row>
    <row r="7304" spans="2:34" x14ac:dyDescent="0.2">
      <c r="B7304" s="2">
        <f ca="1"/>
        <v>0.34798925918193269</v>
      </c>
      <c r="O7304" s="2">
        <f ca="1"/>
        <v>-0.60982846818567193</v>
      </c>
      <c r="X7304" s="2">
        <f ca="1"/>
        <v>49.244264260321543</v>
      </c>
      <c r="AG7304" s="2">
        <f ca="1"/>
        <v>0.13672265484004353</v>
      </c>
      <c r="AH7304" s="2" t="str">
        <f ca="1"/>
        <v>OK</v>
      </c>
    </row>
    <row r="7305" spans="2:34" x14ac:dyDescent="0.2">
      <c r="B7305" s="2">
        <f ca="1"/>
        <v>0.74685103818817344</v>
      </c>
      <c r="O7305" s="2">
        <f ca="1"/>
        <v>1.4291131520561846</v>
      </c>
      <c r="X7305" s="2">
        <f ca="1"/>
        <v>40.532340987537239</v>
      </c>
      <c r="AG7305" s="2">
        <f ca="1"/>
        <v>0.54683052755211126</v>
      </c>
      <c r="AH7305" s="2" t="str">
        <f ca="1"/>
        <v>Bad</v>
      </c>
    </row>
    <row r="7306" spans="2:34" x14ac:dyDescent="0.2">
      <c r="B7306" s="2">
        <f ca="1"/>
        <v>0.54080031017921248</v>
      </c>
      <c r="O7306" s="2">
        <f ca="1"/>
        <v>1.6194028447540543</v>
      </c>
      <c r="X7306" s="2">
        <f ca="1"/>
        <v>38.39016136755076</v>
      </c>
      <c r="AG7306" s="2">
        <f ca="1"/>
        <v>0.82432902997221702</v>
      </c>
      <c r="AH7306" s="2" t="str">
        <f ca="1"/>
        <v>Bad</v>
      </c>
    </row>
    <row r="7307" spans="2:34" x14ac:dyDescent="0.2">
      <c r="B7307" s="2">
        <f ca="1"/>
        <v>2.3515468497314451E-2</v>
      </c>
      <c r="O7307" s="2">
        <f ca="1"/>
        <v>-0.54421276966180165</v>
      </c>
      <c r="X7307" s="2">
        <f ca="1"/>
        <v>90.992914370294216</v>
      </c>
      <c r="AG7307" s="2">
        <f ca="1"/>
        <v>0.14192665846926378</v>
      </c>
      <c r="AH7307" s="2" t="str">
        <f ca="1"/>
        <v>OK</v>
      </c>
    </row>
    <row r="7308" spans="2:34" x14ac:dyDescent="0.2">
      <c r="B7308" s="2">
        <f ca="1"/>
        <v>0.47636378864616291</v>
      </c>
      <c r="O7308" s="2">
        <f ca="1"/>
        <v>-1.0535663101609349</v>
      </c>
      <c r="X7308" s="2">
        <f ca="1"/>
        <v>82.909734044719301</v>
      </c>
      <c r="AG7308" s="2">
        <f ca="1"/>
        <v>2.3470539277022917E-2</v>
      </c>
      <c r="AH7308" s="2" t="str">
        <f ca="1"/>
        <v>Good</v>
      </c>
    </row>
    <row r="7309" spans="2:34" x14ac:dyDescent="0.2">
      <c r="B7309" s="2">
        <f ca="1"/>
        <v>1.1721838565636578E-2</v>
      </c>
      <c r="O7309" s="2">
        <f ca="1"/>
        <v>-0.9971967452049183</v>
      </c>
      <c r="X7309" s="2">
        <f ca="1"/>
        <v>31.681501717956241</v>
      </c>
      <c r="AG7309" s="2">
        <f ca="1"/>
        <v>0.86039197957692037</v>
      </c>
      <c r="AH7309" s="2" t="str">
        <f ca="1"/>
        <v>Bad</v>
      </c>
    </row>
    <row r="7310" spans="2:34" x14ac:dyDescent="0.2">
      <c r="B7310" s="2">
        <f ca="1"/>
        <v>0.96328453120643442</v>
      </c>
      <c r="O7310" s="2">
        <f ca="1"/>
        <v>1.0066869749472478</v>
      </c>
      <c r="X7310" s="2">
        <f ca="1"/>
        <v>48.951144099084814</v>
      </c>
      <c r="AG7310" s="2">
        <f ca="1"/>
        <v>0.48052757988272465</v>
      </c>
      <c r="AH7310" s="2" t="str">
        <f ca="1"/>
        <v>Bad</v>
      </c>
    </row>
    <row r="7311" spans="2:34" x14ac:dyDescent="0.2">
      <c r="B7311" s="2">
        <f ca="1"/>
        <v>0.35018238590651696</v>
      </c>
      <c r="O7311" s="2">
        <f ca="1"/>
        <v>-1.25682950315647</v>
      </c>
      <c r="X7311" s="2">
        <f ca="1"/>
        <v>67.486210567027115</v>
      </c>
      <c r="AG7311" s="2">
        <f ca="1"/>
        <v>0.30715491293684849</v>
      </c>
      <c r="AH7311" s="2" t="str">
        <f ca="1"/>
        <v>OK</v>
      </c>
    </row>
    <row r="7312" spans="2:34" x14ac:dyDescent="0.2">
      <c r="B7312" s="2">
        <f ca="1"/>
        <v>0.66648210574568179</v>
      </c>
      <c r="O7312" s="2">
        <f ca="1"/>
        <v>0.91026603177427656</v>
      </c>
      <c r="X7312" s="2">
        <f ca="1"/>
        <v>66.410364965418779</v>
      </c>
      <c r="AG7312" s="2">
        <f ca="1"/>
        <v>0.51778495001801716</v>
      </c>
      <c r="AH7312" s="2" t="str">
        <f ca="1"/>
        <v>Bad</v>
      </c>
    </row>
    <row r="7313" spans="2:34" x14ac:dyDescent="0.2">
      <c r="B7313" s="2">
        <f ca="1"/>
        <v>0.13705910426374968</v>
      </c>
      <c r="O7313" s="2">
        <f ca="1"/>
        <v>0.6205017468486661</v>
      </c>
      <c r="X7313" s="2">
        <f ca="1"/>
        <v>39.064289726015396</v>
      </c>
      <c r="AG7313" s="2">
        <f ca="1"/>
        <v>0.40095998299161617</v>
      </c>
      <c r="AH7313" s="2" t="str">
        <f ca="1"/>
        <v>Bad</v>
      </c>
    </row>
    <row r="7314" spans="2:34" x14ac:dyDescent="0.2">
      <c r="B7314" s="2">
        <f ca="1"/>
        <v>0.96230707542181926</v>
      </c>
      <c r="O7314" s="2">
        <f ca="1"/>
        <v>0.91716986189883132</v>
      </c>
      <c r="X7314" s="2">
        <f ca="1"/>
        <v>71.438160486386636</v>
      </c>
      <c r="AG7314" s="2">
        <f ca="1"/>
        <v>3.5909114907642259E-2</v>
      </c>
      <c r="AH7314" s="2" t="str">
        <f ca="1"/>
        <v>Good</v>
      </c>
    </row>
    <row r="7315" spans="2:34" x14ac:dyDescent="0.2">
      <c r="B7315" s="2">
        <f ca="1"/>
        <v>0.15912827303416632</v>
      </c>
      <c r="O7315" s="2">
        <f ca="1"/>
        <v>-2.1504544394929712</v>
      </c>
      <c r="X7315" s="2">
        <f ca="1"/>
        <v>28.459042649410968</v>
      </c>
      <c r="AG7315" s="2">
        <f ca="1"/>
        <v>0.2520850115487403</v>
      </c>
      <c r="AH7315" s="2" t="str">
        <f ca="1"/>
        <v>OK</v>
      </c>
    </row>
    <row r="7316" spans="2:34" x14ac:dyDescent="0.2">
      <c r="B7316" s="2">
        <f ca="1"/>
        <v>0.56616495359729657</v>
      </c>
      <c r="O7316" s="2">
        <f ca="1"/>
        <v>1.3785351537523984</v>
      </c>
      <c r="X7316" s="2">
        <f ca="1"/>
        <v>76.419834569711199</v>
      </c>
      <c r="AG7316" s="2">
        <f ca="1"/>
        <v>0.2316242013060521</v>
      </c>
      <c r="AH7316" s="2" t="str">
        <f ca="1"/>
        <v>OK</v>
      </c>
    </row>
    <row r="7317" spans="2:34" x14ac:dyDescent="0.2">
      <c r="B7317" s="2">
        <f ca="1"/>
        <v>0.27595031425882266</v>
      </c>
      <c r="O7317" s="2">
        <f ca="1"/>
        <v>-1.1713801457162165</v>
      </c>
      <c r="X7317" s="2">
        <f ca="1"/>
        <v>52.313264937587611</v>
      </c>
      <c r="AG7317" s="2">
        <f ca="1"/>
        <v>0.19139064311312004</v>
      </c>
      <c r="AH7317" s="2" t="str">
        <f ca="1"/>
        <v>OK</v>
      </c>
    </row>
    <row r="7318" spans="2:34" x14ac:dyDescent="0.2">
      <c r="B7318" s="2">
        <f ca="1"/>
        <v>0.95580621280347278</v>
      </c>
      <c r="O7318" s="2">
        <f ca="1"/>
        <v>-3.2720252597625947E-2</v>
      </c>
      <c r="X7318" s="2">
        <f ca="1"/>
        <v>46.112873232290752</v>
      </c>
      <c r="AG7318" s="2">
        <f ca="1"/>
        <v>0.22243335993663349</v>
      </c>
      <c r="AH7318" s="2" t="str">
        <f ca="1"/>
        <v>OK</v>
      </c>
    </row>
    <row r="7319" spans="2:34" x14ac:dyDescent="0.2">
      <c r="B7319" s="2">
        <f ca="1"/>
        <v>0.51518680927028915</v>
      </c>
      <c r="O7319" s="2">
        <f ca="1"/>
        <v>0.42823544789682982</v>
      </c>
      <c r="X7319" s="2">
        <f ca="1"/>
        <v>54.09111101469729</v>
      </c>
      <c r="AG7319" s="2">
        <f ca="1"/>
        <v>0.21457640490189056</v>
      </c>
      <c r="AH7319" s="2" t="str">
        <f ca="1"/>
        <v>OK</v>
      </c>
    </row>
    <row r="7320" spans="2:34" x14ac:dyDescent="0.2">
      <c r="B7320" s="2">
        <f ca="1"/>
        <v>3.3833291953807576E-2</v>
      </c>
      <c r="O7320" s="2">
        <f ca="1"/>
        <v>0.78349062614011544</v>
      </c>
      <c r="X7320" s="2">
        <f ca="1"/>
        <v>37.184621693707754</v>
      </c>
      <c r="AG7320" s="2">
        <f ca="1"/>
        <v>0.36207388976328647</v>
      </c>
      <c r="AH7320" s="2" t="str">
        <f ca="1"/>
        <v>OK</v>
      </c>
    </row>
    <row r="7321" spans="2:34" x14ac:dyDescent="0.2">
      <c r="B7321" s="2">
        <f ca="1"/>
        <v>0.68852234558416758</v>
      </c>
      <c r="O7321" s="2">
        <f ca="1"/>
        <v>3.795535157281376E-2</v>
      </c>
      <c r="X7321" s="2">
        <f ca="1"/>
        <v>29.182027946350082</v>
      </c>
      <c r="AG7321" s="2">
        <f ca="1"/>
        <v>0.10523878496752714</v>
      </c>
      <c r="AH7321" s="2" t="str">
        <f ca="1"/>
        <v>OK</v>
      </c>
    </row>
    <row r="7322" spans="2:34" x14ac:dyDescent="0.2">
      <c r="B7322" s="2">
        <f ca="1"/>
        <v>0.48554534577200936</v>
      </c>
      <c r="O7322" s="2">
        <f ca="1"/>
        <v>0.82164893464956201</v>
      </c>
      <c r="X7322" s="2">
        <f ca="1"/>
        <v>52.18560101340347</v>
      </c>
      <c r="AG7322" s="2">
        <f ca="1"/>
        <v>0.95127741487859296</v>
      </c>
      <c r="AH7322" s="2" t="str">
        <f ca="1"/>
        <v>Bad</v>
      </c>
    </row>
    <row r="7323" spans="2:34" x14ac:dyDescent="0.2">
      <c r="B7323" s="2">
        <f ca="1"/>
        <v>2.9835410778145999E-2</v>
      </c>
      <c r="O7323" s="2">
        <f ca="1"/>
        <v>-1.4023135984298858</v>
      </c>
      <c r="X7323" s="2">
        <f ca="1"/>
        <v>43.235303688926365</v>
      </c>
      <c r="AG7323" s="2">
        <f ca="1"/>
        <v>0.23067999386049931</v>
      </c>
      <c r="AH7323" s="2" t="str">
        <f ca="1"/>
        <v>OK</v>
      </c>
    </row>
    <row r="7324" spans="2:34" x14ac:dyDescent="0.2">
      <c r="B7324" s="2">
        <f ca="1"/>
        <v>0.97775212482926599</v>
      </c>
      <c r="O7324" s="2">
        <f ca="1"/>
        <v>-0.19452524657938214</v>
      </c>
      <c r="X7324" s="2">
        <f ca="1"/>
        <v>35.839259696681424</v>
      </c>
      <c r="AG7324" s="2">
        <f ca="1"/>
        <v>0.8758815563882576</v>
      </c>
      <c r="AH7324" s="2" t="str">
        <f ca="1"/>
        <v>Bad</v>
      </c>
    </row>
    <row r="7325" spans="2:34" x14ac:dyDescent="0.2">
      <c r="B7325" s="2">
        <f ca="1"/>
        <v>0.19713236724406014</v>
      </c>
      <c r="O7325" s="2">
        <f ca="1"/>
        <v>0.46062531758158659</v>
      </c>
      <c r="X7325" s="2">
        <f ca="1"/>
        <v>32.087697806341602</v>
      </c>
      <c r="AG7325" s="2">
        <f ca="1"/>
        <v>0.48190903854893885</v>
      </c>
      <c r="AH7325" s="2" t="str">
        <f ca="1"/>
        <v>Bad</v>
      </c>
    </row>
    <row r="7326" spans="2:34" x14ac:dyDescent="0.2">
      <c r="B7326" s="2">
        <f ca="1"/>
        <v>0.76823346371165435</v>
      </c>
      <c r="O7326" s="2">
        <f ca="1"/>
        <v>1.4430856113083028</v>
      </c>
      <c r="X7326" s="2">
        <f ca="1"/>
        <v>52.640102720681426</v>
      </c>
      <c r="AG7326" s="2">
        <f ca="1"/>
        <v>0.9926771935585903</v>
      </c>
      <c r="AH7326" s="2" t="str">
        <f ca="1"/>
        <v>Bad</v>
      </c>
    </row>
    <row r="7327" spans="2:34" x14ac:dyDescent="0.2">
      <c r="B7327" s="2">
        <f ca="1"/>
        <v>0.90523422322543889</v>
      </c>
      <c r="O7327" s="2">
        <f ca="1"/>
        <v>0.2645151062424238</v>
      </c>
      <c r="X7327" s="2">
        <f ca="1"/>
        <v>17.175660706208973</v>
      </c>
      <c r="AG7327" s="2">
        <f ca="1"/>
        <v>0.56167477556998557</v>
      </c>
      <c r="AH7327" s="2" t="str">
        <f ca="1"/>
        <v>Bad</v>
      </c>
    </row>
    <row r="7328" spans="2:34" x14ac:dyDescent="0.2">
      <c r="B7328" s="2">
        <f ca="1"/>
        <v>0.13108850733625443</v>
      </c>
      <c r="O7328" s="2">
        <f ca="1"/>
        <v>-0.36654498786579892</v>
      </c>
      <c r="X7328" s="2">
        <f ca="1"/>
        <v>70.217665933868886</v>
      </c>
      <c r="AG7328" s="2">
        <f ca="1"/>
        <v>0.64132056509667268</v>
      </c>
      <c r="AH7328" s="2" t="str">
        <f ca="1"/>
        <v>Bad</v>
      </c>
    </row>
    <row r="7329" spans="2:34" x14ac:dyDescent="0.2">
      <c r="B7329" s="2">
        <f ca="1"/>
        <v>0.53621931397613931</v>
      </c>
      <c r="O7329" s="2">
        <f ca="1"/>
        <v>-0.24341459833234513</v>
      </c>
      <c r="X7329" s="2">
        <f ca="1"/>
        <v>43.477171968603265</v>
      </c>
      <c r="AG7329" s="2">
        <f ca="1"/>
        <v>0.93298174048020077</v>
      </c>
      <c r="AH7329" s="2" t="str">
        <f ca="1"/>
        <v>Bad</v>
      </c>
    </row>
    <row r="7330" spans="2:34" x14ac:dyDescent="0.2">
      <c r="B7330" s="2">
        <f ca="1"/>
        <v>0.62004883424237578</v>
      </c>
      <c r="O7330" s="2">
        <f ca="1"/>
        <v>-0.45859951002988059</v>
      </c>
      <c r="X7330" s="2">
        <f ca="1"/>
        <v>35.607518439541906</v>
      </c>
      <c r="AG7330" s="2">
        <f ca="1"/>
        <v>1.4440424201212609E-2</v>
      </c>
      <c r="AH7330" s="2" t="str">
        <f ca="1"/>
        <v>Good</v>
      </c>
    </row>
    <row r="7331" spans="2:34" x14ac:dyDescent="0.2">
      <c r="B7331" s="2">
        <f ca="1"/>
        <v>0.79841843140615998</v>
      </c>
      <c r="O7331" s="2">
        <f ca="1"/>
        <v>2.1783338051297188E-2</v>
      </c>
      <c r="X7331" s="2">
        <f ca="1"/>
        <v>55.014521564569719</v>
      </c>
      <c r="AG7331" s="2">
        <f ca="1"/>
        <v>8.284630540760296E-2</v>
      </c>
      <c r="AH7331" s="2" t="str">
        <f ca="1"/>
        <v>OK</v>
      </c>
    </row>
    <row r="7332" spans="2:34" x14ac:dyDescent="0.2">
      <c r="B7332" s="2">
        <f ca="1"/>
        <v>0.80815148199139109</v>
      </c>
      <c r="O7332" s="2">
        <f ca="1"/>
        <v>0.70984167009591459</v>
      </c>
      <c r="X7332" s="2">
        <f ca="1"/>
        <v>32.528908141949174</v>
      </c>
      <c r="AG7332" s="2">
        <f ca="1"/>
        <v>0.9927132294469001</v>
      </c>
      <c r="AH7332" s="2" t="str">
        <f ca="1"/>
        <v>Bad</v>
      </c>
    </row>
    <row r="7333" spans="2:34" x14ac:dyDescent="0.2">
      <c r="B7333" s="2">
        <f ca="1"/>
        <v>0.57463130321456868</v>
      </c>
      <c r="O7333" s="2">
        <f ca="1"/>
        <v>-0.47853617203865756</v>
      </c>
      <c r="X7333" s="2">
        <f ca="1"/>
        <v>49.768064659278608</v>
      </c>
      <c r="AG7333" s="2">
        <f ca="1"/>
        <v>0.33794002103730181</v>
      </c>
      <c r="AH7333" s="2" t="str">
        <f ca="1"/>
        <v>OK</v>
      </c>
    </row>
    <row r="7334" spans="2:34" x14ac:dyDescent="0.2">
      <c r="B7334" s="2">
        <f ca="1"/>
        <v>0.50356077364736063</v>
      </c>
      <c r="O7334" s="2">
        <f ca="1"/>
        <v>-0.63879778378699048</v>
      </c>
      <c r="X7334" s="2">
        <f ca="1"/>
        <v>78.38889339647497</v>
      </c>
      <c r="AG7334" s="2">
        <f ca="1"/>
        <v>0.99379695609185248</v>
      </c>
      <c r="AH7334" s="2" t="str">
        <f ca="1"/>
        <v>Bad</v>
      </c>
    </row>
    <row r="7335" spans="2:34" x14ac:dyDescent="0.2">
      <c r="B7335" s="2">
        <f ca="1"/>
        <v>0.34847724930945256</v>
      </c>
      <c r="O7335" s="2">
        <f ca="1"/>
        <v>-0.23665704858850745</v>
      </c>
      <c r="X7335" s="2">
        <f ca="1"/>
        <v>25.963705170998999</v>
      </c>
      <c r="AG7335" s="2">
        <f ca="1"/>
        <v>0.77165348810478296</v>
      </c>
      <c r="AH7335" s="2" t="str">
        <f ca="1"/>
        <v>Bad</v>
      </c>
    </row>
    <row r="7336" spans="2:34" x14ac:dyDescent="0.2">
      <c r="B7336" s="2">
        <f ca="1"/>
        <v>0.24340758869785772</v>
      </c>
      <c r="O7336" s="2">
        <f ca="1"/>
        <v>1.1774306769740304</v>
      </c>
      <c r="X7336" s="2">
        <f ca="1"/>
        <v>21.044095781188137</v>
      </c>
      <c r="AG7336" s="2">
        <f ca="1"/>
        <v>0.85231015587377645</v>
      </c>
      <c r="AH7336" s="2" t="str">
        <f ca="1"/>
        <v>Bad</v>
      </c>
    </row>
    <row r="7337" spans="2:34" x14ac:dyDescent="0.2">
      <c r="B7337" s="2">
        <f ca="1"/>
        <v>0.37635547361895316</v>
      </c>
      <c r="O7337" s="2">
        <f ca="1"/>
        <v>1.7526755598591446</v>
      </c>
      <c r="X7337" s="2">
        <f ca="1"/>
        <v>28.577909109345345</v>
      </c>
      <c r="AG7337" s="2">
        <f ca="1"/>
        <v>0.90441278935311131</v>
      </c>
      <c r="AH7337" s="2" t="str">
        <f ca="1"/>
        <v>Bad</v>
      </c>
    </row>
    <row r="7338" spans="2:34" x14ac:dyDescent="0.2">
      <c r="B7338" s="2">
        <f ca="1"/>
        <v>8.9253644466932291E-2</v>
      </c>
      <c r="O7338" s="2">
        <f ca="1"/>
        <v>1.6855928042121693</v>
      </c>
      <c r="X7338" s="2">
        <f ca="1"/>
        <v>51.014120884937029</v>
      </c>
      <c r="AG7338" s="2">
        <f ca="1"/>
        <v>0.47330892029331051</v>
      </c>
      <c r="AH7338" s="2" t="str">
        <f ca="1"/>
        <v>Bad</v>
      </c>
    </row>
    <row r="7339" spans="2:34" x14ac:dyDescent="0.2">
      <c r="B7339" s="2">
        <f ca="1"/>
        <v>8.0218155095033827E-2</v>
      </c>
      <c r="O7339" s="2">
        <f ca="1"/>
        <v>0.52213570064684589</v>
      </c>
      <c r="X7339" s="2">
        <f ca="1"/>
        <v>42.53991202250031</v>
      </c>
      <c r="AG7339" s="2">
        <f ca="1"/>
        <v>0.42110320288599645</v>
      </c>
      <c r="AH7339" s="2" t="str">
        <f ca="1"/>
        <v>Bad</v>
      </c>
    </row>
    <row r="7340" spans="2:34" x14ac:dyDescent="0.2">
      <c r="B7340" s="2">
        <f ca="1"/>
        <v>0.5792950438084381</v>
      </c>
      <c r="O7340" s="2">
        <f ca="1"/>
        <v>3.3625998684781777</v>
      </c>
      <c r="X7340" s="2">
        <f ca="1"/>
        <v>23.200058557873085</v>
      </c>
      <c r="AG7340" s="2">
        <f ca="1"/>
        <v>0.85462964718732515</v>
      </c>
      <c r="AH7340" s="2" t="str">
        <f ca="1"/>
        <v>Bad</v>
      </c>
    </row>
    <row r="7341" spans="2:34" x14ac:dyDescent="0.2">
      <c r="B7341" s="2">
        <f ca="1"/>
        <v>0.47253080850353091</v>
      </c>
      <c r="O7341" s="2">
        <f ca="1"/>
        <v>1.3822481022382374</v>
      </c>
      <c r="X7341" s="2">
        <f ca="1"/>
        <v>62.209308047395204</v>
      </c>
      <c r="AG7341" s="2">
        <f ca="1"/>
        <v>0.71007619738079453</v>
      </c>
      <c r="AH7341" s="2" t="str">
        <f ca="1"/>
        <v>Bad</v>
      </c>
    </row>
    <row r="7342" spans="2:34" x14ac:dyDescent="0.2">
      <c r="B7342" s="2">
        <f ca="1"/>
        <v>0.69634551483420637</v>
      </c>
      <c r="O7342" s="2">
        <f ca="1"/>
        <v>-1.3114501286388001</v>
      </c>
      <c r="X7342" s="2">
        <f ca="1"/>
        <v>37.65004923731297</v>
      </c>
      <c r="AG7342" s="2">
        <f ca="1"/>
        <v>0.69156254477428458</v>
      </c>
      <c r="AH7342" s="2" t="str">
        <f ca="1"/>
        <v>Bad</v>
      </c>
    </row>
    <row r="7343" spans="2:34" x14ac:dyDescent="0.2">
      <c r="B7343" s="2">
        <f ca="1"/>
        <v>0.10911118992868607</v>
      </c>
      <c r="O7343" s="2">
        <f ca="1"/>
        <v>1.0953028571644805</v>
      </c>
      <c r="X7343" s="2">
        <f ca="1"/>
        <v>27.033932153784104</v>
      </c>
      <c r="AG7343" s="2">
        <f ca="1"/>
        <v>0.11385841350023984</v>
      </c>
      <c r="AH7343" s="2" t="str">
        <f ca="1"/>
        <v>OK</v>
      </c>
    </row>
    <row r="7344" spans="2:34" x14ac:dyDescent="0.2">
      <c r="B7344" s="2">
        <f ca="1"/>
        <v>0.95360058070880038</v>
      </c>
      <c r="O7344" s="2">
        <f ca="1"/>
        <v>-0.25381132090667768</v>
      </c>
      <c r="X7344" s="2">
        <f ca="1"/>
        <v>23.542794175086851</v>
      </c>
      <c r="AG7344" s="2">
        <f ca="1"/>
        <v>0.84054786085365008</v>
      </c>
      <c r="AH7344" s="2" t="str">
        <f ca="1"/>
        <v>Bad</v>
      </c>
    </row>
    <row r="7345" spans="2:34" x14ac:dyDescent="0.2">
      <c r="B7345" s="2">
        <f ca="1"/>
        <v>0.12584493011876985</v>
      </c>
      <c r="O7345" s="2">
        <f ca="1"/>
        <v>-0.23405038941330364</v>
      </c>
      <c r="X7345" s="2">
        <f ca="1"/>
        <v>52.181550896489526</v>
      </c>
      <c r="AG7345" s="2">
        <f ca="1"/>
        <v>0.29574767407989611</v>
      </c>
      <c r="AH7345" s="2" t="str">
        <f ca="1"/>
        <v>OK</v>
      </c>
    </row>
    <row r="7346" spans="2:34" x14ac:dyDescent="0.2">
      <c r="B7346" s="2">
        <f ca="1"/>
        <v>0.80972016659528245</v>
      </c>
      <c r="O7346" s="2">
        <f ca="1"/>
        <v>-0.40125354804598901</v>
      </c>
      <c r="X7346" s="2">
        <f ca="1"/>
        <v>38.702431833045182</v>
      </c>
      <c r="AG7346" s="2">
        <f ca="1"/>
        <v>0.53133384204983902</v>
      </c>
      <c r="AH7346" s="2" t="str">
        <f ca="1"/>
        <v>Bad</v>
      </c>
    </row>
    <row r="7347" spans="2:34" x14ac:dyDescent="0.2">
      <c r="B7347" s="2">
        <f ca="1"/>
        <v>0.20435709252266232</v>
      </c>
      <c r="O7347" s="2">
        <f ca="1"/>
        <v>0.54414075871726797</v>
      </c>
      <c r="X7347" s="2">
        <f ca="1"/>
        <v>48.89578036717343</v>
      </c>
      <c r="AG7347" s="2">
        <f ca="1"/>
        <v>0.50570240613683026</v>
      </c>
      <c r="AH7347" s="2" t="str">
        <f ca="1"/>
        <v>Bad</v>
      </c>
    </row>
    <row r="7348" spans="2:34" x14ac:dyDescent="0.2">
      <c r="B7348" s="2">
        <f ca="1"/>
        <v>0.32362971488815995</v>
      </c>
      <c r="O7348" s="2">
        <f ca="1"/>
        <v>-0.82151336799080832</v>
      </c>
      <c r="X7348" s="2">
        <f ca="1"/>
        <v>60.199779490960353</v>
      </c>
      <c r="AG7348" s="2">
        <f ca="1"/>
        <v>0.44739007086960503</v>
      </c>
      <c r="AH7348" s="2" t="str">
        <f ca="1"/>
        <v>Bad</v>
      </c>
    </row>
    <row r="7349" spans="2:34" x14ac:dyDescent="0.2">
      <c r="B7349" s="2">
        <f ca="1"/>
        <v>0.58177017292197442</v>
      </c>
      <c r="O7349" s="2">
        <f ca="1"/>
        <v>0.79184628877764929</v>
      </c>
      <c r="X7349" s="2">
        <f ca="1"/>
        <v>67.729083546428072</v>
      </c>
      <c r="AG7349" s="2">
        <f ca="1"/>
        <v>0.33145044130595491</v>
      </c>
      <c r="AH7349" s="2" t="str">
        <f ca="1"/>
        <v>OK</v>
      </c>
    </row>
    <row r="7350" spans="2:34" x14ac:dyDescent="0.2">
      <c r="B7350" s="2">
        <f ca="1"/>
        <v>0.35385811536569522</v>
      </c>
      <c r="O7350" s="2">
        <f ca="1"/>
        <v>-1.1992203122948435</v>
      </c>
      <c r="X7350" s="2">
        <f ca="1"/>
        <v>96.774744287736098</v>
      </c>
      <c r="AG7350" s="2">
        <f ca="1"/>
        <v>0.40525426738925585</v>
      </c>
      <c r="AH7350" s="2" t="str">
        <f ca="1"/>
        <v>Bad</v>
      </c>
    </row>
    <row r="7351" spans="2:34" x14ac:dyDescent="0.2">
      <c r="B7351" s="2">
        <f ca="1"/>
        <v>0.31575443677798543</v>
      </c>
      <c r="O7351" s="2">
        <f ca="1"/>
        <v>0.78984519025042121</v>
      </c>
      <c r="X7351" s="2">
        <f ca="1"/>
        <v>61.872169421892025</v>
      </c>
      <c r="AG7351" s="2">
        <f ca="1"/>
        <v>0.65483376840711616</v>
      </c>
      <c r="AH7351" s="2" t="str">
        <f ca="1"/>
        <v>Bad</v>
      </c>
    </row>
    <row r="7352" spans="2:34" x14ac:dyDescent="0.2">
      <c r="B7352" s="2">
        <f ca="1"/>
        <v>0.83542690846806389</v>
      </c>
      <c r="O7352" s="2">
        <f ca="1"/>
        <v>0.22448555363497713</v>
      </c>
      <c r="X7352" s="2">
        <f ca="1"/>
        <v>29.831136321083296</v>
      </c>
      <c r="AG7352" s="2">
        <f ca="1"/>
        <v>0.4899411852007296</v>
      </c>
      <c r="AH7352" s="2" t="str">
        <f ca="1"/>
        <v>Bad</v>
      </c>
    </row>
    <row r="7353" spans="2:34" x14ac:dyDescent="0.2">
      <c r="B7353" s="2">
        <f ca="1"/>
        <v>0.65759057006725485</v>
      </c>
      <c r="O7353" s="2">
        <f ca="1"/>
        <v>0.33864888101340967</v>
      </c>
      <c r="X7353" s="2">
        <f ca="1"/>
        <v>52.487295567161738</v>
      </c>
      <c r="AG7353" s="2">
        <f ca="1"/>
        <v>0.24646299543567363</v>
      </c>
      <c r="AH7353" s="2" t="str">
        <f ca="1"/>
        <v>OK</v>
      </c>
    </row>
    <row r="7354" spans="2:34" x14ac:dyDescent="0.2">
      <c r="B7354" s="2">
        <f ca="1"/>
        <v>0.80395438902946204</v>
      </c>
      <c r="O7354" s="2">
        <f ca="1"/>
        <v>1.2248287220940077</v>
      </c>
      <c r="X7354" s="2">
        <f ca="1"/>
        <v>32.621459952459041</v>
      </c>
      <c r="AG7354" s="2">
        <f ca="1"/>
        <v>0.9251483462002319</v>
      </c>
      <c r="AH7354" s="2" t="str">
        <f ca="1"/>
        <v>Bad</v>
      </c>
    </row>
    <row r="7355" spans="2:34" x14ac:dyDescent="0.2">
      <c r="B7355" s="2">
        <f ca="1"/>
        <v>0.54843236581601018</v>
      </c>
      <c r="O7355" s="2">
        <f ca="1"/>
        <v>1.5969862948578328</v>
      </c>
      <c r="X7355" s="2">
        <f ca="1"/>
        <v>50.750770932158446</v>
      </c>
      <c r="AG7355" s="2">
        <f ca="1"/>
        <v>0.50934286117523864</v>
      </c>
      <c r="AH7355" s="2" t="str">
        <f ca="1"/>
        <v>Bad</v>
      </c>
    </row>
    <row r="7356" spans="2:34" x14ac:dyDescent="0.2">
      <c r="B7356" s="2">
        <f ca="1"/>
        <v>0.34396789768012614</v>
      </c>
      <c r="O7356" s="2">
        <f ca="1"/>
        <v>1.3472471066561489</v>
      </c>
      <c r="X7356" s="2">
        <f ca="1"/>
        <v>36.669259774581583</v>
      </c>
      <c r="AG7356" s="2">
        <f ca="1"/>
        <v>0.62942949432106365</v>
      </c>
      <c r="AH7356" s="2" t="str">
        <f ca="1"/>
        <v>Bad</v>
      </c>
    </row>
    <row r="7357" spans="2:34" x14ac:dyDescent="0.2">
      <c r="B7357" s="2">
        <f ca="1"/>
        <v>0.21844713644440494</v>
      </c>
      <c r="O7357" s="2">
        <f ca="1"/>
        <v>-1.0352227808256851</v>
      </c>
      <c r="X7357" s="2">
        <f ca="1"/>
        <v>62.233105642443064</v>
      </c>
      <c r="AG7357" s="2">
        <f ca="1"/>
        <v>0.17992306931731195</v>
      </c>
      <c r="AH7357" s="2" t="str">
        <f ca="1"/>
        <v>OK</v>
      </c>
    </row>
    <row r="7358" spans="2:34" x14ac:dyDescent="0.2">
      <c r="B7358" s="2">
        <f ca="1"/>
        <v>0.99121929309075862</v>
      </c>
      <c r="O7358" s="2">
        <f ca="1"/>
        <v>1.0364294862327148</v>
      </c>
      <c r="X7358" s="2">
        <f ca="1"/>
        <v>80.724510472274346</v>
      </c>
      <c r="AG7358" s="2">
        <f ca="1"/>
        <v>0.82870399210468393</v>
      </c>
      <c r="AH7358" s="2" t="str">
        <f ca="1"/>
        <v>Bad</v>
      </c>
    </row>
    <row r="7359" spans="2:34" x14ac:dyDescent="0.2">
      <c r="B7359" s="2">
        <f ca="1"/>
        <v>0.70967406688278301</v>
      </c>
      <c r="O7359" s="2">
        <f ca="1"/>
        <v>-1.0046493546578901</v>
      </c>
      <c r="X7359" s="2">
        <f ca="1"/>
        <v>64.908424115359068</v>
      </c>
      <c r="AG7359" s="2">
        <f ca="1"/>
        <v>0.37543901321713213</v>
      </c>
      <c r="AH7359" s="2" t="str">
        <f ca="1"/>
        <v>OK</v>
      </c>
    </row>
    <row r="7360" spans="2:34" x14ac:dyDescent="0.2">
      <c r="B7360" s="2">
        <f ca="1"/>
        <v>0.99848675549902532</v>
      </c>
      <c r="O7360" s="2">
        <f ca="1"/>
        <v>-0.44769976809715878</v>
      </c>
      <c r="X7360" s="2">
        <f ca="1"/>
        <v>49.471652093794205</v>
      </c>
      <c r="AG7360" s="2">
        <f ca="1"/>
        <v>0.271172469482301</v>
      </c>
      <c r="AH7360" s="2" t="str">
        <f ca="1"/>
        <v>OK</v>
      </c>
    </row>
    <row r="7361" spans="2:34" x14ac:dyDescent="0.2">
      <c r="B7361" s="2">
        <f ca="1"/>
        <v>0.33659900626033812</v>
      </c>
      <c r="O7361" s="2">
        <f ca="1"/>
        <v>0.56673673149065762</v>
      </c>
      <c r="X7361" s="2">
        <f ca="1"/>
        <v>53.774148399114921</v>
      </c>
      <c r="AG7361" s="2">
        <f ca="1"/>
        <v>0.10290829198993001</v>
      </c>
      <c r="AH7361" s="2" t="str">
        <f ca="1"/>
        <v>OK</v>
      </c>
    </row>
    <row r="7362" spans="2:34" x14ac:dyDescent="0.2">
      <c r="B7362" s="2">
        <f ca="1"/>
        <v>0.61386074433398563</v>
      </c>
      <c r="O7362" s="2">
        <f ca="1"/>
        <v>-0.94902244567495719</v>
      </c>
      <c r="X7362" s="2">
        <f ca="1"/>
        <v>52.205349039573335</v>
      </c>
      <c r="AG7362" s="2">
        <f ca="1"/>
        <v>9.0410023900362457E-2</v>
      </c>
      <c r="AH7362" s="2" t="str">
        <f ca="1"/>
        <v>OK</v>
      </c>
    </row>
    <row r="7363" spans="2:34" x14ac:dyDescent="0.2">
      <c r="B7363" s="2">
        <f ca="1"/>
        <v>9.3431269938454298E-2</v>
      </c>
      <c r="O7363" s="2">
        <f ca="1"/>
        <v>0.59381493469204938</v>
      </c>
      <c r="X7363" s="2">
        <f ca="1"/>
        <v>43.196894833620604</v>
      </c>
      <c r="AG7363" s="2">
        <f ca="1"/>
        <v>0.75407795073502526</v>
      </c>
      <c r="AH7363" s="2" t="str">
        <f ca="1"/>
        <v>Bad</v>
      </c>
    </row>
    <row r="7364" spans="2:34" x14ac:dyDescent="0.2">
      <c r="B7364" s="2">
        <f ca="1"/>
        <v>0.44170931367639588</v>
      </c>
      <c r="O7364" s="2">
        <f ca="1"/>
        <v>-0.75671652246178234</v>
      </c>
      <c r="X7364" s="2">
        <f ca="1"/>
        <v>50.235567156045875</v>
      </c>
      <c r="AG7364" s="2">
        <f ca="1"/>
        <v>0.28978257028396581</v>
      </c>
      <c r="AH7364" s="2" t="str">
        <f ca="1"/>
        <v>OK</v>
      </c>
    </row>
    <row r="7365" spans="2:34" x14ac:dyDescent="0.2">
      <c r="B7365" s="2">
        <f ca="1"/>
        <v>0.50376712339871799</v>
      </c>
      <c r="O7365" s="2">
        <f ca="1"/>
        <v>-0.28953643488348907</v>
      </c>
      <c r="X7365" s="2">
        <f ca="1"/>
        <v>28.113877515772693</v>
      </c>
      <c r="AG7365" s="2">
        <f ca="1"/>
        <v>7.5032114592355592E-2</v>
      </c>
      <c r="AH7365" s="2" t="str">
        <f ca="1"/>
        <v>OK</v>
      </c>
    </row>
    <row r="7366" spans="2:34" x14ac:dyDescent="0.2">
      <c r="B7366" s="2">
        <f ca="1"/>
        <v>0.98373139957780853</v>
      </c>
      <c r="O7366" s="2">
        <f ca="1"/>
        <v>1.3885937477672798</v>
      </c>
      <c r="X7366" s="2">
        <f ca="1"/>
        <v>58.998245942495089</v>
      </c>
      <c r="AG7366" s="2">
        <f ca="1"/>
        <v>0.52149676626254293</v>
      </c>
      <c r="AH7366" s="2" t="str">
        <f ca="1"/>
        <v>Bad</v>
      </c>
    </row>
    <row r="7367" spans="2:34" x14ac:dyDescent="0.2">
      <c r="B7367" s="2">
        <f ca="1"/>
        <v>0.89675314552158736</v>
      </c>
      <c r="O7367" s="2">
        <f ca="1"/>
        <v>-0.83803904299287157</v>
      </c>
      <c r="X7367" s="2">
        <f ca="1"/>
        <v>48.920328438267475</v>
      </c>
      <c r="AG7367" s="2">
        <f ca="1"/>
        <v>0.468372531839647</v>
      </c>
      <c r="AH7367" s="2" t="str">
        <f ca="1"/>
        <v>Bad</v>
      </c>
    </row>
    <row r="7368" spans="2:34" x14ac:dyDescent="0.2">
      <c r="B7368" s="2">
        <f ca="1"/>
        <v>0.85874048966938754</v>
      </c>
      <c r="O7368" s="2">
        <f ca="1"/>
        <v>0.516098230293903</v>
      </c>
      <c r="X7368" s="2">
        <f ca="1"/>
        <v>39.654405087157755</v>
      </c>
      <c r="AG7368" s="2">
        <f ca="1"/>
        <v>0.40657022033325085</v>
      </c>
      <c r="AH7368" s="2" t="str">
        <f ca="1"/>
        <v>Bad</v>
      </c>
    </row>
    <row r="7369" spans="2:34" x14ac:dyDescent="0.2">
      <c r="B7369" s="2">
        <f ca="1"/>
        <v>0.68308428490835982</v>
      </c>
      <c r="O7369" s="2">
        <f ca="1"/>
        <v>-0.38670033652263175</v>
      </c>
      <c r="X7369" s="2">
        <f ca="1"/>
        <v>36.868001584334934</v>
      </c>
      <c r="AG7369" s="2">
        <f ca="1"/>
        <v>0.87424892059176629</v>
      </c>
      <c r="AH7369" s="2" t="str">
        <f ca="1"/>
        <v>Bad</v>
      </c>
    </row>
    <row r="7370" spans="2:34" x14ac:dyDescent="0.2">
      <c r="B7370" s="2">
        <f ca="1"/>
        <v>0.99819636370956277</v>
      </c>
      <c r="O7370" s="2">
        <f ca="1"/>
        <v>0.97886563147719219</v>
      </c>
      <c r="X7370" s="2">
        <f ca="1"/>
        <v>49.631043858573634</v>
      </c>
      <c r="AG7370" s="2">
        <f ca="1"/>
        <v>0.22815261507440576</v>
      </c>
      <c r="AH7370" s="2" t="str">
        <f ca="1"/>
        <v>OK</v>
      </c>
    </row>
    <row r="7371" spans="2:34" x14ac:dyDescent="0.2">
      <c r="B7371" s="2">
        <f ca="1"/>
        <v>0.34951681044380312</v>
      </c>
      <c r="O7371" s="2">
        <f ca="1"/>
        <v>-0.2481936430558988</v>
      </c>
      <c r="X7371" s="2">
        <f ca="1"/>
        <v>54.921869979918547</v>
      </c>
      <c r="AG7371" s="2">
        <f ca="1"/>
        <v>9.1345714386752874E-2</v>
      </c>
      <c r="AH7371" s="2" t="str">
        <f ca="1"/>
        <v>OK</v>
      </c>
    </row>
    <row r="7372" spans="2:34" x14ac:dyDescent="0.2">
      <c r="B7372" s="2">
        <f ca="1"/>
        <v>0.20212360728018375</v>
      </c>
      <c r="O7372" s="2">
        <f ca="1"/>
        <v>1.3168590289156819</v>
      </c>
      <c r="X7372" s="2">
        <f ca="1"/>
        <v>30.826725275689476</v>
      </c>
      <c r="AG7372" s="2">
        <f ca="1"/>
        <v>9.1617578357336082E-2</v>
      </c>
      <c r="AH7372" s="2" t="str">
        <f ca="1"/>
        <v>OK</v>
      </c>
    </row>
    <row r="7373" spans="2:34" x14ac:dyDescent="0.2">
      <c r="B7373" s="2">
        <f ca="1"/>
        <v>0.40747799641716043</v>
      </c>
      <c r="O7373" s="2">
        <f ca="1"/>
        <v>-1.2140350200704844</v>
      </c>
      <c r="X7373" s="2">
        <f ca="1"/>
        <v>45.965140733659766</v>
      </c>
      <c r="AG7373" s="2">
        <f ca="1"/>
        <v>0.44773264421263592</v>
      </c>
      <c r="AH7373" s="2" t="str">
        <f ca="1"/>
        <v>Bad</v>
      </c>
    </row>
    <row r="7374" spans="2:34" x14ac:dyDescent="0.2">
      <c r="B7374" s="2">
        <f ca="1"/>
        <v>0.15847904436229454</v>
      </c>
      <c r="O7374" s="2">
        <f ca="1"/>
        <v>0.72590542145071724</v>
      </c>
      <c r="X7374" s="2">
        <f ca="1"/>
        <v>30.758534000059505</v>
      </c>
      <c r="AG7374" s="2">
        <f ca="1"/>
        <v>9.5637191267236021E-2</v>
      </c>
      <c r="AH7374" s="2" t="str">
        <f ca="1"/>
        <v>OK</v>
      </c>
    </row>
    <row r="7375" spans="2:34" x14ac:dyDescent="0.2">
      <c r="B7375" s="2">
        <f ca="1"/>
        <v>0.73203575918808883</v>
      </c>
      <c r="O7375" s="2">
        <f ca="1"/>
        <v>0.37006515864302231</v>
      </c>
      <c r="X7375" s="2">
        <f ca="1"/>
        <v>53.978202169792134</v>
      </c>
      <c r="AG7375" s="2">
        <f ca="1"/>
        <v>0.25471063349089995</v>
      </c>
      <c r="AH7375" s="2" t="str">
        <f ca="1"/>
        <v>OK</v>
      </c>
    </row>
    <row r="7376" spans="2:34" x14ac:dyDescent="0.2">
      <c r="B7376" s="2">
        <f ca="1"/>
        <v>0.78809364189391595</v>
      </c>
      <c r="O7376" s="2">
        <f ca="1"/>
        <v>0.51841303919484538</v>
      </c>
      <c r="X7376" s="2">
        <f ca="1"/>
        <v>48.84730520602848</v>
      </c>
      <c r="AG7376" s="2">
        <f ca="1"/>
        <v>0.8984840493106856</v>
      </c>
      <c r="AH7376" s="2" t="str">
        <f ca="1"/>
        <v>Bad</v>
      </c>
    </row>
    <row r="7377" spans="2:34" x14ac:dyDescent="0.2">
      <c r="B7377" s="2">
        <f ca="1"/>
        <v>0.99996782132113227</v>
      </c>
      <c r="O7377" s="2">
        <f ca="1"/>
        <v>0.4793054430787258</v>
      </c>
      <c r="X7377" s="2">
        <f ca="1"/>
        <v>71.84727003971598</v>
      </c>
      <c r="AG7377" s="2">
        <f ca="1"/>
        <v>0.25220682444320541</v>
      </c>
      <c r="AH7377" s="2" t="str">
        <f ca="1"/>
        <v>OK</v>
      </c>
    </row>
    <row r="7378" spans="2:34" x14ac:dyDescent="0.2">
      <c r="B7378" s="2">
        <f ca="1"/>
        <v>6.1676677687838577E-2</v>
      </c>
      <c r="O7378" s="2">
        <f ca="1"/>
        <v>-0.2319859249473836</v>
      </c>
      <c r="X7378" s="2">
        <f ca="1"/>
        <v>56.270065728175354</v>
      </c>
      <c r="AG7378" s="2">
        <f ca="1"/>
        <v>0.65766045523924022</v>
      </c>
      <c r="AH7378" s="2" t="str">
        <f ca="1"/>
        <v>Bad</v>
      </c>
    </row>
    <row r="7379" spans="2:34" x14ac:dyDescent="0.2">
      <c r="B7379" s="2">
        <f ca="1"/>
        <v>0.43728146389037548</v>
      </c>
      <c r="O7379" s="2">
        <f ca="1"/>
        <v>0.42930462685252563</v>
      </c>
      <c r="X7379" s="2">
        <f ca="1"/>
        <v>64.351035258161872</v>
      </c>
      <c r="AG7379" s="2">
        <f ca="1"/>
        <v>0.65657077950011078</v>
      </c>
      <c r="AH7379" s="2" t="str">
        <f ca="1"/>
        <v>Bad</v>
      </c>
    </row>
    <row r="7380" spans="2:34" x14ac:dyDescent="0.2">
      <c r="B7380" s="2">
        <f ca="1"/>
        <v>0.97681777240834333</v>
      </c>
      <c r="O7380" s="2">
        <f ca="1"/>
        <v>0.79553221990647738</v>
      </c>
      <c r="X7380" s="2">
        <f ca="1"/>
        <v>126.88578920034224</v>
      </c>
      <c r="AG7380" s="2">
        <f ca="1"/>
        <v>0.88158582171562494</v>
      </c>
      <c r="AH7380" s="2" t="str">
        <f ca="1"/>
        <v>Bad</v>
      </c>
    </row>
    <row r="7381" spans="2:34" x14ac:dyDescent="0.2">
      <c r="B7381" s="2">
        <f ca="1"/>
        <v>0.71117641756297534</v>
      </c>
      <c r="O7381" s="2">
        <f ca="1"/>
        <v>1.1139137559095593</v>
      </c>
      <c r="X7381" s="2">
        <f ca="1"/>
        <v>63.397576480873667</v>
      </c>
      <c r="AG7381" s="2">
        <f ca="1"/>
        <v>0.2692894158378778</v>
      </c>
      <c r="AH7381" s="2" t="str">
        <f ca="1"/>
        <v>OK</v>
      </c>
    </row>
    <row r="7382" spans="2:34" x14ac:dyDescent="0.2">
      <c r="B7382" s="2">
        <f ca="1"/>
        <v>0.38286983327020652</v>
      </c>
      <c r="O7382" s="2">
        <f ca="1"/>
        <v>2.6013250217102452E-2</v>
      </c>
      <c r="X7382" s="2">
        <f ca="1"/>
        <v>48.616692876424061</v>
      </c>
      <c r="AG7382" s="2">
        <f ca="1"/>
        <v>0.29132258968875524</v>
      </c>
      <c r="AH7382" s="2" t="str">
        <f ca="1"/>
        <v>OK</v>
      </c>
    </row>
    <row r="7383" spans="2:34" x14ac:dyDescent="0.2">
      <c r="B7383" s="2">
        <f ca="1"/>
        <v>0.55736231195940267</v>
      </c>
      <c r="O7383" s="2">
        <f ca="1"/>
        <v>1.1284051812170441</v>
      </c>
      <c r="X7383" s="2">
        <f ca="1"/>
        <v>48.078072228222766</v>
      </c>
      <c r="AG7383" s="2">
        <f ca="1"/>
        <v>0.14885712001642015</v>
      </c>
      <c r="AH7383" s="2" t="str">
        <f ca="1"/>
        <v>OK</v>
      </c>
    </row>
    <row r="7384" spans="2:34" x14ac:dyDescent="0.2">
      <c r="B7384" s="2">
        <f ca="1"/>
        <v>0.28202457206036047</v>
      </c>
      <c r="O7384" s="2">
        <f ca="1"/>
        <v>1.299760441401604</v>
      </c>
      <c r="X7384" s="2">
        <f ca="1"/>
        <v>52.660884302710713</v>
      </c>
      <c r="AG7384" s="2">
        <f ca="1"/>
        <v>0.82852952650908174</v>
      </c>
      <c r="AH7384" s="2" t="str">
        <f ca="1"/>
        <v>Bad</v>
      </c>
    </row>
    <row r="7385" spans="2:34" x14ac:dyDescent="0.2">
      <c r="B7385" s="2">
        <f ca="1"/>
        <v>4.9674219639272987E-2</v>
      </c>
      <c r="O7385" s="2">
        <f ca="1"/>
        <v>0.63181571001918091</v>
      </c>
      <c r="X7385" s="2">
        <f ca="1"/>
        <v>59.413408604782262</v>
      </c>
      <c r="AG7385" s="2">
        <f ca="1"/>
        <v>0.71443002517628984</v>
      </c>
      <c r="AH7385" s="2" t="str">
        <f ca="1"/>
        <v>Bad</v>
      </c>
    </row>
    <row r="7386" spans="2:34" x14ac:dyDescent="0.2">
      <c r="B7386" s="2">
        <f ca="1"/>
        <v>0.65735979821241952</v>
      </c>
      <c r="O7386" s="2">
        <f ca="1"/>
        <v>-0.94754548526978866</v>
      </c>
      <c r="X7386" s="2">
        <f ca="1"/>
        <v>96.906737047136829</v>
      </c>
      <c r="AG7386" s="2">
        <f ca="1"/>
        <v>0.58449130915699099</v>
      </c>
      <c r="AH7386" s="2" t="str">
        <f ca="1"/>
        <v>Bad</v>
      </c>
    </row>
    <row r="7387" spans="2:34" x14ac:dyDescent="0.2">
      <c r="B7387" s="2">
        <f ca="1"/>
        <v>0.35830073622114367</v>
      </c>
      <c r="O7387" s="2">
        <f ca="1"/>
        <v>-2.0814197210407351E-2</v>
      </c>
      <c r="X7387" s="2">
        <f ca="1"/>
        <v>33.095214937869997</v>
      </c>
      <c r="AG7387" s="2">
        <f ca="1"/>
        <v>0.50556230659778612</v>
      </c>
      <c r="AH7387" s="2" t="str">
        <f ca="1"/>
        <v>Bad</v>
      </c>
    </row>
    <row r="7388" spans="2:34" x14ac:dyDescent="0.2">
      <c r="B7388" s="2">
        <f ca="1"/>
        <v>0.78202773543437964</v>
      </c>
      <c r="O7388" s="2">
        <f ca="1"/>
        <v>-0.18409192376483044</v>
      </c>
      <c r="X7388" s="2">
        <f ca="1"/>
        <v>82.502881264130096</v>
      </c>
      <c r="AG7388" s="2">
        <f ca="1"/>
        <v>0.74625587199006072</v>
      </c>
      <c r="AH7388" s="2" t="str">
        <f ca="1"/>
        <v>Bad</v>
      </c>
    </row>
    <row r="7389" spans="2:34" x14ac:dyDescent="0.2">
      <c r="B7389" s="2">
        <f ca="1"/>
        <v>6.3019238575893421E-2</v>
      </c>
      <c r="O7389" s="2">
        <f ca="1"/>
        <v>0.95648073155010538</v>
      </c>
      <c r="X7389" s="2">
        <f ca="1"/>
        <v>68.137054792489295</v>
      </c>
      <c r="AG7389" s="2">
        <f ca="1"/>
        <v>0.29781622095246152</v>
      </c>
      <c r="AH7389" s="2" t="str">
        <f ca="1"/>
        <v>OK</v>
      </c>
    </row>
    <row r="7390" spans="2:34" x14ac:dyDescent="0.2">
      <c r="B7390" s="2">
        <f ca="1"/>
        <v>0.66903412924444772</v>
      </c>
      <c r="O7390" s="2">
        <f ca="1"/>
        <v>-1.4331531430198652</v>
      </c>
      <c r="X7390" s="2">
        <f ca="1"/>
        <v>55.122562257897286</v>
      </c>
      <c r="AG7390" s="2">
        <f ca="1"/>
        <v>0.24794949290241863</v>
      </c>
      <c r="AH7390" s="2" t="str">
        <f ca="1"/>
        <v>OK</v>
      </c>
    </row>
    <row r="7391" spans="2:34" x14ac:dyDescent="0.2">
      <c r="B7391" s="2">
        <f ca="1"/>
        <v>0.35523882785438232</v>
      </c>
      <c r="O7391" s="2">
        <f ca="1"/>
        <v>-1.9586113140102359</v>
      </c>
      <c r="X7391" s="2">
        <f ca="1"/>
        <v>64.999634230156531</v>
      </c>
      <c r="AG7391" s="2">
        <f ca="1"/>
        <v>0.48756855195682713</v>
      </c>
      <c r="AH7391" s="2" t="str">
        <f ca="1"/>
        <v>Bad</v>
      </c>
    </row>
    <row r="7392" spans="2:34" x14ac:dyDescent="0.2">
      <c r="B7392" s="2">
        <f ca="1"/>
        <v>0.98808871968100842</v>
      </c>
      <c r="O7392" s="2">
        <f ca="1"/>
        <v>0.71832695134890512</v>
      </c>
      <c r="X7392" s="2">
        <f ca="1"/>
        <v>27.516641617585208</v>
      </c>
      <c r="AG7392" s="2">
        <f ca="1"/>
        <v>0.19660939032949121</v>
      </c>
      <c r="AH7392" s="2" t="str">
        <f ca="1"/>
        <v>OK</v>
      </c>
    </row>
    <row r="7393" spans="2:34" x14ac:dyDescent="0.2">
      <c r="B7393" s="2">
        <f ca="1"/>
        <v>0.35931663558125582</v>
      </c>
      <c r="O7393" s="2">
        <f ca="1"/>
        <v>0.88265591899549722</v>
      </c>
      <c r="X7393" s="2">
        <f ca="1"/>
        <v>96.301091389828386</v>
      </c>
      <c r="AG7393" s="2">
        <f ca="1"/>
        <v>0.18560238618435254</v>
      </c>
      <c r="AH7393" s="2" t="str">
        <f ca="1"/>
        <v>OK</v>
      </c>
    </row>
    <row r="7394" spans="2:34" x14ac:dyDescent="0.2">
      <c r="B7394" s="2">
        <f ca="1"/>
        <v>0.25460266527232767</v>
      </c>
      <c r="O7394" s="2">
        <f ca="1"/>
        <v>-2.5307820539195829</v>
      </c>
      <c r="X7394" s="2">
        <f ca="1"/>
        <v>41.08296854247773</v>
      </c>
      <c r="AG7394" s="2">
        <f ca="1"/>
        <v>0.21505364058094956</v>
      </c>
      <c r="AH7394" s="2" t="str">
        <f ca="1"/>
        <v>OK</v>
      </c>
    </row>
    <row r="7395" spans="2:34" x14ac:dyDescent="0.2">
      <c r="B7395" s="2">
        <f ca="1"/>
        <v>0.31437188485995349</v>
      </c>
      <c r="O7395" s="2">
        <f ca="1"/>
        <v>-1.1451615857274349</v>
      </c>
      <c r="X7395" s="2">
        <f ca="1"/>
        <v>41.008394620448968</v>
      </c>
      <c r="AG7395" s="2">
        <f ca="1"/>
        <v>5.6810459073464825E-2</v>
      </c>
      <c r="AH7395" s="2" t="str">
        <f ca="1"/>
        <v>OK</v>
      </c>
    </row>
    <row r="7396" spans="2:34" x14ac:dyDescent="0.2">
      <c r="B7396" s="2">
        <f ca="1"/>
        <v>2.5913788310969244E-2</v>
      </c>
      <c r="O7396" s="2">
        <f ca="1"/>
        <v>-0.82871773861690301</v>
      </c>
      <c r="X7396" s="2">
        <f ca="1"/>
        <v>33.506969422330798</v>
      </c>
      <c r="AG7396" s="2">
        <f ca="1"/>
        <v>0.10659824553524411</v>
      </c>
      <c r="AH7396" s="2" t="str">
        <f ca="1"/>
        <v>OK</v>
      </c>
    </row>
    <row r="7397" spans="2:34" x14ac:dyDescent="0.2">
      <c r="B7397" s="2">
        <f ca="1"/>
        <v>0.18084001927441973</v>
      </c>
      <c r="O7397" s="2">
        <f ca="1"/>
        <v>-0.63138398805863871</v>
      </c>
      <c r="X7397" s="2">
        <f ca="1"/>
        <v>36.850572613208314</v>
      </c>
      <c r="AG7397" s="2">
        <f ca="1"/>
        <v>5.7864980712739822E-2</v>
      </c>
      <c r="AH7397" s="2" t="str">
        <f ca="1"/>
        <v>OK</v>
      </c>
    </row>
    <row r="7398" spans="2:34" x14ac:dyDescent="0.2">
      <c r="B7398" s="2">
        <f ca="1"/>
        <v>0.15716796173510894</v>
      </c>
      <c r="O7398" s="2">
        <f ca="1"/>
        <v>-0.85383434515201584</v>
      </c>
      <c r="X7398" s="2">
        <f ca="1"/>
        <v>35.969361626676204</v>
      </c>
      <c r="AG7398" s="2">
        <f ca="1"/>
        <v>0.22883608654194076</v>
      </c>
      <c r="AH7398" s="2" t="str">
        <f ca="1"/>
        <v>OK</v>
      </c>
    </row>
    <row r="7399" spans="2:34" x14ac:dyDescent="0.2">
      <c r="B7399" s="2">
        <f ca="1"/>
        <v>7.7047251861108945E-2</v>
      </c>
      <c r="O7399" s="2">
        <f ca="1"/>
        <v>0.83524469358697939</v>
      </c>
      <c r="X7399" s="2">
        <f ca="1"/>
        <v>58.896500886356655</v>
      </c>
      <c r="AG7399" s="2">
        <f ca="1"/>
        <v>0.82439755317392982</v>
      </c>
      <c r="AH7399" s="2" t="str">
        <f ca="1"/>
        <v>Bad</v>
      </c>
    </row>
    <row r="7400" spans="2:34" x14ac:dyDescent="0.2">
      <c r="B7400" s="2">
        <f ca="1"/>
        <v>0.88561293406912522</v>
      </c>
      <c r="O7400" s="2">
        <f ca="1"/>
        <v>-1.9297974695633724</v>
      </c>
      <c r="X7400" s="2">
        <f ca="1"/>
        <v>30.205312614555737</v>
      </c>
      <c r="AG7400" s="2">
        <f ca="1"/>
        <v>0.69855168278182878</v>
      </c>
      <c r="AH7400" s="2" t="str">
        <f ca="1"/>
        <v>Bad</v>
      </c>
    </row>
    <row r="7401" spans="2:34" x14ac:dyDescent="0.2">
      <c r="B7401" s="2">
        <f ca="1"/>
        <v>0.190658047061675</v>
      </c>
      <c r="O7401" s="2">
        <f ca="1"/>
        <v>0.93835804670154266</v>
      </c>
      <c r="X7401" s="2">
        <f ca="1"/>
        <v>54.291935286443064</v>
      </c>
      <c r="AG7401" s="2">
        <f ca="1"/>
        <v>0.16162262773551817</v>
      </c>
      <c r="AH7401" s="2" t="str">
        <f ca="1"/>
        <v>OK</v>
      </c>
    </row>
    <row r="7402" spans="2:34" x14ac:dyDescent="0.2">
      <c r="B7402" s="2">
        <f ca="1"/>
        <v>0.54120984604572242</v>
      </c>
      <c r="O7402" s="2">
        <f ca="1"/>
        <v>1.2665390520531745</v>
      </c>
      <c r="X7402" s="2">
        <f ca="1"/>
        <v>48.707030365699154</v>
      </c>
      <c r="AG7402" s="2">
        <f ca="1"/>
        <v>0.41603497899449327</v>
      </c>
      <c r="AH7402" s="2" t="str">
        <f ca="1"/>
        <v>Bad</v>
      </c>
    </row>
    <row r="7403" spans="2:34" x14ac:dyDescent="0.2">
      <c r="B7403" s="2">
        <f ca="1"/>
        <v>0.70083255704964698</v>
      </c>
      <c r="O7403" s="2">
        <f ca="1"/>
        <v>0.70861922489811691</v>
      </c>
      <c r="X7403" s="2">
        <f ca="1"/>
        <v>32.628088063505665</v>
      </c>
      <c r="AG7403" s="2">
        <f ca="1"/>
        <v>0.46846149816440286</v>
      </c>
      <c r="AH7403" s="2" t="str">
        <f ca="1"/>
        <v>Bad</v>
      </c>
    </row>
    <row r="7404" spans="2:34" x14ac:dyDescent="0.2">
      <c r="B7404" s="2">
        <f ca="1"/>
        <v>0.25222196716500345</v>
      </c>
      <c r="O7404" s="2">
        <f ca="1"/>
        <v>-1.5363303222222351</v>
      </c>
      <c r="X7404" s="2">
        <f ca="1"/>
        <v>29.092715719397756</v>
      </c>
      <c r="AG7404" s="2">
        <f ca="1"/>
        <v>0.87630695269774384</v>
      </c>
      <c r="AH7404" s="2" t="str">
        <f ca="1"/>
        <v>Bad</v>
      </c>
    </row>
    <row r="7405" spans="2:34" x14ac:dyDescent="0.2">
      <c r="B7405" s="2">
        <f ca="1"/>
        <v>0.2146407271423787</v>
      </c>
      <c r="O7405" s="2">
        <f ca="1"/>
        <v>2.6906268139203888</v>
      </c>
      <c r="X7405" s="2">
        <f ca="1"/>
        <v>54.309806617975767</v>
      </c>
      <c r="AG7405" s="2">
        <f ca="1"/>
        <v>0.33433765739852905</v>
      </c>
      <c r="AH7405" s="2" t="str">
        <f ca="1"/>
        <v>OK</v>
      </c>
    </row>
    <row r="7406" spans="2:34" x14ac:dyDescent="0.2">
      <c r="B7406" s="2">
        <f ca="1"/>
        <v>0.83764904268109097</v>
      </c>
      <c r="O7406" s="2">
        <f ca="1"/>
        <v>0.56817744661413261</v>
      </c>
      <c r="X7406" s="2">
        <f ca="1"/>
        <v>90.586758093771266</v>
      </c>
      <c r="AG7406" s="2">
        <f ca="1"/>
        <v>0.76544779756082937</v>
      </c>
      <c r="AH7406" s="2" t="str">
        <f ca="1"/>
        <v>Bad</v>
      </c>
    </row>
    <row r="7407" spans="2:34" x14ac:dyDescent="0.2">
      <c r="B7407" s="2">
        <f ca="1"/>
        <v>0.43416059388105621</v>
      </c>
      <c r="O7407" s="2">
        <f ca="1"/>
        <v>-0.73959649770355196</v>
      </c>
      <c r="X7407" s="2">
        <f ca="1"/>
        <v>32.420066056234901</v>
      </c>
      <c r="AG7407" s="2">
        <f ca="1"/>
        <v>0.22039250302092617</v>
      </c>
      <c r="AH7407" s="2" t="str">
        <f ca="1"/>
        <v>OK</v>
      </c>
    </row>
    <row r="7408" spans="2:34" x14ac:dyDescent="0.2">
      <c r="B7408" s="2">
        <f ca="1"/>
        <v>0.10424089084854993</v>
      </c>
      <c r="O7408" s="2">
        <f ca="1"/>
        <v>1.386341352444906</v>
      </c>
      <c r="X7408" s="2">
        <f ca="1"/>
        <v>49.834860222296697</v>
      </c>
      <c r="AG7408" s="2">
        <f ca="1"/>
        <v>0.29531053686474662</v>
      </c>
      <c r="AH7408" s="2" t="str">
        <f ca="1"/>
        <v>OK</v>
      </c>
    </row>
    <row r="7409" spans="2:34" x14ac:dyDescent="0.2">
      <c r="B7409" s="2">
        <f ca="1"/>
        <v>0.78311797267889616</v>
      </c>
      <c r="O7409" s="2">
        <f ca="1"/>
        <v>-0.59026255729164345</v>
      </c>
      <c r="X7409" s="2">
        <f ca="1"/>
        <v>34.801917830520665</v>
      </c>
      <c r="AG7409" s="2">
        <f ca="1"/>
        <v>0.96636916237734849</v>
      </c>
      <c r="AH7409" s="2" t="str">
        <f ca="1"/>
        <v>Bad</v>
      </c>
    </row>
    <row r="7410" spans="2:34" x14ac:dyDescent="0.2">
      <c r="B7410" s="2">
        <f ca="1"/>
        <v>0.78354735453930258</v>
      </c>
      <c r="O7410" s="2">
        <f ca="1"/>
        <v>-1.5514985686660678</v>
      </c>
      <c r="X7410" s="2">
        <f ca="1"/>
        <v>49.762659653510973</v>
      </c>
      <c r="AG7410" s="2">
        <f ca="1"/>
        <v>0.17804807728402117</v>
      </c>
      <c r="AH7410" s="2" t="str">
        <f ca="1"/>
        <v>OK</v>
      </c>
    </row>
    <row r="7411" spans="2:34" x14ac:dyDescent="0.2">
      <c r="B7411" s="2">
        <f ca="1"/>
        <v>0.99206758167935805</v>
      </c>
      <c r="O7411" s="2">
        <f ca="1"/>
        <v>0.14460010155847083</v>
      </c>
      <c r="X7411" s="2">
        <f ca="1"/>
        <v>60.833897567948014</v>
      </c>
      <c r="AG7411" s="2">
        <f ca="1"/>
        <v>0.52069038734870454</v>
      </c>
      <c r="AH7411" s="2" t="str">
        <f ca="1"/>
        <v>Bad</v>
      </c>
    </row>
    <row r="7412" spans="2:34" x14ac:dyDescent="0.2">
      <c r="B7412" s="2">
        <f ca="1"/>
        <v>0.41879358578972004</v>
      </c>
      <c r="O7412" s="2">
        <f ca="1"/>
        <v>-0.19725699598676899</v>
      </c>
      <c r="X7412" s="2">
        <f ca="1"/>
        <v>45.333324255413459</v>
      </c>
      <c r="AG7412" s="2">
        <f ca="1"/>
        <v>0.36243007737579824</v>
      </c>
      <c r="AH7412" s="2" t="str">
        <f ca="1"/>
        <v>OK</v>
      </c>
    </row>
    <row r="7413" spans="2:34" x14ac:dyDescent="0.2">
      <c r="B7413" s="2">
        <f ca="1"/>
        <v>0.38997353826533976</v>
      </c>
      <c r="O7413" s="2">
        <f ca="1"/>
        <v>-1.939015686628486</v>
      </c>
      <c r="X7413" s="2">
        <f ca="1"/>
        <v>60.462558351130923</v>
      </c>
      <c r="AG7413" s="2">
        <f ca="1"/>
        <v>6.2239559264301691E-2</v>
      </c>
      <c r="AH7413" s="2" t="str">
        <f ca="1"/>
        <v>OK</v>
      </c>
    </row>
    <row r="7414" spans="2:34" x14ac:dyDescent="0.2">
      <c r="B7414" s="2">
        <f ca="1"/>
        <v>0.65852810089863323</v>
      </c>
      <c r="O7414" s="2">
        <f ca="1"/>
        <v>1.2051964925506284</v>
      </c>
      <c r="X7414" s="2">
        <f ca="1"/>
        <v>35.855999383847944</v>
      </c>
      <c r="AG7414" s="2">
        <f ca="1"/>
        <v>0.4959537108479386</v>
      </c>
      <c r="AH7414" s="2" t="str">
        <f ca="1"/>
        <v>Bad</v>
      </c>
    </row>
    <row r="7415" spans="2:34" x14ac:dyDescent="0.2">
      <c r="B7415" s="2">
        <f ca="1"/>
        <v>0.27711276975607291</v>
      </c>
      <c r="O7415" s="2">
        <f ca="1"/>
        <v>-5.7474601001207611E-2</v>
      </c>
      <c r="X7415" s="2">
        <f ca="1"/>
        <v>41.220914871055435</v>
      </c>
      <c r="AG7415" s="2">
        <f ca="1"/>
        <v>0.57895048647082925</v>
      </c>
      <c r="AH7415" s="2" t="str">
        <f ca="1"/>
        <v>Bad</v>
      </c>
    </row>
    <row r="7416" spans="2:34" x14ac:dyDescent="0.2">
      <c r="B7416" s="2">
        <f ca="1"/>
        <v>8.601586982400633E-2</v>
      </c>
      <c r="O7416" s="2">
        <f ca="1"/>
        <v>1.0987037664205632</v>
      </c>
      <c r="X7416" s="2">
        <f ca="1"/>
        <v>44.613103596519906</v>
      </c>
      <c r="AG7416" s="2">
        <f ca="1"/>
        <v>0.64371801519284833</v>
      </c>
      <c r="AH7416" s="2" t="str">
        <f ca="1"/>
        <v>Bad</v>
      </c>
    </row>
    <row r="7417" spans="2:34" x14ac:dyDescent="0.2">
      <c r="B7417" s="2">
        <f ca="1"/>
        <v>0.97328893551623508</v>
      </c>
      <c r="O7417" s="2">
        <f ca="1"/>
        <v>0.28048653565383513</v>
      </c>
      <c r="X7417" s="2">
        <f ca="1"/>
        <v>55.023932111188202</v>
      </c>
      <c r="AG7417" s="2">
        <f ca="1"/>
        <v>0.51950242984922368</v>
      </c>
      <c r="AH7417" s="2" t="str">
        <f ca="1"/>
        <v>Bad</v>
      </c>
    </row>
    <row r="7418" spans="2:34" x14ac:dyDescent="0.2">
      <c r="B7418" s="2">
        <f ca="1"/>
        <v>0.66278721248069372</v>
      </c>
      <c r="O7418" s="2">
        <f ca="1"/>
        <v>0.2030496485755714</v>
      </c>
      <c r="X7418" s="2">
        <f ca="1"/>
        <v>51.786262432522818</v>
      </c>
      <c r="AG7418" s="2">
        <f ca="1"/>
        <v>0.34810983004136253</v>
      </c>
      <c r="AH7418" s="2" t="str">
        <f ca="1"/>
        <v>OK</v>
      </c>
    </row>
    <row r="7419" spans="2:34" x14ac:dyDescent="0.2">
      <c r="B7419" s="2">
        <f ca="1"/>
        <v>0.37807190605928187</v>
      </c>
      <c r="O7419" s="2">
        <f ca="1"/>
        <v>0.64606755222876633</v>
      </c>
      <c r="X7419" s="2">
        <f ca="1"/>
        <v>62.940923153877932</v>
      </c>
      <c r="AG7419" s="2">
        <f ca="1"/>
        <v>0.58092582620370692</v>
      </c>
      <c r="AH7419" s="2" t="str">
        <f ca="1"/>
        <v>Bad</v>
      </c>
    </row>
    <row r="7420" spans="2:34" x14ac:dyDescent="0.2">
      <c r="B7420" s="2">
        <f ca="1"/>
        <v>0.98934361242538715</v>
      </c>
      <c r="O7420" s="2">
        <f ca="1"/>
        <v>0.59023864798441827</v>
      </c>
      <c r="X7420" s="2">
        <f ca="1"/>
        <v>35.459253650692418</v>
      </c>
      <c r="AG7420" s="2">
        <f ca="1"/>
        <v>0.27169445787084223</v>
      </c>
      <c r="AH7420" s="2" t="str">
        <f ca="1"/>
        <v>OK</v>
      </c>
    </row>
    <row r="7421" spans="2:34" x14ac:dyDescent="0.2">
      <c r="B7421" s="2">
        <f ca="1"/>
        <v>0.82073786598363974</v>
      </c>
      <c r="O7421" s="2">
        <f ca="1"/>
        <v>-0.94623116279195463</v>
      </c>
      <c r="X7421" s="2">
        <f ca="1"/>
        <v>52.212149802678795</v>
      </c>
      <c r="AG7421" s="2">
        <f ca="1"/>
        <v>0.10829288528885606</v>
      </c>
      <c r="AH7421" s="2" t="str">
        <f ca="1"/>
        <v>OK</v>
      </c>
    </row>
    <row r="7422" spans="2:34" x14ac:dyDescent="0.2">
      <c r="B7422" s="2">
        <f ca="1"/>
        <v>0.56442346544910382</v>
      </c>
      <c r="O7422" s="2">
        <f ca="1"/>
        <v>1.4465111581351737</v>
      </c>
      <c r="X7422" s="2">
        <f ca="1"/>
        <v>34.939016651120532</v>
      </c>
      <c r="AG7422" s="2">
        <f ca="1"/>
        <v>0.36435353375187041</v>
      </c>
      <c r="AH7422" s="2" t="str">
        <f ca="1"/>
        <v>OK</v>
      </c>
    </row>
    <row r="7423" spans="2:34" x14ac:dyDescent="0.2">
      <c r="B7423" s="2">
        <f ca="1"/>
        <v>0.39836813882250222</v>
      </c>
      <c r="O7423" s="2">
        <f ca="1"/>
        <v>-0.16736260172664316</v>
      </c>
      <c r="X7423" s="2">
        <f ca="1"/>
        <v>72.315723642053129</v>
      </c>
      <c r="AG7423" s="2">
        <f ca="1"/>
        <v>0.14793669040680779</v>
      </c>
      <c r="AH7423" s="2" t="str">
        <f ca="1"/>
        <v>OK</v>
      </c>
    </row>
    <row r="7424" spans="2:34" x14ac:dyDescent="0.2">
      <c r="B7424" s="2">
        <f ca="1"/>
        <v>0.66279092946432683</v>
      </c>
      <c r="O7424" s="2">
        <f ca="1"/>
        <v>1.507487902468547</v>
      </c>
      <c r="X7424" s="2">
        <f ca="1"/>
        <v>55.592177745979271</v>
      </c>
      <c r="AG7424" s="2">
        <f ca="1"/>
        <v>0.53235135551280433</v>
      </c>
      <c r="AH7424" s="2" t="str">
        <f ca="1"/>
        <v>Bad</v>
      </c>
    </row>
    <row r="7425" spans="2:34" x14ac:dyDescent="0.2">
      <c r="B7425" s="2">
        <f ca="1"/>
        <v>0.59023428298219538</v>
      </c>
      <c r="O7425" s="2">
        <f ca="1"/>
        <v>0.27607150422883597</v>
      </c>
      <c r="X7425" s="2">
        <f ca="1"/>
        <v>59.483363422758629</v>
      </c>
      <c r="AG7425" s="2">
        <f ca="1"/>
        <v>0.3712817468611016</v>
      </c>
      <c r="AH7425" s="2" t="str">
        <f ca="1"/>
        <v>OK</v>
      </c>
    </row>
    <row r="7426" spans="2:34" x14ac:dyDescent="0.2">
      <c r="B7426" s="2">
        <f ca="1"/>
        <v>0.61634624186745635</v>
      </c>
      <c r="O7426" s="2">
        <f ca="1"/>
        <v>-0.58045626649576676</v>
      </c>
      <c r="X7426" s="2">
        <f ca="1"/>
        <v>54.070455101595314</v>
      </c>
      <c r="AG7426" s="2">
        <f ca="1"/>
        <v>0.90279740632501548</v>
      </c>
      <c r="AH7426" s="2" t="str">
        <f ca="1"/>
        <v>Bad</v>
      </c>
    </row>
    <row r="7427" spans="2:34" x14ac:dyDescent="0.2">
      <c r="B7427" s="2">
        <f ca="1"/>
        <v>0.86203247024436647</v>
      </c>
      <c r="O7427" s="2">
        <f ca="1"/>
        <v>-1.284615953630285</v>
      </c>
      <c r="X7427" s="2">
        <f ca="1"/>
        <v>47.992440874323634</v>
      </c>
      <c r="AG7427" s="2">
        <f ca="1"/>
        <v>8.815798807458064E-2</v>
      </c>
      <c r="AH7427" s="2" t="str">
        <f ca="1"/>
        <v>OK</v>
      </c>
    </row>
    <row r="7428" spans="2:34" x14ac:dyDescent="0.2">
      <c r="B7428" s="2">
        <f ca="1"/>
        <v>0.3421931993834042</v>
      </c>
      <c r="O7428" s="2">
        <f ca="1"/>
        <v>1.4251424818228933</v>
      </c>
      <c r="X7428" s="2">
        <f ca="1"/>
        <v>55.293888646813173</v>
      </c>
      <c r="AG7428" s="2">
        <f ca="1"/>
        <v>0.23378768343725675</v>
      </c>
      <c r="AH7428" s="2" t="str">
        <f ca="1"/>
        <v>OK</v>
      </c>
    </row>
    <row r="7429" spans="2:34" x14ac:dyDescent="0.2">
      <c r="B7429" s="2">
        <f ca="1"/>
        <v>0.70735243787270097</v>
      </c>
      <c r="O7429" s="2">
        <f ca="1"/>
        <v>-0.53497190576051157</v>
      </c>
      <c r="X7429" s="2">
        <f ca="1"/>
        <v>28.470928470719272</v>
      </c>
      <c r="AG7429" s="2">
        <f ca="1"/>
        <v>4.0346308045846602E-3</v>
      </c>
      <c r="AH7429" s="2" t="str">
        <f ca="1"/>
        <v>Good</v>
      </c>
    </row>
    <row r="7430" spans="2:34" x14ac:dyDescent="0.2">
      <c r="B7430" s="2">
        <f ca="1"/>
        <v>0.82418327002336578</v>
      </c>
      <c r="O7430" s="2">
        <f ca="1"/>
        <v>-4.3504252506702791E-2</v>
      </c>
      <c r="X7430" s="2">
        <f ca="1"/>
        <v>51.697997610615182</v>
      </c>
      <c r="AG7430" s="2">
        <f ca="1"/>
        <v>0.79813436716403063</v>
      </c>
      <c r="AH7430" s="2" t="str">
        <f ca="1"/>
        <v>Bad</v>
      </c>
    </row>
    <row r="7431" spans="2:34" x14ac:dyDescent="0.2">
      <c r="B7431" s="2">
        <f ca="1"/>
        <v>0.70019575442409154</v>
      </c>
      <c r="O7431" s="2">
        <f ca="1"/>
        <v>-0.53242691549618626</v>
      </c>
      <c r="X7431" s="2">
        <f ca="1"/>
        <v>42.362523585210347</v>
      </c>
      <c r="AG7431" s="2">
        <f ca="1"/>
        <v>0.36779851768296701</v>
      </c>
      <c r="AH7431" s="2" t="str">
        <f ca="1"/>
        <v>OK</v>
      </c>
    </row>
    <row r="7432" spans="2:34" x14ac:dyDescent="0.2">
      <c r="B7432" s="2">
        <f ca="1"/>
        <v>0.16813025951199223</v>
      </c>
      <c r="O7432" s="2">
        <f ca="1"/>
        <v>-0.66942401844434318</v>
      </c>
      <c r="X7432" s="2">
        <f ca="1"/>
        <v>53.317054699772171</v>
      </c>
      <c r="AG7432" s="2">
        <f ca="1"/>
        <v>0.67668087566528756</v>
      </c>
      <c r="AH7432" s="2" t="str">
        <f ca="1"/>
        <v>Bad</v>
      </c>
    </row>
    <row r="7433" spans="2:34" x14ac:dyDescent="0.2">
      <c r="B7433" s="2">
        <f ca="1"/>
        <v>0.14978786539967692</v>
      </c>
      <c r="O7433" s="2">
        <f ca="1"/>
        <v>-0.28467549643942747</v>
      </c>
      <c r="X7433" s="2">
        <f ca="1"/>
        <v>42.628300142360985</v>
      </c>
      <c r="AG7433" s="2">
        <f ca="1"/>
        <v>0.74838122736633483</v>
      </c>
      <c r="AH7433" s="2" t="str">
        <f ca="1"/>
        <v>Bad</v>
      </c>
    </row>
    <row r="7434" spans="2:34" x14ac:dyDescent="0.2">
      <c r="B7434" s="2">
        <f ca="1"/>
        <v>0.5486277321451245</v>
      </c>
      <c r="O7434" s="2">
        <f ca="1"/>
        <v>0.59584751044079343</v>
      </c>
      <c r="X7434" s="2">
        <f ca="1"/>
        <v>56.379945471161015</v>
      </c>
      <c r="AG7434" s="2">
        <f ca="1"/>
        <v>5.5985854969440974E-2</v>
      </c>
      <c r="AH7434" s="2" t="str">
        <f ca="1"/>
        <v>OK</v>
      </c>
    </row>
    <row r="7435" spans="2:34" x14ac:dyDescent="0.2">
      <c r="B7435" s="2">
        <f ca="1"/>
        <v>0.31837302870890416</v>
      </c>
      <c r="O7435" s="2">
        <f ca="1"/>
        <v>0.37479340508146736</v>
      </c>
      <c r="X7435" s="2">
        <f ca="1"/>
        <v>53.664899433502754</v>
      </c>
      <c r="AG7435" s="2">
        <f ca="1"/>
        <v>0.3081736767149359</v>
      </c>
      <c r="AH7435" s="2" t="str">
        <f ca="1"/>
        <v>OK</v>
      </c>
    </row>
    <row r="7436" spans="2:34" x14ac:dyDescent="0.2">
      <c r="B7436" s="2">
        <f ca="1"/>
        <v>0.84786448975333184</v>
      </c>
      <c r="O7436" s="2">
        <f ca="1"/>
        <v>0.13873408700749862</v>
      </c>
      <c r="X7436" s="2">
        <f ca="1"/>
        <v>70.925650952740554</v>
      </c>
      <c r="AG7436" s="2">
        <f ca="1"/>
        <v>0.43424995374279751</v>
      </c>
      <c r="AH7436" s="2" t="str">
        <f ca="1"/>
        <v>Bad</v>
      </c>
    </row>
    <row r="7437" spans="2:34" x14ac:dyDescent="0.2">
      <c r="B7437" s="2">
        <f ca="1"/>
        <v>0.92747946507990697</v>
      </c>
      <c r="O7437" s="2">
        <f ca="1"/>
        <v>1.4762200190622594</v>
      </c>
      <c r="X7437" s="2">
        <f ca="1"/>
        <v>54.290326955893718</v>
      </c>
      <c r="AG7437" s="2">
        <f ca="1"/>
        <v>0.85544188854378289</v>
      </c>
      <c r="AH7437" s="2" t="str">
        <f ca="1"/>
        <v>Bad</v>
      </c>
    </row>
    <row r="7438" spans="2:34" x14ac:dyDescent="0.2">
      <c r="B7438" s="2">
        <f ca="1"/>
        <v>0.65485643722466036</v>
      </c>
      <c r="O7438" s="2">
        <f ca="1"/>
        <v>1.1446392988184548</v>
      </c>
      <c r="X7438" s="2">
        <f ca="1"/>
        <v>41.20319088904288</v>
      </c>
      <c r="AG7438" s="2">
        <f ca="1"/>
        <v>0.39310037281811572</v>
      </c>
      <c r="AH7438" s="2" t="str">
        <f ca="1"/>
        <v>OK</v>
      </c>
    </row>
    <row r="7439" spans="2:34" x14ac:dyDescent="0.2">
      <c r="B7439" s="2">
        <f ca="1"/>
        <v>0.5623883804418055</v>
      </c>
      <c r="O7439" s="2">
        <f ca="1"/>
        <v>1.3889161181322798</v>
      </c>
      <c r="X7439" s="2">
        <f ca="1"/>
        <v>41.137848428019403</v>
      </c>
      <c r="AG7439" s="2">
        <f ca="1"/>
        <v>0.24001533245925133</v>
      </c>
      <c r="AH7439" s="2" t="str">
        <f ca="1"/>
        <v>OK</v>
      </c>
    </row>
    <row r="7440" spans="2:34" x14ac:dyDescent="0.2">
      <c r="B7440" s="2">
        <f ca="1"/>
        <v>0.24457029293911203</v>
      </c>
      <c r="O7440" s="2">
        <f ca="1"/>
        <v>0.57110467369737439</v>
      </c>
      <c r="X7440" s="2">
        <f ca="1"/>
        <v>70.336301989101656</v>
      </c>
      <c r="AG7440" s="2">
        <f ca="1"/>
        <v>0.75150829359217308</v>
      </c>
      <c r="AH7440" s="2" t="str">
        <f ca="1"/>
        <v>Bad</v>
      </c>
    </row>
    <row r="7441" spans="2:34" x14ac:dyDescent="0.2">
      <c r="B7441" s="2">
        <f ca="1"/>
        <v>0.9956551014417041</v>
      </c>
      <c r="O7441" s="2">
        <f ca="1"/>
        <v>0.21906643111480006</v>
      </c>
      <c r="X7441" s="2">
        <f ca="1"/>
        <v>42.640801372632275</v>
      </c>
      <c r="AG7441" s="2">
        <f ca="1"/>
        <v>0.43035899274059908</v>
      </c>
      <c r="AH7441" s="2" t="str">
        <f ca="1"/>
        <v>Bad</v>
      </c>
    </row>
    <row r="7442" spans="2:34" x14ac:dyDescent="0.2">
      <c r="B7442" s="2">
        <f ca="1"/>
        <v>0.65142531213161869</v>
      </c>
      <c r="O7442" s="2">
        <f ca="1"/>
        <v>0.20112250942787954</v>
      </c>
      <c r="X7442" s="2">
        <f ca="1"/>
        <v>21.126325337683099</v>
      </c>
      <c r="AG7442" s="2">
        <f ca="1"/>
        <v>0.77420532816737619</v>
      </c>
      <c r="AH7442" s="2" t="str">
        <f ca="1"/>
        <v>Bad</v>
      </c>
    </row>
    <row r="7443" spans="2:34" x14ac:dyDescent="0.2">
      <c r="B7443" s="2">
        <f ca="1"/>
        <v>0.86057993649073428</v>
      </c>
      <c r="O7443" s="2">
        <f ca="1"/>
        <v>1.3178141462994404</v>
      </c>
      <c r="X7443" s="2">
        <f ca="1"/>
        <v>19.749668449387077</v>
      </c>
      <c r="AG7443" s="2">
        <f ca="1"/>
        <v>0.62144984976892004</v>
      </c>
      <c r="AH7443" s="2" t="str">
        <f ca="1"/>
        <v>Bad</v>
      </c>
    </row>
    <row r="7444" spans="2:34" x14ac:dyDescent="0.2">
      <c r="B7444" s="2">
        <f ca="1"/>
        <v>0.22201164672527285</v>
      </c>
      <c r="O7444" s="2">
        <f ca="1"/>
        <v>0.19963452269323537</v>
      </c>
      <c r="X7444" s="2">
        <f ca="1"/>
        <v>41.259064269472518</v>
      </c>
      <c r="AG7444" s="2">
        <f ca="1"/>
        <v>0.92659042387218093</v>
      </c>
      <c r="AH7444" s="2" t="str">
        <f ca="1"/>
        <v>Bad</v>
      </c>
    </row>
    <row r="7445" spans="2:34" x14ac:dyDescent="0.2">
      <c r="B7445" s="2">
        <f ca="1"/>
        <v>0.17738345484198104</v>
      </c>
      <c r="O7445" s="2">
        <f ca="1"/>
        <v>1.3948511814835027</v>
      </c>
      <c r="X7445" s="2">
        <f ca="1"/>
        <v>33.247207796702931</v>
      </c>
      <c r="AG7445" s="2">
        <f ca="1"/>
        <v>7.8843584445759785E-2</v>
      </c>
      <c r="AH7445" s="2" t="str">
        <f ca="1"/>
        <v>OK</v>
      </c>
    </row>
    <row r="7446" spans="2:34" x14ac:dyDescent="0.2">
      <c r="B7446" s="2">
        <f ca="1"/>
        <v>0.3275607980146964</v>
      </c>
      <c r="O7446" s="2">
        <f ca="1"/>
        <v>-0.55400072821972923</v>
      </c>
      <c r="X7446" s="2">
        <f ca="1"/>
        <v>78.438962020735673</v>
      </c>
      <c r="AG7446" s="2">
        <f ca="1"/>
        <v>0.6046777934644596</v>
      </c>
      <c r="AH7446" s="2" t="str">
        <f ca="1"/>
        <v>Bad</v>
      </c>
    </row>
    <row r="7447" spans="2:34" x14ac:dyDescent="0.2">
      <c r="B7447" s="2">
        <f ca="1"/>
        <v>0.64956586048923159</v>
      </c>
      <c r="O7447" s="2">
        <f ca="1"/>
        <v>1.0794061008389109</v>
      </c>
      <c r="X7447" s="2">
        <f ca="1"/>
        <v>73.233667909474178</v>
      </c>
      <c r="AG7447" s="2">
        <f ca="1"/>
        <v>0.73176438233027219</v>
      </c>
      <c r="AH7447" s="2" t="str">
        <f ca="1"/>
        <v>Bad</v>
      </c>
    </row>
    <row r="7448" spans="2:34" x14ac:dyDescent="0.2">
      <c r="B7448" s="2">
        <f ca="1"/>
        <v>0.41451460496549042</v>
      </c>
      <c r="O7448" s="2">
        <f ca="1"/>
        <v>0.64720508447692149</v>
      </c>
      <c r="X7448" s="2">
        <f ca="1"/>
        <v>33.474159124201762</v>
      </c>
      <c r="AG7448" s="2">
        <f ca="1"/>
        <v>0.37441476070758362</v>
      </c>
      <c r="AH7448" s="2" t="str">
        <f ca="1"/>
        <v>OK</v>
      </c>
    </row>
    <row r="7449" spans="2:34" x14ac:dyDescent="0.2">
      <c r="B7449" s="2">
        <f ca="1"/>
        <v>2.9465566105737029E-2</v>
      </c>
      <c r="O7449" s="2">
        <f ca="1"/>
        <v>-0.14185360244184919</v>
      </c>
      <c r="X7449" s="2">
        <f ca="1"/>
        <v>56.555181875452249</v>
      </c>
      <c r="AG7449" s="2">
        <f ca="1"/>
        <v>0.45880325594426963</v>
      </c>
      <c r="AH7449" s="2" t="str">
        <f ca="1"/>
        <v>Bad</v>
      </c>
    </row>
    <row r="7450" spans="2:34" x14ac:dyDescent="0.2">
      <c r="B7450" s="2">
        <f ca="1"/>
        <v>0.50593098674359416</v>
      </c>
      <c r="O7450" s="2">
        <f ca="1"/>
        <v>0.56401026678767974</v>
      </c>
      <c r="X7450" s="2">
        <f ca="1"/>
        <v>41.318942826080594</v>
      </c>
      <c r="AG7450" s="2">
        <f ca="1"/>
        <v>0.53684438804016388</v>
      </c>
      <c r="AH7450" s="2" t="str">
        <f ca="1"/>
        <v>Bad</v>
      </c>
    </row>
    <row r="7451" spans="2:34" x14ac:dyDescent="0.2">
      <c r="B7451" s="2">
        <f ca="1"/>
        <v>0.85361302123271066</v>
      </c>
      <c r="O7451" s="2">
        <f ca="1"/>
        <v>-0.83459411158937358</v>
      </c>
      <c r="X7451" s="2">
        <f ca="1"/>
        <v>56.003179240704846</v>
      </c>
      <c r="AG7451" s="2">
        <f ca="1"/>
        <v>0.47429606166367266</v>
      </c>
      <c r="AH7451" s="2" t="str">
        <f ca="1"/>
        <v>Bad</v>
      </c>
    </row>
    <row r="7452" spans="2:34" x14ac:dyDescent="0.2">
      <c r="B7452" s="2">
        <f ca="1"/>
        <v>0.52229277130960639</v>
      </c>
      <c r="O7452" s="2">
        <f ca="1"/>
        <v>1.7365633636404172</v>
      </c>
      <c r="X7452" s="2">
        <f ca="1"/>
        <v>51.544020113203672</v>
      </c>
      <c r="AG7452" s="2">
        <f ca="1"/>
        <v>0.51933654024693321</v>
      </c>
      <c r="AH7452" s="2" t="str">
        <f ca="1"/>
        <v>Bad</v>
      </c>
    </row>
    <row r="7453" spans="2:34" x14ac:dyDescent="0.2">
      <c r="B7453" s="2">
        <f ca="1"/>
        <v>0.90680486958807771</v>
      </c>
      <c r="O7453" s="2">
        <f ca="1"/>
        <v>-0.719073163703977</v>
      </c>
      <c r="X7453" s="2">
        <f ca="1"/>
        <v>36.707872452212492</v>
      </c>
      <c r="AG7453" s="2">
        <f ca="1"/>
        <v>0.51443485844150683</v>
      </c>
      <c r="AH7453" s="2" t="str">
        <f ca="1"/>
        <v>Bad</v>
      </c>
    </row>
    <row r="7454" spans="2:34" x14ac:dyDescent="0.2">
      <c r="B7454" s="2">
        <f ca="1"/>
        <v>0.92012695826042257</v>
      </c>
      <c r="O7454" s="2">
        <f ca="1"/>
        <v>-1.0206896715439435</v>
      </c>
      <c r="X7454" s="2">
        <f ca="1"/>
        <v>28.076215787831224</v>
      </c>
      <c r="AG7454" s="2">
        <f ca="1"/>
        <v>0.82386410196859106</v>
      </c>
      <c r="AH7454" s="2" t="str">
        <f ca="1"/>
        <v>Bad</v>
      </c>
    </row>
    <row r="7455" spans="2:34" x14ac:dyDescent="0.2">
      <c r="B7455" s="2">
        <f ca="1"/>
        <v>0.89023070621158218</v>
      </c>
      <c r="O7455" s="2">
        <f ca="1"/>
        <v>1.2457718818953454</v>
      </c>
      <c r="X7455" s="2">
        <f ca="1"/>
        <v>82.50902939379165</v>
      </c>
      <c r="AG7455" s="2">
        <f ca="1"/>
        <v>0.56048222300240869</v>
      </c>
      <c r="AH7455" s="2" t="str">
        <f ca="1"/>
        <v>Bad</v>
      </c>
    </row>
    <row r="7456" spans="2:34" x14ac:dyDescent="0.2">
      <c r="B7456" s="2">
        <f ca="1"/>
        <v>5.9064865315159309E-3</v>
      </c>
      <c r="O7456" s="2">
        <f ca="1"/>
        <v>-1.3212953662593203</v>
      </c>
      <c r="X7456" s="2">
        <f ca="1"/>
        <v>48.959979568276673</v>
      </c>
      <c r="AG7456" s="2">
        <f ca="1"/>
        <v>0.70776565168302663</v>
      </c>
      <c r="AH7456" s="2" t="str">
        <f ca="1"/>
        <v>Bad</v>
      </c>
    </row>
    <row r="7457" spans="2:34" x14ac:dyDescent="0.2">
      <c r="B7457" s="2">
        <f ca="1"/>
        <v>0.89563700455943374</v>
      </c>
      <c r="O7457" s="2">
        <f ca="1"/>
        <v>-7.3977788848600415E-2</v>
      </c>
      <c r="X7457" s="2">
        <f ca="1"/>
        <v>76.674040193746734</v>
      </c>
      <c r="AG7457" s="2">
        <f ca="1"/>
        <v>0.9469508579282917</v>
      </c>
      <c r="AH7457" s="2" t="str">
        <f ca="1"/>
        <v>Bad</v>
      </c>
    </row>
    <row r="7458" spans="2:34" x14ac:dyDescent="0.2">
      <c r="B7458" s="2">
        <f ca="1"/>
        <v>0.77039833134354563</v>
      </c>
      <c r="O7458" s="2">
        <f ca="1"/>
        <v>0.46152873848104564</v>
      </c>
      <c r="X7458" s="2">
        <f ca="1"/>
        <v>56.268565495744561</v>
      </c>
      <c r="AG7458" s="2">
        <f ca="1"/>
        <v>0.45938152982052793</v>
      </c>
      <c r="AH7458" s="2" t="str">
        <f ca="1"/>
        <v>Bad</v>
      </c>
    </row>
    <row r="7459" spans="2:34" x14ac:dyDescent="0.2">
      <c r="B7459" s="2">
        <f ca="1"/>
        <v>0.14003010957891582</v>
      </c>
      <c r="O7459" s="2">
        <f ca="1"/>
        <v>2.6953709438823643</v>
      </c>
      <c r="X7459" s="2">
        <f ca="1"/>
        <v>60.069522202061066</v>
      </c>
      <c r="AG7459" s="2">
        <f ca="1"/>
        <v>3.9830277511675671E-2</v>
      </c>
      <c r="AH7459" s="2" t="str">
        <f ca="1"/>
        <v>Good</v>
      </c>
    </row>
    <row r="7460" spans="2:34" x14ac:dyDescent="0.2">
      <c r="B7460" s="2">
        <f ca="1"/>
        <v>0.88049363121513946</v>
      </c>
      <c r="O7460" s="2">
        <f ca="1"/>
        <v>0.36399276197660752</v>
      </c>
      <c r="X7460" s="2">
        <f ca="1"/>
        <v>56.45743453764959</v>
      </c>
      <c r="AG7460" s="2">
        <f ca="1"/>
        <v>0.60089220688892642</v>
      </c>
      <c r="AH7460" s="2" t="str">
        <f ca="1"/>
        <v>Bad</v>
      </c>
    </row>
    <row r="7461" spans="2:34" x14ac:dyDescent="0.2">
      <c r="B7461" s="2">
        <f ca="1"/>
        <v>0.33292136718308107</v>
      </c>
      <c r="O7461" s="2">
        <f ca="1"/>
        <v>-0.44634985783841918</v>
      </c>
      <c r="X7461" s="2">
        <f ca="1"/>
        <v>44.049576786644352</v>
      </c>
      <c r="AG7461" s="2">
        <f ca="1"/>
        <v>0.94926724397965923</v>
      </c>
      <c r="AH7461" s="2" t="str">
        <f ca="1"/>
        <v>Bad</v>
      </c>
    </row>
    <row r="7462" spans="2:34" x14ac:dyDescent="0.2">
      <c r="B7462" s="2">
        <f ca="1"/>
        <v>0.64999052246137201</v>
      </c>
      <c r="O7462" s="2">
        <f ca="1"/>
        <v>0.19171779530937078</v>
      </c>
      <c r="X7462" s="2">
        <f ca="1"/>
        <v>53.319185263867411</v>
      </c>
      <c r="AG7462" s="2">
        <f ca="1"/>
        <v>0.5866304374708522</v>
      </c>
      <c r="AH7462" s="2" t="str">
        <f ca="1"/>
        <v>Bad</v>
      </c>
    </row>
    <row r="7463" spans="2:34" x14ac:dyDescent="0.2">
      <c r="B7463" s="2">
        <f ca="1"/>
        <v>0.6980891043131241</v>
      </c>
      <c r="O7463" s="2">
        <f ca="1"/>
        <v>-0.49048046642916615</v>
      </c>
      <c r="X7463" s="2">
        <f ca="1"/>
        <v>39.663785832067965</v>
      </c>
      <c r="AG7463" s="2">
        <f ca="1"/>
        <v>0.92381360591865191</v>
      </c>
      <c r="AH7463" s="2" t="str">
        <f ca="1"/>
        <v>Bad</v>
      </c>
    </row>
    <row r="7464" spans="2:34" x14ac:dyDescent="0.2">
      <c r="B7464" s="2">
        <f ca="1"/>
        <v>0.69038758124960875</v>
      </c>
      <c r="O7464" s="2">
        <f ca="1"/>
        <v>-2.4020215167475474</v>
      </c>
      <c r="X7464" s="2">
        <f ca="1"/>
        <v>36.181489658949815</v>
      </c>
      <c r="AG7464" s="2">
        <f ca="1"/>
        <v>0.28038540054262362</v>
      </c>
      <c r="AH7464" s="2" t="str">
        <f ca="1"/>
        <v>OK</v>
      </c>
    </row>
    <row r="7465" spans="2:34" x14ac:dyDescent="0.2">
      <c r="B7465" s="2">
        <f ca="1"/>
        <v>9.8692558292512E-2</v>
      </c>
      <c r="O7465" s="2">
        <f ca="1"/>
        <v>-0.63440952926346561</v>
      </c>
      <c r="X7465" s="2">
        <f ca="1"/>
        <v>72.362249002286617</v>
      </c>
      <c r="AG7465" s="2">
        <f ca="1"/>
        <v>0.37987690595311085</v>
      </c>
      <c r="AH7465" s="2" t="str">
        <f ca="1"/>
        <v>OK</v>
      </c>
    </row>
    <row r="7466" spans="2:34" x14ac:dyDescent="0.2">
      <c r="B7466" s="2">
        <f ca="1"/>
        <v>0.13461571589794463</v>
      </c>
      <c r="O7466" s="2">
        <f ca="1"/>
        <v>-1.2083859204902214</v>
      </c>
      <c r="X7466" s="2">
        <f ca="1"/>
        <v>36.549521791262791</v>
      </c>
      <c r="AG7466" s="2">
        <f ca="1"/>
        <v>0.26284271944433479</v>
      </c>
      <c r="AH7466" s="2" t="str">
        <f ca="1"/>
        <v>OK</v>
      </c>
    </row>
    <row r="7467" spans="2:34" x14ac:dyDescent="0.2">
      <c r="B7467" s="2">
        <f ca="1"/>
        <v>4.1576590035177441E-2</v>
      </c>
      <c r="O7467" s="2">
        <f ca="1"/>
        <v>1.7398321198929505</v>
      </c>
      <c r="X7467" s="2">
        <f ca="1"/>
        <v>52.095345142273146</v>
      </c>
      <c r="AG7467" s="2">
        <f ca="1"/>
        <v>0.83793417775698176</v>
      </c>
      <c r="AH7467" s="2" t="str">
        <f ca="1"/>
        <v>Bad</v>
      </c>
    </row>
    <row r="7468" spans="2:34" x14ac:dyDescent="0.2">
      <c r="B7468" s="2">
        <f ca="1"/>
        <v>0.26513073844707957</v>
      </c>
      <c r="O7468" s="2">
        <f ca="1"/>
        <v>0.82422318282622509</v>
      </c>
      <c r="X7468" s="2">
        <f ca="1"/>
        <v>64.080932902995713</v>
      </c>
      <c r="AG7468" s="2">
        <f ca="1"/>
        <v>0.80087931939627222</v>
      </c>
      <c r="AH7468" s="2" t="str">
        <f ca="1"/>
        <v>Bad</v>
      </c>
    </row>
    <row r="7469" spans="2:34" x14ac:dyDescent="0.2">
      <c r="B7469" s="2">
        <f ca="1"/>
        <v>0.27344935205763643</v>
      </c>
      <c r="O7469" s="2">
        <f ca="1"/>
        <v>0.47397306615347967</v>
      </c>
      <c r="X7469" s="2">
        <f ca="1"/>
        <v>62.884519231197771</v>
      </c>
      <c r="AG7469" s="2">
        <f ca="1"/>
        <v>0.55115353058216887</v>
      </c>
      <c r="AH7469" s="2" t="str">
        <f ca="1"/>
        <v>Bad</v>
      </c>
    </row>
    <row r="7470" spans="2:34" x14ac:dyDescent="0.2">
      <c r="B7470" s="2">
        <f ca="1"/>
        <v>0.2558719821193256</v>
      </c>
      <c r="O7470" s="2">
        <f ca="1"/>
        <v>-2.7910797105390045E-2</v>
      </c>
      <c r="X7470" s="2">
        <f ca="1"/>
        <v>38.407795761875462</v>
      </c>
      <c r="AG7470" s="2">
        <f ca="1"/>
        <v>0.86676948375528329</v>
      </c>
      <c r="AH7470" s="2" t="str">
        <f ca="1"/>
        <v>Bad</v>
      </c>
    </row>
    <row r="7471" spans="2:34" x14ac:dyDescent="0.2">
      <c r="B7471" s="2">
        <f ca="1"/>
        <v>0.72359061599159546</v>
      </c>
      <c r="O7471" s="2">
        <f ca="1"/>
        <v>0.25005684533424793</v>
      </c>
      <c r="X7471" s="2">
        <f ca="1"/>
        <v>41.693892861282961</v>
      </c>
      <c r="AG7471" s="2">
        <f ca="1"/>
        <v>0.84962235405990794</v>
      </c>
      <c r="AH7471" s="2" t="str">
        <f ca="1"/>
        <v>Bad</v>
      </c>
    </row>
    <row r="7472" spans="2:34" x14ac:dyDescent="0.2">
      <c r="B7472" s="2">
        <f ca="1"/>
        <v>0.80269688444981258</v>
      </c>
      <c r="O7472" s="2">
        <f ca="1"/>
        <v>-0.84965218092192885</v>
      </c>
      <c r="X7472" s="2">
        <f ca="1"/>
        <v>25.460677344311776</v>
      </c>
      <c r="AG7472" s="2">
        <f ca="1"/>
        <v>0.46355412190991285</v>
      </c>
      <c r="AH7472" s="2" t="str">
        <f ca="1"/>
        <v>Bad</v>
      </c>
    </row>
    <row r="7473" spans="2:34" x14ac:dyDescent="0.2">
      <c r="B7473" s="2">
        <f ca="1"/>
        <v>0.90425000467530703</v>
      </c>
      <c r="O7473" s="2">
        <f ca="1"/>
        <v>1.6401424144477648</v>
      </c>
      <c r="X7473" s="2">
        <f ca="1"/>
        <v>58.167719293459015</v>
      </c>
      <c r="AG7473" s="2">
        <f ca="1"/>
        <v>0.19265168561051982</v>
      </c>
      <c r="AH7473" s="2" t="str">
        <f ca="1"/>
        <v>OK</v>
      </c>
    </row>
    <row r="7474" spans="2:34" x14ac:dyDescent="0.2">
      <c r="B7474" s="2">
        <f ca="1"/>
        <v>0.69416253973596653</v>
      </c>
      <c r="O7474" s="2">
        <f ca="1"/>
        <v>1.602158652013957</v>
      </c>
      <c r="X7474" s="2">
        <f ca="1"/>
        <v>65.452059297766368</v>
      </c>
      <c r="AG7474" s="2">
        <f ca="1"/>
        <v>0.80989449418316339</v>
      </c>
      <c r="AH7474" s="2" t="str">
        <f ca="1"/>
        <v>Bad</v>
      </c>
    </row>
    <row r="7475" spans="2:34" x14ac:dyDescent="0.2">
      <c r="B7475" s="2">
        <f ca="1"/>
        <v>0.32420433592518494</v>
      </c>
      <c r="O7475" s="2">
        <f ca="1"/>
        <v>1.3336054086371401</v>
      </c>
      <c r="X7475" s="2">
        <f ca="1"/>
        <v>64.006996007341257</v>
      </c>
      <c r="AG7475" s="2">
        <f ca="1"/>
        <v>0.87836363620575808</v>
      </c>
      <c r="AH7475" s="2" t="str">
        <f ca="1"/>
        <v>Bad</v>
      </c>
    </row>
    <row r="7476" spans="2:34" x14ac:dyDescent="0.2">
      <c r="B7476" s="2">
        <f ca="1"/>
        <v>0.61344188418498247</v>
      </c>
      <c r="O7476" s="2">
        <f ca="1"/>
        <v>-1.1348288739597654</v>
      </c>
      <c r="X7476" s="2">
        <f ca="1"/>
        <v>53.063969293215543</v>
      </c>
      <c r="AG7476" s="2">
        <f ca="1"/>
        <v>0.78024057986969719</v>
      </c>
      <c r="AH7476" s="2" t="str">
        <f ca="1"/>
        <v>Bad</v>
      </c>
    </row>
    <row r="7477" spans="2:34" x14ac:dyDescent="0.2">
      <c r="B7477" s="2">
        <f ca="1"/>
        <v>0.97380244858683662</v>
      </c>
      <c r="O7477" s="2">
        <f ca="1"/>
        <v>-0.29748864434310518</v>
      </c>
      <c r="X7477" s="2">
        <f ca="1"/>
        <v>48.805574182932602</v>
      </c>
      <c r="AG7477" s="2">
        <f ca="1"/>
        <v>0.3460455445408257</v>
      </c>
      <c r="AH7477" s="2" t="str">
        <f ca="1"/>
        <v>OK</v>
      </c>
    </row>
    <row r="7478" spans="2:34" x14ac:dyDescent="0.2">
      <c r="B7478" s="2">
        <f ca="1"/>
        <v>0.85947598579868112</v>
      </c>
      <c r="O7478" s="2">
        <f ca="1"/>
        <v>0.19251165506268145</v>
      </c>
      <c r="X7478" s="2">
        <f ca="1"/>
        <v>58.46573278937889</v>
      </c>
      <c r="AG7478" s="2">
        <f ca="1"/>
        <v>0.56058473494864591</v>
      </c>
      <c r="AH7478" s="2" t="str">
        <f ca="1"/>
        <v>Bad</v>
      </c>
    </row>
    <row r="7479" spans="2:34" x14ac:dyDescent="0.2">
      <c r="B7479" s="2">
        <f ca="1"/>
        <v>0.87671590882084205</v>
      </c>
      <c r="O7479" s="2">
        <f ca="1"/>
        <v>-1.6606488455097148</v>
      </c>
      <c r="X7479" s="2">
        <f ca="1"/>
        <v>65.625987276872891</v>
      </c>
      <c r="AG7479" s="2">
        <f ca="1"/>
        <v>0.50394252748314061</v>
      </c>
      <c r="AH7479" s="2" t="str">
        <f ca="1"/>
        <v>Bad</v>
      </c>
    </row>
    <row r="7480" spans="2:34" x14ac:dyDescent="0.2">
      <c r="B7480" s="2">
        <f ca="1"/>
        <v>0.13510096164622754</v>
      </c>
      <c r="O7480" s="2">
        <f ca="1"/>
        <v>1.5179577736818444</v>
      </c>
      <c r="X7480" s="2">
        <f ca="1"/>
        <v>49.482473411346184</v>
      </c>
      <c r="AG7480" s="2">
        <f ca="1"/>
        <v>0.5279141181276612</v>
      </c>
      <c r="AH7480" s="2" t="str">
        <f ca="1"/>
        <v>Bad</v>
      </c>
    </row>
    <row r="7481" spans="2:34" x14ac:dyDescent="0.2">
      <c r="B7481" s="2">
        <f ca="1"/>
        <v>0.32402040577405766</v>
      </c>
      <c r="O7481" s="2">
        <f ca="1"/>
        <v>-0.31032265886239174</v>
      </c>
      <c r="X7481" s="2">
        <f ca="1"/>
        <v>68.877201608495469</v>
      </c>
      <c r="AG7481" s="2">
        <f ca="1"/>
        <v>0.77866426305576408</v>
      </c>
      <c r="AH7481" s="2" t="str">
        <f ca="1"/>
        <v>Bad</v>
      </c>
    </row>
    <row r="7482" spans="2:34" x14ac:dyDescent="0.2">
      <c r="B7482" s="2">
        <f ca="1"/>
        <v>0.94454979778507098</v>
      </c>
      <c r="O7482" s="2">
        <f ca="1"/>
        <v>0.77688157644448141</v>
      </c>
      <c r="X7482" s="2">
        <f ca="1"/>
        <v>69.310383289542131</v>
      </c>
      <c r="AG7482" s="2">
        <f ca="1"/>
        <v>0.31956315247323164</v>
      </c>
      <c r="AH7482" s="2" t="str">
        <f ca="1"/>
        <v>OK</v>
      </c>
    </row>
    <row r="7483" spans="2:34" x14ac:dyDescent="0.2">
      <c r="B7483" s="2">
        <f ca="1"/>
        <v>7.6997809042622656E-3</v>
      </c>
      <c r="O7483" s="2">
        <f ca="1"/>
        <v>-0.11803709496012472</v>
      </c>
      <c r="X7483" s="2">
        <f ca="1"/>
        <v>71.689928961913196</v>
      </c>
      <c r="AG7483" s="2">
        <f ca="1"/>
        <v>0.55824342099613111</v>
      </c>
      <c r="AH7483" s="2" t="str">
        <f ca="1"/>
        <v>Bad</v>
      </c>
    </row>
    <row r="7484" spans="2:34" x14ac:dyDescent="0.2">
      <c r="B7484" s="2">
        <f ca="1"/>
        <v>0.38412962700266706</v>
      </c>
      <c r="O7484" s="2">
        <f ca="1"/>
        <v>1.3402119625645723</v>
      </c>
      <c r="X7484" s="2">
        <f ca="1"/>
        <v>27.382999412361002</v>
      </c>
      <c r="AG7484" s="2">
        <f ca="1"/>
        <v>0.44789623684480784</v>
      </c>
      <c r="AH7484" s="2" t="str">
        <f ca="1"/>
        <v>Bad</v>
      </c>
    </row>
    <row r="7485" spans="2:34" x14ac:dyDescent="0.2">
      <c r="B7485" s="2">
        <f ca="1"/>
        <v>0.99737503532898075</v>
      </c>
      <c r="O7485" s="2">
        <f ca="1"/>
        <v>-1.1490434671327765</v>
      </c>
      <c r="X7485" s="2">
        <f ca="1"/>
        <v>51.76886811778126</v>
      </c>
      <c r="AG7485" s="2">
        <f ca="1"/>
        <v>0.82430054275178377</v>
      </c>
      <c r="AH7485" s="2" t="str">
        <f ca="1"/>
        <v>Bad</v>
      </c>
    </row>
    <row r="7486" spans="2:34" x14ac:dyDescent="0.2">
      <c r="B7486" s="2">
        <f ca="1"/>
        <v>4.1811309406157182E-2</v>
      </c>
      <c r="O7486" s="2">
        <f ca="1"/>
        <v>-0.89976948938750845</v>
      </c>
      <c r="X7486" s="2">
        <f ca="1"/>
        <v>52.59515904461847</v>
      </c>
      <c r="AG7486" s="2">
        <f ca="1"/>
        <v>0.78275087574148361</v>
      </c>
      <c r="AH7486" s="2" t="str">
        <f ca="1"/>
        <v>Bad</v>
      </c>
    </row>
    <row r="7487" spans="2:34" x14ac:dyDescent="0.2">
      <c r="B7487" s="2">
        <f ca="1"/>
        <v>3.9715457084271044E-2</v>
      </c>
      <c r="O7487" s="2">
        <f ca="1"/>
        <v>0.63573985934481059</v>
      </c>
      <c r="X7487" s="2">
        <f ca="1"/>
        <v>52.417154530598431</v>
      </c>
      <c r="AG7487" s="2">
        <f ca="1"/>
        <v>0.37807971210129421</v>
      </c>
      <c r="AH7487" s="2" t="str">
        <f ca="1"/>
        <v>OK</v>
      </c>
    </row>
    <row r="7488" spans="2:34" x14ac:dyDescent="0.2">
      <c r="B7488" s="2">
        <f ca="1"/>
        <v>4.0298868385759024E-2</v>
      </c>
      <c r="O7488" s="2">
        <f ca="1"/>
        <v>0.63149982067242383</v>
      </c>
      <c r="X7488" s="2">
        <f ca="1"/>
        <v>44.789063717228174</v>
      </c>
      <c r="AG7488" s="2">
        <f ca="1"/>
        <v>0.23735754655054175</v>
      </c>
      <c r="AH7488" s="2" t="str">
        <f ca="1"/>
        <v>OK</v>
      </c>
    </row>
    <row r="7489" spans="2:34" x14ac:dyDescent="0.2">
      <c r="B7489" s="2">
        <f ca="1"/>
        <v>0.6627176966341437</v>
      </c>
      <c r="O7489" s="2">
        <f ca="1"/>
        <v>-0.18582225815189635</v>
      </c>
      <c r="X7489" s="2">
        <f ca="1"/>
        <v>51.730722006402246</v>
      </c>
      <c r="AG7489" s="2">
        <f ca="1"/>
        <v>0.47252372865881909</v>
      </c>
      <c r="AH7489" s="2" t="str">
        <f ca="1"/>
        <v>Bad</v>
      </c>
    </row>
    <row r="7490" spans="2:34" x14ac:dyDescent="0.2">
      <c r="B7490" s="2">
        <f ca="1"/>
        <v>0.77244292393068803</v>
      </c>
      <c r="O7490" s="2">
        <f ca="1"/>
        <v>-7.2653367248952078E-2</v>
      </c>
      <c r="X7490" s="2">
        <f ca="1"/>
        <v>31.283490719588368</v>
      </c>
      <c r="AG7490" s="2">
        <f ca="1"/>
        <v>0.65250501954661311</v>
      </c>
      <c r="AH7490" s="2" t="str">
        <f ca="1"/>
        <v>Bad</v>
      </c>
    </row>
    <row r="7491" spans="2:34" x14ac:dyDescent="0.2">
      <c r="B7491" s="2">
        <f ca="1"/>
        <v>0.33407135897005658</v>
      </c>
      <c r="O7491" s="2">
        <f ca="1"/>
        <v>7.2006779206364863E-2</v>
      </c>
      <c r="X7491" s="2">
        <f ca="1"/>
        <v>46.644230927455581</v>
      </c>
      <c r="AG7491" s="2">
        <f ca="1"/>
        <v>0.64702853406681005</v>
      </c>
      <c r="AH7491" s="2" t="str">
        <f ca="1"/>
        <v>Bad</v>
      </c>
    </row>
    <row r="7492" spans="2:34" x14ac:dyDescent="0.2">
      <c r="B7492" s="2">
        <f ca="1"/>
        <v>0.26925721958275628</v>
      </c>
      <c r="O7492" s="2">
        <f ca="1"/>
        <v>-0.80858365930832943</v>
      </c>
      <c r="X7492" s="2">
        <f ca="1"/>
        <v>54.204837709401453</v>
      </c>
      <c r="AG7492" s="2">
        <f ca="1"/>
        <v>0.41338560477019315</v>
      </c>
      <c r="AH7492" s="2" t="str">
        <f ca="1"/>
        <v>Bad</v>
      </c>
    </row>
    <row r="7493" spans="2:34" x14ac:dyDescent="0.2">
      <c r="B7493" s="2">
        <f ca="1"/>
        <v>0.7898944996829238</v>
      </c>
      <c r="O7493" s="2">
        <f ca="1"/>
        <v>-1.3758602621433091</v>
      </c>
      <c r="X7493" s="2">
        <f ca="1"/>
        <v>50.488774424655702</v>
      </c>
      <c r="AG7493" s="2">
        <f ca="1"/>
        <v>0.39287069459290636</v>
      </c>
      <c r="AH7493" s="2" t="str">
        <f ca="1"/>
        <v>OK</v>
      </c>
    </row>
    <row r="7494" spans="2:34" x14ac:dyDescent="0.2">
      <c r="B7494" s="2">
        <f ca="1"/>
        <v>0.86149591810103443</v>
      </c>
      <c r="O7494" s="2">
        <f ca="1"/>
        <v>0.43338860274552365</v>
      </c>
      <c r="X7494" s="2">
        <f ca="1"/>
        <v>26.995366283348744</v>
      </c>
      <c r="AG7494" s="2">
        <f ca="1"/>
        <v>0.28348842276098862</v>
      </c>
      <c r="AH7494" s="2" t="str">
        <f ca="1"/>
        <v>OK</v>
      </c>
    </row>
    <row r="7495" spans="2:34" x14ac:dyDescent="0.2">
      <c r="B7495" s="2">
        <f ca="1"/>
        <v>0.18101804705241631</v>
      </c>
      <c r="O7495" s="2">
        <f ca="1"/>
        <v>0.1113367644164206</v>
      </c>
      <c r="X7495" s="2">
        <f ca="1"/>
        <v>39.557927011907836</v>
      </c>
      <c r="AG7495" s="2">
        <f ca="1"/>
        <v>0.24101318174190856</v>
      </c>
      <c r="AH7495" s="2" t="str">
        <f ca="1"/>
        <v>OK</v>
      </c>
    </row>
    <row r="7496" spans="2:34" x14ac:dyDescent="0.2">
      <c r="B7496" s="2">
        <f ca="1"/>
        <v>0.6121359582575181</v>
      </c>
      <c r="O7496" s="2">
        <f ca="1"/>
        <v>4.3615575691556361E-3</v>
      </c>
      <c r="X7496" s="2">
        <f ca="1"/>
        <v>56.990502794300895</v>
      </c>
      <c r="AG7496" s="2">
        <f ca="1"/>
        <v>0.63987510115843516</v>
      </c>
      <c r="AH7496" s="2" t="str">
        <f ca="1"/>
        <v>Bad</v>
      </c>
    </row>
    <row r="7497" spans="2:34" x14ac:dyDescent="0.2">
      <c r="B7497" s="2">
        <f ca="1"/>
        <v>8.2424647657899364E-3</v>
      </c>
      <c r="O7497" s="2">
        <f ca="1"/>
        <v>2.5902358350432726</v>
      </c>
      <c r="X7497" s="2">
        <f ca="1"/>
        <v>46.273695177430099</v>
      </c>
      <c r="AG7497" s="2">
        <f ca="1"/>
        <v>0.2723728359333939</v>
      </c>
      <c r="AH7497" s="2" t="str">
        <f ca="1"/>
        <v>OK</v>
      </c>
    </row>
    <row r="7498" spans="2:34" x14ac:dyDescent="0.2">
      <c r="B7498" s="2">
        <f ca="1"/>
        <v>0.38553722137421453</v>
      </c>
      <c r="O7498" s="2">
        <f ca="1"/>
        <v>-0.23237785971515817</v>
      </c>
      <c r="X7498" s="2">
        <f ca="1"/>
        <v>58.578881860321601</v>
      </c>
      <c r="AG7498" s="2">
        <f ca="1"/>
        <v>0.84246301248295286</v>
      </c>
      <c r="AH7498" s="2" t="str">
        <f ca="1"/>
        <v>Bad</v>
      </c>
    </row>
    <row r="7499" spans="2:34" x14ac:dyDescent="0.2">
      <c r="B7499" s="2">
        <f ca="1"/>
        <v>0.54982792583551277</v>
      </c>
      <c r="O7499" s="2">
        <f ca="1"/>
        <v>-0.38564109776297306</v>
      </c>
      <c r="X7499" s="2">
        <f ca="1"/>
        <v>39.761467237226896</v>
      </c>
      <c r="AG7499" s="2">
        <f ca="1"/>
        <v>6.1652089217940631E-3</v>
      </c>
      <c r="AH7499" s="2" t="str">
        <f ca="1"/>
        <v>Good</v>
      </c>
    </row>
    <row r="7500" spans="2:34" x14ac:dyDescent="0.2">
      <c r="B7500" s="2">
        <f ca="1"/>
        <v>0.70920457845570017</v>
      </c>
      <c r="O7500" s="2">
        <f ca="1"/>
        <v>-0.56957440597075171</v>
      </c>
      <c r="X7500" s="2">
        <f ca="1"/>
        <v>30.524803556792325</v>
      </c>
      <c r="AG7500" s="2">
        <f ca="1"/>
        <v>0.55415509651662331</v>
      </c>
      <c r="AH7500" s="2" t="str">
        <f ca="1"/>
        <v>Bad</v>
      </c>
    </row>
    <row r="7501" spans="2:34" x14ac:dyDescent="0.2">
      <c r="B7501" s="2">
        <f ca="1"/>
        <v>0.95891666558053457</v>
      </c>
      <c r="O7501" s="2">
        <f ca="1"/>
        <v>-1.2454693229044156</v>
      </c>
      <c r="X7501" s="2">
        <f ca="1"/>
        <v>78.248137324361423</v>
      </c>
      <c r="AG7501" s="2">
        <f ca="1"/>
        <v>0.38151564185598685</v>
      </c>
      <c r="AH7501" s="2" t="str">
        <f ca="1"/>
        <v>OK</v>
      </c>
    </row>
    <row r="7502" spans="2:34" x14ac:dyDescent="0.2">
      <c r="B7502" s="2">
        <f ca="1"/>
        <v>0.55807376595923031</v>
      </c>
      <c r="O7502" s="2">
        <f ca="1"/>
        <v>-0.23561706709615549</v>
      </c>
      <c r="X7502" s="2">
        <f ca="1"/>
        <v>47.477359735254261</v>
      </c>
      <c r="AG7502" s="2">
        <f ca="1"/>
        <v>0.45759370173623526</v>
      </c>
      <c r="AH7502" s="2" t="str">
        <f ca="1"/>
        <v>Bad</v>
      </c>
    </row>
    <row r="7503" spans="2:34" x14ac:dyDescent="0.2">
      <c r="B7503" s="2">
        <f ca="1"/>
        <v>0.51792867892055483</v>
      </c>
      <c r="O7503" s="2">
        <f ca="1"/>
        <v>0.51014494002787603</v>
      </c>
      <c r="X7503" s="2">
        <f ca="1"/>
        <v>48.001491511588839</v>
      </c>
      <c r="AG7503" s="2">
        <f ca="1"/>
        <v>0.68169448205000815</v>
      </c>
      <c r="AH7503" s="2" t="str">
        <f ca="1"/>
        <v>Bad</v>
      </c>
    </row>
    <row r="7504" spans="2:34" x14ac:dyDescent="0.2">
      <c r="B7504" s="2">
        <f ca="1"/>
        <v>9.70104902625748E-2</v>
      </c>
      <c r="O7504" s="2">
        <f ca="1"/>
        <v>-1.552746534082063</v>
      </c>
      <c r="X7504" s="2">
        <f ca="1"/>
        <v>33.636880482337588</v>
      </c>
      <c r="AG7504" s="2">
        <f ca="1"/>
        <v>0.12835384489207757</v>
      </c>
      <c r="AH7504" s="2" t="str">
        <f ca="1"/>
        <v>OK</v>
      </c>
    </row>
    <row r="7505" spans="2:34" x14ac:dyDescent="0.2">
      <c r="B7505" s="2">
        <f ca="1"/>
        <v>0.86284565556187265</v>
      </c>
      <c r="O7505" s="2">
        <f ca="1"/>
        <v>7.918803551056007E-2</v>
      </c>
      <c r="X7505" s="2">
        <f ca="1"/>
        <v>42.646806524189877</v>
      </c>
      <c r="AG7505" s="2">
        <f ca="1"/>
        <v>0.25586005491860675</v>
      </c>
      <c r="AH7505" s="2" t="str">
        <f ca="1"/>
        <v>OK</v>
      </c>
    </row>
    <row r="7506" spans="2:34" x14ac:dyDescent="0.2">
      <c r="B7506" s="2">
        <f ca="1"/>
        <v>0.75286620943604121</v>
      </c>
      <c r="O7506" s="2">
        <f ca="1"/>
        <v>2.2118950343310066</v>
      </c>
      <c r="X7506" s="2">
        <f ca="1"/>
        <v>49.333736476828072</v>
      </c>
      <c r="AG7506" s="2">
        <f ca="1"/>
        <v>0.65235576198180145</v>
      </c>
      <c r="AH7506" s="2" t="str">
        <f ca="1"/>
        <v>Bad</v>
      </c>
    </row>
    <row r="7507" spans="2:34" x14ac:dyDescent="0.2">
      <c r="B7507" s="2">
        <f ca="1"/>
        <v>9.7737712912332908E-2</v>
      </c>
      <c r="O7507" s="2">
        <f ca="1"/>
        <v>0.52760307942780782</v>
      </c>
      <c r="X7507" s="2">
        <f ca="1"/>
        <v>36.847969442308283</v>
      </c>
      <c r="AG7507" s="2">
        <f ca="1"/>
        <v>0.74108015366328783</v>
      </c>
      <c r="AH7507" s="2" t="str">
        <f ca="1"/>
        <v>Bad</v>
      </c>
    </row>
    <row r="7508" spans="2:34" x14ac:dyDescent="0.2">
      <c r="B7508" s="2">
        <f ca="1"/>
        <v>3.24510471481394E-2</v>
      </c>
      <c r="O7508" s="2">
        <f ca="1"/>
        <v>-0.21648900749326291</v>
      </c>
      <c r="X7508" s="2">
        <f ca="1"/>
        <v>36.886476579721048</v>
      </c>
      <c r="AG7508" s="2">
        <f ca="1"/>
        <v>0.88691029595107196</v>
      </c>
      <c r="AH7508" s="2" t="str">
        <f ca="1"/>
        <v>Bad</v>
      </c>
    </row>
    <row r="7509" spans="2:34" x14ac:dyDescent="0.2">
      <c r="B7509" s="2">
        <f ca="1"/>
        <v>0.69693891112015582</v>
      </c>
      <c r="O7509" s="2">
        <f ca="1"/>
        <v>1.1938372593064313</v>
      </c>
      <c r="X7509" s="2">
        <f ca="1"/>
        <v>39.202491113457484</v>
      </c>
      <c r="AG7509" s="2">
        <f ca="1"/>
        <v>0.16346941764370304</v>
      </c>
      <c r="AH7509" s="2" t="str">
        <f ca="1"/>
        <v>OK</v>
      </c>
    </row>
    <row r="7510" spans="2:34" x14ac:dyDescent="0.2">
      <c r="B7510" s="2">
        <f ca="1"/>
        <v>0.56808342636298415</v>
      </c>
      <c r="O7510" s="2">
        <f ca="1"/>
        <v>-0.84895845894411459</v>
      </c>
      <c r="X7510" s="2">
        <f ca="1"/>
        <v>32.288461932827545</v>
      </c>
      <c r="AG7510" s="2">
        <f ca="1"/>
        <v>0.52293807848989537</v>
      </c>
      <c r="AH7510" s="2" t="str">
        <f ca="1"/>
        <v>Bad</v>
      </c>
    </row>
    <row r="7511" spans="2:34" x14ac:dyDescent="0.2">
      <c r="B7511" s="2">
        <f ca="1"/>
        <v>7.6613739866313146E-2</v>
      </c>
      <c r="O7511" s="2">
        <f ca="1"/>
        <v>-0.48945092371141979</v>
      </c>
      <c r="X7511" s="2">
        <f ca="1"/>
        <v>41.115761686247929</v>
      </c>
      <c r="AG7511" s="2">
        <f ca="1"/>
        <v>0.78407793374169521</v>
      </c>
      <c r="AH7511" s="2" t="str">
        <f ca="1"/>
        <v>Bad</v>
      </c>
    </row>
    <row r="7512" spans="2:34" x14ac:dyDescent="0.2">
      <c r="B7512" s="2">
        <f ca="1"/>
        <v>0.39149787947467884</v>
      </c>
      <c r="O7512" s="2">
        <f ca="1"/>
        <v>0.29019586686648091</v>
      </c>
      <c r="X7512" s="2">
        <f ca="1"/>
        <v>30.853213048495903</v>
      </c>
      <c r="AG7512" s="2">
        <f ca="1"/>
        <v>0.96591499021478322</v>
      </c>
      <c r="AH7512" s="2" t="str">
        <f ca="1"/>
        <v>Bad</v>
      </c>
    </row>
    <row r="7513" spans="2:34" x14ac:dyDescent="0.2">
      <c r="B7513" s="2">
        <f ca="1"/>
        <v>0.91146833770371405</v>
      </c>
      <c r="O7513" s="2">
        <f ca="1"/>
        <v>1.7665655572477892</v>
      </c>
      <c r="X7513" s="2">
        <f ca="1"/>
        <v>96.930152448164776</v>
      </c>
      <c r="AG7513" s="2">
        <f ca="1"/>
        <v>0.14406977618045569</v>
      </c>
      <c r="AH7513" s="2" t="str">
        <f ca="1"/>
        <v>OK</v>
      </c>
    </row>
    <row r="7514" spans="2:34" x14ac:dyDescent="0.2">
      <c r="B7514" s="2">
        <f ca="1"/>
        <v>9.5231605621901361E-2</v>
      </c>
      <c r="O7514" s="2">
        <f ca="1"/>
        <v>-1.5115207717879107</v>
      </c>
      <c r="X7514" s="2">
        <f ca="1"/>
        <v>25.007368415041928</v>
      </c>
      <c r="AG7514" s="2">
        <f ca="1"/>
        <v>0.36448637252786287</v>
      </c>
      <c r="AH7514" s="2" t="str">
        <f ca="1"/>
        <v>OK</v>
      </c>
    </row>
    <row r="7515" spans="2:34" x14ac:dyDescent="0.2">
      <c r="B7515" s="2">
        <f ca="1"/>
        <v>0.33934183988956845</v>
      </c>
      <c r="O7515" s="2">
        <f ca="1"/>
        <v>0.96408004990700247</v>
      </c>
      <c r="X7515" s="2">
        <f ca="1"/>
        <v>47.046857810868481</v>
      </c>
      <c r="AG7515" s="2">
        <f ca="1"/>
        <v>0.98178067579271744</v>
      </c>
      <c r="AH7515" s="2" t="str">
        <f ca="1"/>
        <v>Bad</v>
      </c>
    </row>
    <row r="7516" spans="2:34" x14ac:dyDescent="0.2">
      <c r="B7516" s="2">
        <f ca="1"/>
        <v>0.14860032922711564</v>
      </c>
      <c r="O7516" s="2">
        <f ca="1"/>
        <v>-0.28104449002787529</v>
      </c>
      <c r="X7516" s="2">
        <f ca="1"/>
        <v>64.644017841858499</v>
      </c>
      <c r="AG7516" s="2">
        <f ca="1"/>
        <v>0.14624874512118513</v>
      </c>
      <c r="AH7516" s="2" t="str">
        <f ca="1"/>
        <v>OK</v>
      </c>
    </row>
    <row r="7517" spans="2:34" x14ac:dyDescent="0.2">
      <c r="B7517" s="2">
        <f ca="1"/>
        <v>0.87765109352272819</v>
      </c>
      <c r="O7517" s="2">
        <f ca="1"/>
        <v>3.3151670233388288</v>
      </c>
      <c r="X7517" s="2">
        <f ca="1"/>
        <v>54.137981167314699</v>
      </c>
      <c r="AG7517" s="2">
        <f ca="1"/>
        <v>0.56991761172066235</v>
      </c>
      <c r="AH7517" s="2" t="str">
        <f ca="1"/>
        <v>Bad</v>
      </c>
    </row>
    <row r="7518" spans="2:34" x14ac:dyDescent="0.2">
      <c r="B7518" s="2">
        <f ca="1"/>
        <v>0.95636023686731431</v>
      </c>
      <c r="O7518" s="2">
        <f ca="1"/>
        <v>0.82830193616375736</v>
      </c>
      <c r="X7518" s="2">
        <f ca="1"/>
        <v>51.667779387422826</v>
      </c>
      <c r="AG7518" s="2">
        <f ca="1"/>
        <v>0.75160367097894332</v>
      </c>
      <c r="AH7518" s="2" t="str">
        <f ca="1"/>
        <v>Bad</v>
      </c>
    </row>
    <row r="7519" spans="2:34" x14ac:dyDescent="0.2">
      <c r="B7519" s="2">
        <f ca="1"/>
        <v>8.0558959765524962E-2</v>
      </c>
      <c r="O7519" s="2">
        <f ca="1"/>
        <v>4.0901543468869907E-2</v>
      </c>
      <c r="X7519" s="2">
        <f ca="1"/>
        <v>60.096212842017991</v>
      </c>
      <c r="AG7519" s="2">
        <f ca="1"/>
        <v>0.19383151577502766</v>
      </c>
      <c r="AH7519" s="2" t="str">
        <f ca="1"/>
        <v>OK</v>
      </c>
    </row>
    <row r="7520" spans="2:34" x14ac:dyDescent="0.2">
      <c r="B7520" s="2">
        <f ca="1"/>
        <v>0.10034512236119131</v>
      </c>
      <c r="O7520" s="2">
        <f ca="1"/>
        <v>-1.1374892212041749</v>
      </c>
      <c r="X7520" s="2">
        <f ca="1"/>
        <v>113.60552300679541</v>
      </c>
      <c r="AG7520" s="2">
        <f ca="1"/>
        <v>0.28889652233637575</v>
      </c>
      <c r="AH7520" s="2" t="str">
        <f ca="1"/>
        <v>OK</v>
      </c>
    </row>
    <row r="7521" spans="2:34" x14ac:dyDescent="0.2">
      <c r="B7521" s="2">
        <f ca="1"/>
        <v>0.81230205232985031</v>
      </c>
      <c r="O7521" s="2">
        <f ca="1"/>
        <v>0.30256472609257962</v>
      </c>
      <c r="X7521" s="2">
        <f ca="1"/>
        <v>71.779586515702135</v>
      </c>
      <c r="AG7521" s="2">
        <f ca="1"/>
        <v>0.90456347389212066</v>
      </c>
      <c r="AH7521" s="2" t="str">
        <f ca="1"/>
        <v>Bad</v>
      </c>
    </row>
    <row r="7522" spans="2:34" x14ac:dyDescent="0.2">
      <c r="B7522" s="2">
        <f ca="1"/>
        <v>0.97755652759279466</v>
      </c>
      <c r="O7522" s="2">
        <f ca="1"/>
        <v>0.91655579947281018</v>
      </c>
      <c r="X7522" s="2">
        <f ca="1"/>
        <v>27.41818971531881</v>
      </c>
      <c r="AG7522" s="2">
        <f ca="1"/>
        <v>0.72860801493023364</v>
      </c>
      <c r="AH7522" s="2" t="str">
        <f ca="1"/>
        <v>Bad</v>
      </c>
    </row>
    <row r="7523" spans="2:34" x14ac:dyDescent="0.2">
      <c r="B7523" s="2">
        <f ca="1"/>
        <v>0.29866846677913084</v>
      </c>
      <c r="O7523" s="2">
        <f ca="1"/>
        <v>0.53591235678092342</v>
      </c>
      <c r="X7523" s="2">
        <f ca="1"/>
        <v>61.478622288035673</v>
      </c>
      <c r="AG7523" s="2">
        <f ca="1"/>
        <v>0.53083834177331224</v>
      </c>
      <c r="AH7523" s="2" t="str">
        <f ca="1"/>
        <v>Bad</v>
      </c>
    </row>
    <row r="7524" spans="2:34" x14ac:dyDescent="0.2">
      <c r="B7524" s="2">
        <f ca="1"/>
        <v>0.16324851460056</v>
      </c>
      <c r="O7524" s="2">
        <f ca="1"/>
        <v>1.0758237072225647</v>
      </c>
      <c r="X7524" s="2">
        <f ca="1"/>
        <v>49.215556454830917</v>
      </c>
      <c r="AG7524" s="2">
        <f ca="1"/>
        <v>0.85955709295938232</v>
      </c>
      <c r="AH7524" s="2" t="str">
        <f ca="1"/>
        <v>Bad</v>
      </c>
    </row>
    <row r="7525" spans="2:34" x14ac:dyDescent="0.2">
      <c r="B7525" s="2">
        <f ca="1"/>
        <v>0.86287954007211409</v>
      </c>
      <c r="O7525" s="2">
        <f ca="1"/>
        <v>-0.48003504861557933</v>
      </c>
      <c r="X7525" s="2">
        <f ca="1"/>
        <v>57.058400493411987</v>
      </c>
      <c r="AG7525" s="2">
        <f ca="1"/>
        <v>0.47151955509301224</v>
      </c>
      <c r="AH7525" s="2" t="str">
        <f ca="1"/>
        <v>Bad</v>
      </c>
    </row>
    <row r="7526" spans="2:34" x14ac:dyDescent="0.2">
      <c r="B7526" s="2">
        <f ca="1"/>
        <v>0.98457538675850342</v>
      </c>
      <c r="O7526" s="2">
        <f ca="1"/>
        <v>-0.12433215520443626</v>
      </c>
      <c r="X7526" s="2">
        <f ca="1"/>
        <v>95.78783435541267</v>
      </c>
      <c r="AG7526" s="2">
        <f ca="1"/>
        <v>0.90583082834881234</v>
      </c>
      <c r="AH7526" s="2" t="str">
        <f ca="1"/>
        <v>Bad</v>
      </c>
    </row>
    <row r="7527" spans="2:34" x14ac:dyDescent="0.2">
      <c r="B7527" s="2">
        <f ca="1"/>
        <v>0.84696152734107288</v>
      </c>
      <c r="O7527" s="2">
        <f ca="1"/>
        <v>1.1260820540900973</v>
      </c>
      <c r="X7527" s="2">
        <f ca="1"/>
        <v>44.93084814604056</v>
      </c>
      <c r="AG7527" s="2">
        <f ca="1"/>
        <v>0.31479947432664335</v>
      </c>
      <c r="AH7527" s="2" t="str">
        <f ca="1"/>
        <v>OK</v>
      </c>
    </row>
    <row r="7528" spans="2:34" x14ac:dyDescent="0.2">
      <c r="B7528" s="2">
        <f ca="1"/>
        <v>0.70745173969941288</v>
      </c>
      <c r="O7528" s="2">
        <f ca="1"/>
        <v>-0.61176179769029648</v>
      </c>
      <c r="X7528" s="2">
        <f ca="1"/>
        <v>43.133067564668309</v>
      </c>
      <c r="AG7528" s="2">
        <f ca="1"/>
        <v>0.97821490768891217</v>
      </c>
      <c r="AH7528" s="2" t="str">
        <f ca="1"/>
        <v>Bad</v>
      </c>
    </row>
    <row r="7529" spans="2:34" x14ac:dyDescent="0.2">
      <c r="B7529" s="2">
        <f ca="1"/>
        <v>6.6290158977145186E-2</v>
      </c>
      <c r="O7529" s="2">
        <f ca="1"/>
        <v>-0.61881335753803446</v>
      </c>
      <c r="X7529" s="2">
        <f ca="1"/>
        <v>36.692641189902737</v>
      </c>
      <c r="AG7529" s="2">
        <f ca="1"/>
        <v>0.81189026914602125</v>
      </c>
      <c r="AH7529" s="2" t="str">
        <f ca="1"/>
        <v>Bad</v>
      </c>
    </row>
    <row r="7530" spans="2:34" x14ac:dyDescent="0.2">
      <c r="B7530" s="2">
        <f ca="1"/>
        <v>0.63583508752697959</v>
      </c>
      <c r="O7530" s="2">
        <f ca="1"/>
        <v>1.8322141672621126</v>
      </c>
      <c r="X7530" s="2">
        <f ca="1"/>
        <v>32.160780301255947</v>
      </c>
      <c r="AG7530" s="2">
        <f ca="1"/>
        <v>0.67482871077025153</v>
      </c>
      <c r="AH7530" s="2" t="str">
        <f ca="1"/>
        <v>Bad</v>
      </c>
    </row>
    <row r="7531" spans="2:34" x14ac:dyDescent="0.2">
      <c r="B7531" s="2">
        <f ca="1"/>
        <v>0.47644913192790583</v>
      </c>
      <c r="O7531" s="2">
        <f ca="1"/>
        <v>0.81455818444238004</v>
      </c>
      <c r="X7531" s="2">
        <f ca="1"/>
        <v>42.976998822807104</v>
      </c>
      <c r="AG7531" s="2">
        <f ca="1"/>
        <v>0.52558427942898844</v>
      </c>
      <c r="AH7531" s="2" t="str">
        <f ca="1"/>
        <v>Bad</v>
      </c>
    </row>
    <row r="7532" spans="2:34" x14ac:dyDescent="0.2">
      <c r="B7532" s="2">
        <f ca="1"/>
        <v>0.58669144297520304</v>
      </c>
      <c r="O7532" s="2">
        <f ca="1"/>
        <v>-2.3245713932519179</v>
      </c>
      <c r="X7532" s="2">
        <f ca="1"/>
        <v>56.084965097595784</v>
      </c>
      <c r="AG7532" s="2">
        <f ca="1"/>
        <v>0.23520075713889677</v>
      </c>
      <c r="AH7532" s="2" t="str">
        <f ca="1"/>
        <v>OK</v>
      </c>
    </row>
    <row r="7533" spans="2:34" x14ac:dyDescent="0.2">
      <c r="B7533" s="2">
        <f ca="1"/>
        <v>1.7383057749254638E-2</v>
      </c>
      <c r="O7533" s="2">
        <f ca="1"/>
        <v>0.24612825042606051</v>
      </c>
      <c r="X7533" s="2">
        <f ca="1"/>
        <v>23.583987955862131</v>
      </c>
      <c r="AG7533" s="2">
        <f ca="1"/>
        <v>0.16714287649746207</v>
      </c>
      <c r="AH7533" s="2" t="str">
        <f ca="1"/>
        <v>OK</v>
      </c>
    </row>
    <row r="7534" spans="2:34" x14ac:dyDescent="0.2">
      <c r="B7534" s="2">
        <f ca="1"/>
        <v>0.50230829746285011</v>
      </c>
      <c r="O7534" s="2">
        <f ca="1"/>
        <v>-0.88676894843086362</v>
      </c>
      <c r="X7534" s="2">
        <f ca="1"/>
        <v>36.197367263799919</v>
      </c>
      <c r="AG7534" s="2">
        <f ca="1"/>
        <v>0.63112051356639509</v>
      </c>
      <c r="AH7534" s="2" t="str">
        <f ca="1"/>
        <v>Bad</v>
      </c>
    </row>
    <row r="7535" spans="2:34" x14ac:dyDescent="0.2">
      <c r="B7535" s="2">
        <f ca="1"/>
        <v>0.44940126343329334</v>
      </c>
      <c r="O7535" s="2">
        <f ca="1"/>
        <v>0.45830311789770445</v>
      </c>
      <c r="X7535" s="2">
        <f ca="1"/>
        <v>64.110916602962931</v>
      </c>
      <c r="AG7535" s="2">
        <f ca="1"/>
        <v>5.8643305527023903E-2</v>
      </c>
      <c r="AH7535" s="2" t="str">
        <f ca="1"/>
        <v>OK</v>
      </c>
    </row>
    <row r="7536" spans="2:34" x14ac:dyDescent="0.2">
      <c r="B7536" s="2">
        <f ca="1"/>
        <v>0.95813639285108487</v>
      </c>
      <c r="O7536" s="2">
        <f ca="1"/>
        <v>-1.4817914387863691</v>
      </c>
      <c r="X7536" s="2">
        <f ca="1"/>
        <v>58.244542668363053</v>
      </c>
      <c r="AG7536" s="2">
        <f ca="1"/>
        <v>0.54439474523992604</v>
      </c>
      <c r="AH7536" s="2" t="str">
        <f ca="1"/>
        <v>Bad</v>
      </c>
    </row>
    <row r="7537" spans="2:34" x14ac:dyDescent="0.2">
      <c r="B7537" s="2">
        <f ca="1"/>
        <v>0.38569185241231474</v>
      </c>
      <c r="O7537" s="2">
        <f ca="1"/>
        <v>-2.3748619803536659</v>
      </c>
      <c r="X7537" s="2">
        <f ca="1"/>
        <v>42.494283738166786</v>
      </c>
      <c r="AG7537" s="2">
        <f ca="1"/>
        <v>0.38753788301355963</v>
      </c>
      <c r="AH7537" s="2" t="str">
        <f ca="1"/>
        <v>OK</v>
      </c>
    </row>
    <row r="7538" spans="2:34" x14ac:dyDescent="0.2">
      <c r="B7538" s="2">
        <f ca="1"/>
        <v>8.8656577794293812E-2</v>
      </c>
      <c r="O7538" s="2">
        <f ca="1"/>
        <v>0.32317817093528178</v>
      </c>
      <c r="X7538" s="2">
        <f ca="1"/>
        <v>31.606564923398572</v>
      </c>
      <c r="AG7538" s="2">
        <f ca="1"/>
        <v>0.18653286025248583</v>
      </c>
      <c r="AH7538" s="2" t="str">
        <f ca="1"/>
        <v>OK</v>
      </c>
    </row>
    <row r="7539" spans="2:34" x14ac:dyDescent="0.2">
      <c r="B7539" s="2">
        <f ca="1"/>
        <v>0.31109818614252194</v>
      </c>
      <c r="O7539" s="2">
        <f ca="1"/>
        <v>2.1329018621611908</v>
      </c>
      <c r="X7539" s="2">
        <f ca="1"/>
        <v>74.371641038142656</v>
      </c>
      <c r="AG7539" s="2">
        <f ca="1"/>
        <v>0.18939890777694579</v>
      </c>
      <c r="AH7539" s="2" t="str">
        <f ca="1"/>
        <v>OK</v>
      </c>
    </row>
    <row r="7540" spans="2:34" x14ac:dyDescent="0.2">
      <c r="B7540" s="2">
        <f ca="1"/>
        <v>0.52735675831105699</v>
      </c>
      <c r="O7540" s="2">
        <f ca="1"/>
        <v>-0.41750623961505345</v>
      </c>
      <c r="X7540" s="2">
        <f ca="1"/>
        <v>70.473860852094646</v>
      </c>
      <c r="AG7540" s="2">
        <f ca="1"/>
        <v>0.65612228622022872</v>
      </c>
      <c r="AH7540" s="2" t="str">
        <f ca="1"/>
        <v>Bad</v>
      </c>
    </row>
    <row r="7541" spans="2:34" x14ac:dyDescent="0.2">
      <c r="B7541" s="2">
        <f ca="1"/>
        <v>0.95157564972344311</v>
      </c>
      <c r="O7541" s="2">
        <f ca="1"/>
        <v>-0.1402753848954392</v>
      </c>
      <c r="X7541" s="2">
        <f ca="1"/>
        <v>51.639933602188137</v>
      </c>
      <c r="AG7541" s="2">
        <f ca="1"/>
        <v>6.3616538993596317E-2</v>
      </c>
      <c r="AH7541" s="2" t="str">
        <f ca="1"/>
        <v>OK</v>
      </c>
    </row>
    <row r="7542" spans="2:34" x14ac:dyDescent="0.2">
      <c r="B7542" s="2">
        <f ca="1"/>
        <v>1.0044556607202271E-2</v>
      </c>
      <c r="O7542" s="2">
        <f ca="1"/>
        <v>-0.44809426751681508</v>
      </c>
      <c r="X7542" s="2">
        <f ca="1"/>
        <v>48.061581429064681</v>
      </c>
      <c r="AG7542" s="2">
        <f ca="1"/>
        <v>0.82854448204884923</v>
      </c>
      <c r="AH7542" s="2" t="str">
        <f ca="1"/>
        <v>Bad</v>
      </c>
    </row>
    <row r="7543" spans="2:34" x14ac:dyDescent="0.2">
      <c r="B7543" s="2">
        <f ca="1"/>
        <v>0.43184566027137072</v>
      </c>
      <c r="O7543" s="2">
        <f ca="1"/>
        <v>-0.23113336048136068</v>
      </c>
      <c r="X7543" s="2">
        <f ca="1"/>
        <v>54.510681600919227</v>
      </c>
      <c r="AG7543" s="2">
        <f ca="1"/>
        <v>0.12173151202680588</v>
      </c>
      <c r="AH7543" s="2" t="str">
        <f ca="1"/>
        <v>OK</v>
      </c>
    </row>
    <row r="7544" spans="2:34" x14ac:dyDescent="0.2">
      <c r="B7544" s="2">
        <f ca="1"/>
        <v>0.47862268391981466</v>
      </c>
      <c r="O7544" s="2">
        <f ca="1"/>
        <v>0.80343204097326226</v>
      </c>
      <c r="X7544" s="2">
        <f ca="1"/>
        <v>56.968904821556436</v>
      </c>
      <c r="AG7544" s="2">
        <f ca="1"/>
        <v>0.1338493545814754</v>
      </c>
      <c r="AH7544" s="2" t="str">
        <f ca="1"/>
        <v>OK</v>
      </c>
    </row>
    <row r="7545" spans="2:34" x14ac:dyDescent="0.2">
      <c r="B7545" s="2">
        <f ca="1"/>
        <v>0.21052489284192388</v>
      </c>
      <c r="O7545" s="2">
        <f ca="1"/>
        <v>-0.42513684514398536</v>
      </c>
      <c r="X7545" s="2">
        <f ca="1"/>
        <v>22.492216826286892</v>
      </c>
      <c r="AG7545" s="2">
        <f ca="1"/>
        <v>0.28200956692255952</v>
      </c>
      <c r="AH7545" s="2" t="str">
        <f ca="1"/>
        <v>OK</v>
      </c>
    </row>
    <row r="7546" spans="2:34" x14ac:dyDescent="0.2">
      <c r="B7546" s="2">
        <f ca="1"/>
        <v>0.96160268776160507</v>
      </c>
      <c r="O7546" s="2">
        <f ca="1"/>
        <v>-0.48814129027013164</v>
      </c>
      <c r="X7546" s="2">
        <f ca="1"/>
        <v>80.151334680933246</v>
      </c>
      <c r="AG7546" s="2">
        <f ca="1"/>
        <v>0.18468659843884394</v>
      </c>
      <c r="AH7546" s="2" t="str">
        <f ca="1"/>
        <v>OK</v>
      </c>
    </row>
    <row r="7547" spans="2:34" x14ac:dyDescent="0.2">
      <c r="B7547" s="2">
        <f ca="1"/>
        <v>0.88038918088555529</v>
      </c>
      <c r="O7547" s="2">
        <f ca="1"/>
        <v>1.4657968740402871</v>
      </c>
      <c r="X7547" s="2">
        <f ca="1"/>
        <v>41.797143196021963</v>
      </c>
      <c r="AG7547" s="2">
        <f ca="1"/>
        <v>0.16578459820144342</v>
      </c>
      <c r="AH7547" s="2" t="str">
        <f ca="1"/>
        <v>OK</v>
      </c>
    </row>
    <row r="7548" spans="2:34" x14ac:dyDescent="0.2">
      <c r="B7548" s="2">
        <f ca="1"/>
        <v>0.35451526217164031</v>
      </c>
      <c r="O7548" s="2">
        <f ca="1"/>
        <v>0.99488059856086097</v>
      </c>
      <c r="X7548" s="2">
        <f ca="1"/>
        <v>47.507572169184812</v>
      </c>
      <c r="AG7548" s="2">
        <f ca="1"/>
        <v>0.72165206577434371</v>
      </c>
      <c r="AH7548" s="2" t="str">
        <f ca="1"/>
        <v>Bad</v>
      </c>
    </row>
    <row r="7549" spans="2:34" x14ac:dyDescent="0.2">
      <c r="B7549" s="2">
        <f ca="1"/>
        <v>0.3736497942051018</v>
      </c>
      <c r="O7549" s="2">
        <f ca="1"/>
        <v>-0.43322105754312784</v>
      </c>
      <c r="X7549" s="2">
        <f ca="1"/>
        <v>37.400135010192777</v>
      </c>
      <c r="AG7549" s="2">
        <f ca="1"/>
        <v>0.90796485021073625</v>
      </c>
      <c r="AH7549" s="2" t="str">
        <f ca="1"/>
        <v>Bad</v>
      </c>
    </row>
    <row r="7550" spans="2:34" x14ac:dyDescent="0.2">
      <c r="B7550" s="2">
        <f ca="1"/>
        <v>0.16622071334861088</v>
      </c>
      <c r="O7550" s="2">
        <f ca="1"/>
        <v>0.35673464111309477</v>
      </c>
      <c r="X7550" s="2">
        <f ca="1"/>
        <v>38.286350138008821</v>
      </c>
      <c r="AG7550" s="2">
        <f ca="1"/>
        <v>0.54754783805234664</v>
      </c>
      <c r="AH7550" s="2" t="str">
        <f ca="1"/>
        <v>Bad</v>
      </c>
    </row>
    <row r="7551" spans="2:34" x14ac:dyDescent="0.2">
      <c r="B7551" s="2">
        <f ca="1"/>
        <v>0.95560040876780317</v>
      </c>
      <c r="O7551" s="2">
        <f ca="1"/>
        <v>-0.75882395365105004</v>
      </c>
      <c r="X7551" s="2">
        <f ca="1"/>
        <v>37.001122583088495</v>
      </c>
      <c r="AG7551" s="2">
        <f ca="1"/>
        <v>0.57998152242831713</v>
      </c>
      <c r="AH7551" s="2" t="str">
        <f ca="1"/>
        <v>Bad</v>
      </c>
    </row>
    <row r="7552" spans="2:34" x14ac:dyDescent="0.2">
      <c r="B7552" s="2">
        <f ca="1"/>
        <v>0.45382074336886968</v>
      </c>
      <c r="O7552" s="2">
        <f ca="1"/>
        <v>1.1027605856396028E-2</v>
      </c>
      <c r="X7552" s="2">
        <f ca="1"/>
        <v>39.289069693019584</v>
      </c>
      <c r="AG7552" s="2">
        <f ca="1"/>
        <v>0.19135365808913041</v>
      </c>
      <c r="AH7552" s="2" t="str">
        <f ca="1"/>
        <v>OK</v>
      </c>
    </row>
    <row r="7553" spans="2:34" x14ac:dyDescent="0.2">
      <c r="B7553" s="2">
        <f ca="1"/>
        <v>0.847939664969944</v>
      </c>
      <c r="O7553" s="2">
        <f ca="1"/>
        <v>-0.2777540544030157</v>
      </c>
      <c r="X7553" s="2">
        <f ca="1"/>
        <v>36.085075496441625</v>
      </c>
      <c r="AG7553" s="2">
        <f ca="1"/>
        <v>0.23640290934812169</v>
      </c>
      <c r="AH7553" s="2" t="str">
        <f ca="1"/>
        <v>OK</v>
      </c>
    </row>
    <row r="7554" spans="2:34" x14ac:dyDescent="0.2">
      <c r="B7554" s="2">
        <f ca="1"/>
        <v>0.55203720544216273</v>
      </c>
      <c r="O7554" s="2">
        <f ca="1"/>
        <v>-0.14081467412466395</v>
      </c>
      <c r="X7554" s="2">
        <f ca="1"/>
        <v>101.48955581882676</v>
      </c>
      <c r="AG7554" s="2">
        <f ca="1"/>
        <v>0.31421961336146698</v>
      </c>
      <c r="AH7554" s="2" t="str">
        <f ca="1"/>
        <v>OK</v>
      </c>
    </row>
    <row r="7555" spans="2:34" x14ac:dyDescent="0.2">
      <c r="B7555" s="2">
        <f ca="1"/>
        <v>0.92923643415949053</v>
      </c>
      <c r="O7555" s="2">
        <f ca="1"/>
        <v>-0.23291994185853321</v>
      </c>
      <c r="X7555" s="2">
        <f ca="1"/>
        <v>45.968720882457106</v>
      </c>
      <c r="AG7555" s="2">
        <f ca="1"/>
        <v>0.92699294446186231</v>
      </c>
      <c r="AH7555" s="2" t="str">
        <f ca="1"/>
        <v>Bad</v>
      </c>
    </row>
    <row r="7556" spans="2:34" x14ac:dyDescent="0.2">
      <c r="B7556" s="2">
        <f ca="1"/>
        <v>0.44321606132613245</v>
      </c>
      <c r="O7556" s="2">
        <f ca="1"/>
        <v>0.90281105818804996</v>
      </c>
      <c r="X7556" s="2">
        <f ca="1"/>
        <v>64.159451616480908</v>
      </c>
      <c r="AG7556" s="2">
        <f ca="1"/>
        <v>0.59647228534190888</v>
      </c>
      <c r="AH7556" s="2" t="str">
        <f ca="1"/>
        <v>Bad</v>
      </c>
    </row>
    <row r="7557" spans="2:34" x14ac:dyDescent="0.2">
      <c r="B7557" s="2">
        <f ca="1"/>
        <v>0.66997235852757697</v>
      </c>
      <c r="O7557" s="2">
        <f ca="1"/>
        <v>2.1622523801830087</v>
      </c>
      <c r="X7557" s="2">
        <f ca="1"/>
        <v>96.395022336699896</v>
      </c>
      <c r="AG7557" s="2">
        <f ca="1"/>
        <v>0.19936041729917564</v>
      </c>
      <c r="AH7557" s="2" t="str">
        <f ca="1"/>
        <v>OK</v>
      </c>
    </row>
    <row r="7558" spans="2:34" x14ac:dyDescent="0.2">
      <c r="B7558" s="2">
        <f ca="1"/>
        <v>0.6998093492533457</v>
      </c>
      <c r="O7558" s="2">
        <f ca="1"/>
        <v>-2.0561813106258082</v>
      </c>
      <c r="X7558" s="2">
        <f ca="1"/>
        <v>36.279718883782714</v>
      </c>
      <c r="AG7558" s="2">
        <f ca="1"/>
        <v>0.63562749207957059</v>
      </c>
      <c r="AH7558" s="2" t="str">
        <f ca="1"/>
        <v>Bad</v>
      </c>
    </row>
    <row r="7559" spans="2:34" x14ac:dyDescent="0.2">
      <c r="B7559" s="2">
        <f ca="1"/>
        <v>0.87808042814510623</v>
      </c>
      <c r="O7559" s="2">
        <f ca="1"/>
        <v>0.31535814857525474</v>
      </c>
      <c r="X7559" s="2">
        <f ca="1"/>
        <v>38.268814376154779</v>
      </c>
      <c r="AG7559" s="2">
        <f ca="1"/>
        <v>0.93351271815002623</v>
      </c>
      <c r="AH7559" s="2" t="str">
        <f ca="1"/>
        <v>Bad</v>
      </c>
    </row>
    <row r="7560" spans="2:34" x14ac:dyDescent="0.2">
      <c r="B7560" s="2">
        <f ca="1"/>
        <v>0.45313081191918525</v>
      </c>
      <c r="O7560" s="2">
        <f ca="1"/>
        <v>-0.342880102353739</v>
      </c>
      <c r="X7560" s="2">
        <f ca="1"/>
        <v>41.815363291286957</v>
      </c>
      <c r="AG7560" s="2">
        <f ca="1"/>
        <v>0.72548658935990118</v>
      </c>
      <c r="AH7560" s="2" t="str">
        <f ca="1"/>
        <v>Bad</v>
      </c>
    </row>
    <row r="7561" spans="2:34" x14ac:dyDescent="0.2">
      <c r="B7561" s="2">
        <f ca="1"/>
        <v>0.80594496954818107</v>
      </c>
      <c r="O7561" s="2">
        <f ca="1"/>
        <v>0.40422739940704283</v>
      </c>
      <c r="X7561" s="2">
        <f ca="1"/>
        <v>66.391462255070365</v>
      </c>
      <c r="AG7561" s="2">
        <f ca="1"/>
        <v>0.10877663231058032</v>
      </c>
      <c r="AH7561" s="2" t="str">
        <f ca="1"/>
        <v>OK</v>
      </c>
    </row>
    <row r="7562" spans="2:34" x14ac:dyDescent="0.2">
      <c r="B7562" s="2">
        <f ca="1"/>
        <v>0.10171053413436826</v>
      </c>
      <c r="O7562" s="2">
        <f ca="1"/>
        <v>-1.2424061595042362</v>
      </c>
      <c r="X7562" s="2">
        <f ca="1"/>
        <v>54.344929991702351</v>
      </c>
      <c r="AG7562" s="2">
        <f ca="1"/>
        <v>0.36960166040103104</v>
      </c>
      <c r="AH7562" s="2" t="str">
        <f ca="1"/>
        <v>OK</v>
      </c>
    </row>
    <row r="7563" spans="2:34" x14ac:dyDescent="0.2">
      <c r="B7563" s="2">
        <f ca="1"/>
        <v>0.72961029793041265</v>
      </c>
      <c r="O7563" s="2">
        <f ca="1"/>
        <v>-0.57994723570105822</v>
      </c>
      <c r="X7563" s="2">
        <f ca="1"/>
        <v>69.406349309178623</v>
      </c>
      <c r="AG7563" s="2">
        <f ca="1"/>
        <v>0.26702802506855394</v>
      </c>
      <c r="AH7563" s="2" t="str">
        <f ca="1"/>
        <v>OK</v>
      </c>
    </row>
    <row r="7564" spans="2:34" x14ac:dyDescent="0.2">
      <c r="B7564" s="2">
        <f ca="1"/>
        <v>0.55422154257358613</v>
      </c>
      <c r="O7564" s="2">
        <f ca="1"/>
        <v>1.1533220675023674</v>
      </c>
      <c r="X7564" s="2">
        <f ca="1"/>
        <v>62.965368392964834</v>
      </c>
      <c r="AG7564" s="2">
        <f ca="1"/>
        <v>0.50495875428152548</v>
      </c>
      <c r="AH7564" s="2" t="str">
        <f ca="1"/>
        <v>Bad</v>
      </c>
    </row>
    <row r="7565" spans="2:34" x14ac:dyDescent="0.2">
      <c r="B7565" s="2">
        <f ca="1"/>
        <v>0.70147515306324948</v>
      </c>
      <c r="O7565" s="2">
        <f ca="1"/>
        <v>6.0405435871072506E-2</v>
      </c>
      <c r="X7565" s="2">
        <f ca="1"/>
        <v>75.622154201143388</v>
      </c>
      <c r="AG7565" s="2">
        <f ca="1"/>
        <v>0.70593838670681919</v>
      </c>
      <c r="AH7565" s="2" t="str">
        <f ca="1"/>
        <v>Bad</v>
      </c>
    </row>
    <row r="7566" spans="2:34" x14ac:dyDescent="0.2">
      <c r="B7566" s="2">
        <f ca="1"/>
        <v>0.33362947401934173</v>
      </c>
      <c r="O7566" s="2">
        <f ca="1"/>
        <v>0.34788881087864254</v>
      </c>
      <c r="X7566" s="2">
        <f ca="1"/>
        <v>59.453660940851506</v>
      </c>
      <c r="AG7566" s="2">
        <f ca="1"/>
        <v>1.4737570929288291E-2</v>
      </c>
      <c r="AH7566" s="2" t="str">
        <f ca="1"/>
        <v>Good</v>
      </c>
    </row>
    <row r="7567" spans="2:34" x14ac:dyDescent="0.2">
      <c r="B7567" s="2">
        <f ca="1"/>
        <v>0.94521343492285514</v>
      </c>
      <c r="O7567" s="2">
        <f ca="1"/>
        <v>-0.79610571783765594</v>
      </c>
      <c r="X7567" s="2">
        <f ca="1"/>
        <v>37.597297625684888</v>
      </c>
      <c r="AG7567" s="2">
        <f ca="1"/>
        <v>0.45310293101081855</v>
      </c>
      <c r="AH7567" s="2" t="str">
        <f ca="1"/>
        <v>Bad</v>
      </c>
    </row>
    <row r="7568" spans="2:34" x14ac:dyDescent="0.2">
      <c r="B7568" s="2">
        <f ca="1"/>
        <v>0.61694718107208524</v>
      </c>
      <c r="O7568" s="2">
        <f ca="1"/>
        <v>-0.1135171297760362</v>
      </c>
      <c r="X7568" s="2">
        <f ca="1"/>
        <v>36.873076217614042</v>
      </c>
      <c r="AG7568" s="2">
        <f ca="1"/>
        <v>0.15489901752356316</v>
      </c>
      <c r="AH7568" s="2" t="str">
        <f ca="1"/>
        <v>OK</v>
      </c>
    </row>
    <row r="7569" spans="2:34" x14ac:dyDescent="0.2">
      <c r="B7569" s="2">
        <f ca="1"/>
        <v>0.55326376605936489</v>
      </c>
      <c r="O7569" s="2">
        <f ca="1"/>
        <v>-1.9823903982542905</v>
      </c>
      <c r="X7569" s="2">
        <f ca="1"/>
        <v>25.052173336119111</v>
      </c>
      <c r="AG7569" s="2">
        <f ca="1"/>
        <v>0.62992499741319996</v>
      </c>
      <c r="AH7569" s="2" t="str">
        <f ca="1"/>
        <v>Bad</v>
      </c>
    </row>
    <row r="7570" spans="2:34" x14ac:dyDescent="0.2">
      <c r="B7570" s="2">
        <f ca="1"/>
        <v>0.67176001204263502</v>
      </c>
      <c r="O7570" s="2">
        <f ca="1"/>
        <v>-0.33940531091518983</v>
      </c>
      <c r="X7570" s="2">
        <f ca="1"/>
        <v>34.88975732395803</v>
      </c>
      <c r="AG7570" s="2">
        <f ca="1"/>
        <v>0.46685238675287</v>
      </c>
      <c r="AH7570" s="2" t="str">
        <f ca="1"/>
        <v>Bad</v>
      </c>
    </row>
    <row r="7571" spans="2:34" x14ac:dyDescent="0.2">
      <c r="B7571" s="2">
        <f ca="1"/>
        <v>4.5568840929618659E-2</v>
      </c>
      <c r="O7571" s="2">
        <f ca="1"/>
        <v>1.1949988107120253</v>
      </c>
      <c r="X7571" s="2">
        <f ca="1"/>
        <v>50.9770604413497</v>
      </c>
      <c r="AG7571" s="2">
        <f ca="1"/>
        <v>0.57274681078813505</v>
      </c>
      <c r="AH7571" s="2" t="str">
        <f ca="1"/>
        <v>Bad</v>
      </c>
    </row>
    <row r="7572" spans="2:34" x14ac:dyDescent="0.2">
      <c r="B7572" s="2">
        <f ca="1"/>
        <v>0.95656948526835817</v>
      </c>
      <c r="O7572" s="2">
        <f ca="1"/>
        <v>0.25110679242946354</v>
      </c>
      <c r="X7572" s="2">
        <f ca="1"/>
        <v>24.359973879910338</v>
      </c>
      <c r="AG7572" s="2">
        <f ca="1"/>
        <v>0.8421017661182284</v>
      </c>
      <c r="AH7572" s="2" t="str">
        <f ca="1"/>
        <v>Bad</v>
      </c>
    </row>
    <row r="7573" spans="2:34" x14ac:dyDescent="0.2">
      <c r="B7573" s="2">
        <f ca="1"/>
        <v>0.35388354149108991</v>
      </c>
      <c r="O7573" s="2">
        <f ca="1"/>
        <v>2.1618434272122684</v>
      </c>
      <c r="X7573" s="2">
        <f ca="1"/>
        <v>34.403847756775043</v>
      </c>
      <c r="AG7573" s="2">
        <f ca="1"/>
        <v>2.7888597090558243E-2</v>
      </c>
      <c r="AH7573" s="2" t="str">
        <f ca="1"/>
        <v>Good</v>
      </c>
    </row>
    <row r="7574" spans="2:34" x14ac:dyDescent="0.2">
      <c r="B7574" s="2">
        <f ca="1"/>
        <v>0.10800192249759166</v>
      </c>
      <c r="O7574" s="2">
        <f ca="1"/>
        <v>0.51980764317012151</v>
      </c>
      <c r="X7574" s="2">
        <f ca="1"/>
        <v>62.588981752835799</v>
      </c>
      <c r="AG7574" s="2">
        <f ca="1"/>
        <v>0.87887109420234744</v>
      </c>
      <c r="AH7574" s="2" t="str">
        <f ca="1"/>
        <v>Bad</v>
      </c>
    </row>
    <row r="7575" spans="2:34" x14ac:dyDescent="0.2">
      <c r="B7575" s="2">
        <f ca="1"/>
        <v>0.88075728836580547</v>
      </c>
      <c r="O7575" s="2">
        <f ca="1"/>
        <v>0.40228638353059959</v>
      </c>
      <c r="X7575" s="2">
        <f ca="1"/>
        <v>39.767950882266597</v>
      </c>
      <c r="AG7575" s="2">
        <f ca="1"/>
        <v>0.77211361888225039</v>
      </c>
      <c r="AH7575" s="2" t="str">
        <f ca="1"/>
        <v>Bad</v>
      </c>
    </row>
    <row r="7576" spans="2:34" x14ac:dyDescent="0.2">
      <c r="B7576" s="2">
        <f ca="1"/>
        <v>0.73980551021694807</v>
      </c>
      <c r="O7576" s="2">
        <f ca="1"/>
        <v>-0.57415839533052493</v>
      </c>
      <c r="X7576" s="2">
        <f ca="1"/>
        <v>53.484233539006098</v>
      </c>
      <c r="AG7576" s="2">
        <f ca="1"/>
        <v>0.47985080092510679</v>
      </c>
      <c r="AH7576" s="2" t="str">
        <f ca="1"/>
        <v>Bad</v>
      </c>
    </row>
    <row r="7577" spans="2:34" x14ac:dyDescent="0.2">
      <c r="B7577" s="2">
        <f ca="1"/>
        <v>0.65697874818394997</v>
      </c>
      <c r="O7577" s="2">
        <f ca="1"/>
        <v>-1.0333755097713766</v>
      </c>
      <c r="X7577" s="2">
        <f ca="1"/>
        <v>42.999900609331107</v>
      </c>
      <c r="AG7577" s="2">
        <f ca="1"/>
        <v>0.32796763206300805</v>
      </c>
      <c r="AH7577" s="2" t="str">
        <f ca="1"/>
        <v>OK</v>
      </c>
    </row>
    <row r="7578" spans="2:34" x14ac:dyDescent="0.2">
      <c r="B7578" s="2">
        <f ca="1"/>
        <v>0.67318287713979674</v>
      </c>
      <c r="O7578" s="2">
        <f ca="1"/>
        <v>-0.15544146436959339</v>
      </c>
      <c r="X7578" s="2">
        <f ca="1"/>
        <v>50.121750700978623</v>
      </c>
      <c r="AG7578" s="2">
        <f ca="1"/>
        <v>0.12390673258768392</v>
      </c>
      <c r="AH7578" s="2" t="str">
        <f ca="1"/>
        <v>OK</v>
      </c>
    </row>
    <row r="7579" spans="2:34" x14ac:dyDescent="0.2">
      <c r="B7579" s="2">
        <f ca="1"/>
        <v>0.87572900887561955</v>
      </c>
      <c r="O7579" s="2">
        <f ca="1"/>
        <v>1.3149518455973934</v>
      </c>
      <c r="X7579" s="2">
        <f ca="1"/>
        <v>39.589237832037242</v>
      </c>
      <c r="AG7579" s="2">
        <f ca="1"/>
        <v>0.36611182015742072</v>
      </c>
      <c r="AH7579" s="2" t="str">
        <f ca="1"/>
        <v>OK</v>
      </c>
    </row>
    <row r="7580" spans="2:34" x14ac:dyDescent="0.2">
      <c r="B7580" s="2">
        <f ca="1"/>
        <v>0.74145720820894612</v>
      </c>
      <c r="O7580" s="2">
        <f ca="1"/>
        <v>-0.57438658068260062</v>
      </c>
      <c r="X7580" s="2">
        <f ca="1"/>
        <v>39.973322458026168</v>
      </c>
      <c r="AG7580" s="2">
        <f ca="1"/>
        <v>0.83866645601829592</v>
      </c>
      <c r="AH7580" s="2" t="str">
        <f ca="1"/>
        <v>Bad</v>
      </c>
    </row>
    <row r="7581" spans="2:34" x14ac:dyDescent="0.2">
      <c r="B7581" s="2">
        <f ca="1"/>
        <v>0.37140321674047372</v>
      </c>
      <c r="O7581" s="2">
        <f ca="1"/>
        <v>-0.44466228830168297</v>
      </c>
      <c r="X7581" s="2">
        <f ca="1"/>
        <v>58.548517415718059</v>
      </c>
      <c r="AG7581" s="2">
        <f ca="1"/>
        <v>0.92082909944610725</v>
      </c>
      <c r="AH7581" s="2" t="str">
        <f ca="1"/>
        <v>Bad</v>
      </c>
    </row>
    <row r="7582" spans="2:34" x14ac:dyDescent="0.2">
      <c r="B7582" s="2">
        <f ca="1"/>
        <v>0.3660675232211088</v>
      </c>
      <c r="O7582" s="2">
        <f ca="1"/>
        <v>-1.065673371588445</v>
      </c>
      <c r="X7582" s="2">
        <f ca="1"/>
        <v>35.023235356656421</v>
      </c>
      <c r="AG7582" s="2">
        <f ca="1"/>
        <v>0.46162059485788176</v>
      </c>
      <c r="AH7582" s="2" t="str">
        <f ca="1"/>
        <v>Bad</v>
      </c>
    </row>
    <row r="7583" spans="2:34" x14ac:dyDescent="0.2">
      <c r="B7583" s="2">
        <f ca="1"/>
        <v>3.3646141882521796E-3</v>
      </c>
      <c r="O7583" s="2">
        <f ca="1"/>
        <v>0.3085813053435707</v>
      </c>
      <c r="X7583" s="2">
        <f ca="1"/>
        <v>81.406694300812092</v>
      </c>
      <c r="AG7583" s="2">
        <f ca="1"/>
        <v>0.81173974160180529</v>
      </c>
      <c r="AH7583" s="2" t="str">
        <f ca="1"/>
        <v>Bad</v>
      </c>
    </row>
    <row r="7584" spans="2:34" x14ac:dyDescent="0.2">
      <c r="B7584" s="2">
        <f ca="1"/>
        <v>0.33883447322765958</v>
      </c>
      <c r="O7584" s="2">
        <f ca="1"/>
        <v>1.2282928539177287</v>
      </c>
      <c r="X7584" s="2">
        <f ca="1"/>
        <v>42.017238247475312</v>
      </c>
      <c r="AG7584" s="2">
        <f ca="1"/>
        <v>6.7021338977135692E-4</v>
      </c>
      <c r="AH7584" s="2" t="str">
        <f ca="1"/>
        <v>Good</v>
      </c>
    </row>
    <row r="7585" spans="2:34" x14ac:dyDescent="0.2">
      <c r="B7585" s="2">
        <f ca="1"/>
        <v>0.59765657071096756</v>
      </c>
      <c r="O7585" s="2">
        <f ca="1"/>
        <v>1.4643564720632456</v>
      </c>
      <c r="X7585" s="2">
        <f ca="1"/>
        <v>53.152122695389025</v>
      </c>
      <c r="AG7585" s="2">
        <f ca="1"/>
        <v>0.40436877602984866</v>
      </c>
      <c r="AH7585" s="2" t="str">
        <f ca="1"/>
        <v>Bad</v>
      </c>
    </row>
    <row r="7586" spans="2:34" x14ac:dyDescent="0.2">
      <c r="B7586" s="2">
        <f ca="1"/>
        <v>9.9306783177697033E-2</v>
      </c>
      <c r="O7586" s="2">
        <f ca="1"/>
        <v>0.67592473520258989</v>
      </c>
      <c r="X7586" s="2">
        <f ca="1"/>
        <v>67.044429208999105</v>
      </c>
      <c r="AG7586" s="2">
        <f ca="1"/>
        <v>0.1904417504039746</v>
      </c>
      <c r="AH7586" s="2" t="str">
        <f ca="1"/>
        <v>OK</v>
      </c>
    </row>
    <row r="7587" spans="2:34" x14ac:dyDescent="0.2">
      <c r="B7587" s="2">
        <f ca="1"/>
        <v>0.70404898521902748</v>
      </c>
      <c r="O7587" s="2">
        <f ca="1"/>
        <v>-1.8380312989266381</v>
      </c>
      <c r="X7587" s="2">
        <f ca="1"/>
        <v>62.5056165791338</v>
      </c>
      <c r="AG7587" s="2">
        <f ca="1"/>
        <v>0.58032177946057084</v>
      </c>
      <c r="AH7587" s="2" t="str">
        <f ca="1"/>
        <v>Bad</v>
      </c>
    </row>
    <row r="7588" spans="2:34" x14ac:dyDescent="0.2">
      <c r="B7588" s="2">
        <f ca="1"/>
        <v>0.49683998778674332</v>
      </c>
      <c r="O7588" s="2">
        <f ca="1"/>
        <v>-0.52964847057006781</v>
      </c>
      <c r="X7588" s="2">
        <f ca="1"/>
        <v>38.305852029118803</v>
      </c>
      <c r="AG7588" s="2">
        <f ca="1"/>
        <v>0.95179684940320719</v>
      </c>
      <c r="AH7588" s="2" t="str">
        <f ca="1"/>
        <v>Bad</v>
      </c>
    </row>
    <row r="7589" spans="2:34" x14ac:dyDescent="0.2">
      <c r="B7589" s="2">
        <f ca="1"/>
        <v>2.2471816436953507E-2</v>
      </c>
      <c r="O7589" s="2">
        <f ca="1"/>
        <v>2.182574327077806</v>
      </c>
      <c r="X7589" s="2">
        <f ca="1"/>
        <v>69.929767136560784</v>
      </c>
      <c r="AG7589" s="2">
        <f ca="1"/>
        <v>0.50023877485782009</v>
      </c>
      <c r="AH7589" s="2" t="str">
        <f ca="1"/>
        <v>Bad</v>
      </c>
    </row>
    <row r="7590" spans="2:34" x14ac:dyDescent="0.2">
      <c r="B7590" s="2">
        <f ca="1"/>
        <v>0.92426471390764386</v>
      </c>
      <c r="O7590" s="2">
        <f ca="1"/>
        <v>0.89570195579944711</v>
      </c>
      <c r="X7590" s="2">
        <f ca="1"/>
        <v>53.092412312800974</v>
      </c>
      <c r="AG7590" s="2">
        <f ca="1"/>
        <v>8.1388909542004839E-2</v>
      </c>
      <c r="AH7590" s="2" t="str">
        <f ca="1"/>
        <v>OK</v>
      </c>
    </row>
    <row r="7591" spans="2:34" x14ac:dyDescent="0.2">
      <c r="B7591" s="2">
        <f ca="1"/>
        <v>0.16531906822620202</v>
      </c>
      <c r="O7591" s="2">
        <f ca="1"/>
        <v>-0.20985986146128194</v>
      </c>
      <c r="X7591" s="2">
        <f ca="1"/>
        <v>61.174152097993911</v>
      </c>
      <c r="AG7591" s="2">
        <f ca="1"/>
        <v>0.79514189736726726</v>
      </c>
      <c r="AH7591" s="2" t="str">
        <f ca="1"/>
        <v>Bad</v>
      </c>
    </row>
    <row r="7592" spans="2:34" x14ac:dyDescent="0.2">
      <c r="B7592" s="2">
        <f ca="1"/>
        <v>0.8265378755622248</v>
      </c>
      <c r="O7592" s="2">
        <f ca="1"/>
        <v>0.92832267014136405</v>
      </c>
      <c r="X7592" s="2">
        <f ca="1"/>
        <v>38.028904142916687</v>
      </c>
      <c r="AG7592" s="2">
        <f ca="1"/>
        <v>0.71422265224353532</v>
      </c>
      <c r="AH7592" s="2" t="str">
        <f ca="1"/>
        <v>Bad</v>
      </c>
    </row>
    <row r="7593" spans="2:34" x14ac:dyDescent="0.2">
      <c r="B7593" s="2">
        <f ca="1"/>
        <v>0.6673660618061763</v>
      </c>
      <c r="O7593" s="2">
        <f ca="1"/>
        <v>0.2377710291135616</v>
      </c>
      <c r="X7593" s="2">
        <f ca="1"/>
        <v>50.89989583106415</v>
      </c>
      <c r="AG7593" s="2">
        <f ca="1"/>
        <v>0.37158476424024967</v>
      </c>
      <c r="AH7593" s="2" t="str">
        <f ca="1"/>
        <v>OK</v>
      </c>
    </row>
    <row r="7594" spans="2:34" x14ac:dyDescent="0.2">
      <c r="B7594" s="2">
        <f ca="1"/>
        <v>0.96995836281043446</v>
      </c>
      <c r="O7594" s="2">
        <f ca="1"/>
        <v>-5.3591191725082477E-2</v>
      </c>
      <c r="X7594" s="2">
        <f ca="1"/>
        <v>39.226378257382883</v>
      </c>
      <c r="AG7594" s="2">
        <f ca="1"/>
        <v>0.40696229311267484</v>
      </c>
      <c r="AH7594" s="2" t="str">
        <f ca="1"/>
        <v>Bad</v>
      </c>
    </row>
    <row r="7595" spans="2:34" x14ac:dyDescent="0.2">
      <c r="B7595" s="2">
        <f ca="1"/>
        <v>0.88476986799482704</v>
      </c>
      <c r="O7595" s="2">
        <f ca="1"/>
        <v>1.2156532980684185</v>
      </c>
      <c r="X7595" s="2">
        <f ca="1"/>
        <v>70.879487073636597</v>
      </c>
      <c r="AG7595" s="2">
        <f ca="1"/>
        <v>0.39690907726908264</v>
      </c>
      <c r="AH7595" s="2" t="str">
        <f ca="1"/>
        <v>OK</v>
      </c>
    </row>
    <row r="7596" spans="2:34" x14ac:dyDescent="0.2">
      <c r="B7596" s="2">
        <f ca="1"/>
        <v>0.39311249934565429</v>
      </c>
      <c r="O7596" s="2">
        <f ca="1"/>
        <v>0.2228475167553024</v>
      </c>
      <c r="X7596" s="2">
        <f ca="1"/>
        <v>41.2108677373812</v>
      </c>
      <c r="AG7596" s="2">
        <f ca="1"/>
        <v>0.11034477043251512</v>
      </c>
      <c r="AH7596" s="2" t="str">
        <f ca="1"/>
        <v>OK</v>
      </c>
    </row>
    <row r="7597" spans="2:34" x14ac:dyDescent="0.2">
      <c r="B7597" s="2">
        <f ca="1"/>
        <v>0.89187724653986167</v>
      </c>
      <c r="O7597" s="2">
        <f ca="1"/>
        <v>-0.32594703719933732</v>
      </c>
      <c r="X7597" s="2">
        <f ca="1"/>
        <v>65.734192814873623</v>
      </c>
      <c r="AG7597" s="2">
        <f ca="1"/>
        <v>0.34735885009608247</v>
      </c>
      <c r="AH7597" s="2" t="str">
        <f ca="1"/>
        <v>OK</v>
      </c>
    </row>
    <row r="7598" spans="2:34" x14ac:dyDescent="0.2">
      <c r="B7598" s="2">
        <f ca="1"/>
        <v>0.42334639665706564</v>
      </c>
      <c r="O7598" s="2">
        <f ca="1"/>
        <v>-0.67159155882036736</v>
      </c>
      <c r="X7598" s="2">
        <f ca="1"/>
        <v>33.636208314945151</v>
      </c>
      <c r="AG7598" s="2">
        <f ca="1"/>
        <v>0.24707801385627226</v>
      </c>
      <c r="AH7598" s="2" t="str">
        <f ca="1"/>
        <v>OK</v>
      </c>
    </row>
    <row r="7599" spans="2:34" x14ac:dyDescent="0.2">
      <c r="B7599" s="2">
        <f ca="1"/>
        <v>0.71580879456973512</v>
      </c>
      <c r="O7599" s="2">
        <f ca="1"/>
        <v>-0.89515133967993399</v>
      </c>
      <c r="X7599" s="2">
        <f ca="1"/>
        <v>49.303278473346083</v>
      </c>
      <c r="AG7599" s="2">
        <f ca="1"/>
        <v>0.18156810069571394</v>
      </c>
      <c r="AH7599" s="2" t="str">
        <f ca="1"/>
        <v>OK</v>
      </c>
    </row>
    <row r="7600" spans="2:34" x14ac:dyDescent="0.2">
      <c r="B7600" s="2">
        <f ca="1"/>
        <v>7.7741007784157823E-2</v>
      </c>
      <c r="O7600" s="2">
        <f ca="1"/>
        <v>0.17496596972025327</v>
      </c>
      <c r="X7600" s="2">
        <f ca="1"/>
        <v>47.709482845467271</v>
      </c>
      <c r="AG7600" s="2">
        <f ca="1"/>
        <v>0.19502606182380555</v>
      </c>
      <c r="AH7600" s="2" t="str">
        <f ca="1"/>
        <v>OK</v>
      </c>
    </row>
    <row r="7601" spans="2:34" x14ac:dyDescent="0.2">
      <c r="B7601" s="2">
        <f ca="1"/>
        <v>0.2782628007008221</v>
      </c>
      <c r="O7601" s="2">
        <f ca="1"/>
        <v>0.66454550206374097</v>
      </c>
      <c r="X7601" s="2">
        <f ca="1"/>
        <v>42.274576025995849</v>
      </c>
      <c r="AG7601" s="2">
        <f ca="1"/>
        <v>0.80933693943676799</v>
      </c>
      <c r="AH7601" s="2" t="str">
        <f ca="1"/>
        <v>Bad</v>
      </c>
    </row>
    <row r="7602" spans="2:34" x14ac:dyDescent="0.2">
      <c r="B7602" s="2">
        <f ca="1"/>
        <v>0.19506325935852531</v>
      </c>
      <c r="O7602" s="2">
        <f ca="1"/>
        <v>-1.6109748897040834</v>
      </c>
      <c r="X7602" s="2">
        <f ca="1"/>
        <v>39.567541594682986</v>
      </c>
      <c r="AG7602" s="2">
        <f ca="1"/>
        <v>0.75153073029879613</v>
      </c>
      <c r="AH7602" s="2" t="str">
        <f ca="1"/>
        <v>Bad</v>
      </c>
    </row>
    <row r="7603" spans="2:34" x14ac:dyDescent="0.2">
      <c r="B7603" s="2">
        <f ca="1"/>
        <v>0.26474012343744158</v>
      </c>
      <c r="O7603" s="2">
        <f ca="1"/>
        <v>-0.1431160540244634</v>
      </c>
      <c r="X7603" s="2">
        <f ca="1"/>
        <v>66.678854273541489</v>
      </c>
      <c r="AG7603" s="2">
        <f ca="1"/>
        <v>0.39622143775233076</v>
      </c>
      <c r="AH7603" s="2" t="str">
        <f ca="1"/>
        <v>OK</v>
      </c>
    </row>
    <row r="7604" spans="2:34" x14ac:dyDescent="0.2">
      <c r="B7604" s="2">
        <f ca="1"/>
        <v>0.41039754067125189</v>
      </c>
      <c r="O7604" s="2">
        <f ca="1"/>
        <v>-0.64860632779209015</v>
      </c>
      <c r="X7604" s="2">
        <f ca="1"/>
        <v>61.525040257427939</v>
      </c>
      <c r="AG7604" s="2">
        <f ca="1"/>
        <v>0.75227175797935586</v>
      </c>
      <c r="AH7604" s="2" t="str">
        <f ca="1"/>
        <v>Bad</v>
      </c>
    </row>
    <row r="7605" spans="2:34" x14ac:dyDescent="0.2">
      <c r="B7605" s="2">
        <f ca="1"/>
        <v>0.27373122029785457</v>
      </c>
      <c r="O7605" s="2">
        <f ca="1"/>
        <v>0.65891906160073876</v>
      </c>
      <c r="X7605" s="2">
        <f ca="1"/>
        <v>48.476004734019604</v>
      </c>
      <c r="AG7605" s="2">
        <f ca="1"/>
        <v>0.16139287044597839</v>
      </c>
      <c r="AH7605" s="2" t="str">
        <f ca="1"/>
        <v>OK</v>
      </c>
    </row>
    <row r="7606" spans="2:34" x14ac:dyDescent="0.2">
      <c r="B7606" s="2">
        <f ca="1"/>
        <v>0.28523952981635903</v>
      </c>
      <c r="O7606" s="2">
        <f ca="1"/>
        <v>0.63088817211287063</v>
      </c>
      <c r="X7606" s="2">
        <f ca="1"/>
        <v>48.994146178607238</v>
      </c>
      <c r="AG7606" s="2">
        <f ca="1"/>
        <v>0.32939911745783212</v>
      </c>
      <c r="AH7606" s="2" t="str">
        <f ca="1"/>
        <v>OK</v>
      </c>
    </row>
    <row r="7607" spans="2:34" x14ac:dyDescent="0.2">
      <c r="B7607" s="2">
        <f ca="1"/>
        <v>0.79555517555660482</v>
      </c>
      <c r="O7607" s="2">
        <f ca="1"/>
        <v>0.17852731740749822</v>
      </c>
      <c r="X7607" s="2">
        <f ca="1"/>
        <v>44.416068787674099</v>
      </c>
      <c r="AG7607" s="2">
        <f ca="1"/>
        <v>0.52760019453327467</v>
      </c>
      <c r="AH7607" s="2" t="str">
        <f ca="1"/>
        <v>Bad</v>
      </c>
    </row>
    <row r="7608" spans="2:34" x14ac:dyDescent="0.2">
      <c r="B7608" s="2">
        <f ca="1"/>
        <v>0.93810007889611602</v>
      </c>
      <c r="O7608" s="2">
        <f ca="1"/>
        <v>-0.44750630422269477</v>
      </c>
      <c r="X7608" s="2">
        <f ca="1"/>
        <v>57.356916269324984</v>
      </c>
      <c r="AG7608" s="2">
        <f ca="1"/>
        <v>0.44947910097595378</v>
      </c>
      <c r="AH7608" s="2" t="str">
        <f ca="1"/>
        <v>Bad</v>
      </c>
    </row>
    <row r="7609" spans="2:34" x14ac:dyDescent="0.2">
      <c r="B7609" s="2">
        <f ca="1"/>
        <v>5.9264899224860779E-2</v>
      </c>
      <c r="O7609" s="2">
        <f ca="1"/>
        <v>-0.31503290715613586</v>
      </c>
      <c r="X7609" s="2">
        <f ca="1"/>
        <v>63.702693845901564</v>
      </c>
      <c r="AG7609" s="2">
        <f ca="1"/>
        <v>0.2176105637324417</v>
      </c>
      <c r="AH7609" s="2" t="str">
        <f ca="1"/>
        <v>OK</v>
      </c>
    </row>
    <row r="7610" spans="2:34" x14ac:dyDescent="0.2">
      <c r="B7610" s="2">
        <f ca="1"/>
        <v>0.69334614234147085</v>
      </c>
      <c r="O7610" s="2">
        <f ca="1"/>
        <v>0.26874596439617671</v>
      </c>
      <c r="X7610" s="2">
        <f ca="1"/>
        <v>41.267054290873617</v>
      </c>
      <c r="AG7610" s="2">
        <f ca="1"/>
        <v>0.66594544396876998</v>
      </c>
      <c r="AH7610" s="2" t="str">
        <f ca="1"/>
        <v>Bad</v>
      </c>
    </row>
    <row r="7611" spans="2:34" x14ac:dyDescent="0.2">
      <c r="B7611" s="2">
        <f ca="1"/>
        <v>0.45213945900201047</v>
      </c>
      <c r="O7611" s="2">
        <f ca="1"/>
        <v>-0.39809545554868525</v>
      </c>
      <c r="X7611" s="2">
        <f ca="1"/>
        <v>32.584089870254864</v>
      </c>
      <c r="AG7611" s="2">
        <f ca="1"/>
        <v>0.83855333453529624</v>
      </c>
      <c r="AH7611" s="2" t="str">
        <f ca="1"/>
        <v>Bad</v>
      </c>
    </row>
    <row r="7612" spans="2:34" x14ac:dyDescent="0.2">
      <c r="B7612" s="2">
        <f ca="1"/>
        <v>0.58762697081482029</v>
      </c>
      <c r="O7612" s="2">
        <f ca="1"/>
        <v>-0.16062040428300059</v>
      </c>
      <c r="X7612" s="2">
        <f ca="1"/>
        <v>48.854095557066792</v>
      </c>
      <c r="AG7612" s="2">
        <f ca="1"/>
        <v>0.42477311264074991</v>
      </c>
      <c r="AH7612" s="2" t="str">
        <f ca="1"/>
        <v>Bad</v>
      </c>
    </row>
    <row r="7613" spans="2:34" x14ac:dyDescent="0.2">
      <c r="B7613" s="2">
        <f ca="1"/>
        <v>1.2207123253929586E-2</v>
      </c>
      <c r="O7613" s="2">
        <f ca="1"/>
        <v>-1.8418032261491526</v>
      </c>
      <c r="X7613" s="2">
        <f ca="1"/>
        <v>38.934788433185311</v>
      </c>
      <c r="AG7613" s="2">
        <f ca="1"/>
        <v>0.10000791847566259</v>
      </c>
      <c r="AH7613" s="2" t="str">
        <f ca="1"/>
        <v>OK</v>
      </c>
    </row>
    <row r="7614" spans="2:34" x14ac:dyDescent="0.2">
      <c r="B7614" s="2">
        <f ca="1"/>
        <v>0.61468752540966998</v>
      </c>
      <c r="O7614" s="2">
        <f ca="1"/>
        <v>0.26880108399904773</v>
      </c>
      <c r="X7614" s="2">
        <f ca="1"/>
        <v>58.885024391037078</v>
      </c>
      <c r="AG7614" s="2">
        <f ca="1"/>
        <v>0.65963943585452189</v>
      </c>
      <c r="AH7614" s="2" t="str">
        <f ca="1"/>
        <v>Bad</v>
      </c>
    </row>
    <row r="7615" spans="2:34" x14ac:dyDescent="0.2">
      <c r="B7615" s="2">
        <f ca="1"/>
        <v>0.45606732705378228</v>
      </c>
      <c r="O7615" s="2">
        <f ca="1"/>
        <v>-0.29140583571707279</v>
      </c>
      <c r="X7615" s="2">
        <f ca="1"/>
        <v>70.453724787623017</v>
      </c>
      <c r="AG7615" s="2">
        <f ca="1"/>
        <v>0.77276187247236594</v>
      </c>
      <c r="AH7615" s="2" t="str">
        <f ca="1"/>
        <v>Bad</v>
      </c>
    </row>
    <row r="7616" spans="2:34" x14ac:dyDescent="0.2">
      <c r="B7616" s="2">
        <f ca="1"/>
        <v>0.28926940129411127</v>
      </c>
      <c r="O7616" s="2">
        <f ca="1"/>
        <v>0.3752339922226397</v>
      </c>
      <c r="X7616" s="2">
        <f ca="1"/>
        <v>60.648403541557236</v>
      </c>
      <c r="AG7616" s="2">
        <f ca="1"/>
        <v>3.201128944135001E-2</v>
      </c>
      <c r="AH7616" s="2" t="str">
        <f ca="1"/>
        <v>Good</v>
      </c>
    </row>
    <row r="7617" spans="2:34" x14ac:dyDescent="0.2">
      <c r="B7617" s="2">
        <f ca="1"/>
        <v>0.52605317827572451</v>
      </c>
      <c r="O7617" s="2">
        <f ca="1"/>
        <v>0.11578484603598667</v>
      </c>
      <c r="X7617" s="2">
        <f ca="1"/>
        <v>28.020390552656348</v>
      </c>
      <c r="AG7617" s="2">
        <f ca="1"/>
        <v>0.37579071728738334</v>
      </c>
      <c r="AH7617" s="2" t="str">
        <f ca="1"/>
        <v>OK</v>
      </c>
    </row>
    <row r="7618" spans="2:34" x14ac:dyDescent="0.2">
      <c r="B7618" s="2">
        <f ca="1"/>
        <v>0.38788502361411736</v>
      </c>
      <c r="O7618" s="2">
        <f ca="1"/>
        <v>-0.40000755728524495</v>
      </c>
      <c r="X7618" s="2">
        <f ca="1"/>
        <v>42.909229371311959</v>
      </c>
      <c r="AG7618" s="2">
        <f ca="1"/>
        <v>0.79655922445361926</v>
      </c>
      <c r="AH7618" s="2" t="str">
        <f ca="1"/>
        <v>Bad</v>
      </c>
    </row>
    <row r="7619" spans="2:34" x14ac:dyDescent="0.2">
      <c r="B7619" s="2">
        <f ca="1"/>
        <v>0.47113087492340733</v>
      </c>
      <c r="O7619" s="2">
        <f ca="1"/>
        <v>0.31965815126543839</v>
      </c>
      <c r="X7619" s="2">
        <f ca="1"/>
        <v>57.667311778272023</v>
      </c>
      <c r="AG7619" s="2">
        <f ca="1"/>
        <v>0.77062801719480278</v>
      </c>
      <c r="AH7619" s="2" t="str">
        <f ca="1"/>
        <v>Bad</v>
      </c>
    </row>
    <row r="7620" spans="2:34" x14ac:dyDescent="0.2">
      <c r="B7620" s="2">
        <f ca="1"/>
        <v>0.7542537909461835</v>
      </c>
      <c r="O7620" s="2">
        <f ca="1"/>
        <v>0.73039976450233013</v>
      </c>
      <c r="X7620" s="2">
        <f ca="1"/>
        <v>58.382952173488647</v>
      </c>
      <c r="AG7620" s="2">
        <f ca="1"/>
        <v>0.74768793808552192</v>
      </c>
      <c r="AH7620" s="2" t="str">
        <f ca="1"/>
        <v>Bad</v>
      </c>
    </row>
    <row r="7621" spans="2:34" x14ac:dyDescent="0.2">
      <c r="B7621" s="2">
        <f ca="1"/>
        <v>0.19191371897594744</v>
      </c>
      <c r="O7621" s="2">
        <f ca="1"/>
        <v>0.31967738851524435</v>
      </c>
      <c r="X7621" s="2">
        <f ca="1"/>
        <v>17.557886234242844</v>
      </c>
      <c r="AG7621" s="2">
        <f ca="1"/>
        <v>0.35799949219749472</v>
      </c>
      <c r="AH7621" s="2" t="str">
        <f ca="1"/>
        <v>OK</v>
      </c>
    </row>
    <row r="7622" spans="2:34" x14ac:dyDescent="0.2">
      <c r="B7622" s="2">
        <f ca="1"/>
        <v>0.49061085895228396</v>
      </c>
      <c r="O7622" s="2">
        <f ca="1"/>
        <v>-0.40718000296314749</v>
      </c>
      <c r="X7622" s="2">
        <f ca="1"/>
        <v>57.618641535774543</v>
      </c>
      <c r="AG7622" s="2">
        <f ca="1"/>
        <v>0.20293832249433663</v>
      </c>
      <c r="AH7622" s="2" t="str">
        <f ca="1"/>
        <v>OK</v>
      </c>
    </row>
    <row r="7623" spans="2:34" x14ac:dyDescent="0.2">
      <c r="B7623" s="2">
        <f ca="1"/>
        <v>0.47039893026462454</v>
      </c>
      <c r="O7623" s="2">
        <f ca="1"/>
        <v>-0.27920711674761001</v>
      </c>
      <c r="X7623" s="2">
        <f ca="1"/>
        <v>40.136650496886958</v>
      </c>
      <c r="AG7623" s="2">
        <f ca="1"/>
        <v>0.58056430098498457</v>
      </c>
      <c r="AH7623" s="2" t="str">
        <f ca="1"/>
        <v>Bad</v>
      </c>
    </row>
    <row r="7624" spans="2:34" x14ac:dyDescent="0.2">
      <c r="B7624" s="2">
        <f ca="1"/>
        <v>1.1461716939690225E-2</v>
      </c>
      <c r="O7624" s="2">
        <f ca="1"/>
        <v>-1.2834482915071279</v>
      </c>
      <c r="X7624" s="2">
        <f ca="1"/>
        <v>58.150228578890875</v>
      </c>
      <c r="AG7624" s="2">
        <f ca="1"/>
        <v>0.27184239369881436</v>
      </c>
      <c r="AH7624" s="2" t="str">
        <f ca="1"/>
        <v>OK</v>
      </c>
    </row>
    <row r="7625" spans="2:34" x14ac:dyDescent="0.2">
      <c r="B7625" s="2">
        <f ca="1"/>
        <v>0.94439048402847403</v>
      </c>
      <c r="O7625" s="2">
        <f ca="1"/>
        <v>-1.4848099803400612</v>
      </c>
      <c r="X7625" s="2">
        <f ca="1"/>
        <v>43.881886786082745</v>
      </c>
      <c r="AG7625" s="2">
        <f ca="1"/>
        <v>0.91123377732407551</v>
      </c>
      <c r="AH7625" s="2" t="str">
        <f ca="1"/>
        <v>Bad</v>
      </c>
    </row>
    <row r="7626" spans="2:34" x14ac:dyDescent="0.2">
      <c r="B7626" s="2">
        <f ca="1"/>
        <v>0.80636916595764063</v>
      </c>
      <c r="O7626" s="2">
        <f ca="1"/>
        <v>0.393934436937659</v>
      </c>
      <c r="X7626" s="2">
        <f ca="1"/>
        <v>54.255402960309105</v>
      </c>
      <c r="AG7626" s="2">
        <f ca="1"/>
        <v>0.6310938594842046</v>
      </c>
      <c r="AH7626" s="2" t="str">
        <f ca="1"/>
        <v>Bad</v>
      </c>
    </row>
    <row r="7627" spans="2:34" x14ac:dyDescent="0.2">
      <c r="B7627" s="2">
        <f ca="1"/>
        <v>0.68532155050425847</v>
      </c>
      <c r="O7627" s="2">
        <f ca="1"/>
        <v>0.72873052609959599</v>
      </c>
      <c r="X7627" s="2">
        <f ca="1"/>
        <v>38.877729325433357</v>
      </c>
      <c r="AG7627" s="2">
        <f ca="1"/>
        <v>0.17453767041259338</v>
      </c>
      <c r="AH7627" s="2" t="str">
        <f ca="1"/>
        <v>OK</v>
      </c>
    </row>
    <row r="7628" spans="2:34" x14ac:dyDescent="0.2">
      <c r="B7628" s="2">
        <f ca="1"/>
        <v>0.40948300368145074</v>
      </c>
      <c r="O7628" s="2">
        <f ca="1"/>
        <v>-0.37045712275198822</v>
      </c>
      <c r="X7628" s="2">
        <f ca="1"/>
        <v>37.462648989762648</v>
      </c>
      <c r="AG7628" s="2">
        <f ca="1"/>
        <v>0.60842994038308551</v>
      </c>
      <c r="AH7628" s="2" t="str">
        <f ca="1"/>
        <v>Bad</v>
      </c>
    </row>
    <row r="7629" spans="2:34" x14ac:dyDescent="0.2">
      <c r="B7629" s="2">
        <f ca="1"/>
        <v>0.32745571124567774</v>
      </c>
      <c r="O7629" s="2">
        <f ca="1"/>
        <v>1.5451506874561327</v>
      </c>
      <c r="X7629" s="2">
        <f ca="1"/>
        <v>50.583236171757903</v>
      </c>
      <c r="AG7629" s="2">
        <f ca="1"/>
        <v>0.18038764612416647</v>
      </c>
      <c r="AH7629" s="2" t="str">
        <f ca="1"/>
        <v>OK</v>
      </c>
    </row>
    <row r="7630" spans="2:34" x14ac:dyDescent="0.2">
      <c r="B7630" s="2">
        <f ca="1"/>
        <v>0.33625071756340863</v>
      </c>
      <c r="O7630" s="2">
        <f ca="1"/>
        <v>-0.18619649588225437</v>
      </c>
      <c r="X7630" s="2">
        <f ca="1"/>
        <v>68.276772717082665</v>
      </c>
      <c r="AG7630" s="2">
        <f ca="1"/>
        <v>0.73492259146914907</v>
      </c>
      <c r="AH7630" s="2" t="str">
        <f ca="1"/>
        <v>Bad</v>
      </c>
    </row>
    <row r="7631" spans="2:34" x14ac:dyDescent="0.2">
      <c r="B7631" s="2">
        <f ca="1"/>
        <v>0.8563832891448222</v>
      </c>
      <c r="O7631" s="2">
        <f ca="1"/>
        <v>1.4446559554971696</v>
      </c>
      <c r="X7631" s="2">
        <f ca="1"/>
        <v>57.382748083395754</v>
      </c>
      <c r="AG7631" s="2">
        <f ca="1"/>
        <v>9.6008647616174114E-2</v>
      </c>
      <c r="AH7631" s="2" t="str">
        <f ca="1"/>
        <v>OK</v>
      </c>
    </row>
    <row r="7632" spans="2:34" x14ac:dyDescent="0.2">
      <c r="B7632" s="2">
        <f ca="1"/>
        <v>8.3837009496061432E-2</v>
      </c>
      <c r="O7632" s="2">
        <f ca="1"/>
        <v>-0.67861389384846571</v>
      </c>
      <c r="X7632" s="2">
        <f ca="1"/>
        <v>43.489917675071709</v>
      </c>
      <c r="AG7632" s="2">
        <f ca="1"/>
        <v>0.28993267891087093</v>
      </c>
      <c r="AH7632" s="2" t="str">
        <f ca="1"/>
        <v>OK</v>
      </c>
    </row>
    <row r="7633" spans="2:34" x14ac:dyDescent="0.2">
      <c r="B7633" s="2">
        <f ca="1"/>
        <v>0.84504601833727788</v>
      </c>
      <c r="O7633" s="2">
        <f ca="1"/>
        <v>-0.77578693711256708</v>
      </c>
      <c r="X7633" s="2">
        <f ca="1"/>
        <v>59.901616377024069</v>
      </c>
      <c r="AG7633" s="2">
        <f ca="1"/>
        <v>0.69950650131121939</v>
      </c>
      <c r="AH7633" s="2" t="str">
        <f ca="1"/>
        <v>Bad</v>
      </c>
    </row>
    <row r="7634" spans="2:34" x14ac:dyDescent="0.2">
      <c r="B7634" s="2">
        <f ca="1"/>
        <v>0.94068040358584937</v>
      </c>
      <c r="O7634" s="2">
        <f ca="1"/>
        <v>0.46122167905478234</v>
      </c>
      <c r="X7634" s="2">
        <f ca="1"/>
        <v>16.740677608385532</v>
      </c>
      <c r="AG7634" s="2">
        <f ca="1"/>
        <v>0.14379069598470129</v>
      </c>
      <c r="AH7634" s="2" t="str">
        <f ca="1"/>
        <v>OK</v>
      </c>
    </row>
    <row r="7635" spans="2:34" x14ac:dyDescent="0.2">
      <c r="B7635" s="2">
        <f ca="1"/>
        <v>0.65650845811269676</v>
      </c>
      <c r="O7635" s="2">
        <f ca="1"/>
        <v>-1.2692797166598075</v>
      </c>
      <c r="X7635" s="2">
        <f ca="1"/>
        <v>61.021258768496274</v>
      </c>
      <c r="AG7635" s="2">
        <f ca="1"/>
        <v>0.53559207163339373</v>
      </c>
      <c r="AH7635" s="2" t="str">
        <f ca="1"/>
        <v>Bad</v>
      </c>
    </row>
    <row r="7636" spans="2:34" x14ac:dyDescent="0.2">
      <c r="B7636" s="2">
        <f ca="1"/>
        <v>1.9612860120945541E-3</v>
      </c>
      <c r="O7636" s="2">
        <f ca="1"/>
        <v>-1.1278949404244225</v>
      </c>
      <c r="X7636" s="2">
        <f ca="1"/>
        <v>78.738910002245674</v>
      </c>
      <c r="AG7636" s="2">
        <f ca="1"/>
        <v>0.39526145888033981</v>
      </c>
      <c r="AH7636" s="2" t="str">
        <f ca="1"/>
        <v>OK</v>
      </c>
    </row>
    <row r="7637" spans="2:34" x14ac:dyDescent="0.2">
      <c r="B7637" s="2">
        <f ca="1"/>
        <v>0.4989826266488917</v>
      </c>
      <c r="O7637" s="2">
        <f ca="1"/>
        <v>1.1665054114861264</v>
      </c>
      <c r="X7637" s="2">
        <f ca="1"/>
        <v>70.209414950262925</v>
      </c>
      <c r="AG7637" s="2">
        <f ca="1"/>
        <v>5.1905592526253264E-2</v>
      </c>
      <c r="AH7637" s="2" t="str">
        <f ca="1"/>
        <v>OK</v>
      </c>
    </row>
    <row r="7638" spans="2:34" x14ac:dyDescent="0.2">
      <c r="B7638" s="2">
        <f ca="1"/>
        <v>0.70178015064334232</v>
      </c>
      <c r="O7638" s="2">
        <f ca="1"/>
        <v>-0.36326351553227187</v>
      </c>
      <c r="X7638" s="2">
        <f ca="1"/>
        <v>41.076346465026717</v>
      </c>
      <c r="AG7638" s="2">
        <f ca="1"/>
        <v>0.95820801901867347</v>
      </c>
      <c r="AH7638" s="2" t="str">
        <f ca="1"/>
        <v>Bad</v>
      </c>
    </row>
    <row r="7639" spans="2:34" x14ac:dyDescent="0.2">
      <c r="B7639" s="2">
        <f ca="1"/>
        <v>0.37788894312469234</v>
      </c>
      <c r="O7639" s="2">
        <f ca="1"/>
        <v>-0.68542967974635627</v>
      </c>
      <c r="X7639" s="2">
        <f ca="1"/>
        <v>34.927520957984768</v>
      </c>
      <c r="AG7639" s="2">
        <f ca="1"/>
        <v>0.68097243412453312</v>
      </c>
      <c r="AH7639" s="2" t="str">
        <f ca="1"/>
        <v>Bad</v>
      </c>
    </row>
    <row r="7640" spans="2:34" x14ac:dyDescent="0.2">
      <c r="B7640" s="2">
        <f ca="1"/>
        <v>0.15003763777663526</v>
      </c>
      <c r="O7640" s="2">
        <f ca="1"/>
        <v>0.71896844019597628</v>
      </c>
      <c r="X7640" s="2">
        <f ca="1"/>
        <v>32.767291411695602</v>
      </c>
      <c r="AG7640" s="2">
        <f ca="1"/>
        <v>0.29022199242881075</v>
      </c>
      <c r="AH7640" s="2" t="str">
        <f ca="1"/>
        <v>OK</v>
      </c>
    </row>
    <row r="7641" spans="2:34" x14ac:dyDescent="0.2">
      <c r="B7641" s="2">
        <f ca="1"/>
        <v>0.98226928857126694</v>
      </c>
      <c r="O7641" s="2">
        <f ca="1"/>
        <v>-0.72765508073661667</v>
      </c>
      <c r="X7641" s="2">
        <f ca="1"/>
        <v>29.864043024500887</v>
      </c>
      <c r="AG7641" s="2">
        <f ca="1"/>
        <v>0.19220551009405251</v>
      </c>
      <c r="AH7641" s="2" t="str">
        <f ca="1"/>
        <v>OK</v>
      </c>
    </row>
    <row r="7642" spans="2:34" x14ac:dyDescent="0.2">
      <c r="B7642" s="2">
        <f ca="1"/>
        <v>0.82170316422742018</v>
      </c>
      <c r="O7642" s="2">
        <f ca="1"/>
        <v>0.3022276096844298</v>
      </c>
      <c r="X7642" s="2">
        <f ca="1"/>
        <v>25.013389575252511</v>
      </c>
      <c r="AG7642" s="2">
        <f ca="1"/>
        <v>0.41764960915124716</v>
      </c>
      <c r="AH7642" s="2" t="str">
        <f ca="1"/>
        <v>Bad</v>
      </c>
    </row>
    <row r="7643" spans="2:34" x14ac:dyDescent="0.2">
      <c r="B7643" s="2">
        <f ca="1"/>
        <v>0.26192060554841268</v>
      </c>
      <c r="O7643" s="2">
        <f ca="1"/>
        <v>7.9649940556825824E-2</v>
      </c>
      <c r="X7643" s="2">
        <f ca="1"/>
        <v>45.976334721224802</v>
      </c>
      <c r="AG7643" s="2">
        <f ca="1"/>
        <v>0.76035733702545771</v>
      </c>
      <c r="AH7643" s="2" t="str">
        <f ca="1"/>
        <v>Bad</v>
      </c>
    </row>
    <row r="7644" spans="2:34" x14ac:dyDescent="0.2">
      <c r="B7644" s="2">
        <f ca="1"/>
        <v>0.63723930828048525</v>
      </c>
      <c r="O7644" s="2">
        <f ca="1"/>
        <v>1.8105308660350963</v>
      </c>
      <c r="X7644" s="2">
        <f ca="1"/>
        <v>51.961591365012794</v>
      </c>
      <c r="AG7644" s="2">
        <f ca="1"/>
        <v>0.12128800013776941</v>
      </c>
      <c r="AH7644" s="2" t="str">
        <f ca="1"/>
        <v>OK</v>
      </c>
    </row>
    <row r="7645" spans="2:34" x14ac:dyDescent="0.2">
      <c r="B7645" s="2">
        <f ca="1"/>
        <v>0.80132114177860858</v>
      </c>
      <c r="O7645" s="2">
        <f ca="1"/>
        <v>0.16366531809568405</v>
      </c>
      <c r="X7645" s="2">
        <f ca="1"/>
        <v>40.432627563387989</v>
      </c>
      <c r="AG7645" s="2">
        <f ca="1"/>
        <v>0.28168025213976677</v>
      </c>
      <c r="AH7645" s="2" t="str">
        <f ca="1"/>
        <v>OK</v>
      </c>
    </row>
    <row r="7646" spans="2:34" x14ac:dyDescent="0.2">
      <c r="B7646" s="2">
        <f ca="1"/>
        <v>0.18617856951026335</v>
      </c>
      <c r="O7646" s="2">
        <f ca="1"/>
        <v>-1.2487554171060016</v>
      </c>
      <c r="X7646" s="2">
        <f ca="1"/>
        <v>42.866277547684142</v>
      </c>
      <c r="AG7646" s="2">
        <f ca="1"/>
        <v>0.21460606013323003</v>
      </c>
      <c r="AH7646" s="2" t="str">
        <f ca="1"/>
        <v>OK</v>
      </c>
    </row>
    <row r="7647" spans="2:34" x14ac:dyDescent="0.2">
      <c r="B7647" s="2">
        <f ca="1"/>
        <v>0.62480913640980096</v>
      </c>
      <c r="O7647" s="2">
        <f ca="1"/>
        <v>-0.41884475669057936</v>
      </c>
      <c r="X7647" s="2">
        <f ca="1"/>
        <v>40.556494328217184</v>
      </c>
      <c r="AG7647" s="2">
        <f ca="1"/>
        <v>0.90362570177201818</v>
      </c>
      <c r="AH7647" s="2" t="str">
        <f ca="1"/>
        <v>Bad</v>
      </c>
    </row>
    <row r="7648" spans="2:34" x14ac:dyDescent="0.2">
      <c r="B7648" s="2">
        <f ca="1"/>
        <v>0.27050033680195607</v>
      </c>
      <c r="O7648" s="2">
        <f ca="1"/>
        <v>-0.23650196084186548</v>
      </c>
      <c r="X7648" s="2">
        <f ca="1"/>
        <v>67.872208635802338</v>
      </c>
      <c r="AG7648" s="2">
        <f ca="1"/>
        <v>0.60516946486524059</v>
      </c>
      <c r="AH7648" s="2" t="str">
        <f ca="1"/>
        <v>Bad</v>
      </c>
    </row>
    <row r="7649" spans="2:34" x14ac:dyDescent="0.2">
      <c r="B7649" s="2">
        <f ca="1"/>
        <v>0.80352171334116651</v>
      </c>
      <c r="O7649" s="2">
        <f ca="1"/>
        <v>0.19727392985960801</v>
      </c>
      <c r="X7649" s="2">
        <f ca="1"/>
        <v>79.067988684186503</v>
      </c>
      <c r="AG7649" s="2">
        <f ca="1"/>
        <v>0.49366141949434961</v>
      </c>
      <c r="AH7649" s="2" t="str">
        <f ca="1"/>
        <v>Bad</v>
      </c>
    </row>
    <row r="7650" spans="2:34" x14ac:dyDescent="0.2">
      <c r="B7650" s="2">
        <f ca="1"/>
        <v>0.91503235230104263</v>
      </c>
      <c r="O7650" s="2">
        <f ca="1"/>
        <v>-0.53152882981177063</v>
      </c>
      <c r="X7650" s="2">
        <f ca="1"/>
        <v>59.893709199027086</v>
      </c>
      <c r="AG7650" s="2">
        <f ca="1"/>
        <v>0.9313390245093629</v>
      </c>
      <c r="AH7650" s="2" t="str">
        <f ca="1"/>
        <v>Bad</v>
      </c>
    </row>
    <row r="7651" spans="2:34" x14ac:dyDescent="0.2">
      <c r="B7651" s="2">
        <f ca="1"/>
        <v>5.0716102244605654E-2</v>
      </c>
      <c r="O7651" s="2">
        <f ca="1"/>
        <v>-1.4375307672547322</v>
      </c>
      <c r="X7651" s="2">
        <f ca="1"/>
        <v>48.45576666239613</v>
      </c>
      <c r="AG7651" s="2">
        <f ca="1"/>
        <v>3.9291546562585378E-3</v>
      </c>
      <c r="AH7651" s="2" t="str">
        <f ca="1"/>
        <v>Good</v>
      </c>
    </row>
    <row r="7652" spans="2:34" x14ac:dyDescent="0.2">
      <c r="B7652" s="2">
        <f ca="1"/>
        <v>8.1986781524279184E-2</v>
      </c>
      <c r="O7652" s="2">
        <f ca="1"/>
        <v>-1.2357275430897132</v>
      </c>
      <c r="X7652" s="2">
        <f ca="1"/>
        <v>53.377251169712025</v>
      </c>
      <c r="AG7652" s="2">
        <f ca="1"/>
        <v>0.7192209792809876</v>
      </c>
      <c r="AH7652" s="2" t="str">
        <f ca="1"/>
        <v>Bad</v>
      </c>
    </row>
    <row r="7653" spans="2:34" x14ac:dyDescent="0.2">
      <c r="B7653" s="2">
        <f ca="1"/>
        <v>0.94666123712327188</v>
      </c>
      <c r="O7653" s="2">
        <f ca="1"/>
        <v>-0.50053685302974382</v>
      </c>
      <c r="X7653" s="2">
        <f ca="1"/>
        <v>47.568913667090044</v>
      </c>
      <c r="AG7653" s="2">
        <f ca="1"/>
        <v>0.16240277246668522</v>
      </c>
      <c r="AH7653" s="2" t="str">
        <f ca="1"/>
        <v>OK</v>
      </c>
    </row>
    <row r="7654" spans="2:34" x14ac:dyDescent="0.2">
      <c r="B7654" s="2">
        <f ca="1"/>
        <v>0.62933857690084083</v>
      </c>
      <c r="O7654" s="2">
        <f ca="1"/>
        <v>0.15275672591506514</v>
      </c>
      <c r="X7654" s="2">
        <f ca="1"/>
        <v>89.155565677634812</v>
      </c>
      <c r="AG7654" s="2">
        <f ca="1"/>
        <v>0.28877579563142319</v>
      </c>
      <c r="AH7654" s="2" t="str">
        <f ca="1"/>
        <v>OK</v>
      </c>
    </row>
    <row r="7655" spans="2:34" x14ac:dyDescent="0.2">
      <c r="B7655" s="2">
        <f ca="1"/>
        <v>0.62401401416819646</v>
      </c>
      <c r="O7655" s="2">
        <f ca="1"/>
        <v>-8.3485536746526007E-2</v>
      </c>
      <c r="X7655" s="2">
        <f ca="1"/>
        <v>26.786661262160941</v>
      </c>
      <c r="AG7655" s="2">
        <f ca="1"/>
        <v>0.25746547328429603</v>
      </c>
      <c r="AH7655" s="2" t="str">
        <f ca="1"/>
        <v>OK</v>
      </c>
    </row>
    <row r="7656" spans="2:34" x14ac:dyDescent="0.2">
      <c r="B7656" s="2">
        <f ca="1"/>
        <v>0.94790497293015319</v>
      </c>
      <c r="O7656" s="2">
        <f ca="1"/>
        <v>0.38645858376495512</v>
      </c>
      <c r="X7656" s="2">
        <f ca="1"/>
        <v>71.350880765367179</v>
      </c>
      <c r="AG7656" s="2">
        <f ca="1"/>
        <v>0.39207951208773539</v>
      </c>
      <c r="AH7656" s="2" t="str">
        <f ca="1"/>
        <v>OK</v>
      </c>
    </row>
    <row r="7657" spans="2:34" x14ac:dyDescent="0.2">
      <c r="B7657" s="2">
        <f ca="1"/>
        <v>0.31401273395722828</v>
      </c>
      <c r="O7657" s="2">
        <f ca="1"/>
        <v>-1.1711463308422487</v>
      </c>
      <c r="X7657" s="2">
        <f ca="1"/>
        <v>34.96197106096308</v>
      </c>
      <c r="AG7657" s="2">
        <f ca="1"/>
        <v>0.26425546156275614</v>
      </c>
      <c r="AH7657" s="2" t="str">
        <f ca="1"/>
        <v>OK</v>
      </c>
    </row>
    <row r="7658" spans="2:34" x14ac:dyDescent="0.2">
      <c r="B7658" s="2">
        <f ca="1"/>
        <v>0.42052126388632161</v>
      </c>
      <c r="O7658" s="2">
        <f ca="1"/>
        <v>-0.11498230212495443</v>
      </c>
      <c r="X7658" s="2">
        <f ca="1"/>
        <v>64.335466355086709</v>
      </c>
      <c r="AG7658" s="2">
        <f ca="1"/>
        <v>0.42076932515819521</v>
      </c>
      <c r="AH7658" s="2" t="str">
        <f ca="1"/>
        <v>Bad</v>
      </c>
    </row>
    <row r="7659" spans="2:34" x14ac:dyDescent="0.2">
      <c r="B7659" s="2">
        <f ca="1"/>
        <v>0.26017534136720677</v>
      </c>
      <c r="O7659" s="2">
        <f ca="1"/>
        <v>0.31114326188831398</v>
      </c>
      <c r="X7659" s="2">
        <f ca="1"/>
        <v>54.909757723197657</v>
      </c>
      <c r="AG7659" s="2">
        <f ca="1"/>
        <v>0.37296388277058146</v>
      </c>
      <c r="AH7659" s="2" t="str">
        <f ca="1"/>
        <v>OK</v>
      </c>
    </row>
    <row r="7660" spans="2:34" x14ac:dyDescent="0.2">
      <c r="B7660" s="2">
        <f ca="1"/>
        <v>0.3544046751963652</v>
      </c>
      <c r="O7660" s="2">
        <f ca="1"/>
        <v>0.7801067650809832</v>
      </c>
      <c r="X7660" s="2">
        <f ca="1"/>
        <v>55.933344654040823</v>
      </c>
      <c r="AG7660" s="2">
        <f ca="1"/>
        <v>0.77554679833498197</v>
      </c>
      <c r="AH7660" s="2" t="str">
        <f ca="1"/>
        <v>Bad</v>
      </c>
    </row>
    <row r="7661" spans="2:34" x14ac:dyDescent="0.2">
      <c r="B7661" s="2">
        <f ca="1"/>
        <v>0.40169062411568102</v>
      </c>
      <c r="O7661" s="2">
        <f ca="1"/>
        <v>0.54076924926960168</v>
      </c>
      <c r="X7661" s="2">
        <f ca="1"/>
        <v>44.795565474121744</v>
      </c>
      <c r="AG7661" s="2">
        <f ca="1"/>
        <v>0.7034409015159746</v>
      </c>
      <c r="AH7661" s="2" t="str">
        <f ca="1"/>
        <v>Bad</v>
      </c>
    </row>
    <row r="7662" spans="2:34" x14ac:dyDescent="0.2">
      <c r="B7662" s="2">
        <f ca="1"/>
        <v>0.24319311305098457</v>
      </c>
      <c r="O7662" s="2">
        <f ca="1"/>
        <v>0.1773198024496915</v>
      </c>
      <c r="X7662" s="2">
        <f ca="1"/>
        <v>62.22011637956583</v>
      </c>
      <c r="AG7662" s="2">
        <f ca="1"/>
        <v>0.55916976791175466</v>
      </c>
      <c r="AH7662" s="2" t="str">
        <f ca="1"/>
        <v>Bad</v>
      </c>
    </row>
    <row r="7663" spans="2:34" x14ac:dyDescent="0.2">
      <c r="B7663" s="2">
        <f ca="1"/>
        <v>0.18351422533205297</v>
      </c>
      <c r="O7663" s="2">
        <f ca="1"/>
        <v>1.4024519910751134</v>
      </c>
      <c r="X7663" s="2">
        <f ca="1"/>
        <v>73.892144852047082</v>
      </c>
      <c r="AG7663" s="2">
        <f ca="1"/>
        <v>0.32546087952397085</v>
      </c>
      <c r="AH7663" s="2" t="str">
        <f ca="1"/>
        <v>OK</v>
      </c>
    </row>
    <row r="7664" spans="2:34" x14ac:dyDescent="0.2">
      <c r="B7664" s="2">
        <f ca="1"/>
        <v>0.24997315081813465</v>
      </c>
      <c r="O7664" s="2">
        <f ca="1"/>
        <v>-0.39777500972212848</v>
      </c>
      <c r="X7664" s="2">
        <f ca="1"/>
        <v>37.661061775925646</v>
      </c>
      <c r="AG7664" s="2">
        <f ca="1"/>
        <v>0.69523323833907158</v>
      </c>
      <c r="AH7664" s="2" t="str">
        <f ca="1"/>
        <v>Bad</v>
      </c>
    </row>
    <row r="7665" spans="2:34" x14ac:dyDescent="0.2">
      <c r="B7665" s="2">
        <f ca="1"/>
        <v>0.90896270819186054</v>
      </c>
      <c r="O7665" s="2">
        <f ca="1"/>
        <v>1.023363510199521E-2</v>
      </c>
      <c r="X7665" s="2">
        <f ca="1"/>
        <v>44.887504571604794</v>
      </c>
      <c r="AG7665" s="2">
        <f ca="1"/>
        <v>0.14227330268963145</v>
      </c>
      <c r="AH7665" s="2" t="str">
        <f ca="1"/>
        <v>OK</v>
      </c>
    </row>
    <row r="7666" spans="2:34" x14ac:dyDescent="0.2">
      <c r="B7666" s="2">
        <f ca="1"/>
        <v>0.63254664054805909</v>
      </c>
      <c r="O7666" s="2">
        <f ca="1"/>
        <v>0.72229540572170603</v>
      </c>
      <c r="X7666" s="2">
        <f ca="1"/>
        <v>88.64195851161756</v>
      </c>
      <c r="AG7666" s="2">
        <f ca="1"/>
        <v>0.40551408109558396</v>
      </c>
      <c r="AH7666" s="2" t="str">
        <f ca="1"/>
        <v>Bad</v>
      </c>
    </row>
    <row r="7667" spans="2:34" x14ac:dyDescent="0.2">
      <c r="B7667" s="2">
        <f ca="1"/>
        <v>0.99837488297650956</v>
      </c>
      <c r="O7667" s="2">
        <f ca="1"/>
        <v>0.24794927210150222</v>
      </c>
      <c r="X7667" s="2">
        <f ca="1"/>
        <v>32.289175993053682</v>
      </c>
      <c r="AG7667" s="2">
        <f ca="1"/>
        <v>0.39979735443208519</v>
      </c>
      <c r="AH7667" s="2" t="str">
        <f ca="1"/>
        <v>OK</v>
      </c>
    </row>
    <row r="7668" spans="2:34" x14ac:dyDescent="0.2">
      <c r="B7668" s="2">
        <f ca="1"/>
        <v>7.4691526906915495E-2</v>
      </c>
      <c r="O7668" s="2">
        <f ca="1"/>
        <v>-8.7432335543459073E-3</v>
      </c>
      <c r="X7668" s="2">
        <f ca="1"/>
        <v>23.079867033125169</v>
      </c>
      <c r="AG7668" s="2">
        <f ca="1"/>
        <v>0.54412590001503491</v>
      </c>
      <c r="AH7668" s="2" t="str">
        <f ca="1"/>
        <v>Bad</v>
      </c>
    </row>
    <row r="7669" spans="2:34" x14ac:dyDescent="0.2">
      <c r="B7669" s="2">
        <f ca="1"/>
        <v>0.80107048041808238</v>
      </c>
      <c r="O7669" s="2">
        <f ca="1"/>
        <v>-0.19566434142979452</v>
      </c>
      <c r="X7669" s="2">
        <f ca="1"/>
        <v>29.742390549620104</v>
      </c>
      <c r="AG7669" s="2">
        <f ca="1"/>
        <v>0.17431149775123211</v>
      </c>
      <c r="AH7669" s="2" t="str">
        <f ca="1"/>
        <v>OK</v>
      </c>
    </row>
    <row r="7670" spans="2:34" x14ac:dyDescent="0.2">
      <c r="B7670" s="2">
        <f ca="1"/>
        <v>0.47606574949113201</v>
      </c>
      <c r="O7670" s="2">
        <f ca="1"/>
        <v>0.41663629940748231</v>
      </c>
      <c r="X7670" s="2">
        <f ca="1"/>
        <v>50.75077578446902</v>
      </c>
      <c r="AG7670" s="2">
        <f ca="1"/>
        <v>0.25464910813245534</v>
      </c>
      <c r="AH7670" s="2" t="str">
        <f ca="1"/>
        <v>OK</v>
      </c>
    </row>
    <row r="7671" spans="2:34" x14ac:dyDescent="0.2">
      <c r="B7671" s="2">
        <f ca="1"/>
        <v>0.3261186562563021</v>
      </c>
      <c r="O7671" s="2">
        <f ca="1"/>
        <v>0.98152442670662943</v>
      </c>
      <c r="X7671" s="2">
        <f ca="1"/>
        <v>37.587411332858558</v>
      </c>
      <c r="AG7671" s="2">
        <f ca="1"/>
        <v>0.72722135492248885</v>
      </c>
      <c r="AH7671" s="2" t="str">
        <f ca="1"/>
        <v>Bad</v>
      </c>
    </row>
    <row r="7672" spans="2:34" x14ac:dyDescent="0.2">
      <c r="B7672" s="2">
        <f ca="1"/>
        <v>0.56182467093863764</v>
      </c>
      <c r="O7672" s="2">
        <f ca="1"/>
        <v>-0.64875932016969418</v>
      </c>
      <c r="X7672" s="2">
        <f ca="1"/>
        <v>57.10789237597141</v>
      </c>
      <c r="AG7672" s="2">
        <f ca="1"/>
        <v>0.10886171156153601</v>
      </c>
      <c r="AH7672" s="2" t="str">
        <f ca="1"/>
        <v>OK</v>
      </c>
    </row>
    <row r="7673" spans="2:34" x14ac:dyDescent="0.2">
      <c r="B7673" s="2">
        <f ca="1"/>
        <v>8.3510305740461144E-2</v>
      </c>
      <c r="O7673" s="2">
        <f ca="1"/>
        <v>-0.19689767101162847</v>
      </c>
      <c r="X7673" s="2">
        <f ca="1"/>
        <v>33.505648998315849</v>
      </c>
      <c r="AG7673" s="2">
        <f ca="1"/>
        <v>0.93658373907466852</v>
      </c>
      <c r="AH7673" s="2" t="str">
        <f ca="1"/>
        <v>Bad</v>
      </c>
    </row>
    <row r="7674" spans="2:34" x14ac:dyDescent="0.2">
      <c r="B7674" s="2">
        <f ca="1"/>
        <v>0.64200982123326922</v>
      </c>
      <c r="O7674" s="2">
        <f ca="1"/>
        <v>-2.7440085010309499E-2</v>
      </c>
      <c r="X7674" s="2">
        <f ca="1"/>
        <v>44.240930644362855</v>
      </c>
      <c r="AG7674" s="2">
        <f ca="1"/>
        <v>0.95010031215645019</v>
      </c>
      <c r="AH7674" s="2" t="str">
        <f ca="1"/>
        <v>Bad</v>
      </c>
    </row>
    <row r="7675" spans="2:34" x14ac:dyDescent="0.2">
      <c r="B7675" s="2">
        <f ca="1"/>
        <v>0.3621897388521087</v>
      </c>
      <c r="O7675" s="2">
        <f ca="1"/>
        <v>0.4913556178349261</v>
      </c>
      <c r="X7675" s="2">
        <f ca="1"/>
        <v>39.969308836628969</v>
      </c>
      <c r="AG7675" s="2">
        <f ca="1"/>
        <v>0.2732586729661397</v>
      </c>
      <c r="AH7675" s="2" t="str">
        <f ca="1"/>
        <v>OK</v>
      </c>
    </row>
    <row r="7676" spans="2:34" x14ac:dyDescent="0.2">
      <c r="B7676" s="2">
        <f ca="1"/>
        <v>0.29767858213126996</v>
      </c>
      <c r="O7676" s="2">
        <f ca="1"/>
        <v>-0.42648868062408224</v>
      </c>
      <c r="X7676" s="2">
        <f ca="1"/>
        <v>67.266425495609653</v>
      </c>
      <c r="AG7676" s="2">
        <f ca="1"/>
        <v>2.4089984788596253E-2</v>
      </c>
      <c r="AH7676" s="2" t="str">
        <f ca="1"/>
        <v>Good</v>
      </c>
    </row>
    <row r="7677" spans="2:34" x14ac:dyDescent="0.2">
      <c r="B7677" s="2">
        <f ca="1"/>
        <v>0.52699360762126712</v>
      </c>
      <c r="O7677" s="2">
        <f ca="1"/>
        <v>-0.56499950178131053</v>
      </c>
      <c r="X7677" s="2">
        <f ca="1"/>
        <v>39.272872395392227</v>
      </c>
      <c r="AG7677" s="2">
        <f ca="1"/>
        <v>0.13729982829592124</v>
      </c>
      <c r="AH7677" s="2" t="str">
        <f ca="1"/>
        <v>OK</v>
      </c>
    </row>
    <row r="7678" spans="2:34" x14ac:dyDescent="0.2">
      <c r="B7678" s="2">
        <f ca="1"/>
        <v>0.84670709076315709</v>
      </c>
      <c r="O7678" s="2">
        <f ca="1"/>
        <v>0.31576187258010674</v>
      </c>
      <c r="X7678" s="2">
        <f ca="1"/>
        <v>63.665098520277972</v>
      </c>
      <c r="AG7678" s="2">
        <f ca="1"/>
        <v>0.56804369346205541</v>
      </c>
      <c r="AH7678" s="2" t="str">
        <f ca="1"/>
        <v>Bad</v>
      </c>
    </row>
    <row r="7679" spans="2:34" x14ac:dyDescent="0.2">
      <c r="B7679" s="2">
        <f ca="1"/>
        <v>0.16778986783353478</v>
      </c>
      <c r="O7679" s="2">
        <f ca="1"/>
        <v>0.76301097742572677</v>
      </c>
      <c r="X7679" s="2">
        <f ca="1"/>
        <v>53.996724094785087</v>
      </c>
      <c r="AG7679" s="2">
        <f ca="1"/>
        <v>0.21555592472112717</v>
      </c>
      <c r="AH7679" s="2" t="str">
        <f ca="1"/>
        <v>OK</v>
      </c>
    </row>
    <row r="7680" spans="2:34" x14ac:dyDescent="0.2">
      <c r="B7680" s="2">
        <f ca="1"/>
        <v>0.1757079068588725</v>
      </c>
      <c r="O7680" s="2">
        <f ca="1"/>
        <v>-0.56622981396190519</v>
      </c>
      <c r="X7680" s="2">
        <f ca="1"/>
        <v>73.629106392210332</v>
      </c>
      <c r="AG7680" s="2">
        <f ca="1"/>
        <v>0.19700179776403104</v>
      </c>
      <c r="AH7680" s="2" t="str">
        <f ca="1"/>
        <v>OK</v>
      </c>
    </row>
    <row r="7681" spans="2:34" x14ac:dyDescent="0.2">
      <c r="B7681" s="2">
        <f ca="1"/>
        <v>0.44586404141986558</v>
      </c>
      <c r="O7681" s="2">
        <f ca="1"/>
        <v>0.63027115944820478</v>
      </c>
      <c r="X7681" s="2">
        <f ca="1"/>
        <v>25.051423474604292</v>
      </c>
      <c r="AG7681" s="2">
        <f ca="1"/>
        <v>0.30188565638434439</v>
      </c>
      <c r="AH7681" s="2" t="str">
        <f ca="1"/>
        <v>OK</v>
      </c>
    </row>
    <row r="7682" spans="2:34" x14ac:dyDescent="0.2">
      <c r="B7682" s="2">
        <f ca="1"/>
        <v>0.89436408700875725</v>
      </c>
      <c r="O7682" s="2">
        <f ca="1"/>
        <v>-7.2454474426163179E-2</v>
      </c>
      <c r="X7682" s="2">
        <f ca="1"/>
        <v>70.507864892659299</v>
      </c>
      <c r="AG7682" s="2">
        <f ca="1"/>
        <v>0.7882028397528289</v>
      </c>
      <c r="AH7682" s="2" t="str">
        <f ca="1"/>
        <v>Bad</v>
      </c>
    </row>
    <row r="7683" spans="2:34" x14ac:dyDescent="0.2">
      <c r="B7683" s="2">
        <f ca="1"/>
        <v>0.83775573264177328</v>
      </c>
      <c r="O7683" s="2">
        <f ca="1"/>
        <v>0.98830731358110424</v>
      </c>
      <c r="X7683" s="2">
        <f ca="1"/>
        <v>45.118522748288768</v>
      </c>
      <c r="AG7683" s="2">
        <f ca="1"/>
        <v>0.1250686408998205</v>
      </c>
      <c r="AH7683" s="2" t="str">
        <f ca="1"/>
        <v>OK</v>
      </c>
    </row>
    <row r="7684" spans="2:34" x14ac:dyDescent="0.2">
      <c r="B7684" s="2">
        <f ca="1"/>
        <v>0.26240382218156455</v>
      </c>
      <c r="O7684" s="2">
        <f ca="1"/>
        <v>0.69573359470006058</v>
      </c>
      <c r="X7684" s="2">
        <f ca="1"/>
        <v>75.176434312999504</v>
      </c>
      <c r="AG7684" s="2">
        <f ca="1"/>
        <v>0.65513859106368377</v>
      </c>
      <c r="AH7684" s="2" t="str">
        <f ca="1"/>
        <v>Bad</v>
      </c>
    </row>
    <row r="7685" spans="2:34" x14ac:dyDescent="0.2">
      <c r="B7685" s="2">
        <f ca="1"/>
        <v>0.5847278566490739</v>
      </c>
      <c r="O7685" s="2">
        <f ca="1"/>
        <v>-0.81233105895782376</v>
      </c>
      <c r="X7685" s="2">
        <f ca="1"/>
        <v>13.882893476414919</v>
      </c>
      <c r="AG7685" s="2">
        <f ca="1"/>
        <v>0.66762134196187883</v>
      </c>
      <c r="AH7685" s="2" t="str">
        <f ca="1"/>
        <v>Bad</v>
      </c>
    </row>
    <row r="7686" spans="2:34" x14ac:dyDescent="0.2">
      <c r="B7686" s="2">
        <f ca="1"/>
        <v>0.85671324522970016</v>
      </c>
      <c r="O7686" s="2">
        <f ca="1"/>
        <v>-1.853846402514959</v>
      </c>
      <c r="X7686" s="2">
        <f ca="1"/>
        <v>19.248342982540933</v>
      </c>
      <c r="AG7686" s="2">
        <f ca="1"/>
        <v>0.56429959275337715</v>
      </c>
      <c r="AH7686" s="2" t="str">
        <f ca="1"/>
        <v>Bad</v>
      </c>
    </row>
    <row r="7687" spans="2:34" x14ac:dyDescent="0.2">
      <c r="B7687" s="2">
        <f ca="1"/>
        <v>0.15610044625777153</v>
      </c>
      <c r="O7687" s="2">
        <f ca="1"/>
        <v>-2.4448555484087149</v>
      </c>
      <c r="X7687" s="2">
        <f ca="1"/>
        <v>80.011285640675055</v>
      </c>
      <c r="AG7687" s="2">
        <f ca="1"/>
        <v>5.3590107586423574E-2</v>
      </c>
      <c r="AH7687" s="2" t="str">
        <f ca="1"/>
        <v>OK</v>
      </c>
    </row>
    <row r="7688" spans="2:34" x14ac:dyDescent="0.2">
      <c r="B7688" s="2">
        <f ca="1"/>
        <v>0.74753054219892112</v>
      </c>
      <c r="O7688" s="2">
        <f ca="1"/>
        <v>0.89634278655548882</v>
      </c>
      <c r="X7688" s="2">
        <f ca="1"/>
        <v>69.407057751248999</v>
      </c>
      <c r="AG7688" s="2">
        <f ca="1"/>
        <v>0.29661947910611675</v>
      </c>
      <c r="AH7688" s="2" t="str">
        <f ca="1"/>
        <v>OK</v>
      </c>
    </row>
    <row r="7689" spans="2:34" x14ac:dyDescent="0.2">
      <c r="B7689" s="2">
        <f ca="1"/>
        <v>3.2205861241109135E-2</v>
      </c>
      <c r="O7689" s="2">
        <f ca="1"/>
        <v>1.3257639122802816</v>
      </c>
      <c r="X7689" s="2">
        <f ca="1"/>
        <v>52.038694506332675</v>
      </c>
      <c r="AG7689" s="2">
        <f ca="1"/>
        <v>0.81228968881688268</v>
      </c>
      <c r="AH7689" s="2" t="str">
        <f ca="1"/>
        <v>Bad</v>
      </c>
    </row>
    <row r="7690" spans="2:34" x14ac:dyDescent="0.2">
      <c r="B7690" s="2">
        <f ca="1"/>
        <v>0.60516480414090812</v>
      </c>
      <c r="O7690" s="2">
        <f ca="1"/>
        <v>6.0037164743108939E-2</v>
      </c>
      <c r="X7690" s="2">
        <f ca="1"/>
        <v>43.832833058929097</v>
      </c>
      <c r="AG7690" s="2">
        <f ca="1"/>
        <v>0.38736055851663975</v>
      </c>
      <c r="AH7690" s="2" t="str">
        <f ca="1"/>
        <v>OK</v>
      </c>
    </row>
    <row r="7691" spans="2:34" x14ac:dyDescent="0.2">
      <c r="B7691" s="2">
        <f ca="1"/>
        <v>0.84272832870636538</v>
      </c>
      <c r="O7691" s="2">
        <f ca="1"/>
        <v>0.31255730879929339</v>
      </c>
      <c r="X7691" s="2">
        <f ca="1"/>
        <v>36.823331514452462</v>
      </c>
      <c r="AG7691" s="2">
        <f ca="1"/>
        <v>0.23620380767046578</v>
      </c>
      <c r="AH7691" s="2" t="str">
        <f ca="1"/>
        <v>OK</v>
      </c>
    </row>
    <row r="7692" spans="2:34" x14ac:dyDescent="0.2">
      <c r="B7692" s="2">
        <f ca="1"/>
        <v>0.65770112471195308</v>
      </c>
      <c r="O7692" s="2">
        <f ca="1"/>
        <v>0.36041331017256195</v>
      </c>
      <c r="X7692" s="2">
        <f ca="1"/>
        <v>52.128660795179968</v>
      </c>
      <c r="AG7692" s="2">
        <f ca="1"/>
        <v>0.27441037265945534</v>
      </c>
      <c r="AH7692" s="2" t="str">
        <f ca="1"/>
        <v>OK</v>
      </c>
    </row>
    <row r="7693" spans="2:34" x14ac:dyDescent="0.2">
      <c r="B7693" s="2">
        <f ca="1"/>
        <v>0.13344602080184353</v>
      </c>
      <c r="O7693" s="2">
        <f ca="1"/>
        <v>0.73770345015168137</v>
      </c>
      <c r="X7693" s="2">
        <f ca="1"/>
        <v>26.493357161035924</v>
      </c>
      <c r="AG7693" s="2">
        <f ca="1"/>
        <v>0.47922101793128857</v>
      </c>
      <c r="AH7693" s="2" t="str">
        <f ca="1"/>
        <v>Bad</v>
      </c>
    </row>
    <row r="7694" spans="2:34" x14ac:dyDescent="0.2">
      <c r="B7694" s="2">
        <f ca="1"/>
        <v>0.91435296347942141</v>
      </c>
      <c r="O7694" s="2">
        <f ca="1"/>
        <v>-0.5992564600149255</v>
      </c>
      <c r="X7694" s="2">
        <f ca="1"/>
        <v>31.108800060276906</v>
      </c>
      <c r="AG7694" s="2">
        <f ca="1"/>
        <v>0.69794180330110756</v>
      </c>
      <c r="AH7694" s="2" t="str">
        <f ca="1"/>
        <v>Bad</v>
      </c>
    </row>
    <row r="7695" spans="2:34" x14ac:dyDescent="0.2">
      <c r="B7695" s="2">
        <f ca="1"/>
        <v>0.9031446062120736</v>
      </c>
      <c r="O7695" s="2">
        <f ca="1"/>
        <v>-0.94699400476903639</v>
      </c>
      <c r="X7695" s="2">
        <f ca="1"/>
        <v>67.019000231654061</v>
      </c>
      <c r="AG7695" s="2">
        <f ca="1"/>
        <v>0.62263615110642312</v>
      </c>
      <c r="AH7695" s="2" t="str">
        <f ca="1"/>
        <v>Bad</v>
      </c>
    </row>
    <row r="7696" spans="2:34" x14ac:dyDescent="0.2">
      <c r="B7696" s="2">
        <f ca="1"/>
        <v>0.53196416038849015</v>
      </c>
      <c r="O7696" s="2">
        <f ca="1"/>
        <v>-0.51118693007685501</v>
      </c>
      <c r="X7696" s="2">
        <f ca="1"/>
        <v>35.788030117312474</v>
      </c>
      <c r="AG7696" s="2">
        <f ca="1"/>
        <v>0.92053638253373515</v>
      </c>
      <c r="AH7696" s="2" t="str">
        <f ca="1"/>
        <v>Bad</v>
      </c>
    </row>
    <row r="7697" spans="2:34" x14ac:dyDescent="0.2">
      <c r="B7697" s="2">
        <f ca="1"/>
        <v>0.61800775667112817</v>
      </c>
      <c r="O7697" s="2">
        <f ca="1"/>
        <v>-0.13693108214335961</v>
      </c>
      <c r="X7697" s="2">
        <f ca="1"/>
        <v>64.014041772869689</v>
      </c>
      <c r="AG7697" s="2">
        <f ca="1"/>
        <v>0.24715326526165216</v>
      </c>
      <c r="AH7697" s="2" t="str">
        <f ca="1"/>
        <v>OK</v>
      </c>
    </row>
    <row r="7698" spans="2:34" x14ac:dyDescent="0.2">
      <c r="B7698" s="2">
        <f ca="1"/>
        <v>0.39686386276397045</v>
      </c>
      <c r="O7698" s="2">
        <f ca="1"/>
        <v>-1.7480377706752801</v>
      </c>
      <c r="X7698" s="2">
        <f ca="1"/>
        <v>38.562243787963425</v>
      </c>
      <c r="AG7698" s="2">
        <f ca="1"/>
        <v>0.16072081040836239</v>
      </c>
      <c r="AH7698" s="2" t="str">
        <f ca="1"/>
        <v>OK</v>
      </c>
    </row>
    <row r="7699" spans="2:34" x14ac:dyDescent="0.2">
      <c r="B7699" s="2">
        <f ca="1"/>
        <v>0.35762386458656636</v>
      </c>
      <c r="O7699" s="2">
        <f ca="1"/>
        <v>-1.0399214631882143</v>
      </c>
      <c r="X7699" s="2">
        <f ca="1"/>
        <v>40.854302628955992</v>
      </c>
      <c r="AG7699" s="2">
        <f ca="1"/>
        <v>0.54314156622422516</v>
      </c>
      <c r="AH7699" s="2" t="str">
        <f ca="1"/>
        <v>Bad</v>
      </c>
    </row>
    <row r="7700" spans="2:34" x14ac:dyDescent="0.2">
      <c r="B7700" s="2">
        <f ca="1"/>
        <v>9.7159129785990839E-3</v>
      </c>
      <c r="O7700" s="2">
        <f ca="1"/>
        <v>0.26723544729602339</v>
      </c>
      <c r="X7700" s="2">
        <f ca="1"/>
        <v>25.282101330032155</v>
      </c>
      <c r="AG7700" s="2">
        <f ca="1"/>
        <v>0.22280367367884257</v>
      </c>
      <c r="AH7700" s="2" t="str">
        <f ca="1"/>
        <v>OK</v>
      </c>
    </row>
    <row r="7701" spans="2:34" x14ac:dyDescent="0.2">
      <c r="B7701" s="2">
        <f ca="1"/>
        <v>0.75866923464558611</v>
      </c>
      <c r="O7701" s="2">
        <f ca="1"/>
        <v>1.2222839992638102</v>
      </c>
      <c r="X7701" s="2">
        <f ca="1"/>
        <v>50.939740973631487</v>
      </c>
      <c r="AG7701" s="2">
        <f ca="1"/>
        <v>0.54740661630069276</v>
      </c>
      <c r="AH7701" s="2" t="str">
        <f ca="1"/>
        <v>Bad</v>
      </c>
    </row>
    <row r="7702" spans="2:34" x14ac:dyDescent="0.2">
      <c r="B7702" s="2">
        <f ca="1"/>
        <v>0.32208604985001843</v>
      </c>
      <c r="O7702" s="2">
        <f ca="1"/>
        <v>0.26041656991849443</v>
      </c>
      <c r="X7702" s="2">
        <f ca="1"/>
        <v>66.441859498499298</v>
      </c>
      <c r="AG7702" s="2">
        <f ca="1"/>
        <v>0.88105877158022294</v>
      </c>
      <c r="AH7702" s="2" t="str">
        <f ca="1"/>
        <v>Bad</v>
      </c>
    </row>
    <row r="7703" spans="2:34" x14ac:dyDescent="0.2">
      <c r="B7703" s="2">
        <f ca="1"/>
        <v>0.17349250753618572</v>
      </c>
      <c r="O7703" s="2">
        <f ca="1"/>
        <v>0.10841447294531885</v>
      </c>
      <c r="X7703" s="2">
        <f ca="1"/>
        <v>26.722211950091609</v>
      </c>
      <c r="AG7703" s="2">
        <f ca="1"/>
        <v>0.62802204705405806</v>
      </c>
      <c r="AH7703" s="2" t="str">
        <f ca="1"/>
        <v>Bad</v>
      </c>
    </row>
    <row r="7704" spans="2:34" x14ac:dyDescent="0.2">
      <c r="B7704" s="2">
        <f ca="1"/>
        <v>1.811324551025173E-3</v>
      </c>
      <c r="O7704" s="2">
        <f ca="1"/>
        <v>-0.72517202519782176</v>
      </c>
      <c r="X7704" s="2">
        <f ca="1"/>
        <v>55.661365751200563</v>
      </c>
      <c r="AG7704" s="2">
        <f ca="1"/>
        <v>0.57843066987243241</v>
      </c>
      <c r="AH7704" s="2" t="str">
        <f ca="1"/>
        <v>Bad</v>
      </c>
    </row>
    <row r="7705" spans="2:34" x14ac:dyDescent="0.2">
      <c r="B7705" s="2">
        <f ca="1"/>
        <v>0.20094975503081747</v>
      </c>
      <c r="O7705" s="2">
        <f ca="1"/>
        <v>-0.9973675599004771</v>
      </c>
      <c r="X7705" s="2">
        <f ca="1"/>
        <v>74.37806043128613</v>
      </c>
      <c r="AG7705" s="2">
        <f ca="1"/>
        <v>0.9638993286830364</v>
      </c>
      <c r="AH7705" s="2" t="str">
        <f ca="1"/>
        <v>Bad</v>
      </c>
    </row>
    <row r="7706" spans="2:34" x14ac:dyDescent="0.2">
      <c r="B7706" s="2">
        <f ca="1"/>
        <v>0.40180146737954292</v>
      </c>
      <c r="O7706" s="2">
        <f ca="1"/>
        <v>-1.4082321068980763</v>
      </c>
      <c r="X7706" s="2">
        <f ca="1"/>
        <v>15.631005996174389</v>
      </c>
      <c r="AG7706" s="2">
        <f ca="1"/>
        <v>0.81071435347776988</v>
      </c>
      <c r="AH7706" s="2" t="str">
        <f ca="1"/>
        <v>Bad</v>
      </c>
    </row>
    <row r="7707" spans="2:34" x14ac:dyDescent="0.2">
      <c r="B7707" s="2">
        <f ca="1"/>
        <v>0.26686670890858255</v>
      </c>
      <c r="O7707" s="2">
        <f ca="1"/>
        <v>-1.8427508063266995</v>
      </c>
      <c r="X7707" s="2">
        <f ca="1"/>
        <v>53.31103564922698</v>
      </c>
      <c r="AG7707" s="2">
        <f ca="1"/>
        <v>0.78419258292769545</v>
      </c>
      <c r="AH7707" s="2" t="str">
        <f ca="1"/>
        <v>Bad</v>
      </c>
    </row>
    <row r="7708" spans="2:34" x14ac:dyDescent="0.2">
      <c r="B7708" s="2">
        <f ca="1"/>
        <v>0.59375787489480003</v>
      </c>
      <c r="O7708" s="2">
        <f ca="1"/>
        <v>-0.65864526400538037</v>
      </c>
      <c r="X7708" s="2">
        <f ca="1"/>
        <v>27.860985211815496</v>
      </c>
      <c r="AG7708" s="2">
        <f ca="1"/>
        <v>0.71655734780288705</v>
      </c>
      <c r="AH7708" s="2" t="str">
        <f ca="1"/>
        <v>Bad</v>
      </c>
    </row>
    <row r="7709" spans="2:34" x14ac:dyDescent="0.2">
      <c r="B7709" s="2">
        <f ca="1"/>
        <v>0.21844437288763707</v>
      </c>
      <c r="O7709" s="2">
        <f ca="1"/>
        <v>-1.2028317216763202</v>
      </c>
      <c r="X7709" s="2">
        <f ca="1"/>
        <v>45.418832351119391</v>
      </c>
      <c r="AG7709" s="2">
        <f ca="1"/>
        <v>0.98973597813550773</v>
      </c>
      <c r="AH7709" s="2" t="str">
        <f ca="1"/>
        <v>Bad</v>
      </c>
    </row>
    <row r="7710" spans="2:34" x14ac:dyDescent="0.2">
      <c r="B7710" s="2">
        <f ca="1"/>
        <v>0.54802467920354525</v>
      </c>
      <c r="O7710" s="2">
        <f ca="1"/>
        <v>0.18527385355715303</v>
      </c>
      <c r="X7710" s="2">
        <f ca="1"/>
        <v>28.643153255223865</v>
      </c>
      <c r="AG7710" s="2">
        <f ca="1"/>
        <v>8.0252811128671997E-2</v>
      </c>
      <c r="AH7710" s="2" t="str">
        <f ca="1"/>
        <v>OK</v>
      </c>
    </row>
    <row r="7711" spans="2:34" x14ac:dyDescent="0.2">
      <c r="B7711" s="2">
        <f ca="1"/>
        <v>4.0128797782908343E-2</v>
      </c>
      <c r="O7711" s="2">
        <f ca="1"/>
        <v>-1.1569497966611862E-2</v>
      </c>
      <c r="X7711" s="2">
        <f ca="1"/>
        <v>32.535381297677695</v>
      </c>
      <c r="AG7711" s="2">
        <f ca="1"/>
        <v>0.44173086173583331</v>
      </c>
      <c r="AH7711" s="2" t="str">
        <f ca="1"/>
        <v>Bad</v>
      </c>
    </row>
    <row r="7712" spans="2:34" x14ac:dyDescent="0.2">
      <c r="B7712" s="2">
        <f ca="1"/>
        <v>0.32768047669429334</v>
      </c>
      <c r="O7712" s="2">
        <f ca="1"/>
        <v>1.0872068509593771</v>
      </c>
      <c r="X7712" s="2">
        <f ca="1"/>
        <v>72.935653201890162</v>
      </c>
      <c r="AG7712" s="2">
        <f ca="1"/>
        <v>0.33131737954293561</v>
      </c>
      <c r="AH7712" s="2" t="str">
        <f ca="1"/>
        <v>OK</v>
      </c>
    </row>
    <row r="7713" spans="2:34" x14ac:dyDescent="0.2">
      <c r="B7713" s="2">
        <f ca="1"/>
        <v>0.37337411921100649</v>
      </c>
      <c r="O7713" s="2">
        <f ca="1"/>
        <v>-1.8024316327341889</v>
      </c>
      <c r="X7713" s="2">
        <f ca="1"/>
        <v>54.127841016156424</v>
      </c>
      <c r="AG7713" s="2">
        <f ca="1"/>
        <v>0.30627085267411736</v>
      </c>
      <c r="AH7713" s="2" t="str">
        <f ca="1"/>
        <v>OK</v>
      </c>
    </row>
    <row r="7714" spans="2:34" x14ac:dyDescent="0.2">
      <c r="B7714" s="2">
        <f ca="1"/>
        <v>0.75574316615452619</v>
      </c>
      <c r="O7714" s="2">
        <f ca="1"/>
        <v>5.7566288039818244E-3</v>
      </c>
      <c r="X7714" s="2">
        <f ca="1"/>
        <v>38.178693423664392</v>
      </c>
      <c r="AG7714" s="2">
        <f ca="1"/>
        <v>0.65420143762594751</v>
      </c>
      <c r="AH7714" s="2" t="str">
        <f ca="1"/>
        <v>Bad</v>
      </c>
    </row>
    <row r="7715" spans="2:34" x14ac:dyDescent="0.2">
      <c r="B7715" s="2">
        <f ca="1"/>
        <v>0.89051497927116374</v>
      </c>
      <c r="O7715" s="2">
        <f ca="1"/>
        <v>0.36695242372312759</v>
      </c>
      <c r="X7715" s="2">
        <f ca="1"/>
        <v>62.246165443660232</v>
      </c>
      <c r="AG7715" s="2">
        <f ca="1"/>
        <v>0.76580666432558187</v>
      </c>
      <c r="AH7715" s="2" t="str">
        <f ca="1"/>
        <v>Bad</v>
      </c>
    </row>
    <row r="7716" spans="2:34" x14ac:dyDescent="0.2">
      <c r="B7716" s="2">
        <f ca="1"/>
        <v>0.86702276518037791</v>
      </c>
      <c r="O7716" s="2">
        <f ca="1"/>
        <v>-0.89711112387484726</v>
      </c>
      <c r="X7716" s="2">
        <f ca="1"/>
        <v>54.434391898006787</v>
      </c>
      <c r="AG7716" s="2">
        <f ca="1"/>
        <v>0.51907652862065157</v>
      </c>
      <c r="AH7716" s="2" t="str">
        <f ca="1"/>
        <v>Bad</v>
      </c>
    </row>
    <row r="7717" spans="2:34" x14ac:dyDescent="0.2">
      <c r="B7717" s="2">
        <f ca="1"/>
        <v>2.5795347460262352E-2</v>
      </c>
      <c r="O7717" s="2">
        <f ca="1"/>
        <v>1.9676140944393639</v>
      </c>
      <c r="X7717" s="2">
        <f ca="1"/>
        <v>32.853336729946605</v>
      </c>
      <c r="AG7717" s="2">
        <f ca="1"/>
        <v>0.82248455502929918</v>
      </c>
      <c r="AH7717" s="2" t="str">
        <f ca="1"/>
        <v>Bad</v>
      </c>
    </row>
    <row r="7718" spans="2:34" x14ac:dyDescent="0.2">
      <c r="B7718" s="2">
        <f ca="1"/>
        <v>0.50532857773741946</v>
      </c>
      <c r="O7718" s="2">
        <f ca="1"/>
        <v>-0.7950972983954675</v>
      </c>
      <c r="X7718" s="2">
        <f ca="1"/>
        <v>29.662316486186047</v>
      </c>
      <c r="AG7718" s="2">
        <f ca="1"/>
        <v>0.32220494795843524</v>
      </c>
      <c r="AH7718" s="2" t="str">
        <f ca="1"/>
        <v>OK</v>
      </c>
    </row>
    <row r="7719" spans="2:34" x14ac:dyDescent="0.2">
      <c r="B7719" s="2">
        <f ca="1"/>
        <v>0.70342070090558506</v>
      </c>
      <c r="O7719" s="2">
        <f ca="1"/>
        <v>-0.60817120444365314</v>
      </c>
      <c r="X7719" s="2">
        <f ca="1"/>
        <v>32.986146453044007</v>
      </c>
      <c r="AG7719" s="2">
        <f ca="1"/>
        <v>0.80451493065222324</v>
      </c>
      <c r="AH7719" s="2" t="str">
        <f ca="1"/>
        <v>Bad</v>
      </c>
    </row>
    <row r="7720" spans="2:34" x14ac:dyDescent="0.2">
      <c r="B7720" s="2">
        <f ca="1"/>
        <v>0.40566524668411841</v>
      </c>
      <c r="O7720" s="2">
        <f ca="1"/>
        <v>-0.10447016051447315</v>
      </c>
      <c r="X7720" s="2">
        <f ca="1"/>
        <v>40.638986305800046</v>
      </c>
      <c r="AG7720" s="2">
        <f ca="1"/>
        <v>0.43132844033471773</v>
      </c>
      <c r="AH7720" s="2" t="str">
        <f ca="1"/>
        <v>Bad</v>
      </c>
    </row>
    <row r="7721" spans="2:34" x14ac:dyDescent="0.2">
      <c r="B7721" s="2">
        <f ca="1"/>
        <v>9.3175175216388961E-3</v>
      </c>
      <c r="O7721" s="2">
        <f ca="1"/>
        <v>0.53671079717050407</v>
      </c>
      <c r="X7721" s="2">
        <f ca="1"/>
        <v>67.769626087576015</v>
      </c>
      <c r="AG7721" s="2">
        <f ca="1"/>
        <v>0.67317136268090838</v>
      </c>
      <c r="AH7721" s="2" t="str">
        <f ca="1"/>
        <v>Bad</v>
      </c>
    </row>
    <row r="7722" spans="2:34" x14ac:dyDescent="0.2">
      <c r="B7722" s="2">
        <f ca="1"/>
        <v>0.63029190308704774</v>
      </c>
      <c r="O7722" s="2">
        <f ca="1"/>
        <v>0.41532644886844095</v>
      </c>
      <c r="X7722" s="2">
        <f ca="1"/>
        <v>40.536683987158845</v>
      </c>
      <c r="AG7722" s="2">
        <f ca="1"/>
        <v>0.53476118813713658</v>
      </c>
      <c r="AH7722" s="2" t="str">
        <f ca="1"/>
        <v>Bad</v>
      </c>
    </row>
    <row r="7723" spans="2:34" x14ac:dyDescent="0.2">
      <c r="B7723" s="2">
        <f ca="1"/>
        <v>0.31206020333948237</v>
      </c>
      <c r="O7723" s="2">
        <f ca="1"/>
        <v>0.33037190094520269</v>
      </c>
      <c r="X7723" s="2">
        <f ca="1"/>
        <v>44.424746979572596</v>
      </c>
      <c r="AG7723" s="2">
        <f ca="1"/>
        <v>0.77109397635125521</v>
      </c>
      <c r="AH7723" s="2" t="str">
        <f ca="1"/>
        <v>Bad</v>
      </c>
    </row>
    <row r="7724" spans="2:34" x14ac:dyDescent="0.2">
      <c r="B7724" s="2">
        <f ca="1"/>
        <v>0.64844858895807089</v>
      </c>
      <c r="O7724" s="2">
        <f ca="1"/>
        <v>0.19886799242691214</v>
      </c>
      <c r="X7724" s="2">
        <f ca="1"/>
        <v>59.347170903587141</v>
      </c>
      <c r="AG7724" s="2">
        <f ca="1"/>
        <v>0.25684373194780585</v>
      </c>
      <c r="AH7724" s="2" t="str">
        <f ca="1"/>
        <v>OK</v>
      </c>
    </row>
    <row r="7725" spans="2:34" x14ac:dyDescent="0.2">
      <c r="B7725" s="2">
        <f ca="1"/>
        <v>0.8591134379124532</v>
      </c>
      <c r="O7725" s="2">
        <f ca="1"/>
        <v>-1.8200408390591929</v>
      </c>
      <c r="X7725" s="2">
        <f ca="1"/>
        <v>60.270433328235775</v>
      </c>
      <c r="AG7725" s="2">
        <f ca="1"/>
        <v>0.12651076225439484</v>
      </c>
      <c r="AH7725" s="2" t="str">
        <f ca="1"/>
        <v>OK</v>
      </c>
    </row>
    <row r="7726" spans="2:34" x14ac:dyDescent="0.2">
      <c r="B7726" s="2">
        <f ca="1"/>
        <v>0.48354867145989844</v>
      </c>
      <c r="O7726" s="2">
        <f ca="1"/>
        <v>0.36398785217476004</v>
      </c>
      <c r="X7726" s="2">
        <f ca="1"/>
        <v>80.507547739631292</v>
      </c>
      <c r="AG7726" s="2">
        <f ca="1"/>
        <v>0.93354108303769046</v>
      </c>
      <c r="AH7726" s="2" t="str">
        <f ca="1"/>
        <v>Bad</v>
      </c>
    </row>
    <row r="7727" spans="2:34" x14ac:dyDescent="0.2">
      <c r="B7727" s="2">
        <f ca="1"/>
        <v>0.14898653959714214</v>
      </c>
      <c r="O7727" s="2">
        <f ca="1"/>
        <v>1.787542400680378</v>
      </c>
      <c r="X7727" s="2">
        <f ca="1"/>
        <v>41.443590131742162</v>
      </c>
      <c r="AG7727" s="2">
        <f ca="1"/>
        <v>0.97165419049649682</v>
      </c>
      <c r="AH7727" s="2" t="str">
        <f ca="1"/>
        <v>Bad</v>
      </c>
    </row>
    <row r="7728" spans="2:34" x14ac:dyDescent="0.2">
      <c r="B7728" s="2">
        <f ca="1"/>
        <v>0.94352992454462004</v>
      </c>
      <c r="O7728" s="2">
        <f ca="1"/>
        <v>-0.52576432120097483</v>
      </c>
      <c r="X7728" s="2">
        <f ca="1"/>
        <v>53.611712728982141</v>
      </c>
      <c r="AG7728" s="2">
        <f ca="1"/>
        <v>0.73774401923929966</v>
      </c>
      <c r="AH7728" s="2" t="str">
        <f ca="1"/>
        <v>Bad</v>
      </c>
    </row>
    <row r="7729" spans="2:34" x14ac:dyDescent="0.2">
      <c r="B7729" s="2">
        <f ca="1"/>
        <v>0.70120268980781542</v>
      </c>
      <c r="O7729" s="2">
        <f ca="1"/>
        <v>1.151421305471559</v>
      </c>
      <c r="X7729" s="2">
        <f ca="1"/>
        <v>44.189416682394153</v>
      </c>
      <c r="AG7729" s="2">
        <f ca="1"/>
        <v>0.8975596440299598</v>
      </c>
      <c r="AH7729" s="2" t="str">
        <f ca="1"/>
        <v>Bad</v>
      </c>
    </row>
    <row r="7730" spans="2:34" x14ac:dyDescent="0.2">
      <c r="B7730" s="2">
        <f ca="1"/>
        <v>0.89504446645016555</v>
      </c>
      <c r="O7730" s="2">
        <f ca="1"/>
        <v>-1.1898950267888777</v>
      </c>
      <c r="X7730" s="2">
        <f ca="1"/>
        <v>50.262693375139037</v>
      </c>
      <c r="AG7730" s="2">
        <f ca="1"/>
        <v>1.6787212869597834E-3</v>
      </c>
      <c r="AH7730" s="2" t="str">
        <f ca="1"/>
        <v>Good</v>
      </c>
    </row>
    <row r="7731" spans="2:34" x14ac:dyDescent="0.2">
      <c r="B7731" s="2">
        <f ca="1"/>
        <v>0.49620883061450582</v>
      </c>
      <c r="O7731" s="2">
        <f ca="1"/>
        <v>-1.5169007104131391</v>
      </c>
      <c r="X7731" s="2">
        <f ca="1"/>
        <v>44.689584396303779</v>
      </c>
      <c r="AG7731" s="2">
        <f ca="1"/>
        <v>0.93822815859781494</v>
      </c>
      <c r="AH7731" s="2" t="str">
        <f ca="1"/>
        <v>Bad</v>
      </c>
    </row>
    <row r="7732" spans="2:34" x14ac:dyDescent="0.2">
      <c r="B7732" s="2">
        <f ca="1"/>
        <v>0.68374310468758526</v>
      </c>
      <c r="O7732" s="2">
        <f ca="1"/>
        <v>0.56050745078372122</v>
      </c>
      <c r="X7732" s="2">
        <f ca="1"/>
        <v>30.838986462223069</v>
      </c>
      <c r="AG7732" s="2">
        <f ca="1"/>
        <v>0.25178359479802537</v>
      </c>
      <c r="AH7732" s="2" t="str">
        <f ca="1"/>
        <v>OK</v>
      </c>
    </row>
    <row r="7733" spans="2:34" x14ac:dyDescent="0.2">
      <c r="B7733" s="2">
        <f ca="1"/>
        <v>0.87360875231676061</v>
      </c>
      <c r="O7733" s="2">
        <f ca="1"/>
        <v>-2.426322163053082E-2</v>
      </c>
      <c r="X7733" s="2">
        <f ca="1"/>
        <v>69.873653517422994</v>
      </c>
      <c r="AG7733" s="2">
        <f ca="1"/>
        <v>0.36057788385184475</v>
      </c>
      <c r="AH7733" s="2" t="str">
        <f ca="1"/>
        <v>OK</v>
      </c>
    </row>
    <row r="7734" spans="2:34" x14ac:dyDescent="0.2">
      <c r="B7734" s="2">
        <f ca="1"/>
        <v>0.27518990023835266</v>
      </c>
      <c r="O7734" s="2">
        <f ca="1"/>
        <v>0.48705763498651339</v>
      </c>
      <c r="X7734" s="2">
        <f ca="1"/>
        <v>35.80174660844736</v>
      </c>
      <c r="AG7734" s="2">
        <f ca="1"/>
        <v>0.69020906497653267</v>
      </c>
      <c r="AH7734" s="2" t="str">
        <f ca="1"/>
        <v>Bad</v>
      </c>
    </row>
    <row r="7735" spans="2:34" x14ac:dyDescent="0.2">
      <c r="B7735" s="2">
        <f ca="1"/>
        <v>0.39679217204098016</v>
      </c>
      <c r="O7735" s="2">
        <f ca="1"/>
        <v>0.53491103670510254</v>
      </c>
      <c r="X7735" s="2">
        <f ca="1"/>
        <v>49.152394582199797</v>
      </c>
      <c r="AG7735" s="2">
        <f ca="1"/>
        <v>0.13049830691499831</v>
      </c>
      <c r="AH7735" s="2" t="str">
        <f ca="1"/>
        <v>OK</v>
      </c>
    </row>
    <row r="7736" spans="2:34" x14ac:dyDescent="0.2">
      <c r="B7736" s="2">
        <f ca="1"/>
        <v>0.35176955401151977</v>
      </c>
      <c r="O7736" s="2">
        <f ca="1"/>
        <v>0.78048064553186347</v>
      </c>
      <c r="X7736" s="2">
        <f ca="1"/>
        <v>34.186493932285245</v>
      </c>
      <c r="AG7736" s="2">
        <f ca="1"/>
        <v>0.71116247512710973</v>
      </c>
      <c r="AH7736" s="2" t="str">
        <f ca="1"/>
        <v>Bad</v>
      </c>
    </row>
    <row r="7737" spans="2:34" x14ac:dyDescent="0.2">
      <c r="B7737" s="2">
        <f ca="1"/>
        <v>0.94648678771821415</v>
      </c>
      <c r="O7737" s="2">
        <f ca="1"/>
        <v>1.6084672233564596</v>
      </c>
      <c r="X7737" s="2">
        <f ca="1"/>
        <v>112.64505823503605</v>
      </c>
      <c r="AG7737" s="2">
        <f ca="1"/>
        <v>0.53891776527746749</v>
      </c>
      <c r="AH7737" s="2" t="str">
        <f ca="1"/>
        <v>Bad</v>
      </c>
    </row>
    <row r="7738" spans="2:34" x14ac:dyDescent="0.2">
      <c r="B7738" s="2">
        <f ca="1"/>
        <v>6.5113208506491826E-2</v>
      </c>
      <c r="O7738" s="2">
        <f ca="1"/>
        <v>-2.5933079505822524E-2</v>
      </c>
      <c r="X7738" s="2">
        <f ca="1"/>
        <v>45.111477227540824</v>
      </c>
      <c r="AG7738" s="2">
        <f ca="1"/>
        <v>0.30152453667950097</v>
      </c>
      <c r="AH7738" s="2" t="str">
        <f ca="1"/>
        <v>OK</v>
      </c>
    </row>
    <row r="7739" spans="2:34" x14ac:dyDescent="0.2">
      <c r="B7739" s="2">
        <f ca="1"/>
        <v>0.71354134828244065</v>
      </c>
      <c r="O7739" s="2">
        <f ca="1"/>
        <v>0.56316387943696589</v>
      </c>
      <c r="X7739" s="2">
        <f ca="1"/>
        <v>53.204917266686223</v>
      </c>
      <c r="AG7739" s="2">
        <f ca="1"/>
        <v>0.60371770336502362</v>
      </c>
      <c r="AH7739" s="2" t="str">
        <f ca="1"/>
        <v>Bad</v>
      </c>
    </row>
    <row r="7740" spans="2:34" x14ac:dyDescent="0.2">
      <c r="B7740" s="2">
        <f ca="1"/>
        <v>0.72747940818587686</v>
      </c>
      <c r="O7740" s="2">
        <f ca="1"/>
        <v>0.89218782541386554</v>
      </c>
      <c r="X7740" s="2">
        <f ca="1"/>
        <v>80.293299708030133</v>
      </c>
      <c r="AG7740" s="2">
        <f ca="1"/>
        <v>0.18552901873141936</v>
      </c>
      <c r="AH7740" s="2" t="str">
        <f ca="1"/>
        <v>OK</v>
      </c>
    </row>
    <row r="7741" spans="2:34" x14ac:dyDescent="0.2">
      <c r="B7741" s="2">
        <f ca="1"/>
        <v>0.74732493582026271</v>
      </c>
      <c r="O7741" s="2">
        <f ca="1"/>
        <v>0.14589340745630935</v>
      </c>
      <c r="X7741" s="2">
        <f ca="1"/>
        <v>83.267499032669022</v>
      </c>
      <c r="AG7741" s="2">
        <f ca="1"/>
        <v>0.27152151847908135</v>
      </c>
      <c r="AH7741" s="2" t="str">
        <f ca="1"/>
        <v>OK</v>
      </c>
    </row>
    <row r="7742" spans="2:34" x14ac:dyDescent="0.2">
      <c r="B7742" s="2">
        <f ca="1"/>
        <v>0.37565935682142748</v>
      </c>
      <c r="O7742" s="2">
        <f ca="1"/>
        <v>0.8276859107709329</v>
      </c>
      <c r="X7742" s="2">
        <f ca="1"/>
        <v>30.625489730066096</v>
      </c>
      <c r="AG7742" s="2">
        <f ca="1"/>
        <v>0.77345272654756081</v>
      </c>
      <c r="AH7742" s="2" t="str">
        <f ca="1"/>
        <v>Bad</v>
      </c>
    </row>
    <row r="7743" spans="2:34" x14ac:dyDescent="0.2">
      <c r="B7743" s="2">
        <f ca="1"/>
        <v>0.47605547186155617</v>
      </c>
      <c r="O7743" s="2">
        <f ca="1"/>
        <v>0.57491756089214796</v>
      </c>
      <c r="X7743" s="2">
        <f ca="1"/>
        <v>59.479183044881296</v>
      </c>
      <c r="AG7743" s="2">
        <f ca="1"/>
        <v>0.20339070409892024</v>
      </c>
      <c r="AH7743" s="2" t="str">
        <f ca="1"/>
        <v>OK</v>
      </c>
    </row>
    <row r="7744" spans="2:34" x14ac:dyDescent="0.2">
      <c r="B7744" s="2">
        <f ca="1"/>
        <v>0.40683664522369556</v>
      </c>
      <c r="O7744" s="2">
        <f ca="1"/>
        <v>-0.24079002061328231</v>
      </c>
      <c r="X7744" s="2">
        <f ca="1"/>
        <v>49.782363560645884</v>
      </c>
      <c r="AG7744" s="2">
        <f ca="1"/>
        <v>0.57921219377313871</v>
      </c>
      <c r="AH7744" s="2" t="str">
        <f ca="1"/>
        <v>Bad</v>
      </c>
    </row>
    <row r="7745" spans="2:34" x14ac:dyDescent="0.2">
      <c r="B7745" s="2">
        <f ca="1"/>
        <v>1.5775662839817572E-2</v>
      </c>
      <c r="O7745" s="2">
        <f ca="1"/>
        <v>0.74914849752798829</v>
      </c>
      <c r="X7745" s="2">
        <f ca="1"/>
        <v>49.190696457226977</v>
      </c>
      <c r="AG7745" s="2">
        <f ca="1"/>
        <v>0.36968944135370974</v>
      </c>
      <c r="AH7745" s="2" t="str">
        <f ca="1"/>
        <v>OK</v>
      </c>
    </row>
    <row r="7746" spans="2:34" x14ac:dyDescent="0.2">
      <c r="B7746" s="2">
        <f ca="1"/>
        <v>0.71580492673680229</v>
      </c>
      <c r="O7746" s="2">
        <f ca="1"/>
        <v>1.066555084965602</v>
      </c>
      <c r="X7746" s="2">
        <f ca="1"/>
        <v>43.229553999256815</v>
      </c>
      <c r="AG7746" s="2">
        <f ca="1"/>
        <v>0.80463713315987828</v>
      </c>
      <c r="AH7746" s="2" t="str">
        <f ca="1"/>
        <v>Bad</v>
      </c>
    </row>
    <row r="7747" spans="2:34" x14ac:dyDescent="0.2">
      <c r="B7747" s="2">
        <f ca="1"/>
        <v>0.53079171109184342</v>
      </c>
      <c r="O7747" s="2">
        <f ca="1"/>
        <v>-0.70134636115559723</v>
      </c>
      <c r="X7747" s="2">
        <f ca="1"/>
        <v>44.966573350056279</v>
      </c>
      <c r="AG7747" s="2">
        <f ca="1"/>
        <v>5.3015453848492156E-2</v>
      </c>
      <c r="AH7747" s="2" t="str">
        <f ca="1"/>
        <v>OK</v>
      </c>
    </row>
    <row r="7748" spans="2:34" x14ac:dyDescent="0.2">
      <c r="B7748" s="2">
        <f ca="1"/>
        <v>0.23009873344587195</v>
      </c>
      <c r="O7748" s="2">
        <f ca="1"/>
        <v>1.4780410606283536</v>
      </c>
      <c r="X7748" s="2">
        <f ca="1"/>
        <v>63.416374707929407</v>
      </c>
      <c r="AG7748" s="2">
        <f ca="1"/>
        <v>0.66170751254684168</v>
      </c>
      <c r="AH7748" s="2" t="str">
        <f ca="1"/>
        <v>Bad</v>
      </c>
    </row>
    <row r="7749" spans="2:34" x14ac:dyDescent="0.2">
      <c r="B7749" s="2">
        <f ca="1"/>
        <v>0.11119123998458802</v>
      </c>
      <c r="O7749" s="2">
        <f ca="1"/>
        <v>1.7259491373198008</v>
      </c>
      <c r="X7749" s="2">
        <f ca="1"/>
        <v>41.7602435450179</v>
      </c>
      <c r="AG7749" s="2">
        <f ca="1"/>
        <v>0.72866809091619156</v>
      </c>
      <c r="AH7749" s="2" t="str">
        <f ca="1"/>
        <v>Bad</v>
      </c>
    </row>
    <row r="7750" spans="2:34" x14ac:dyDescent="0.2">
      <c r="B7750" s="2">
        <f ca="1"/>
        <v>0.31706587909765616</v>
      </c>
      <c r="O7750" s="2">
        <f ca="1"/>
        <v>1.6996673415522436</v>
      </c>
      <c r="X7750" s="2">
        <f ca="1"/>
        <v>69.495215984369906</v>
      </c>
      <c r="AG7750" s="2">
        <f ca="1"/>
        <v>0.30206693625158243</v>
      </c>
      <c r="AH7750" s="2" t="str">
        <f ca="1"/>
        <v>OK</v>
      </c>
    </row>
    <row r="7751" spans="2:34" x14ac:dyDescent="0.2">
      <c r="B7751" s="2">
        <f ca="1"/>
        <v>0.8635090893131796</v>
      </c>
      <c r="O7751" s="2">
        <f ca="1"/>
        <v>-0.27124646096855715</v>
      </c>
      <c r="X7751" s="2">
        <f ca="1"/>
        <v>54.562443687593756</v>
      </c>
      <c r="AG7751" s="2">
        <f ca="1"/>
        <v>0.99092613149670128</v>
      </c>
      <c r="AH7751" s="2" t="str">
        <f ca="1"/>
        <v>Bad</v>
      </c>
    </row>
    <row r="7752" spans="2:34" x14ac:dyDescent="0.2">
      <c r="B7752" s="2">
        <f ca="1"/>
        <v>0.77337659610068288</v>
      </c>
      <c r="O7752" s="2">
        <f ca="1"/>
        <v>0.29957113026634097</v>
      </c>
      <c r="X7752" s="2">
        <f ca="1"/>
        <v>69.136178086484833</v>
      </c>
      <c r="AG7752" s="2">
        <f ca="1"/>
        <v>0.19326552914954775</v>
      </c>
      <c r="AH7752" s="2" t="str">
        <f ca="1"/>
        <v>OK</v>
      </c>
    </row>
    <row r="7753" spans="2:34" x14ac:dyDescent="0.2">
      <c r="B7753" s="2">
        <f ca="1"/>
        <v>0.67459517115036327</v>
      </c>
      <c r="O7753" s="2">
        <f ca="1"/>
        <v>0.45918885391889852</v>
      </c>
      <c r="X7753" s="2">
        <f ca="1"/>
        <v>46.213774021678461</v>
      </c>
      <c r="AG7753" s="2">
        <f ca="1"/>
        <v>0.50555081266842605</v>
      </c>
      <c r="AH7753" s="2" t="str">
        <f ca="1"/>
        <v>Bad</v>
      </c>
    </row>
    <row r="7754" spans="2:34" x14ac:dyDescent="0.2">
      <c r="B7754" s="2">
        <f ca="1"/>
        <v>0.85026270156115746</v>
      </c>
      <c r="O7754" s="2">
        <f ca="1"/>
        <v>0.326162320154462</v>
      </c>
      <c r="X7754" s="2">
        <f ca="1"/>
        <v>92.125283724614633</v>
      </c>
      <c r="AG7754" s="2">
        <f ca="1"/>
        <v>0.46003217260291995</v>
      </c>
      <c r="AH7754" s="2" t="str">
        <f ca="1"/>
        <v>Bad</v>
      </c>
    </row>
    <row r="7755" spans="2:34" x14ac:dyDescent="0.2">
      <c r="B7755" s="2">
        <f ca="1"/>
        <v>0.59440361827890809</v>
      </c>
      <c r="O7755" s="2">
        <f ca="1"/>
        <v>1.1418577034195316</v>
      </c>
      <c r="X7755" s="2">
        <f ca="1"/>
        <v>50.05118689525726</v>
      </c>
      <c r="AG7755" s="2">
        <f ca="1"/>
        <v>0.6141185970268539</v>
      </c>
      <c r="AH7755" s="2" t="str">
        <f ca="1"/>
        <v>Bad</v>
      </c>
    </row>
    <row r="7756" spans="2:34" x14ac:dyDescent="0.2">
      <c r="B7756" s="2">
        <f ca="1"/>
        <v>0.57086071552262596</v>
      </c>
      <c r="O7756" s="2">
        <f ca="1"/>
        <v>0.20992556035133345</v>
      </c>
      <c r="X7756" s="2">
        <f ca="1"/>
        <v>45.238194036955491</v>
      </c>
      <c r="AG7756" s="2">
        <f ca="1"/>
        <v>8.1246844507063543E-3</v>
      </c>
      <c r="AH7756" s="2" t="str">
        <f ca="1"/>
        <v>Good</v>
      </c>
    </row>
    <row r="7757" spans="2:34" x14ac:dyDescent="0.2">
      <c r="B7757" s="2">
        <f ca="1"/>
        <v>0.76200338898553177</v>
      </c>
      <c r="O7757" s="2">
        <f ca="1"/>
        <v>-1.8109628882751043</v>
      </c>
      <c r="X7757" s="2">
        <f ca="1"/>
        <v>56.28709838047314</v>
      </c>
      <c r="AG7757" s="2">
        <f ca="1"/>
        <v>0.40908358468255401</v>
      </c>
      <c r="AH7757" s="2" t="str">
        <f ca="1"/>
        <v>Bad</v>
      </c>
    </row>
    <row r="7758" spans="2:34" x14ac:dyDescent="0.2">
      <c r="B7758" s="2">
        <f ca="1"/>
        <v>0.5540250095510868</v>
      </c>
      <c r="O7758" s="2">
        <f ca="1"/>
        <v>-0.38282579524749838</v>
      </c>
      <c r="X7758" s="2">
        <f ca="1"/>
        <v>68.022813552618814</v>
      </c>
      <c r="AG7758" s="2">
        <f ca="1"/>
        <v>0.45631429106955324</v>
      </c>
      <c r="AH7758" s="2" t="str">
        <f ca="1"/>
        <v>Bad</v>
      </c>
    </row>
    <row r="7759" spans="2:34" x14ac:dyDescent="0.2">
      <c r="B7759" s="2">
        <f ca="1"/>
        <v>0.60399422991947027</v>
      </c>
      <c r="O7759" s="2">
        <f ca="1"/>
        <v>0.50459563870344137</v>
      </c>
      <c r="X7759" s="2">
        <f ca="1"/>
        <v>42.60791265121145</v>
      </c>
      <c r="AG7759" s="2">
        <f ca="1"/>
        <v>0.2050330082975409</v>
      </c>
      <c r="AH7759" s="2" t="str">
        <f ca="1"/>
        <v>OK</v>
      </c>
    </row>
    <row r="7760" spans="2:34" x14ac:dyDescent="0.2">
      <c r="B7760" s="2">
        <f ca="1"/>
        <v>0.14346716643533708</v>
      </c>
      <c r="O7760" s="2">
        <f ca="1"/>
        <v>1.7810864752610933</v>
      </c>
      <c r="X7760" s="2">
        <f ca="1"/>
        <v>56.902663176923909</v>
      </c>
      <c r="AG7760" s="2">
        <f ca="1"/>
        <v>0.85499327880992082</v>
      </c>
      <c r="AH7760" s="2" t="str">
        <f ca="1"/>
        <v>Bad</v>
      </c>
    </row>
    <row r="7761" spans="2:34" x14ac:dyDescent="0.2">
      <c r="B7761" s="2">
        <f ca="1"/>
        <v>0.64343847822947842</v>
      </c>
      <c r="O7761" s="2">
        <f ca="1"/>
        <v>-0.54877506834940082</v>
      </c>
      <c r="X7761" s="2">
        <f ca="1"/>
        <v>47.159180973735758</v>
      </c>
      <c r="AG7761" s="2">
        <f ca="1"/>
        <v>0.46989731436578763</v>
      </c>
      <c r="AH7761" s="2" t="str">
        <f ca="1"/>
        <v>Bad</v>
      </c>
    </row>
    <row r="7762" spans="2:34" x14ac:dyDescent="0.2">
      <c r="B7762" s="2">
        <f ca="1"/>
        <v>0.65463090857497797</v>
      </c>
      <c r="O7762" s="2">
        <f ca="1"/>
        <v>0.13018980191843374</v>
      </c>
      <c r="X7762" s="2">
        <f ca="1"/>
        <v>57.547285060212317</v>
      </c>
      <c r="AG7762" s="2">
        <f ca="1"/>
        <v>0.674616560861379</v>
      </c>
      <c r="AH7762" s="2" t="str">
        <f ca="1"/>
        <v>Bad</v>
      </c>
    </row>
    <row r="7763" spans="2:34" x14ac:dyDescent="0.2">
      <c r="B7763" s="2">
        <f ca="1"/>
        <v>0.67372523825401709</v>
      </c>
      <c r="O7763" s="2">
        <f ca="1"/>
        <v>2.5254281943194403</v>
      </c>
      <c r="X7763" s="2">
        <f ca="1"/>
        <v>51.454879295620579</v>
      </c>
      <c r="AG7763" s="2">
        <f ca="1"/>
        <v>0.57478958043137363</v>
      </c>
      <c r="AH7763" s="2" t="str">
        <f ca="1"/>
        <v>Bad</v>
      </c>
    </row>
    <row r="7764" spans="2:34" x14ac:dyDescent="0.2">
      <c r="B7764" s="2">
        <f ca="1"/>
        <v>0.25910985187543623</v>
      </c>
      <c r="O7764" s="2">
        <f ca="1"/>
        <v>-1.2342804727453087</v>
      </c>
      <c r="X7764" s="2">
        <f ca="1"/>
        <v>36.609996323122957</v>
      </c>
      <c r="AG7764" s="2">
        <f ca="1"/>
        <v>0.76113561711777145</v>
      </c>
      <c r="AH7764" s="2" t="str">
        <f ca="1"/>
        <v>Bad</v>
      </c>
    </row>
    <row r="7765" spans="2:34" x14ac:dyDescent="0.2">
      <c r="B7765" s="2">
        <f ca="1"/>
        <v>0.49929435320998339</v>
      </c>
      <c r="O7765" s="2">
        <f ca="1"/>
        <v>0.89593048313616153</v>
      </c>
      <c r="X7765" s="2">
        <f ca="1"/>
        <v>25.083928940163368</v>
      </c>
      <c r="AG7765" s="2">
        <f ca="1"/>
        <v>0.12764886609161685</v>
      </c>
      <c r="AH7765" s="2" t="str">
        <f ca="1"/>
        <v>OK</v>
      </c>
    </row>
    <row r="7766" spans="2:34" x14ac:dyDescent="0.2">
      <c r="B7766" s="2">
        <f ca="1"/>
        <v>0.25044826095647843</v>
      </c>
      <c r="O7766" s="2">
        <f ca="1"/>
        <v>-1.4893639742213662</v>
      </c>
      <c r="X7766" s="2">
        <f ca="1"/>
        <v>60.651279628573718</v>
      </c>
      <c r="AG7766" s="2">
        <f ca="1"/>
        <v>0.20397179359392581</v>
      </c>
      <c r="AH7766" s="2" t="str">
        <f ca="1"/>
        <v>OK</v>
      </c>
    </row>
    <row r="7767" spans="2:34" x14ac:dyDescent="0.2">
      <c r="B7767" s="2">
        <f ca="1"/>
        <v>0.45964094188307736</v>
      </c>
      <c r="O7767" s="2">
        <f ca="1"/>
        <v>0.80925375434722691</v>
      </c>
      <c r="X7767" s="2">
        <f ca="1"/>
        <v>36.971462552226242</v>
      </c>
      <c r="AG7767" s="2">
        <f ca="1"/>
        <v>0.44450275201705081</v>
      </c>
      <c r="AH7767" s="2" t="str">
        <f ca="1"/>
        <v>Bad</v>
      </c>
    </row>
    <row r="7768" spans="2:34" x14ac:dyDescent="0.2">
      <c r="B7768" s="2">
        <f ca="1"/>
        <v>0.80516426428144183</v>
      </c>
      <c r="O7768" s="2">
        <f ca="1"/>
        <v>-2.3859884478099378</v>
      </c>
      <c r="X7768" s="2">
        <f ca="1"/>
        <v>34.465097263821498</v>
      </c>
      <c r="AG7768" s="2">
        <f ca="1"/>
        <v>0.82458469883585517</v>
      </c>
      <c r="AH7768" s="2" t="str">
        <f ca="1"/>
        <v>Bad</v>
      </c>
    </row>
    <row r="7769" spans="2:34" x14ac:dyDescent="0.2">
      <c r="B7769" s="2">
        <f ca="1"/>
        <v>0.47884534296057457</v>
      </c>
      <c r="O7769" s="2">
        <f ca="1"/>
        <v>-0.57322644847584481</v>
      </c>
      <c r="X7769" s="2">
        <f ca="1"/>
        <v>48.496725464284253</v>
      </c>
      <c r="AG7769" s="2">
        <f ca="1"/>
        <v>0.26786967567409148</v>
      </c>
      <c r="AH7769" s="2" t="str">
        <f ca="1"/>
        <v>OK</v>
      </c>
    </row>
    <row r="7770" spans="2:34" x14ac:dyDescent="0.2">
      <c r="B7770" s="2">
        <f ca="1"/>
        <v>0.169593100346485</v>
      </c>
      <c r="O7770" s="2">
        <f ca="1"/>
        <v>0.88821443727066385</v>
      </c>
      <c r="X7770" s="2">
        <f ca="1"/>
        <v>50.98791693515237</v>
      </c>
      <c r="AG7770" s="2">
        <f ca="1"/>
        <v>0.5399637611162913</v>
      </c>
      <c r="AH7770" s="2" t="str">
        <f ca="1"/>
        <v>Bad</v>
      </c>
    </row>
    <row r="7771" spans="2:34" x14ac:dyDescent="0.2">
      <c r="B7771" s="2">
        <f ca="1"/>
        <v>0.6994582900029076</v>
      </c>
      <c r="O7771" s="2">
        <f ca="1"/>
        <v>-0.17793601348591134</v>
      </c>
      <c r="X7771" s="2">
        <f ca="1"/>
        <v>49.842540523635023</v>
      </c>
      <c r="AG7771" s="2">
        <f ca="1"/>
        <v>0.84283712735906491</v>
      </c>
      <c r="AH7771" s="2" t="str">
        <f ca="1"/>
        <v>Bad</v>
      </c>
    </row>
    <row r="7772" spans="2:34" x14ac:dyDescent="0.2">
      <c r="B7772" s="2">
        <f ca="1"/>
        <v>0.11925622624925869</v>
      </c>
      <c r="O7772" s="2">
        <f ca="1"/>
        <v>1.1302374711974938</v>
      </c>
      <c r="X7772" s="2">
        <f ca="1"/>
        <v>64.308304723910695</v>
      </c>
      <c r="AG7772" s="2">
        <f ca="1"/>
        <v>0.44075467884347796</v>
      </c>
      <c r="AH7772" s="2" t="str">
        <f ca="1"/>
        <v>Bad</v>
      </c>
    </row>
    <row r="7773" spans="2:34" x14ac:dyDescent="0.2">
      <c r="B7773" s="2">
        <f ca="1"/>
        <v>0.61390968239272214</v>
      </c>
      <c r="O7773" s="2">
        <f ca="1"/>
        <v>-0.89302429037384046</v>
      </c>
      <c r="X7773" s="2">
        <f ca="1"/>
        <v>55.131151886896816</v>
      </c>
      <c r="AG7773" s="2">
        <f ca="1"/>
        <v>0.81245020058232353</v>
      </c>
      <c r="AH7773" s="2" t="str">
        <f ca="1"/>
        <v>Bad</v>
      </c>
    </row>
    <row r="7774" spans="2:34" x14ac:dyDescent="0.2">
      <c r="B7774" s="2">
        <f ca="1"/>
        <v>0.98752277877760619</v>
      </c>
      <c r="O7774" s="2">
        <f ca="1"/>
        <v>-1.1204620464061141</v>
      </c>
      <c r="X7774" s="2">
        <f ca="1"/>
        <v>58.389085233646696</v>
      </c>
      <c r="AG7774" s="2">
        <f ca="1"/>
        <v>4.3009145415624506E-3</v>
      </c>
      <c r="AH7774" s="2" t="str">
        <f ca="1"/>
        <v>Good</v>
      </c>
    </row>
    <row r="7775" spans="2:34" x14ac:dyDescent="0.2">
      <c r="B7775" s="2">
        <f ca="1"/>
        <v>0.40982900807429545</v>
      </c>
      <c r="O7775" s="2">
        <f ca="1"/>
        <v>1.589495870799984</v>
      </c>
      <c r="X7775" s="2">
        <f ca="1"/>
        <v>67.646818755826644</v>
      </c>
      <c r="AG7775" s="2">
        <f ca="1"/>
        <v>0.77315510042499525</v>
      </c>
      <c r="AH7775" s="2" t="str">
        <f ca="1"/>
        <v>Bad</v>
      </c>
    </row>
    <row r="7776" spans="2:34" x14ac:dyDescent="0.2">
      <c r="B7776" s="2">
        <f ca="1"/>
        <v>0.83131639020789239</v>
      </c>
      <c r="O7776" s="2">
        <f ca="1"/>
        <v>0.54352571032039321</v>
      </c>
      <c r="X7776" s="2">
        <f ca="1"/>
        <v>41.222950187730206</v>
      </c>
      <c r="AG7776" s="2">
        <f ca="1"/>
        <v>0.12092427744136214</v>
      </c>
      <c r="AH7776" s="2" t="str">
        <f ca="1"/>
        <v>OK</v>
      </c>
    </row>
    <row r="7777" spans="2:34" x14ac:dyDescent="0.2">
      <c r="B7777" s="2">
        <f ca="1"/>
        <v>0.973243791753577</v>
      </c>
      <c r="O7777" s="2">
        <f ca="1"/>
        <v>-0.41597336615535907</v>
      </c>
      <c r="X7777" s="2">
        <f ca="1"/>
        <v>82.782896911032509</v>
      </c>
      <c r="AG7777" s="2">
        <f ca="1"/>
        <v>0.75058296557315995</v>
      </c>
      <c r="AH7777" s="2" t="str">
        <f ca="1"/>
        <v>Bad</v>
      </c>
    </row>
    <row r="7778" spans="2:34" x14ac:dyDescent="0.2">
      <c r="B7778" s="2">
        <f ca="1"/>
        <v>3.5625359720735661E-2</v>
      </c>
      <c r="O7778" s="2">
        <f ca="1"/>
        <v>-1.0037221655247517</v>
      </c>
      <c r="X7778" s="2">
        <f ca="1"/>
        <v>40.04961859424369</v>
      </c>
      <c r="AG7778" s="2">
        <f ca="1"/>
        <v>0.65219335756542818</v>
      </c>
      <c r="AH7778" s="2" t="str">
        <f ca="1"/>
        <v>Bad</v>
      </c>
    </row>
    <row r="7779" spans="2:34" x14ac:dyDescent="0.2">
      <c r="B7779" s="2">
        <f ca="1"/>
        <v>0.44671702724914719</v>
      </c>
      <c r="O7779" s="2">
        <f ca="1"/>
        <v>0.29386439025140271</v>
      </c>
      <c r="X7779" s="2">
        <f ca="1"/>
        <v>84.167029385037438</v>
      </c>
      <c r="AG7779" s="2">
        <f ca="1"/>
        <v>0.98233597563383346</v>
      </c>
      <c r="AH7779" s="2" t="str">
        <f ca="1"/>
        <v>Bad</v>
      </c>
    </row>
    <row r="7780" spans="2:34" x14ac:dyDescent="0.2">
      <c r="B7780" s="2">
        <f ca="1"/>
        <v>3.7935231456073693E-2</v>
      </c>
      <c r="O7780" s="2">
        <f ca="1"/>
        <v>-0.88260463063596406</v>
      </c>
      <c r="X7780" s="2">
        <f ca="1"/>
        <v>45.281224129386459</v>
      </c>
      <c r="AG7780" s="2">
        <f ca="1"/>
        <v>0.57591394180413968</v>
      </c>
      <c r="AH7780" s="2" t="str">
        <f ca="1"/>
        <v>Bad</v>
      </c>
    </row>
    <row r="7781" spans="2:34" x14ac:dyDescent="0.2">
      <c r="B7781" s="2">
        <f ca="1"/>
        <v>0.50413360123305395</v>
      </c>
      <c r="O7781" s="2">
        <f ca="1"/>
        <v>-1.3949085821897207</v>
      </c>
      <c r="X7781" s="2">
        <f ca="1"/>
        <v>40.536893462987209</v>
      </c>
      <c r="AG7781" s="2">
        <f ca="1"/>
        <v>0.52964727730175953</v>
      </c>
      <c r="AH7781" s="2" t="str">
        <f ca="1"/>
        <v>Bad</v>
      </c>
    </row>
    <row r="7782" spans="2:34" x14ac:dyDescent="0.2">
      <c r="B7782" s="2">
        <f ca="1"/>
        <v>4.435599378258992E-2</v>
      </c>
      <c r="O7782" s="2">
        <f ca="1"/>
        <v>0.93231768463627407</v>
      </c>
      <c r="X7782" s="2">
        <f ca="1"/>
        <v>58.91426741716031</v>
      </c>
      <c r="AG7782" s="2">
        <f ca="1"/>
        <v>0.17463025556057321</v>
      </c>
      <c r="AH7782" s="2" t="str">
        <f ca="1"/>
        <v>OK</v>
      </c>
    </row>
    <row r="7783" spans="2:34" x14ac:dyDescent="0.2">
      <c r="B7783" s="2">
        <f ca="1"/>
        <v>8.0286454294645537E-2</v>
      </c>
      <c r="O7783" s="2">
        <f ca="1"/>
        <v>1.4722021491875583</v>
      </c>
      <c r="X7783" s="2">
        <f ca="1"/>
        <v>84.709510218199725</v>
      </c>
      <c r="AG7783" s="2">
        <f ca="1"/>
        <v>0.22136910754971373</v>
      </c>
      <c r="AH7783" s="2" t="str">
        <f ca="1"/>
        <v>OK</v>
      </c>
    </row>
    <row r="7784" spans="2:34" x14ac:dyDescent="0.2">
      <c r="B7784" s="2">
        <f ca="1"/>
        <v>0.67365757101411372</v>
      </c>
      <c r="O7784" s="2">
        <f ca="1"/>
        <v>-0.52837480380205737</v>
      </c>
      <c r="X7784" s="2">
        <f ca="1"/>
        <v>58.640103702705993</v>
      </c>
      <c r="AG7784" s="2">
        <f ca="1"/>
        <v>0.70813808802189238</v>
      </c>
      <c r="AH7784" s="2" t="str">
        <f ca="1"/>
        <v>Bad</v>
      </c>
    </row>
    <row r="7785" spans="2:34" x14ac:dyDescent="0.2">
      <c r="B7785" s="2">
        <f ca="1"/>
        <v>0.73413483339714314</v>
      </c>
      <c r="O7785" s="2">
        <f ca="1"/>
        <v>1.1349898431331624</v>
      </c>
      <c r="X7785" s="2">
        <f ca="1"/>
        <v>55.329880692929947</v>
      </c>
      <c r="AG7785" s="2">
        <f ca="1"/>
        <v>0.7173850225124514</v>
      </c>
      <c r="AH7785" s="2" t="str">
        <f ca="1"/>
        <v>Bad</v>
      </c>
    </row>
    <row r="7786" spans="2:34" x14ac:dyDescent="0.2">
      <c r="B7786" s="2">
        <f ca="1"/>
        <v>0.33018204008517316</v>
      </c>
      <c r="O7786" s="2">
        <f ca="1"/>
        <v>-1.3128740806825294</v>
      </c>
      <c r="X7786" s="2">
        <f ca="1"/>
        <v>62.640686745518849</v>
      </c>
      <c r="AG7786" s="2">
        <f ca="1"/>
        <v>0.65795142014921359</v>
      </c>
      <c r="AH7786" s="2" t="str">
        <f ca="1"/>
        <v>Bad</v>
      </c>
    </row>
    <row r="7787" spans="2:34" x14ac:dyDescent="0.2">
      <c r="B7787" s="2">
        <f ca="1"/>
        <v>0.1760045976727791</v>
      </c>
      <c r="O7787" s="2">
        <f ca="1"/>
        <v>0.29440820933259043</v>
      </c>
      <c r="X7787" s="2">
        <f ca="1"/>
        <v>27.098391958209788</v>
      </c>
      <c r="AG7787" s="2">
        <f ca="1"/>
        <v>0.5997484989852131</v>
      </c>
      <c r="AH7787" s="2" t="str">
        <f ca="1"/>
        <v>Bad</v>
      </c>
    </row>
    <row r="7788" spans="2:34" x14ac:dyDescent="0.2">
      <c r="B7788" s="2">
        <f ca="1"/>
        <v>0.49107897601807582</v>
      </c>
      <c r="O7788" s="2">
        <f ca="1"/>
        <v>0.30523992281992013</v>
      </c>
      <c r="X7788" s="2">
        <f ca="1"/>
        <v>42.104936456827119</v>
      </c>
      <c r="AG7788" s="2">
        <f ca="1"/>
        <v>7.1048519348062555E-3</v>
      </c>
      <c r="AH7788" s="2" t="str">
        <f ca="1"/>
        <v>Good</v>
      </c>
    </row>
    <row r="7789" spans="2:34" x14ac:dyDescent="0.2">
      <c r="B7789" s="2">
        <f ca="1"/>
        <v>0.46337223970856312</v>
      </c>
      <c r="O7789" s="2">
        <f ca="1"/>
        <v>0.94290632461994073</v>
      </c>
      <c r="X7789" s="2">
        <f ca="1"/>
        <v>28.203400598357817</v>
      </c>
      <c r="AG7789" s="2">
        <f ca="1"/>
        <v>0.78718025011576054</v>
      </c>
      <c r="AH7789" s="2" t="str">
        <f ca="1"/>
        <v>Bad</v>
      </c>
    </row>
    <row r="7790" spans="2:34" x14ac:dyDescent="0.2">
      <c r="B7790" s="2">
        <f ca="1"/>
        <v>0.34184467380381989</v>
      </c>
      <c r="O7790" s="2">
        <f ca="1"/>
        <v>1.8176136755659786</v>
      </c>
      <c r="X7790" s="2">
        <f ca="1"/>
        <v>65.00416378839094</v>
      </c>
      <c r="AG7790" s="2">
        <f ca="1"/>
        <v>0.84120146227534875</v>
      </c>
      <c r="AH7790" s="2" t="str">
        <f ca="1"/>
        <v>Bad</v>
      </c>
    </row>
    <row r="7791" spans="2:34" x14ac:dyDescent="0.2">
      <c r="B7791" s="2">
        <f ca="1"/>
        <v>0.23784058860545776</v>
      </c>
      <c r="O7791" s="2">
        <f ca="1"/>
        <v>-0.83446651596402965</v>
      </c>
      <c r="X7791" s="2">
        <f ca="1"/>
        <v>46.979009481704864</v>
      </c>
      <c r="AG7791" s="2">
        <f ca="1"/>
        <v>0.94831246769158284</v>
      </c>
      <c r="AH7791" s="2" t="str">
        <f ca="1"/>
        <v>Bad</v>
      </c>
    </row>
    <row r="7792" spans="2:34" x14ac:dyDescent="0.2">
      <c r="B7792" s="2">
        <f ca="1"/>
        <v>0.6886375030228622</v>
      </c>
      <c r="O7792" s="2">
        <f ca="1"/>
        <v>0.460568588988362</v>
      </c>
      <c r="X7792" s="2">
        <f ca="1"/>
        <v>32.544078692745529</v>
      </c>
      <c r="AG7792" s="2">
        <f ca="1"/>
        <v>0.60423889652490304</v>
      </c>
      <c r="AH7792" s="2" t="str">
        <f ca="1"/>
        <v>Bad</v>
      </c>
    </row>
    <row r="7793" spans="2:34" x14ac:dyDescent="0.2">
      <c r="B7793" s="2">
        <f ca="1"/>
        <v>0.53666000020427007</v>
      </c>
      <c r="O7793" s="2">
        <f ca="1"/>
        <v>-0.1645780190537485</v>
      </c>
      <c r="X7793" s="2">
        <f ca="1"/>
        <v>46.211786606661754</v>
      </c>
      <c r="AG7793" s="2">
        <f ca="1"/>
        <v>0.31359022012876658</v>
      </c>
      <c r="AH7793" s="2" t="str">
        <f ca="1"/>
        <v>OK</v>
      </c>
    </row>
    <row r="7794" spans="2:34" x14ac:dyDescent="0.2">
      <c r="B7794" s="2">
        <f ca="1"/>
        <v>0.41706825852441409</v>
      </c>
      <c r="O7794" s="2">
        <f ca="1"/>
        <v>1.1450730521020207</v>
      </c>
      <c r="X7794" s="2">
        <f ca="1"/>
        <v>71.538131545685729</v>
      </c>
      <c r="AG7794" s="2">
        <f ca="1"/>
        <v>0.67484980333086653</v>
      </c>
      <c r="AH7794" s="2" t="str">
        <f ca="1"/>
        <v>Bad</v>
      </c>
    </row>
    <row r="7795" spans="2:34" x14ac:dyDescent="0.2">
      <c r="B7795" s="2">
        <f ca="1"/>
        <v>0.43058662769719147</v>
      </c>
      <c r="O7795" s="2">
        <f ca="1"/>
        <v>1.3700928699052697</v>
      </c>
      <c r="X7795" s="2">
        <f ca="1"/>
        <v>41.979879358448464</v>
      </c>
      <c r="AG7795" s="2">
        <f ca="1"/>
        <v>0.77270309826270189</v>
      </c>
      <c r="AH7795" s="2" t="str">
        <f ca="1"/>
        <v>Bad</v>
      </c>
    </row>
    <row r="7796" spans="2:34" x14ac:dyDescent="0.2">
      <c r="B7796" s="2">
        <f ca="1"/>
        <v>7.7683350666116091E-2</v>
      </c>
      <c r="O7796" s="2">
        <f ca="1"/>
        <v>-1.2140651785673553E-2</v>
      </c>
      <c r="X7796" s="2">
        <f ca="1"/>
        <v>45.38434500299887</v>
      </c>
      <c r="AG7796" s="2">
        <f ca="1"/>
        <v>8.9701582032529092E-2</v>
      </c>
      <c r="AH7796" s="2" t="str">
        <f ca="1"/>
        <v>OK</v>
      </c>
    </row>
    <row r="7797" spans="2:34" x14ac:dyDescent="0.2">
      <c r="B7797" s="2">
        <f ca="1"/>
        <v>0.7590181416377042</v>
      </c>
      <c r="O7797" s="2">
        <f ca="1"/>
        <v>0.85961097351129023</v>
      </c>
      <c r="X7797" s="2">
        <f ca="1"/>
        <v>44.69529965189529</v>
      </c>
      <c r="AG7797" s="2">
        <f ca="1"/>
        <v>0.79938839143436913</v>
      </c>
      <c r="AH7797" s="2" t="str">
        <f ca="1"/>
        <v>Bad</v>
      </c>
    </row>
    <row r="7798" spans="2:34" x14ac:dyDescent="0.2">
      <c r="B7798" s="2">
        <f ca="1"/>
        <v>0.78130528110220432</v>
      </c>
      <c r="O7798" s="2">
        <f ca="1"/>
        <v>0.8006871546497818</v>
      </c>
      <c r="X7798" s="2">
        <f ca="1"/>
        <v>86.939643768678408</v>
      </c>
      <c r="AG7798" s="2">
        <f ca="1"/>
        <v>0.48343292158440687</v>
      </c>
      <c r="AH7798" s="2" t="str">
        <f ca="1"/>
        <v>Bad</v>
      </c>
    </row>
    <row r="7799" spans="2:34" x14ac:dyDescent="0.2">
      <c r="B7799" s="2">
        <f ca="1"/>
        <v>0.79029265132713356</v>
      </c>
      <c r="O7799" s="2">
        <f ca="1"/>
        <v>1.2145118241858308</v>
      </c>
      <c r="X7799" s="2">
        <f ca="1"/>
        <v>53.571418067754593</v>
      </c>
      <c r="AG7799" s="2">
        <f ca="1"/>
        <v>0.9006628928395386</v>
      </c>
      <c r="AH7799" s="2" t="str">
        <f ca="1"/>
        <v>Bad</v>
      </c>
    </row>
    <row r="7800" spans="2:34" x14ac:dyDescent="0.2">
      <c r="B7800" s="2">
        <f ca="1"/>
        <v>0.476288558540374</v>
      </c>
      <c r="O7800" s="2">
        <f ca="1"/>
        <v>0.76815082335146734</v>
      </c>
      <c r="X7800" s="2">
        <f ca="1"/>
        <v>42.405967449924447</v>
      </c>
      <c r="AG7800" s="2">
        <f ca="1"/>
        <v>0.65792522247706486</v>
      </c>
      <c r="AH7800" s="2" t="str">
        <f ca="1"/>
        <v>Bad</v>
      </c>
    </row>
    <row r="7801" spans="2:34" x14ac:dyDescent="0.2">
      <c r="B7801" s="2">
        <f ca="1"/>
        <v>0.46640218633703534</v>
      </c>
      <c r="O7801" s="2">
        <f ca="1"/>
        <v>-1.0609108813760106</v>
      </c>
      <c r="X7801" s="2">
        <f ca="1"/>
        <v>56.374417852579171</v>
      </c>
      <c r="AG7801" s="2">
        <f ca="1"/>
        <v>0.8809109367255672</v>
      </c>
      <c r="AH7801" s="2" t="str">
        <f ca="1"/>
        <v>Bad</v>
      </c>
    </row>
    <row r="7802" spans="2:34" x14ac:dyDescent="0.2">
      <c r="B7802" s="2">
        <f ca="1"/>
        <v>0.84692880180817554</v>
      </c>
      <c r="O7802" s="2">
        <f ca="1"/>
        <v>-0.6963416404223185</v>
      </c>
      <c r="X7802" s="2">
        <f ca="1"/>
        <v>88.894905225735158</v>
      </c>
      <c r="AG7802" s="2">
        <f ca="1"/>
        <v>0.17096407180633544</v>
      </c>
      <c r="AH7802" s="2" t="str">
        <f ca="1"/>
        <v>OK</v>
      </c>
    </row>
    <row r="7803" spans="2:34" x14ac:dyDescent="0.2">
      <c r="B7803" s="2">
        <f ca="1"/>
        <v>0.75346172282500046</v>
      </c>
      <c r="O7803" s="2">
        <f ca="1"/>
        <v>0.47495446379022893</v>
      </c>
      <c r="X7803" s="2">
        <f ca="1"/>
        <v>27.566071061092568</v>
      </c>
      <c r="AG7803" s="2">
        <f ca="1"/>
        <v>0.45791956807920986</v>
      </c>
      <c r="AH7803" s="2" t="str">
        <f ca="1"/>
        <v>Bad</v>
      </c>
    </row>
    <row r="7804" spans="2:34" x14ac:dyDescent="0.2">
      <c r="B7804" s="2">
        <f ca="1"/>
        <v>0.99373115181743188</v>
      </c>
      <c r="O7804" s="2">
        <f ca="1"/>
        <v>-1.4645644537913693</v>
      </c>
      <c r="X7804" s="2">
        <f ca="1"/>
        <v>36.171723014900479</v>
      </c>
      <c r="AG7804" s="2">
        <f ca="1"/>
        <v>6.0901455515996128E-2</v>
      </c>
      <c r="AH7804" s="2" t="str">
        <f ca="1"/>
        <v>OK</v>
      </c>
    </row>
    <row r="7805" spans="2:34" x14ac:dyDescent="0.2">
      <c r="B7805" s="2">
        <f ca="1"/>
        <v>0.88560754320070334</v>
      </c>
      <c r="O7805" s="2">
        <f ca="1"/>
        <v>-2.6476187624586043</v>
      </c>
      <c r="X7805" s="2">
        <f ca="1"/>
        <v>49.174231429074396</v>
      </c>
      <c r="AG7805" s="2">
        <f ca="1"/>
        <v>0.31293491373345583</v>
      </c>
      <c r="AH7805" s="2" t="str">
        <f ca="1"/>
        <v>OK</v>
      </c>
    </row>
    <row r="7806" spans="2:34" x14ac:dyDescent="0.2">
      <c r="B7806" s="2">
        <f ca="1"/>
        <v>0.36327140930284796</v>
      </c>
      <c r="O7806" s="2">
        <f ca="1"/>
        <v>0.99171846956954746</v>
      </c>
      <c r="X7806" s="2">
        <f ca="1"/>
        <v>54.612005981258022</v>
      </c>
      <c r="AG7806" s="2">
        <f ca="1"/>
        <v>0.93142718837720584</v>
      </c>
      <c r="AH7806" s="2" t="str">
        <f ca="1"/>
        <v>Bad</v>
      </c>
    </row>
    <row r="7807" spans="2:34" x14ac:dyDescent="0.2">
      <c r="B7807" s="2">
        <f ca="1"/>
        <v>0.34766509238376209</v>
      </c>
      <c r="O7807" s="2">
        <f ca="1"/>
        <v>-0.91457181781684904</v>
      </c>
      <c r="X7807" s="2">
        <f ca="1"/>
        <v>58.147077519598518</v>
      </c>
      <c r="AG7807" s="2">
        <f ca="1"/>
        <v>0.72116751813547819</v>
      </c>
      <c r="AH7807" s="2" t="str">
        <f ca="1"/>
        <v>Bad</v>
      </c>
    </row>
    <row r="7808" spans="2:34" x14ac:dyDescent="0.2">
      <c r="B7808" s="2">
        <f ca="1"/>
        <v>0.3214734286707821</v>
      </c>
      <c r="O7808" s="2">
        <f ca="1"/>
        <v>-1.3242101506988668</v>
      </c>
      <c r="X7808" s="2">
        <f ca="1"/>
        <v>33.657475214776944</v>
      </c>
      <c r="AG7808" s="2">
        <f ca="1"/>
        <v>0.55959941055496731</v>
      </c>
      <c r="AH7808" s="2" t="str">
        <f ca="1"/>
        <v>Bad</v>
      </c>
    </row>
    <row r="7809" spans="2:34" x14ac:dyDescent="0.2">
      <c r="B7809" s="2">
        <f ca="1"/>
        <v>0.71250185965770396</v>
      </c>
      <c r="O7809" s="2">
        <f ca="1"/>
        <v>-0.19570524913185736</v>
      </c>
      <c r="X7809" s="2">
        <f ca="1"/>
        <v>63.560199623702246</v>
      </c>
      <c r="AG7809" s="2">
        <f ca="1"/>
        <v>0.58468428460166888</v>
      </c>
      <c r="AH7809" s="2" t="str">
        <f ca="1"/>
        <v>Bad</v>
      </c>
    </row>
    <row r="7810" spans="2:34" x14ac:dyDescent="0.2">
      <c r="B7810" s="2">
        <f ca="1"/>
        <v>0.12265369785499813</v>
      </c>
      <c r="O7810" s="2">
        <f ca="1"/>
        <v>2.168249216113594</v>
      </c>
      <c r="X7810" s="2">
        <f ca="1"/>
        <v>57.286604766663416</v>
      </c>
      <c r="AG7810" s="2">
        <f ca="1"/>
        <v>0.94373132556342498</v>
      </c>
      <c r="AH7810" s="2" t="str">
        <f ca="1"/>
        <v>Bad</v>
      </c>
    </row>
    <row r="7811" spans="2:34" x14ac:dyDescent="0.2">
      <c r="B7811" s="2">
        <f ca="1"/>
        <v>0.17388948422890427</v>
      </c>
      <c r="O7811" s="2">
        <f ca="1"/>
        <v>-0.30414670201798194</v>
      </c>
      <c r="X7811" s="2">
        <f ca="1"/>
        <v>40.589470043698626</v>
      </c>
      <c r="AG7811" s="2">
        <f ca="1"/>
        <v>0.29326209624334454</v>
      </c>
      <c r="AH7811" s="2" t="str">
        <f ca="1"/>
        <v>OK</v>
      </c>
    </row>
    <row r="7812" spans="2:34" x14ac:dyDescent="0.2">
      <c r="B7812" s="2">
        <f ca="1"/>
        <v>0.99263710504643199</v>
      </c>
      <c r="O7812" s="2">
        <f ca="1"/>
        <v>-2.1682734844205012</v>
      </c>
      <c r="X7812" s="2">
        <f ca="1"/>
        <v>68.014977817212738</v>
      </c>
      <c r="AG7812" s="2">
        <f ca="1"/>
        <v>0.18703680989253679</v>
      </c>
      <c r="AH7812" s="2" t="str">
        <f ca="1"/>
        <v>OK</v>
      </c>
    </row>
    <row r="7813" spans="2:34" x14ac:dyDescent="0.2">
      <c r="B7813" s="2">
        <f ca="1"/>
        <v>0.35572342657680056</v>
      </c>
      <c r="O7813" s="2">
        <f ca="1"/>
        <v>-0.69666132767599254</v>
      </c>
      <c r="X7813" s="2">
        <f ca="1"/>
        <v>43.912482758990315</v>
      </c>
      <c r="AG7813" s="2">
        <f ca="1"/>
        <v>0.61405834369379297</v>
      </c>
      <c r="AH7813" s="2" t="str">
        <f ca="1"/>
        <v>Bad</v>
      </c>
    </row>
    <row r="7814" spans="2:34" x14ac:dyDescent="0.2">
      <c r="B7814" s="2">
        <f ca="1"/>
        <v>0.29526893266342658</v>
      </c>
      <c r="O7814" s="2">
        <f ca="1"/>
        <v>0.60313819588278605</v>
      </c>
      <c r="X7814" s="2">
        <f ca="1"/>
        <v>45.010901305602502</v>
      </c>
      <c r="AG7814" s="2">
        <f ca="1"/>
        <v>0.5928370783170871</v>
      </c>
      <c r="AH7814" s="2" t="str">
        <f ca="1"/>
        <v>Bad</v>
      </c>
    </row>
    <row r="7815" spans="2:34" x14ac:dyDescent="0.2">
      <c r="B7815" s="2">
        <f ca="1"/>
        <v>6.4425932170668609E-2</v>
      </c>
      <c r="O7815" s="2">
        <f ca="1"/>
        <v>9.733124422628163E-2</v>
      </c>
      <c r="X7815" s="2">
        <f ca="1"/>
        <v>31.642517365797978</v>
      </c>
      <c r="AG7815" s="2">
        <f ca="1"/>
        <v>0.76073760872557017</v>
      </c>
      <c r="AH7815" s="2" t="str">
        <f ca="1"/>
        <v>Bad</v>
      </c>
    </row>
    <row r="7816" spans="2:34" x14ac:dyDescent="0.2">
      <c r="B7816" s="2">
        <f ca="1"/>
        <v>0.86595339471986521</v>
      </c>
      <c r="O7816" s="2">
        <f ca="1"/>
        <v>0.50121141217937715</v>
      </c>
      <c r="X7816" s="2">
        <f ca="1"/>
        <v>75.577346061553385</v>
      </c>
      <c r="AG7816" s="2">
        <f ca="1"/>
        <v>0.52177299382324849</v>
      </c>
      <c r="AH7816" s="2" t="str">
        <f ca="1"/>
        <v>Bad</v>
      </c>
    </row>
    <row r="7817" spans="2:34" x14ac:dyDescent="0.2">
      <c r="B7817" s="2">
        <f ca="1"/>
        <v>1.6267762915303408E-2</v>
      </c>
      <c r="O7817" s="2">
        <f ca="1"/>
        <v>-0.27175931588292246</v>
      </c>
      <c r="X7817" s="2">
        <f ca="1"/>
        <v>35.733415514891277</v>
      </c>
      <c r="AG7817" s="2">
        <f ca="1"/>
        <v>0.69110809469175072</v>
      </c>
      <c r="AH7817" s="2" t="str">
        <f ca="1"/>
        <v>Bad</v>
      </c>
    </row>
    <row r="7818" spans="2:34" x14ac:dyDescent="0.2">
      <c r="B7818" s="2">
        <f ca="1"/>
        <v>0.12790365584549535</v>
      </c>
      <c r="O7818" s="2">
        <f ca="1"/>
        <v>0.53590366741482287</v>
      </c>
      <c r="X7818" s="2">
        <f ca="1"/>
        <v>45.226851361774685</v>
      </c>
      <c r="AG7818" s="2">
        <f ca="1"/>
        <v>0.17045096811285187</v>
      </c>
      <c r="AH7818" s="2" t="str">
        <f ca="1"/>
        <v>OK</v>
      </c>
    </row>
    <row r="7819" spans="2:34" x14ac:dyDescent="0.2">
      <c r="B7819" s="2">
        <f ca="1"/>
        <v>0.92288536024057422</v>
      </c>
      <c r="O7819" s="2">
        <f ca="1"/>
        <v>0.5647932824331896</v>
      </c>
      <c r="X7819" s="2">
        <f ca="1"/>
        <v>74.257931175019309</v>
      </c>
      <c r="AG7819" s="2">
        <f ca="1"/>
        <v>5.8391662574305947E-2</v>
      </c>
      <c r="AH7819" s="2" t="str">
        <f ca="1"/>
        <v>OK</v>
      </c>
    </row>
    <row r="7820" spans="2:34" x14ac:dyDescent="0.2">
      <c r="B7820" s="2">
        <f ca="1"/>
        <v>0.37425012078226705</v>
      </c>
      <c r="O7820" s="2">
        <f ca="1"/>
        <v>-4.0996079393274591E-2</v>
      </c>
      <c r="X7820" s="2">
        <f ca="1"/>
        <v>36.073215388875923</v>
      </c>
      <c r="AG7820" s="2">
        <f ca="1"/>
        <v>0.96850358841622297</v>
      </c>
      <c r="AH7820" s="2" t="str">
        <f ca="1"/>
        <v>Bad</v>
      </c>
    </row>
    <row r="7821" spans="2:34" x14ac:dyDescent="0.2">
      <c r="B7821" s="2">
        <f ca="1"/>
        <v>0.81764503543840883</v>
      </c>
      <c r="O7821" s="2">
        <f ca="1"/>
        <v>3.2006220417746301</v>
      </c>
      <c r="X7821" s="2">
        <f ca="1"/>
        <v>55.72188707991333</v>
      </c>
      <c r="AG7821" s="2">
        <f ca="1"/>
        <v>0.47817931601250696</v>
      </c>
      <c r="AH7821" s="2" t="str">
        <f ca="1"/>
        <v>Bad</v>
      </c>
    </row>
    <row r="7822" spans="2:34" x14ac:dyDescent="0.2">
      <c r="B7822" s="2">
        <f ca="1"/>
        <v>0.3927101047896373</v>
      </c>
      <c r="O7822" s="2">
        <f ca="1"/>
        <v>-0.88558402737502151</v>
      </c>
      <c r="X7822" s="2">
        <f ca="1"/>
        <v>46.383695875230451</v>
      </c>
      <c r="AG7822" s="2">
        <f ca="1"/>
        <v>0.4844245758627983</v>
      </c>
      <c r="AH7822" s="2" t="str">
        <f ca="1"/>
        <v>Bad</v>
      </c>
    </row>
    <row r="7823" spans="2:34" x14ac:dyDescent="0.2">
      <c r="B7823" s="2">
        <f ca="1"/>
        <v>0.35119113518495526</v>
      </c>
      <c r="O7823" s="2">
        <f ca="1"/>
        <v>2.2561161997546177</v>
      </c>
      <c r="X7823" s="2">
        <f ca="1"/>
        <v>54.899431026091143</v>
      </c>
      <c r="AG7823" s="2">
        <f ca="1"/>
        <v>2.6894633376721711E-2</v>
      </c>
      <c r="AH7823" s="2" t="str">
        <f ca="1"/>
        <v>Good</v>
      </c>
    </row>
    <row r="7824" spans="2:34" x14ac:dyDescent="0.2">
      <c r="B7824" s="2">
        <f ca="1"/>
        <v>0.85738623116736257</v>
      </c>
      <c r="O7824" s="2">
        <f ca="1"/>
        <v>0.70436063148516892</v>
      </c>
      <c r="X7824" s="2">
        <f ca="1"/>
        <v>50.07510711887862</v>
      </c>
      <c r="AG7824" s="2">
        <f ca="1"/>
        <v>0.10969917296309295</v>
      </c>
      <c r="AH7824" s="2" t="str">
        <f ca="1"/>
        <v>OK</v>
      </c>
    </row>
    <row r="7825" spans="2:34" x14ac:dyDescent="0.2">
      <c r="B7825" s="2">
        <f ca="1"/>
        <v>0.73404020645604939</v>
      </c>
      <c r="O7825" s="2">
        <f ca="1"/>
        <v>-0.92576552156709602</v>
      </c>
      <c r="X7825" s="2">
        <f ca="1"/>
        <v>50.014159205797391</v>
      </c>
      <c r="AG7825" s="2">
        <f ca="1"/>
        <v>0.84476874426886139</v>
      </c>
      <c r="AH7825" s="2" t="str">
        <f ca="1"/>
        <v>Bad</v>
      </c>
    </row>
    <row r="7826" spans="2:34" x14ac:dyDescent="0.2">
      <c r="B7826" s="2">
        <f ca="1"/>
        <v>0.39028063168079763</v>
      </c>
      <c r="O7826" s="2">
        <f ca="1"/>
        <v>8.9814291183912501E-2</v>
      </c>
      <c r="X7826" s="2">
        <f ca="1"/>
        <v>67.298302298343501</v>
      </c>
      <c r="AG7826" s="2">
        <f ca="1"/>
        <v>0.29084719832302008</v>
      </c>
      <c r="AH7826" s="2" t="str">
        <f ca="1"/>
        <v>OK</v>
      </c>
    </row>
    <row r="7827" spans="2:34" x14ac:dyDescent="0.2">
      <c r="B7827" s="2">
        <f ca="1"/>
        <v>0.81741991553679827</v>
      </c>
      <c r="O7827" s="2">
        <f ca="1"/>
        <v>0.73773481459103507</v>
      </c>
      <c r="X7827" s="2">
        <f ca="1"/>
        <v>53.952425894308675</v>
      </c>
      <c r="AG7827" s="2">
        <f ca="1"/>
        <v>5.7452049002611805E-2</v>
      </c>
      <c r="AH7827" s="2" t="str">
        <f ca="1"/>
        <v>OK</v>
      </c>
    </row>
    <row r="7828" spans="2:34" x14ac:dyDescent="0.2">
      <c r="B7828" s="2">
        <f ca="1"/>
        <v>0.84869923475814524</v>
      </c>
      <c r="O7828" s="2">
        <f ca="1"/>
        <v>-0.43192753971494841</v>
      </c>
      <c r="X7828" s="2">
        <f ca="1"/>
        <v>64.397096785902818</v>
      </c>
      <c r="AG7828" s="2">
        <f ca="1"/>
        <v>0.72027373043903031</v>
      </c>
      <c r="AH7828" s="2" t="str">
        <f ca="1"/>
        <v>Bad</v>
      </c>
    </row>
    <row r="7829" spans="2:34" x14ac:dyDescent="0.2">
      <c r="B7829" s="2">
        <f ca="1"/>
        <v>0.11133648298522303</v>
      </c>
      <c r="O7829" s="2">
        <f ca="1"/>
        <v>0.8847169830102134</v>
      </c>
      <c r="X7829" s="2">
        <f ca="1"/>
        <v>52.4494074072676</v>
      </c>
      <c r="AG7829" s="2">
        <f ca="1"/>
        <v>1.769874220809875E-3</v>
      </c>
      <c r="AH7829" s="2" t="str">
        <f ca="1"/>
        <v>Good</v>
      </c>
    </row>
    <row r="7830" spans="2:34" x14ac:dyDescent="0.2">
      <c r="B7830" s="2">
        <f ca="1"/>
        <v>0.21289959878370013</v>
      </c>
      <c r="O7830" s="2">
        <f ca="1"/>
        <v>0.29943986534844053</v>
      </c>
      <c r="X7830" s="2">
        <f ca="1"/>
        <v>37.100123024560119</v>
      </c>
      <c r="AG7830" s="2">
        <f ca="1"/>
        <v>0.1341808625892158</v>
      </c>
      <c r="AH7830" s="2" t="str">
        <f ca="1"/>
        <v>OK</v>
      </c>
    </row>
    <row r="7831" spans="2:34" x14ac:dyDescent="0.2">
      <c r="B7831" s="2">
        <f ca="1"/>
        <v>0.87631394056428391</v>
      </c>
      <c r="O7831" s="2">
        <f ca="1"/>
        <v>-0.82564620893357088</v>
      </c>
      <c r="X7831" s="2">
        <f ca="1"/>
        <v>46.611093402531239</v>
      </c>
      <c r="AG7831" s="2">
        <f ca="1"/>
        <v>0.75377720742791077</v>
      </c>
      <c r="AH7831" s="2" t="str">
        <f ca="1"/>
        <v>Bad</v>
      </c>
    </row>
    <row r="7832" spans="2:34" x14ac:dyDescent="0.2">
      <c r="B7832" s="2">
        <f ca="1"/>
        <v>0.96652645474247434</v>
      </c>
      <c r="O7832" s="2">
        <f ca="1"/>
        <v>6.9960284913615597E-2</v>
      </c>
      <c r="X7832" s="2">
        <f ca="1"/>
        <v>30.402619592796164</v>
      </c>
      <c r="AG7832" s="2">
        <f ca="1"/>
        <v>0.8304670662086906</v>
      </c>
      <c r="AH7832" s="2" t="str">
        <f ca="1"/>
        <v>Bad</v>
      </c>
    </row>
    <row r="7833" spans="2:34" x14ac:dyDescent="0.2">
      <c r="B7833" s="2">
        <f ca="1"/>
        <v>0.47711488118592427</v>
      </c>
      <c r="O7833" s="2">
        <f ca="1"/>
        <v>1.0406507492089685</v>
      </c>
      <c r="X7833" s="2">
        <f ca="1"/>
        <v>60.266649893461732</v>
      </c>
      <c r="AG7833" s="2">
        <f ca="1"/>
        <v>0.70827005617900451</v>
      </c>
      <c r="AH7833" s="2" t="str">
        <f ca="1"/>
        <v>Bad</v>
      </c>
    </row>
    <row r="7834" spans="2:34" x14ac:dyDescent="0.2">
      <c r="B7834" s="2">
        <f ca="1"/>
        <v>0.91614068525856518</v>
      </c>
      <c r="O7834" s="2">
        <f ca="1"/>
        <v>0.73425675966520443</v>
      </c>
      <c r="X7834" s="2">
        <f ca="1"/>
        <v>20.082182055918004</v>
      </c>
      <c r="AG7834" s="2">
        <f ca="1"/>
        <v>0.85319055558154089</v>
      </c>
      <c r="AH7834" s="2" t="str">
        <f ca="1"/>
        <v>Bad</v>
      </c>
    </row>
    <row r="7835" spans="2:34" x14ac:dyDescent="0.2">
      <c r="B7835" s="2">
        <f ca="1"/>
        <v>0.75853488260574031</v>
      </c>
      <c r="O7835" s="2">
        <f ca="1"/>
        <v>0.14446921938601587</v>
      </c>
      <c r="X7835" s="2">
        <f ca="1"/>
        <v>34.125046638376283</v>
      </c>
      <c r="AG7835" s="2">
        <f ca="1"/>
        <v>0.99764979469775672</v>
      </c>
      <c r="AH7835" s="2" t="str">
        <f ca="1"/>
        <v>Bad</v>
      </c>
    </row>
    <row r="7836" spans="2:34" x14ac:dyDescent="0.2">
      <c r="B7836" s="2">
        <f ca="1"/>
        <v>0.81585792587008421</v>
      </c>
      <c r="O7836" s="2">
        <f ca="1"/>
        <v>0.43499932662713975</v>
      </c>
      <c r="X7836" s="2">
        <f ca="1"/>
        <v>80.991064429953525</v>
      </c>
      <c r="AG7836" s="2">
        <f ca="1"/>
        <v>0.68812816043784641</v>
      </c>
      <c r="AH7836" s="2" t="str">
        <f ca="1"/>
        <v>Bad</v>
      </c>
    </row>
    <row r="7837" spans="2:34" x14ac:dyDescent="0.2">
      <c r="B7837" s="2">
        <f ca="1"/>
        <v>0.66841792075045481</v>
      </c>
      <c r="O7837" s="2">
        <f ca="1"/>
        <v>-0.14793922727229092</v>
      </c>
      <c r="X7837" s="2">
        <f ca="1"/>
        <v>59.932459273387373</v>
      </c>
      <c r="AG7837" s="2">
        <f ca="1"/>
        <v>0.17639022278619843</v>
      </c>
      <c r="AH7837" s="2" t="str">
        <f ca="1"/>
        <v>OK</v>
      </c>
    </row>
    <row r="7838" spans="2:34" x14ac:dyDescent="0.2">
      <c r="B7838" s="2">
        <f ca="1"/>
        <v>0.8310287666757441</v>
      </c>
      <c r="O7838" s="2">
        <f ca="1"/>
        <v>-0.29022204319338724</v>
      </c>
      <c r="X7838" s="2">
        <f ca="1"/>
        <v>32.613223493045595</v>
      </c>
      <c r="AG7838" s="2">
        <f ca="1"/>
        <v>0.81612210178187583</v>
      </c>
      <c r="AH7838" s="2" t="str">
        <f ca="1"/>
        <v>Bad</v>
      </c>
    </row>
    <row r="7839" spans="2:34" x14ac:dyDescent="0.2">
      <c r="B7839" s="2">
        <f ca="1"/>
        <v>0.21460650099439005</v>
      </c>
      <c r="O7839" s="2">
        <f ca="1"/>
        <v>-0.15338448765189078</v>
      </c>
      <c r="X7839" s="2">
        <f ca="1"/>
        <v>75.241933672628832</v>
      </c>
      <c r="AG7839" s="2">
        <f ca="1"/>
        <v>0.39638178359390852</v>
      </c>
      <c r="AH7839" s="2" t="str">
        <f ca="1"/>
        <v>OK</v>
      </c>
    </row>
    <row r="7840" spans="2:34" x14ac:dyDescent="0.2">
      <c r="B7840" s="2">
        <f ca="1"/>
        <v>0.19983025438086921</v>
      </c>
      <c r="O7840" s="2">
        <f ca="1"/>
        <v>-0.79595056196366487</v>
      </c>
      <c r="X7840" s="2">
        <f ca="1"/>
        <v>60.078313663054189</v>
      </c>
      <c r="AG7840" s="2">
        <f ca="1"/>
        <v>5.5963752339663442E-2</v>
      </c>
      <c r="AH7840" s="2" t="str">
        <f ca="1"/>
        <v>OK</v>
      </c>
    </row>
    <row r="7841" spans="2:34" x14ac:dyDescent="0.2">
      <c r="B7841" s="2">
        <f ca="1"/>
        <v>0.99041316732536067</v>
      </c>
      <c r="O7841" s="2">
        <f ca="1"/>
        <v>0.39900677193786999</v>
      </c>
      <c r="X7841" s="2">
        <f ca="1"/>
        <v>26.333409749995926</v>
      </c>
      <c r="AG7841" s="2">
        <f ca="1"/>
        <v>0.45100065549595292</v>
      </c>
      <c r="AH7841" s="2" t="str">
        <f ca="1"/>
        <v>Bad</v>
      </c>
    </row>
    <row r="7842" spans="2:34" x14ac:dyDescent="0.2">
      <c r="B7842" s="2">
        <f ca="1"/>
        <v>0.21750944075413314</v>
      </c>
      <c r="O7842" s="2">
        <f ca="1"/>
        <v>-1.08342928564756</v>
      </c>
      <c r="X7842" s="2">
        <f ca="1"/>
        <v>50.897458171997258</v>
      </c>
      <c r="AG7842" s="2">
        <f ca="1"/>
        <v>0.34106673304653645</v>
      </c>
      <c r="AH7842" s="2" t="str">
        <f ca="1"/>
        <v>OK</v>
      </c>
    </row>
    <row r="7843" spans="2:34" x14ac:dyDescent="0.2">
      <c r="B7843" s="2">
        <f ca="1"/>
        <v>0.84612439931447181</v>
      </c>
      <c r="O7843" s="2">
        <f ca="1"/>
        <v>2.0866463546742358</v>
      </c>
      <c r="X7843" s="2">
        <f ca="1"/>
        <v>56.529022179367601</v>
      </c>
      <c r="AG7843" s="2">
        <f ca="1"/>
        <v>0.7448979998271954</v>
      </c>
      <c r="AH7843" s="2" t="str">
        <f ca="1"/>
        <v>Bad</v>
      </c>
    </row>
    <row r="7844" spans="2:34" x14ac:dyDescent="0.2">
      <c r="B7844" s="2">
        <f ca="1"/>
        <v>0.92856475945600625</v>
      </c>
      <c r="O7844" s="2">
        <f ca="1"/>
        <v>0.66138555379501063</v>
      </c>
      <c r="X7844" s="2">
        <f ca="1"/>
        <v>48.968238666781502</v>
      </c>
      <c r="AG7844" s="2">
        <f ca="1"/>
        <v>0.66197393774835489</v>
      </c>
      <c r="AH7844" s="2" t="str">
        <f ca="1"/>
        <v>Bad</v>
      </c>
    </row>
    <row r="7845" spans="2:34" x14ac:dyDescent="0.2">
      <c r="B7845" s="2">
        <f ca="1"/>
        <v>3.6395618414018616E-2</v>
      </c>
      <c r="O7845" s="2">
        <f ca="1"/>
        <v>-0.66925664287403708</v>
      </c>
      <c r="X7845" s="2">
        <f ca="1"/>
        <v>51.160600420389756</v>
      </c>
      <c r="AG7845" s="2">
        <f ca="1"/>
        <v>0.64446270646350312</v>
      </c>
      <c r="AH7845" s="2" t="str">
        <f ca="1"/>
        <v>Bad</v>
      </c>
    </row>
    <row r="7846" spans="2:34" x14ac:dyDescent="0.2">
      <c r="B7846" s="2">
        <f ca="1"/>
        <v>0.63203198363986757</v>
      </c>
      <c r="O7846" s="2">
        <f ca="1"/>
        <v>-0.27816907946297631</v>
      </c>
      <c r="X7846" s="2">
        <f ca="1"/>
        <v>53.859294792242395</v>
      </c>
      <c r="AG7846" s="2">
        <f ca="1"/>
        <v>2.5650643093512837E-2</v>
      </c>
      <c r="AH7846" s="2" t="str">
        <f ca="1"/>
        <v>Good</v>
      </c>
    </row>
    <row r="7847" spans="2:34" x14ac:dyDescent="0.2">
      <c r="B7847" s="2">
        <f ca="1"/>
        <v>0.76403521437781308</v>
      </c>
      <c r="O7847" s="2">
        <f ca="1"/>
        <v>-0.14720827343912993</v>
      </c>
      <c r="X7847" s="2">
        <f ca="1"/>
        <v>57.479487279682942</v>
      </c>
      <c r="AG7847" s="2">
        <f ca="1"/>
        <v>0.20545176223027828</v>
      </c>
      <c r="AH7847" s="2" t="str">
        <f ca="1"/>
        <v>OK</v>
      </c>
    </row>
    <row r="7848" spans="2:34" x14ac:dyDescent="0.2">
      <c r="B7848" s="2">
        <f ca="1"/>
        <v>0.25226329628624078</v>
      </c>
      <c r="O7848" s="2">
        <f ca="1"/>
        <v>0.62324121684746581</v>
      </c>
      <c r="X7848" s="2">
        <f ca="1"/>
        <v>51.448645870582375</v>
      </c>
      <c r="AG7848" s="2">
        <f ca="1"/>
        <v>0.67877946174957726</v>
      </c>
      <c r="AH7848" s="2" t="str">
        <f ca="1"/>
        <v>Bad</v>
      </c>
    </row>
    <row r="7849" spans="2:34" x14ac:dyDescent="0.2">
      <c r="B7849" s="2">
        <f ca="1"/>
        <v>0.74889566764426752</v>
      </c>
      <c r="O7849" s="2">
        <f ca="1"/>
        <v>0.38144164153728521</v>
      </c>
      <c r="X7849" s="2">
        <f ca="1"/>
        <v>64.126064339701202</v>
      </c>
      <c r="AG7849" s="2">
        <f ca="1"/>
        <v>0.85188507427319116</v>
      </c>
      <c r="AH7849" s="2" t="str">
        <f ca="1"/>
        <v>Bad</v>
      </c>
    </row>
    <row r="7850" spans="2:34" x14ac:dyDescent="0.2">
      <c r="B7850" s="2">
        <f ca="1"/>
        <v>0.75821128501229995</v>
      </c>
      <c r="O7850" s="2">
        <f ca="1"/>
        <v>-1.3687798424819164</v>
      </c>
      <c r="X7850" s="2">
        <f ca="1"/>
        <v>55.328503421633911</v>
      </c>
      <c r="AG7850" s="2">
        <f ca="1"/>
        <v>0.24648109556833564</v>
      </c>
      <c r="AH7850" s="2" t="str">
        <f ca="1"/>
        <v>OK</v>
      </c>
    </row>
    <row r="7851" spans="2:34" x14ac:dyDescent="0.2">
      <c r="B7851" s="2">
        <f ca="1"/>
        <v>0.99962496927071798</v>
      </c>
      <c r="O7851" s="2">
        <f ca="1"/>
        <v>0.95251750624061304</v>
      </c>
      <c r="X7851" s="2">
        <f ca="1"/>
        <v>55.000660846077622</v>
      </c>
      <c r="AG7851" s="2">
        <f ca="1"/>
        <v>0.52156413037808802</v>
      </c>
      <c r="AH7851" s="2" t="str">
        <f ca="1"/>
        <v>Bad</v>
      </c>
    </row>
    <row r="7852" spans="2:34" x14ac:dyDescent="0.2">
      <c r="B7852" s="2">
        <f ca="1"/>
        <v>0.10257644142488287</v>
      </c>
      <c r="O7852" s="2">
        <f ca="1"/>
        <v>1.0239301024403307</v>
      </c>
      <c r="X7852" s="2">
        <f ca="1"/>
        <v>53.363262052828865</v>
      </c>
      <c r="AG7852" s="2">
        <f ca="1"/>
        <v>0.4912906580639993</v>
      </c>
      <c r="AH7852" s="2" t="str">
        <f ca="1"/>
        <v>Bad</v>
      </c>
    </row>
    <row r="7853" spans="2:34" x14ac:dyDescent="0.2">
      <c r="B7853" s="2">
        <f ca="1"/>
        <v>0.12928591991599192</v>
      </c>
      <c r="O7853" s="2">
        <f ca="1"/>
        <v>1.5352659815499248</v>
      </c>
      <c r="X7853" s="2">
        <f ca="1"/>
        <v>32.47211735211912</v>
      </c>
      <c r="AG7853" s="2">
        <f ca="1"/>
        <v>1.7456686517450581E-2</v>
      </c>
      <c r="AH7853" s="2" t="str">
        <f ca="1"/>
        <v>Good</v>
      </c>
    </row>
    <row r="7854" spans="2:34" x14ac:dyDescent="0.2">
      <c r="B7854" s="2">
        <f ca="1"/>
        <v>0.44843474541949013</v>
      </c>
      <c r="O7854" s="2">
        <f ca="1"/>
        <v>1.5107141931277466</v>
      </c>
      <c r="X7854" s="2">
        <f ca="1"/>
        <v>32.961159545367771</v>
      </c>
      <c r="AG7854" s="2">
        <f ca="1"/>
        <v>0.55309552285760955</v>
      </c>
      <c r="AH7854" s="2" t="str">
        <f ca="1"/>
        <v>Bad</v>
      </c>
    </row>
    <row r="7855" spans="2:34" x14ac:dyDescent="0.2">
      <c r="B7855" s="2">
        <f ca="1"/>
        <v>0.74772063732726668</v>
      </c>
      <c r="O7855" s="2">
        <f ca="1"/>
        <v>1.0802984953301371</v>
      </c>
      <c r="X7855" s="2">
        <f ca="1"/>
        <v>37.104707440863358</v>
      </c>
      <c r="AG7855" s="2">
        <f ca="1"/>
        <v>0.53104887159960268</v>
      </c>
      <c r="AH7855" s="2" t="str">
        <f ca="1"/>
        <v>Bad</v>
      </c>
    </row>
    <row r="7856" spans="2:34" x14ac:dyDescent="0.2">
      <c r="B7856" s="2">
        <f ca="1"/>
        <v>2.9149930833249904E-3</v>
      </c>
      <c r="O7856" s="2">
        <f ca="1"/>
        <v>0.49459878818229075</v>
      </c>
      <c r="X7856" s="2">
        <f ca="1"/>
        <v>52.738076060435475</v>
      </c>
      <c r="AG7856" s="2">
        <f ca="1"/>
        <v>0.41544975016616315</v>
      </c>
      <c r="AH7856" s="2" t="str">
        <f ca="1"/>
        <v>Bad</v>
      </c>
    </row>
    <row r="7857" spans="2:34" x14ac:dyDescent="0.2">
      <c r="B7857" s="2">
        <f ca="1"/>
        <v>0.44105630250231553</v>
      </c>
      <c r="O7857" s="2">
        <f ca="1"/>
        <v>-7.4105326442215874E-2</v>
      </c>
      <c r="X7857" s="2">
        <f ca="1"/>
        <v>45.571202596460466</v>
      </c>
      <c r="AG7857" s="2">
        <f ca="1"/>
        <v>0.98483690620244402</v>
      </c>
      <c r="AH7857" s="2" t="str">
        <f ca="1"/>
        <v>Bad</v>
      </c>
    </row>
    <row r="7858" spans="2:34" x14ac:dyDescent="0.2">
      <c r="B7858" s="2">
        <f ca="1"/>
        <v>0.51845887670392043</v>
      </c>
      <c r="O7858" s="2">
        <f ca="1"/>
        <v>1.1017490957787099</v>
      </c>
      <c r="X7858" s="2">
        <f ca="1"/>
        <v>37.557490385155113</v>
      </c>
      <c r="AG7858" s="2">
        <f ca="1"/>
        <v>0.67844482770827197</v>
      </c>
      <c r="AH7858" s="2" t="str">
        <f ca="1"/>
        <v>Bad</v>
      </c>
    </row>
    <row r="7859" spans="2:34" x14ac:dyDescent="0.2">
      <c r="B7859" s="2">
        <f ca="1"/>
        <v>0.13123185276156568</v>
      </c>
      <c r="O7859" s="2">
        <f ca="1"/>
        <v>0.11342951904279723</v>
      </c>
      <c r="X7859" s="2">
        <f ca="1"/>
        <v>31.825885748189293</v>
      </c>
      <c r="AG7859" s="2">
        <f ca="1"/>
        <v>4.8811594110125478E-2</v>
      </c>
      <c r="AH7859" s="2" t="str">
        <f ca="1"/>
        <v>Good</v>
      </c>
    </row>
    <row r="7860" spans="2:34" x14ac:dyDescent="0.2">
      <c r="B7860" s="2">
        <f ca="1"/>
        <v>0.82018124823155181</v>
      </c>
      <c r="O7860" s="2">
        <f ca="1"/>
        <v>-1.9280143376351733</v>
      </c>
      <c r="X7860" s="2">
        <f ca="1"/>
        <v>37.922569104272512</v>
      </c>
      <c r="AG7860" s="2">
        <f ca="1"/>
        <v>0.49024441652256323</v>
      </c>
      <c r="AH7860" s="2" t="str">
        <f ca="1"/>
        <v>Bad</v>
      </c>
    </row>
    <row r="7861" spans="2:34" x14ac:dyDescent="0.2">
      <c r="B7861" s="2">
        <f ca="1"/>
        <v>0.1540266355643507</v>
      </c>
      <c r="O7861" s="2">
        <f ca="1"/>
        <v>-1.8773999237936709</v>
      </c>
      <c r="X7861" s="2">
        <f ca="1"/>
        <v>60.104879540804646</v>
      </c>
      <c r="AG7861" s="2">
        <f ca="1"/>
        <v>0.16750347438062474</v>
      </c>
      <c r="AH7861" s="2" t="str">
        <f ca="1"/>
        <v>OK</v>
      </c>
    </row>
    <row r="7862" spans="2:34" x14ac:dyDescent="0.2">
      <c r="B7862" s="2">
        <f ca="1"/>
        <v>0.80762238892418892</v>
      </c>
      <c r="O7862" s="2">
        <f ca="1"/>
        <v>0.79379708716350927</v>
      </c>
      <c r="X7862" s="2">
        <f ca="1"/>
        <v>78.752296307111294</v>
      </c>
      <c r="AG7862" s="2">
        <f ca="1"/>
        <v>0.79483502999044031</v>
      </c>
      <c r="AH7862" s="2" t="str">
        <f ca="1"/>
        <v>Bad</v>
      </c>
    </row>
    <row r="7863" spans="2:34" x14ac:dyDescent="0.2">
      <c r="B7863" s="2">
        <f ca="1"/>
        <v>0.70567615253372828</v>
      </c>
      <c r="O7863" s="2">
        <f ca="1"/>
        <v>-1.431280312736475</v>
      </c>
      <c r="X7863" s="2">
        <f ca="1"/>
        <v>36.716076171097981</v>
      </c>
      <c r="AG7863" s="2">
        <f ca="1"/>
        <v>0.9027955336157707</v>
      </c>
      <c r="AH7863" s="2" t="str">
        <f ca="1"/>
        <v>Bad</v>
      </c>
    </row>
    <row r="7864" spans="2:34" x14ac:dyDescent="0.2">
      <c r="B7864" s="2">
        <f ca="1"/>
        <v>0.96391074063806914</v>
      </c>
      <c r="O7864" s="2">
        <f ca="1"/>
        <v>0.65370383811161148</v>
      </c>
      <c r="X7864" s="2">
        <f ca="1"/>
        <v>31.986554485747906</v>
      </c>
      <c r="AG7864" s="2">
        <f ca="1"/>
        <v>0.10896965545799997</v>
      </c>
      <c r="AH7864" s="2" t="str">
        <f ca="1"/>
        <v>OK</v>
      </c>
    </row>
    <row r="7865" spans="2:34" x14ac:dyDescent="0.2">
      <c r="B7865" s="2">
        <f ca="1"/>
        <v>0.74954463059505372</v>
      </c>
      <c r="O7865" s="2">
        <f ca="1"/>
        <v>-0.92029721765511363</v>
      </c>
      <c r="X7865" s="2">
        <f ca="1"/>
        <v>53.997117296227742</v>
      </c>
      <c r="AG7865" s="2">
        <f ca="1"/>
        <v>0.91958920572701497</v>
      </c>
      <c r="AH7865" s="2" t="str">
        <f ca="1"/>
        <v>Bad</v>
      </c>
    </row>
    <row r="7866" spans="2:34" x14ac:dyDescent="0.2">
      <c r="B7866" s="2">
        <f ca="1"/>
        <v>0.34699006717154268</v>
      </c>
      <c r="O7866" s="2">
        <f ca="1"/>
        <v>-0.1320213951915663</v>
      </c>
      <c r="X7866" s="2">
        <f ca="1"/>
        <v>54.247400802642019</v>
      </c>
      <c r="AG7866" s="2">
        <f ca="1"/>
        <v>0.56648884368732544</v>
      </c>
      <c r="AH7866" s="2" t="str">
        <f ca="1"/>
        <v>Bad</v>
      </c>
    </row>
    <row r="7867" spans="2:34" x14ac:dyDescent="0.2">
      <c r="B7867" s="2">
        <f ca="1"/>
        <v>0.98779468105573742</v>
      </c>
      <c r="O7867" s="2">
        <f ca="1"/>
        <v>0.67864232482050424</v>
      </c>
      <c r="X7867" s="2">
        <f ca="1"/>
        <v>32.770404561158443</v>
      </c>
      <c r="AG7867" s="2">
        <f ca="1"/>
        <v>0.53979511542574743</v>
      </c>
      <c r="AH7867" s="2" t="str">
        <f ca="1"/>
        <v>Bad</v>
      </c>
    </row>
    <row r="7868" spans="2:34" x14ac:dyDescent="0.2">
      <c r="B7868" s="2">
        <f ca="1"/>
        <v>2.0444199259883611E-4</v>
      </c>
      <c r="O7868" s="2">
        <f ca="1"/>
        <v>-0.4697115090467836</v>
      </c>
      <c r="X7868" s="2">
        <f ca="1"/>
        <v>32.084110423615215</v>
      </c>
      <c r="AG7868" s="2">
        <f ca="1"/>
        <v>0.94420651895043028</v>
      </c>
      <c r="AH7868" s="2" t="str">
        <f ca="1"/>
        <v>Bad</v>
      </c>
    </row>
    <row r="7869" spans="2:34" x14ac:dyDescent="0.2">
      <c r="B7869" s="2">
        <f ca="1"/>
        <v>0.81752983951144453</v>
      </c>
      <c r="O7869" s="2">
        <f ca="1"/>
        <v>1.1287792932500569</v>
      </c>
      <c r="X7869" s="2">
        <f ca="1"/>
        <v>32.32635237923909</v>
      </c>
      <c r="AG7869" s="2">
        <f ca="1"/>
        <v>0.3632123838769854</v>
      </c>
      <c r="AH7869" s="2" t="str">
        <f ca="1"/>
        <v>OK</v>
      </c>
    </row>
    <row r="7870" spans="2:34" x14ac:dyDescent="0.2">
      <c r="B7870" s="2">
        <f ca="1"/>
        <v>0.70321273616911673</v>
      </c>
      <c r="O7870" s="2">
        <f ca="1"/>
        <v>-1.1905955878554459</v>
      </c>
      <c r="X7870" s="2">
        <f ca="1"/>
        <v>42.211335893207711</v>
      </c>
      <c r="AG7870" s="2">
        <f ca="1"/>
        <v>7.3197161209463957E-2</v>
      </c>
      <c r="AH7870" s="2" t="str">
        <f ca="1"/>
        <v>OK</v>
      </c>
    </row>
    <row r="7871" spans="2:34" x14ac:dyDescent="0.2">
      <c r="B7871" s="2">
        <f ca="1"/>
        <v>0.72802661856328466</v>
      </c>
      <c r="O7871" s="2">
        <f ca="1"/>
        <v>0.20444319924848345</v>
      </c>
      <c r="X7871" s="2">
        <f ca="1"/>
        <v>49.963372868718992</v>
      </c>
      <c r="AG7871" s="2">
        <f ca="1"/>
        <v>0.40367661626339735</v>
      </c>
      <c r="AH7871" s="2" t="str">
        <f ca="1"/>
        <v>Bad</v>
      </c>
    </row>
    <row r="7872" spans="2:34" x14ac:dyDescent="0.2">
      <c r="B7872" s="2">
        <f ca="1"/>
        <v>0.66781057887287942</v>
      </c>
      <c r="O7872" s="2">
        <f ca="1"/>
        <v>1.4402944086951781</v>
      </c>
      <c r="X7872" s="2">
        <f ca="1"/>
        <v>50.683128185297541</v>
      </c>
      <c r="AG7872" s="2">
        <f ca="1"/>
        <v>4.6743218023803879E-2</v>
      </c>
      <c r="AH7872" s="2" t="str">
        <f ca="1"/>
        <v>Good</v>
      </c>
    </row>
    <row r="7873" spans="2:34" x14ac:dyDescent="0.2">
      <c r="B7873" s="2">
        <f ca="1"/>
        <v>0.94865755929101048</v>
      </c>
      <c r="O7873" s="2">
        <f ca="1"/>
        <v>-0.37655524340605367</v>
      </c>
      <c r="X7873" s="2">
        <f ca="1"/>
        <v>50.938498466743866</v>
      </c>
      <c r="AG7873" s="2">
        <f ca="1"/>
        <v>0.49414339992100031</v>
      </c>
      <c r="AH7873" s="2" t="str">
        <f ca="1"/>
        <v>Bad</v>
      </c>
    </row>
    <row r="7874" spans="2:34" x14ac:dyDescent="0.2">
      <c r="B7874" s="2">
        <f ca="1"/>
        <v>0.66756649131701695</v>
      </c>
      <c r="O7874" s="2">
        <f ca="1"/>
        <v>0.91418782160131418</v>
      </c>
      <c r="X7874" s="2">
        <f ca="1"/>
        <v>47.475221407783891</v>
      </c>
      <c r="AG7874" s="2">
        <f ca="1"/>
        <v>0.94812976258652082</v>
      </c>
      <c r="AH7874" s="2" t="str">
        <f ca="1"/>
        <v>Bad</v>
      </c>
    </row>
    <row r="7875" spans="2:34" x14ac:dyDescent="0.2">
      <c r="B7875" s="2">
        <f ca="1"/>
        <v>0.20962196780175724</v>
      </c>
      <c r="O7875" s="2">
        <f ca="1"/>
        <v>-1.127812528664504</v>
      </c>
      <c r="X7875" s="2">
        <f ca="1"/>
        <v>52.602186852223689</v>
      </c>
      <c r="AG7875" s="2">
        <f ca="1"/>
        <v>0.75684717312225747</v>
      </c>
      <c r="AH7875" s="2" t="str">
        <f ca="1"/>
        <v>Bad</v>
      </c>
    </row>
    <row r="7876" spans="2:34" x14ac:dyDescent="0.2">
      <c r="B7876" s="2">
        <f ca="1"/>
        <v>0.81605601143058593</v>
      </c>
      <c r="O7876" s="2">
        <f ca="1"/>
        <v>0.58729781604784692</v>
      </c>
      <c r="X7876" s="2">
        <f ca="1"/>
        <v>46.425801539068871</v>
      </c>
      <c r="AG7876" s="2">
        <f ca="1"/>
        <v>0.78469300401400077</v>
      </c>
      <c r="AH7876" s="2" t="str">
        <f ca="1"/>
        <v>Bad</v>
      </c>
    </row>
    <row r="7877" spans="2:34" x14ac:dyDescent="0.2">
      <c r="B7877" s="2">
        <f ca="1"/>
        <v>0.25681656054885105</v>
      </c>
      <c r="O7877" s="2">
        <f ca="1"/>
        <v>-1.1780770060287695</v>
      </c>
      <c r="X7877" s="2">
        <f ca="1"/>
        <v>59.86114444404113</v>
      </c>
      <c r="AG7877" s="2">
        <f ca="1"/>
        <v>0.91133283621021755</v>
      </c>
      <c r="AH7877" s="2" t="str">
        <f ca="1"/>
        <v>Bad</v>
      </c>
    </row>
    <row r="7878" spans="2:34" x14ac:dyDescent="0.2">
      <c r="B7878" s="2">
        <f ca="1"/>
        <v>0.46508473280821816</v>
      </c>
      <c r="O7878" s="2">
        <f ca="1"/>
        <v>1.1088350213969043</v>
      </c>
      <c r="X7878" s="2">
        <f ca="1"/>
        <v>47.226511677188938</v>
      </c>
      <c r="AG7878" s="2">
        <f ca="1"/>
        <v>8.5549351838165144E-2</v>
      </c>
      <c r="AH7878" s="2" t="str">
        <f ca="1"/>
        <v>OK</v>
      </c>
    </row>
    <row r="7879" spans="2:34" x14ac:dyDescent="0.2">
      <c r="B7879" s="2">
        <f ca="1"/>
        <v>0.42560284035372686</v>
      </c>
      <c r="O7879" s="2">
        <f ca="1"/>
        <v>0.96263743693278769</v>
      </c>
      <c r="X7879" s="2">
        <f ca="1"/>
        <v>46.283483866215171</v>
      </c>
      <c r="AG7879" s="2">
        <f ca="1"/>
        <v>0.99276932506576054</v>
      </c>
      <c r="AH7879" s="2" t="str">
        <f ca="1"/>
        <v>Bad</v>
      </c>
    </row>
    <row r="7880" spans="2:34" x14ac:dyDescent="0.2">
      <c r="B7880" s="2">
        <f ca="1"/>
        <v>6.346956532421455E-4</v>
      </c>
      <c r="O7880" s="2">
        <f ca="1"/>
        <v>-0.53240546712379089</v>
      </c>
      <c r="X7880" s="2">
        <f ca="1"/>
        <v>52.0204884543014</v>
      </c>
      <c r="AG7880" s="2">
        <f ca="1"/>
        <v>0.71742194572772111</v>
      </c>
      <c r="AH7880" s="2" t="str">
        <f ca="1"/>
        <v>Bad</v>
      </c>
    </row>
    <row r="7881" spans="2:34" x14ac:dyDescent="0.2">
      <c r="B7881" s="2">
        <f ca="1"/>
        <v>0.76284108285875951</v>
      </c>
      <c r="O7881" s="2">
        <f ca="1"/>
        <v>-0.56482191600818887</v>
      </c>
      <c r="X7881" s="2">
        <f ca="1"/>
        <v>34.973477037168578</v>
      </c>
      <c r="AG7881" s="2">
        <f ca="1"/>
        <v>0.89558128921989932</v>
      </c>
      <c r="AH7881" s="2" t="str">
        <f ca="1"/>
        <v>Bad</v>
      </c>
    </row>
    <row r="7882" spans="2:34" x14ac:dyDescent="0.2">
      <c r="B7882" s="2">
        <f ca="1"/>
        <v>0.31250165001911467</v>
      </c>
      <c r="O7882" s="2">
        <f ca="1"/>
        <v>0.63140340861606292</v>
      </c>
      <c r="X7882" s="2">
        <f ca="1"/>
        <v>45.602291677578151</v>
      </c>
      <c r="AG7882" s="2">
        <f ca="1"/>
        <v>0.77361237912372327</v>
      </c>
      <c r="AH7882" s="2" t="str">
        <f ca="1"/>
        <v>Bad</v>
      </c>
    </row>
    <row r="7883" spans="2:34" x14ac:dyDescent="0.2">
      <c r="B7883" s="2">
        <f ca="1"/>
        <v>0.82083613349283957</v>
      </c>
      <c r="O7883" s="2">
        <f ca="1"/>
        <v>0.14001601331467495</v>
      </c>
      <c r="X7883" s="2">
        <f ca="1"/>
        <v>58.539584338846929</v>
      </c>
      <c r="AG7883" s="2">
        <f ca="1"/>
        <v>0.62928027958463395</v>
      </c>
      <c r="AH7883" s="2" t="str">
        <f ca="1"/>
        <v>Bad</v>
      </c>
    </row>
    <row r="7884" spans="2:34" x14ac:dyDescent="0.2">
      <c r="B7884" s="2">
        <f ca="1"/>
        <v>0.80108189389862638</v>
      </c>
      <c r="O7884" s="2">
        <f ca="1"/>
        <v>-1.1523684126720517</v>
      </c>
      <c r="X7884" s="2">
        <f ca="1"/>
        <v>94.105329036409969</v>
      </c>
      <c r="AG7884" s="2">
        <f ca="1"/>
        <v>2.2755254101086919E-2</v>
      </c>
      <c r="AH7884" s="2" t="str">
        <f ca="1"/>
        <v>Good</v>
      </c>
    </row>
    <row r="7885" spans="2:34" x14ac:dyDescent="0.2">
      <c r="B7885" s="2">
        <f ca="1"/>
        <v>0.37432955156725356</v>
      </c>
      <c r="O7885" s="2">
        <f ca="1"/>
        <v>-0.37662296017863728</v>
      </c>
      <c r="X7885" s="2">
        <f ca="1"/>
        <v>28.371954116079472</v>
      </c>
      <c r="AG7885" s="2">
        <f ca="1"/>
        <v>0.95606039508975771</v>
      </c>
      <c r="AH7885" s="2" t="str">
        <f ca="1"/>
        <v>Bad</v>
      </c>
    </row>
    <row r="7886" spans="2:34" x14ac:dyDescent="0.2">
      <c r="B7886" s="2">
        <f ca="1"/>
        <v>0.59573824626191252</v>
      </c>
      <c r="O7886" s="2">
        <f ca="1"/>
        <v>-0.29201790741940176</v>
      </c>
      <c r="X7886" s="2">
        <f ca="1"/>
        <v>35.675542033029458</v>
      </c>
      <c r="AG7886" s="2">
        <f ca="1"/>
        <v>0.31855185093394844</v>
      </c>
      <c r="AH7886" s="2" t="str">
        <f ca="1"/>
        <v>OK</v>
      </c>
    </row>
    <row r="7887" spans="2:34" x14ac:dyDescent="0.2">
      <c r="B7887" s="2">
        <f ca="1"/>
        <v>0.7807655482137319</v>
      </c>
      <c r="O7887" s="2">
        <f ca="1"/>
        <v>1.2680834356658179</v>
      </c>
      <c r="X7887" s="2">
        <f ca="1"/>
        <v>54.037721181966667</v>
      </c>
      <c r="AG7887" s="2">
        <f ca="1"/>
        <v>9.4907185944381522E-2</v>
      </c>
      <c r="AH7887" s="2" t="str">
        <f ca="1"/>
        <v>OK</v>
      </c>
    </row>
    <row r="7888" spans="2:34" x14ac:dyDescent="0.2">
      <c r="B7888" s="2">
        <f ca="1"/>
        <v>0.43204072821183659</v>
      </c>
      <c r="O7888" s="2">
        <f ca="1"/>
        <v>-1.0299784352492107</v>
      </c>
      <c r="X7888" s="2">
        <f ca="1"/>
        <v>38.06723365049838</v>
      </c>
      <c r="AG7888" s="2">
        <f ca="1"/>
        <v>0.56901465120022321</v>
      </c>
      <c r="AH7888" s="2" t="str">
        <f ca="1"/>
        <v>Bad</v>
      </c>
    </row>
    <row r="7889" spans="2:34" x14ac:dyDescent="0.2">
      <c r="B7889" s="2">
        <f ca="1"/>
        <v>0.28060113985640411</v>
      </c>
      <c r="O7889" s="2">
        <f ca="1"/>
        <v>0.34239504131680332</v>
      </c>
      <c r="X7889" s="2">
        <f ca="1"/>
        <v>35.475145663570821</v>
      </c>
      <c r="AG7889" s="2">
        <f ca="1"/>
        <v>0.4231509184922686</v>
      </c>
      <c r="AH7889" s="2" t="str">
        <f ca="1"/>
        <v>Bad</v>
      </c>
    </row>
    <row r="7890" spans="2:34" x14ac:dyDescent="0.2">
      <c r="B7890" s="2">
        <f ca="1"/>
        <v>0.14935351975360822</v>
      </c>
      <c r="O7890" s="2">
        <f ca="1"/>
        <v>0.90946801747816686</v>
      </c>
      <c r="X7890" s="2">
        <f ca="1"/>
        <v>53.249625660234074</v>
      </c>
      <c r="AG7890" s="2">
        <f ca="1"/>
        <v>0.64846453480488253</v>
      </c>
      <c r="AH7890" s="2" t="str">
        <f ca="1"/>
        <v>Bad</v>
      </c>
    </row>
    <row r="7891" spans="2:34" x14ac:dyDescent="0.2">
      <c r="B7891" s="2">
        <f ca="1"/>
        <v>0.87680082049873254</v>
      </c>
      <c r="O7891" s="2">
        <f ca="1"/>
        <v>-0.12020998902053502</v>
      </c>
      <c r="X7891" s="2">
        <f ca="1"/>
        <v>45.598842830641274</v>
      </c>
      <c r="AG7891" s="2">
        <f ca="1"/>
        <v>0.30837399565443713</v>
      </c>
      <c r="AH7891" s="2" t="str">
        <f ca="1"/>
        <v>OK</v>
      </c>
    </row>
    <row r="7892" spans="2:34" x14ac:dyDescent="0.2">
      <c r="B7892" s="2">
        <f ca="1"/>
        <v>0.81057536992486368</v>
      </c>
      <c r="O7892" s="2">
        <f ca="1"/>
        <v>0.86590056408109117</v>
      </c>
      <c r="X7892" s="2">
        <f ca="1"/>
        <v>56.122275589247074</v>
      </c>
      <c r="AG7892" s="2">
        <f ca="1"/>
        <v>0.59925771469495315</v>
      </c>
      <c r="AH7892" s="2" t="str">
        <f ca="1"/>
        <v>Bad</v>
      </c>
    </row>
    <row r="7893" spans="2:34" x14ac:dyDescent="0.2">
      <c r="B7893" s="2">
        <f ca="1"/>
        <v>0.31180876266864854</v>
      </c>
      <c r="O7893" s="2">
        <f ca="1"/>
        <v>-1.9660006616784642</v>
      </c>
      <c r="X7893" s="2">
        <f ca="1"/>
        <v>24.888403069396723</v>
      </c>
      <c r="AG7893" s="2">
        <f ca="1"/>
        <v>0.25649464175677217</v>
      </c>
      <c r="AH7893" s="2" t="str">
        <f ca="1"/>
        <v>OK</v>
      </c>
    </row>
    <row r="7894" spans="2:34" x14ac:dyDescent="0.2">
      <c r="B7894" s="2">
        <f ca="1"/>
        <v>0.36841503747934334</v>
      </c>
      <c r="O7894" s="2">
        <f ca="1"/>
        <v>0.8498763500636769</v>
      </c>
      <c r="X7894" s="2">
        <f ca="1"/>
        <v>39.766012073024136</v>
      </c>
      <c r="AG7894" s="2">
        <f ca="1"/>
        <v>0.47567777597625693</v>
      </c>
      <c r="AH7894" s="2" t="str">
        <f ca="1"/>
        <v>Bad</v>
      </c>
    </row>
    <row r="7895" spans="2:34" x14ac:dyDescent="0.2">
      <c r="B7895" s="2">
        <f ca="1"/>
        <v>7.5655090552644744E-2</v>
      </c>
      <c r="O7895" s="2">
        <f ca="1"/>
        <v>-0.25362794691811685</v>
      </c>
      <c r="X7895" s="2">
        <f ca="1"/>
        <v>46.27696062764231</v>
      </c>
      <c r="AG7895" s="2">
        <f ca="1"/>
        <v>0.96058845278927207</v>
      </c>
      <c r="AH7895" s="2" t="str">
        <f ca="1"/>
        <v>Bad</v>
      </c>
    </row>
    <row r="7896" spans="2:34" x14ac:dyDescent="0.2">
      <c r="B7896" s="2">
        <f ca="1"/>
        <v>0.66865891001055888</v>
      </c>
      <c r="O7896" s="2">
        <f ca="1"/>
        <v>-0.73624692583084883</v>
      </c>
      <c r="X7896" s="2">
        <f ca="1"/>
        <v>35.338955336688812</v>
      </c>
      <c r="AG7896" s="2">
        <f ca="1"/>
        <v>7.2562120311646883E-2</v>
      </c>
      <c r="AH7896" s="2" t="str">
        <f ca="1"/>
        <v>OK</v>
      </c>
    </row>
    <row r="7897" spans="2:34" x14ac:dyDescent="0.2">
      <c r="B7897" s="2">
        <f ca="1"/>
        <v>0.1259641889980756</v>
      </c>
      <c r="O7897" s="2">
        <f ca="1"/>
        <v>-2.4260834712721007</v>
      </c>
      <c r="X7897" s="2">
        <f ca="1"/>
        <v>38.987964228751402</v>
      </c>
      <c r="AG7897" s="2">
        <f ca="1"/>
        <v>0.37968037947048727</v>
      </c>
      <c r="AH7897" s="2" t="str">
        <f ca="1"/>
        <v>OK</v>
      </c>
    </row>
    <row r="7898" spans="2:34" x14ac:dyDescent="0.2">
      <c r="B7898" s="2">
        <f ca="1"/>
        <v>0.25249931707495565</v>
      </c>
      <c r="O7898" s="2">
        <f ca="1"/>
        <v>1.6452432561403225</v>
      </c>
      <c r="X7898" s="2">
        <f ca="1"/>
        <v>33.113936419028796</v>
      </c>
      <c r="AG7898" s="2">
        <f ca="1"/>
        <v>2.1279380607860832E-2</v>
      </c>
      <c r="AH7898" s="2" t="str">
        <f ca="1"/>
        <v>Good</v>
      </c>
    </row>
    <row r="7899" spans="2:34" x14ac:dyDescent="0.2">
      <c r="B7899" s="2">
        <f ca="1"/>
        <v>0.40919866713259001</v>
      </c>
      <c r="O7899" s="2">
        <f ca="1"/>
        <v>-1.0106810952394725</v>
      </c>
      <c r="X7899" s="2">
        <f ca="1"/>
        <v>46.736743180101115</v>
      </c>
      <c r="AG7899" s="2">
        <f ca="1"/>
        <v>0.81579891050804143</v>
      </c>
      <c r="AH7899" s="2" t="str">
        <f ca="1"/>
        <v>Bad</v>
      </c>
    </row>
    <row r="7900" spans="2:34" x14ac:dyDescent="0.2">
      <c r="B7900" s="2">
        <f ca="1"/>
        <v>0.64833412273781388</v>
      </c>
      <c r="O7900" s="2">
        <f ca="1"/>
        <v>0.80234076631134998</v>
      </c>
      <c r="X7900" s="2">
        <f ca="1"/>
        <v>49.443278540175548</v>
      </c>
      <c r="AG7900" s="2">
        <f ca="1"/>
        <v>0.69289073061575035</v>
      </c>
      <c r="AH7900" s="2" t="str">
        <f ca="1"/>
        <v>Bad</v>
      </c>
    </row>
    <row r="7901" spans="2:34" x14ac:dyDescent="0.2">
      <c r="B7901" s="2">
        <f ca="1"/>
        <v>0.97706271869276318</v>
      </c>
      <c r="O7901" s="2">
        <f ca="1"/>
        <v>-0.30822738645592807</v>
      </c>
      <c r="X7901" s="2">
        <f ca="1"/>
        <v>52.175995662983667</v>
      </c>
      <c r="AG7901" s="2">
        <f ca="1"/>
        <v>0.94457396544633165</v>
      </c>
      <c r="AH7901" s="2" t="str">
        <f ca="1"/>
        <v>Bad</v>
      </c>
    </row>
    <row r="7902" spans="2:34" x14ac:dyDescent="0.2">
      <c r="B7902" s="2">
        <f ca="1"/>
        <v>0.40918690143284242</v>
      </c>
      <c r="O7902" s="2">
        <f ca="1"/>
        <v>-0.40700899159158666</v>
      </c>
      <c r="X7902" s="2">
        <f ca="1"/>
        <v>48.738854724305213</v>
      </c>
      <c r="AG7902" s="2">
        <f ca="1"/>
        <v>0.83980317575387486</v>
      </c>
      <c r="AH7902" s="2" t="str">
        <f ca="1"/>
        <v>Bad</v>
      </c>
    </row>
    <row r="7903" spans="2:34" x14ac:dyDescent="0.2">
      <c r="B7903" s="2">
        <f ca="1"/>
        <v>0.779950112234568</v>
      </c>
      <c r="O7903" s="2">
        <f ca="1"/>
        <v>-0.6874843936275391</v>
      </c>
      <c r="X7903" s="2">
        <f ca="1"/>
        <v>42.685207750184702</v>
      </c>
      <c r="AG7903" s="2">
        <f ca="1"/>
        <v>0.27000833114550238</v>
      </c>
      <c r="AH7903" s="2" t="str">
        <f ca="1"/>
        <v>OK</v>
      </c>
    </row>
    <row r="7904" spans="2:34" x14ac:dyDescent="0.2">
      <c r="B7904" s="2">
        <f ca="1"/>
        <v>0.76736956885669394</v>
      </c>
      <c r="O7904" s="2">
        <f ca="1"/>
        <v>1.1137900092869577</v>
      </c>
      <c r="X7904" s="2">
        <f ca="1"/>
        <v>55.636722493563511</v>
      </c>
      <c r="AG7904" s="2">
        <f ca="1"/>
        <v>0.14567935181728608</v>
      </c>
      <c r="AH7904" s="2" t="str">
        <f ca="1"/>
        <v>OK</v>
      </c>
    </row>
    <row r="7905" spans="2:34" x14ac:dyDescent="0.2">
      <c r="B7905" s="2">
        <f ca="1"/>
        <v>0.94601233022060049</v>
      </c>
      <c r="O7905" s="2">
        <f ca="1"/>
        <v>-1.1695485971053527</v>
      </c>
      <c r="X7905" s="2">
        <f ca="1"/>
        <v>43.655287490247396</v>
      </c>
      <c r="AG7905" s="2">
        <f ca="1"/>
        <v>0.49936500648492577</v>
      </c>
      <c r="AH7905" s="2" t="str">
        <f ca="1"/>
        <v>Bad</v>
      </c>
    </row>
    <row r="7906" spans="2:34" x14ac:dyDescent="0.2">
      <c r="B7906" s="2">
        <f ca="1"/>
        <v>0.74403315986821417</v>
      </c>
      <c r="O7906" s="2">
        <f ca="1"/>
        <v>-2.0752571949481293</v>
      </c>
      <c r="X7906" s="2">
        <f ca="1"/>
        <v>42.869383402541246</v>
      </c>
      <c r="AG7906" s="2">
        <f ca="1"/>
        <v>0.3692877975473905</v>
      </c>
      <c r="AH7906" s="2" t="str">
        <f ca="1"/>
        <v>OK</v>
      </c>
    </row>
    <row r="7907" spans="2:34" x14ac:dyDescent="0.2">
      <c r="B7907" s="2">
        <f ca="1"/>
        <v>0.18180909635175335</v>
      </c>
      <c r="O7907" s="2">
        <f ca="1"/>
        <v>0.30363220837143234</v>
      </c>
      <c r="X7907" s="2">
        <f ca="1"/>
        <v>86.510199849400294</v>
      </c>
      <c r="AG7907" s="2">
        <f ca="1"/>
        <v>0.96592710031645912</v>
      </c>
      <c r="AH7907" s="2" t="str">
        <f ca="1"/>
        <v>Bad</v>
      </c>
    </row>
    <row r="7908" spans="2:34" x14ac:dyDescent="0.2">
      <c r="B7908" s="2">
        <f ca="1"/>
        <v>9.1583704253435982E-2</v>
      </c>
      <c r="O7908" s="2">
        <f ca="1"/>
        <v>-0.81673335344233744</v>
      </c>
      <c r="X7908" s="2">
        <f ca="1"/>
        <v>52.067990313024104</v>
      </c>
      <c r="AG7908" s="2">
        <f ca="1"/>
        <v>4.2755617525159328E-2</v>
      </c>
      <c r="AH7908" s="2" t="str">
        <f ca="1"/>
        <v>Good</v>
      </c>
    </row>
    <row r="7909" spans="2:34" x14ac:dyDescent="0.2">
      <c r="B7909" s="2">
        <f ca="1"/>
        <v>0.83540404242136801</v>
      </c>
      <c r="O7909" s="2">
        <f ca="1"/>
        <v>-0.97711335288707657</v>
      </c>
      <c r="X7909" s="2">
        <f ca="1"/>
        <v>92.339552525242055</v>
      </c>
      <c r="AG7909" s="2">
        <f ca="1"/>
        <v>0.42301470561664201</v>
      </c>
      <c r="AH7909" s="2" t="str">
        <f ca="1"/>
        <v>Bad</v>
      </c>
    </row>
    <row r="7910" spans="2:34" x14ac:dyDescent="0.2">
      <c r="B7910" s="2">
        <f ca="1"/>
        <v>0.9038646083607722</v>
      </c>
      <c r="O7910" s="2">
        <f ca="1"/>
        <v>-1.2730850949439272</v>
      </c>
      <c r="X7910" s="2">
        <f ca="1"/>
        <v>44.310225288045942</v>
      </c>
      <c r="AG7910" s="2">
        <f ca="1"/>
        <v>0.86957910637319769</v>
      </c>
      <c r="AH7910" s="2" t="str">
        <f ca="1"/>
        <v>Bad</v>
      </c>
    </row>
    <row r="7911" spans="2:34" x14ac:dyDescent="0.2">
      <c r="B7911" s="2">
        <f ca="1"/>
        <v>0.11820511237741216</v>
      </c>
      <c r="O7911" s="2">
        <f ca="1"/>
        <v>1.3219237463904976</v>
      </c>
      <c r="X7911" s="2">
        <f ca="1"/>
        <v>34.095942561638005</v>
      </c>
      <c r="AG7911" s="2">
        <f ca="1"/>
        <v>0.40016530826915275</v>
      </c>
      <c r="AH7911" s="2" t="str">
        <f ca="1"/>
        <v>Bad</v>
      </c>
    </row>
    <row r="7912" spans="2:34" x14ac:dyDescent="0.2">
      <c r="B7912" s="2">
        <f ca="1"/>
        <v>0.15897377202524976</v>
      </c>
      <c r="O7912" s="2">
        <f ca="1"/>
        <v>0.36708786178200659</v>
      </c>
      <c r="X7912" s="2">
        <f ca="1"/>
        <v>65.686430826339233</v>
      </c>
      <c r="AG7912" s="2">
        <f ca="1"/>
        <v>0.79307045395667841</v>
      </c>
      <c r="AH7912" s="2" t="str">
        <f ca="1"/>
        <v>Bad</v>
      </c>
    </row>
    <row r="7913" spans="2:34" x14ac:dyDescent="0.2">
      <c r="B7913" s="2">
        <f ca="1"/>
        <v>0.25644863733572953</v>
      </c>
      <c r="O7913" s="2">
        <f ca="1"/>
        <v>-0.30822774528544156</v>
      </c>
      <c r="X7913" s="2">
        <f ca="1"/>
        <v>40.383733151014447</v>
      </c>
      <c r="AG7913" s="2">
        <f ca="1"/>
        <v>0.24512217891048294</v>
      </c>
      <c r="AH7913" s="2" t="str">
        <f ca="1"/>
        <v>OK</v>
      </c>
    </row>
    <row r="7914" spans="2:34" x14ac:dyDescent="0.2">
      <c r="B7914" s="2">
        <f ca="1"/>
        <v>0.93886003835846599</v>
      </c>
      <c r="O7914" s="2">
        <f ca="1"/>
        <v>0.64756406115397602</v>
      </c>
      <c r="X7914" s="2">
        <f ca="1"/>
        <v>56.655055156336672</v>
      </c>
      <c r="AG7914" s="2">
        <f ca="1"/>
        <v>0.24431622241844386</v>
      </c>
      <c r="AH7914" s="2" t="str">
        <f ca="1"/>
        <v>OK</v>
      </c>
    </row>
    <row r="7915" spans="2:34" x14ac:dyDescent="0.2">
      <c r="B7915" s="2">
        <f ca="1"/>
        <v>0.75807524537218862</v>
      </c>
      <c r="O7915" s="2">
        <f ca="1"/>
        <v>-0.99081342609255263</v>
      </c>
      <c r="X7915" s="2">
        <f ca="1"/>
        <v>70.556382269057536</v>
      </c>
      <c r="AG7915" s="2">
        <f ca="1"/>
        <v>0.10579738160470264</v>
      </c>
      <c r="AH7915" s="2" t="str">
        <f ca="1"/>
        <v>OK</v>
      </c>
    </row>
    <row r="7916" spans="2:34" x14ac:dyDescent="0.2">
      <c r="B7916" s="2">
        <f ca="1"/>
        <v>0.44947431265068261</v>
      </c>
      <c r="O7916" s="2">
        <f ca="1"/>
        <v>0.3215094249604083</v>
      </c>
      <c r="X7916" s="2">
        <f ca="1"/>
        <v>51.413834382464117</v>
      </c>
      <c r="AG7916" s="2">
        <f ca="1"/>
        <v>0.43245479515182161</v>
      </c>
      <c r="AH7916" s="2" t="str">
        <f ca="1"/>
        <v>Bad</v>
      </c>
    </row>
    <row r="7917" spans="2:34" x14ac:dyDescent="0.2">
      <c r="B7917" s="2">
        <f ca="1"/>
        <v>0.86196356359935655</v>
      </c>
      <c r="O7917" s="2">
        <f ca="1"/>
        <v>0.41131253769913806</v>
      </c>
      <c r="X7917" s="2">
        <f ca="1"/>
        <v>46.730407068765629</v>
      </c>
      <c r="AG7917" s="2">
        <f ca="1"/>
        <v>0.74853781626152549</v>
      </c>
      <c r="AH7917" s="2" t="str">
        <f ca="1"/>
        <v>Bad</v>
      </c>
    </row>
    <row r="7918" spans="2:34" x14ac:dyDescent="0.2">
      <c r="B7918" s="2">
        <f ca="1"/>
        <v>4.924588191310697E-3</v>
      </c>
      <c r="O7918" s="2">
        <f ca="1"/>
        <v>-1.7495304569394876</v>
      </c>
      <c r="X7918" s="2">
        <f ca="1"/>
        <v>45.545023393203756</v>
      </c>
      <c r="AG7918" s="2">
        <f ca="1"/>
        <v>0.93183942125915586</v>
      </c>
      <c r="AH7918" s="2" t="str">
        <f ca="1"/>
        <v>Bad</v>
      </c>
    </row>
    <row r="7919" spans="2:34" x14ac:dyDescent="0.2">
      <c r="B7919" s="2">
        <f ca="1"/>
        <v>0.36118922401297748</v>
      </c>
      <c r="O7919" s="2">
        <f ca="1"/>
        <v>-0.47692953910964198</v>
      </c>
      <c r="X7919" s="2">
        <f ca="1"/>
        <v>57.489990986406958</v>
      </c>
      <c r="AG7919" s="2">
        <f ca="1"/>
        <v>0.47243721860895005</v>
      </c>
      <c r="AH7919" s="2" t="str">
        <f ca="1"/>
        <v>Bad</v>
      </c>
    </row>
    <row r="7920" spans="2:34" x14ac:dyDescent="0.2">
      <c r="B7920" s="2">
        <f ca="1"/>
        <v>0.28491759209494827</v>
      </c>
      <c r="O7920" s="2">
        <f ca="1"/>
        <v>0.5898875790144904</v>
      </c>
      <c r="X7920" s="2">
        <f ca="1"/>
        <v>45.588679114503918</v>
      </c>
      <c r="AG7920" s="2">
        <f ca="1"/>
        <v>1.7565788108911295E-2</v>
      </c>
      <c r="AH7920" s="2" t="str">
        <f ca="1"/>
        <v>Good</v>
      </c>
    </row>
    <row r="7921" spans="2:34" x14ac:dyDescent="0.2">
      <c r="B7921" s="2">
        <f ca="1"/>
        <v>1.8807275807127599E-2</v>
      </c>
      <c r="O7921" s="2">
        <f ca="1"/>
        <v>-0.12401453345320713</v>
      </c>
      <c r="X7921" s="2">
        <f ca="1"/>
        <v>58.434499679170472</v>
      </c>
      <c r="AG7921" s="2">
        <f ca="1"/>
        <v>0.96348849380293466</v>
      </c>
      <c r="AH7921" s="2" t="str">
        <f ca="1"/>
        <v>Bad</v>
      </c>
    </row>
    <row r="7922" spans="2:34" x14ac:dyDescent="0.2">
      <c r="B7922" s="2">
        <f ca="1"/>
        <v>0.83916075296813841</v>
      </c>
      <c r="O7922" s="2">
        <f ca="1"/>
        <v>-2.0096373760305888E-2</v>
      </c>
      <c r="X7922" s="2">
        <f ca="1"/>
        <v>113.83029128249122</v>
      </c>
      <c r="AG7922" s="2">
        <f ca="1"/>
        <v>0.51308553727540196</v>
      </c>
      <c r="AH7922" s="2" t="str">
        <f ca="1"/>
        <v>Bad</v>
      </c>
    </row>
    <row r="7923" spans="2:34" x14ac:dyDescent="0.2">
      <c r="B7923" s="2">
        <f ca="1"/>
        <v>0.58067051881413945</v>
      </c>
      <c r="O7923" s="2">
        <f ca="1"/>
        <v>-0.46780151930909086</v>
      </c>
      <c r="X7923" s="2">
        <f ca="1"/>
        <v>28.616014341648707</v>
      </c>
      <c r="AG7923" s="2">
        <f ca="1"/>
        <v>0.12028800230474124</v>
      </c>
      <c r="AH7923" s="2" t="str">
        <f ca="1"/>
        <v>OK</v>
      </c>
    </row>
    <row r="7924" spans="2:34" x14ac:dyDescent="0.2">
      <c r="B7924" s="2">
        <f ca="1"/>
        <v>0.8030828058799937</v>
      </c>
      <c r="O7924" s="2">
        <f ca="1"/>
        <v>-0.26111140929394711</v>
      </c>
      <c r="X7924" s="2">
        <f ca="1"/>
        <v>38.517345700732413</v>
      </c>
      <c r="AG7924" s="2">
        <f ca="1"/>
        <v>0.39435167646746483</v>
      </c>
      <c r="AH7924" s="2" t="str">
        <f ca="1"/>
        <v>OK</v>
      </c>
    </row>
    <row r="7925" spans="2:34" x14ac:dyDescent="0.2">
      <c r="B7925" s="2">
        <f ca="1"/>
        <v>0.92443424444893929</v>
      </c>
      <c r="O7925" s="2">
        <f ca="1"/>
        <v>-0.87265631444070513</v>
      </c>
      <c r="X7925" s="2">
        <f ca="1"/>
        <v>36.731935246191064</v>
      </c>
      <c r="AG7925" s="2">
        <f ca="1"/>
        <v>0.48320370741777263</v>
      </c>
      <c r="AH7925" s="2" t="str">
        <f ca="1"/>
        <v>Bad</v>
      </c>
    </row>
    <row r="7926" spans="2:34" x14ac:dyDescent="0.2">
      <c r="B7926" s="2">
        <f ca="1"/>
        <v>0.588899793048695</v>
      </c>
      <c r="O7926" s="2">
        <f ca="1"/>
        <v>-0.97861216581653443</v>
      </c>
      <c r="X7926" s="2">
        <f ca="1"/>
        <v>61.191677272725222</v>
      </c>
      <c r="AG7926" s="2">
        <f ca="1"/>
        <v>0.51350782276966811</v>
      </c>
      <c r="AH7926" s="2" t="str">
        <f ca="1"/>
        <v>Bad</v>
      </c>
    </row>
    <row r="7927" spans="2:34" x14ac:dyDescent="0.2">
      <c r="B7927" s="2">
        <f ca="1"/>
        <v>0.35278203574605405</v>
      </c>
      <c r="O7927" s="2">
        <f ca="1"/>
        <v>-0.6359161509190786</v>
      </c>
      <c r="X7927" s="2">
        <f ca="1"/>
        <v>32.581556436880064</v>
      </c>
      <c r="AG7927" s="2">
        <f ca="1"/>
        <v>0.65937371543406242</v>
      </c>
      <c r="AH7927" s="2" t="str">
        <f ca="1"/>
        <v>Bad</v>
      </c>
    </row>
    <row r="7928" spans="2:34" x14ac:dyDescent="0.2">
      <c r="B7928" s="2">
        <f ca="1"/>
        <v>0.72657421362313257</v>
      </c>
      <c r="O7928" s="2">
        <f ca="1"/>
        <v>6.1763472720693782E-2</v>
      </c>
      <c r="X7928" s="2">
        <f ca="1"/>
        <v>68.778484806555952</v>
      </c>
      <c r="AG7928" s="2">
        <f ca="1"/>
        <v>0.19734931987978133</v>
      </c>
      <c r="AH7928" s="2" t="str">
        <f ca="1"/>
        <v>OK</v>
      </c>
    </row>
    <row r="7929" spans="2:34" x14ac:dyDescent="0.2">
      <c r="B7929" s="2">
        <f ca="1"/>
        <v>0.59359282610693853</v>
      </c>
      <c r="O7929" s="2">
        <f ca="1"/>
        <v>0.52628403805369106</v>
      </c>
      <c r="X7929" s="2">
        <f ca="1"/>
        <v>57.065269034838565</v>
      </c>
      <c r="AG7929" s="2">
        <f ca="1"/>
        <v>0.25555348334215577</v>
      </c>
      <c r="AH7929" s="2" t="str">
        <f ca="1"/>
        <v>OK</v>
      </c>
    </row>
    <row r="7930" spans="2:34" x14ac:dyDescent="0.2">
      <c r="B7930" s="2">
        <f ca="1"/>
        <v>0.20483525729708574</v>
      </c>
      <c r="O7930" s="2">
        <f ca="1"/>
        <v>-0.90841089439254163</v>
      </c>
      <c r="X7930" s="2">
        <f ca="1"/>
        <v>34.601119586116219</v>
      </c>
      <c r="AG7930" s="2">
        <f ca="1"/>
        <v>0.62320073959156197</v>
      </c>
      <c r="AH7930" s="2" t="str">
        <f ca="1"/>
        <v>Bad</v>
      </c>
    </row>
    <row r="7931" spans="2:34" x14ac:dyDescent="0.2">
      <c r="B7931" s="2">
        <f ca="1"/>
        <v>0.27437542301028417</v>
      </c>
      <c r="O7931" s="2">
        <f ca="1"/>
        <v>-1.1931569364389609</v>
      </c>
      <c r="X7931" s="2">
        <f ca="1"/>
        <v>74.855327004364341</v>
      </c>
      <c r="AG7931" s="2">
        <f ca="1"/>
        <v>0.67039804117945856</v>
      </c>
      <c r="AH7931" s="2" t="str">
        <f ca="1"/>
        <v>Bad</v>
      </c>
    </row>
    <row r="7932" spans="2:34" x14ac:dyDescent="0.2">
      <c r="B7932" s="2">
        <f ca="1"/>
        <v>0.26883073862718843</v>
      </c>
      <c r="O7932" s="2">
        <f ca="1"/>
        <v>1.3207550134380757</v>
      </c>
      <c r="X7932" s="2">
        <f ca="1"/>
        <v>44.426475834519472</v>
      </c>
      <c r="AG7932" s="2">
        <f ca="1"/>
        <v>2.8657263740380801E-2</v>
      </c>
      <c r="AH7932" s="2" t="str">
        <f ca="1"/>
        <v>Good</v>
      </c>
    </row>
    <row r="7933" spans="2:34" x14ac:dyDescent="0.2">
      <c r="B7933" s="2">
        <f ca="1"/>
        <v>0.66001023396720759</v>
      </c>
      <c r="O7933" s="2">
        <f ca="1"/>
        <v>-0.19267271227263055</v>
      </c>
      <c r="X7933" s="2">
        <f ca="1"/>
        <v>31.696084674344419</v>
      </c>
      <c r="AG7933" s="2">
        <f ca="1"/>
        <v>0.79393114897315287</v>
      </c>
      <c r="AH7933" s="2" t="str">
        <f ca="1"/>
        <v>Bad</v>
      </c>
    </row>
    <row r="7934" spans="2:34" x14ac:dyDescent="0.2">
      <c r="B7934" s="2">
        <f ca="1"/>
        <v>0.90303434282169026</v>
      </c>
      <c r="O7934" s="2">
        <f ca="1"/>
        <v>-1.5717756461637233</v>
      </c>
      <c r="X7934" s="2">
        <f ca="1"/>
        <v>68.096054396630066</v>
      </c>
      <c r="AG7934" s="2">
        <f ca="1"/>
        <v>1.3457272790983188E-2</v>
      </c>
      <c r="AH7934" s="2" t="str">
        <f ca="1"/>
        <v>Good</v>
      </c>
    </row>
    <row r="7935" spans="2:34" x14ac:dyDescent="0.2">
      <c r="B7935" s="2">
        <f ca="1"/>
        <v>0.20292075537127197</v>
      </c>
      <c r="O7935" s="2">
        <f ca="1"/>
        <v>-1.5008043581256902E-2</v>
      </c>
      <c r="X7935" s="2">
        <f ca="1"/>
        <v>58.498576576388928</v>
      </c>
      <c r="AG7935" s="2">
        <f ca="1"/>
        <v>0.45810365582220602</v>
      </c>
      <c r="AH7935" s="2" t="str">
        <f ca="1"/>
        <v>Bad</v>
      </c>
    </row>
    <row r="7936" spans="2:34" x14ac:dyDescent="0.2">
      <c r="B7936" s="2">
        <f ca="1"/>
        <v>0.10015765805548016</v>
      </c>
      <c r="O7936" s="2">
        <f ca="1"/>
        <v>0.14955914708063051</v>
      </c>
      <c r="X7936" s="2">
        <f ca="1"/>
        <v>59.997021167688835</v>
      </c>
      <c r="AG7936" s="2">
        <f ca="1"/>
        <v>0.66829090482396847</v>
      </c>
      <c r="AH7936" s="2" t="str">
        <f ca="1"/>
        <v>Bad</v>
      </c>
    </row>
    <row r="7937" spans="2:34" x14ac:dyDescent="0.2">
      <c r="B7937" s="2">
        <f ca="1"/>
        <v>0.97966519538615238</v>
      </c>
      <c r="O7937" s="2">
        <f ca="1"/>
        <v>-0.78932057023950286</v>
      </c>
      <c r="X7937" s="2">
        <f ca="1"/>
        <v>30.34617639515027</v>
      </c>
      <c r="AG7937" s="2">
        <f ca="1"/>
        <v>0.66271263142851389</v>
      </c>
      <c r="AH7937" s="2" t="str">
        <f ca="1"/>
        <v>Bad</v>
      </c>
    </row>
    <row r="7938" spans="2:34" x14ac:dyDescent="0.2">
      <c r="B7938" s="2">
        <f ca="1"/>
        <v>0.16147147352648505</v>
      </c>
      <c r="O7938" s="2">
        <f ca="1"/>
        <v>-1.119542439580236</v>
      </c>
      <c r="X7938" s="2">
        <f ca="1"/>
        <v>32.830430055329074</v>
      </c>
      <c r="AG7938" s="2">
        <f ca="1"/>
        <v>0.19370385131852852</v>
      </c>
      <c r="AH7938" s="2" t="str">
        <f ca="1"/>
        <v>OK</v>
      </c>
    </row>
    <row r="7939" spans="2:34" x14ac:dyDescent="0.2">
      <c r="B7939" s="2">
        <f ca="1"/>
        <v>0.8584942561635176</v>
      </c>
      <c r="O7939" s="2">
        <f ca="1"/>
        <v>1.1517343884258766</v>
      </c>
      <c r="X7939" s="2">
        <f ca="1"/>
        <v>38.207629743236907</v>
      </c>
      <c r="AG7939" s="2">
        <f ca="1"/>
        <v>0.7422138009621102</v>
      </c>
      <c r="AH7939" s="2" t="str">
        <f ca="1"/>
        <v>Bad</v>
      </c>
    </row>
    <row r="7940" spans="2:34" x14ac:dyDescent="0.2">
      <c r="B7940" s="2">
        <f ca="1"/>
        <v>0.73988231145061256</v>
      </c>
      <c r="O7940" s="2">
        <f ca="1"/>
        <v>-0.52933515138545628</v>
      </c>
      <c r="X7940" s="2">
        <f ca="1"/>
        <v>77.843598487048922</v>
      </c>
      <c r="AG7940" s="2">
        <f ca="1"/>
        <v>2.7140950196649305E-2</v>
      </c>
      <c r="AH7940" s="2" t="str">
        <f ca="1"/>
        <v>Good</v>
      </c>
    </row>
    <row r="7941" spans="2:34" x14ac:dyDescent="0.2">
      <c r="B7941" s="2">
        <f ca="1"/>
        <v>0.28934965947055158</v>
      </c>
      <c r="O7941" s="2">
        <f ca="1"/>
        <v>-1.1579156832715727</v>
      </c>
      <c r="X7941" s="2">
        <f ca="1"/>
        <v>42.821067851045022</v>
      </c>
      <c r="AG7941" s="2">
        <f ca="1"/>
        <v>0.79584447369967459</v>
      </c>
      <c r="AH7941" s="2" t="str">
        <f ca="1"/>
        <v>Bad</v>
      </c>
    </row>
    <row r="7942" spans="2:34" x14ac:dyDescent="0.2">
      <c r="B7942" s="2">
        <f ca="1"/>
        <v>0.65498709571714953</v>
      </c>
      <c r="O7942" s="2">
        <f ca="1"/>
        <v>-1.8146775057790274</v>
      </c>
      <c r="X7942" s="2">
        <f ca="1"/>
        <v>61.088723033073421</v>
      </c>
      <c r="AG7942" s="2">
        <f ca="1"/>
        <v>0.12600118544576855</v>
      </c>
      <c r="AH7942" s="2" t="str">
        <f ca="1"/>
        <v>OK</v>
      </c>
    </row>
    <row r="7943" spans="2:34" x14ac:dyDescent="0.2">
      <c r="B7943" s="2">
        <f ca="1"/>
        <v>0.35673613098872736</v>
      </c>
      <c r="O7943" s="2">
        <f ca="1"/>
        <v>-0.1971147144354867</v>
      </c>
      <c r="X7943" s="2">
        <f ca="1"/>
        <v>60.486884340612136</v>
      </c>
      <c r="AG7943" s="2">
        <f ca="1"/>
        <v>0.48845695167788716</v>
      </c>
      <c r="AH7943" s="2" t="str">
        <f ca="1"/>
        <v>Bad</v>
      </c>
    </row>
    <row r="7944" spans="2:34" x14ac:dyDescent="0.2">
      <c r="B7944" s="2">
        <f ca="1"/>
        <v>0.9899366580242821</v>
      </c>
      <c r="O7944" s="2">
        <f ca="1"/>
        <v>-0.19914523628021383</v>
      </c>
      <c r="X7944" s="2">
        <f ca="1"/>
        <v>67.531970076524743</v>
      </c>
      <c r="AG7944" s="2">
        <f ca="1"/>
        <v>0.29249416155596863</v>
      </c>
      <c r="AH7944" s="2" t="str">
        <f ca="1"/>
        <v>OK</v>
      </c>
    </row>
    <row r="7945" spans="2:34" x14ac:dyDescent="0.2">
      <c r="B7945" s="2">
        <f ca="1"/>
        <v>0.86223503421752112</v>
      </c>
      <c r="O7945" s="2">
        <f ca="1"/>
        <v>-1.1443357123267612</v>
      </c>
      <c r="X7945" s="2">
        <f ca="1"/>
        <v>33.227265245809363</v>
      </c>
      <c r="AG7945" s="2">
        <f ca="1"/>
        <v>0.83027113641149586</v>
      </c>
      <c r="AH7945" s="2" t="str">
        <f ca="1"/>
        <v>Bad</v>
      </c>
    </row>
    <row r="7946" spans="2:34" x14ac:dyDescent="0.2">
      <c r="B7946" s="2">
        <f ca="1"/>
        <v>0.40411073221270777</v>
      </c>
      <c r="O7946" s="2">
        <f ca="1"/>
        <v>-1.443728081746732E-2</v>
      </c>
      <c r="X7946" s="2">
        <f ca="1"/>
        <v>39.244901370526662</v>
      </c>
      <c r="AG7946" s="2">
        <f ca="1"/>
        <v>0.27560412347882557</v>
      </c>
      <c r="AH7946" s="2" t="str">
        <f ca="1"/>
        <v>OK</v>
      </c>
    </row>
    <row r="7947" spans="2:34" x14ac:dyDescent="0.2">
      <c r="B7947" s="2">
        <f ca="1"/>
        <v>0.526513055606594</v>
      </c>
      <c r="O7947" s="2">
        <f ca="1"/>
        <v>0.35693939166441169</v>
      </c>
      <c r="X7947" s="2">
        <f ca="1"/>
        <v>49.988962446424445</v>
      </c>
      <c r="AG7947" s="2">
        <f ca="1"/>
        <v>0.2013359364557592</v>
      </c>
      <c r="AH7947" s="2" t="str">
        <f ca="1"/>
        <v>OK</v>
      </c>
    </row>
    <row r="7948" spans="2:34" x14ac:dyDescent="0.2">
      <c r="B7948" s="2">
        <f ca="1"/>
        <v>0.63685234299824023</v>
      </c>
      <c r="O7948" s="2">
        <f ca="1"/>
        <v>-0.82265325267759593</v>
      </c>
      <c r="X7948" s="2">
        <f ca="1"/>
        <v>52.013399983753445</v>
      </c>
      <c r="AG7948" s="2">
        <f ca="1"/>
        <v>0.58198584474713733</v>
      </c>
      <c r="AH7948" s="2" t="str">
        <f ca="1"/>
        <v>Bad</v>
      </c>
    </row>
    <row r="7949" spans="2:34" x14ac:dyDescent="0.2">
      <c r="B7949" s="2">
        <f ca="1"/>
        <v>0.17580777336638609</v>
      </c>
      <c r="O7949" s="2">
        <f ca="1"/>
        <v>0.25286398491232936</v>
      </c>
      <c r="X7949" s="2">
        <f ca="1"/>
        <v>70.67060746270991</v>
      </c>
      <c r="AG7949" s="2">
        <f ca="1"/>
        <v>0.48442029811359077</v>
      </c>
      <c r="AH7949" s="2" t="str">
        <f ca="1"/>
        <v>Bad</v>
      </c>
    </row>
    <row r="7950" spans="2:34" x14ac:dyDescent="0.2">
      <c r="B7950" s="2">
        <f ca="1"/>
        <v>0.5654711127406411</v>
      </c>
      <c r="O7950" s="2">
        <f ca="1"/>
        <v>-0.40728771538748154</v>
      </c>
      <c r="X7950" s="2">
        <f ca="1"/>
        <v>80.420792225541717</v>
      </c>
      <c r="AG7950" s="2">
        <f ca="1"/>
        <v>7.0456716817612453E-2</v>
      </c>
      <c r="AH7950" s="2" t="str">
        <f ca="1"/>
        <v>OK</v>
      </c>
    </row>
    <row r="7951" spans="2:34" x14ac:dyDescent="0.2">
      <c r="B7951" s="2">
        <f ca="1"/>
        <v>0.14011285525201744</v>
      </c>
      <c r="O7951" s="2">
        <f ca="1"/>
        <v>1.6254365858615663</v>
      </c>
      <c r="X7951" s="2">
        <f ca="1"/>
        <v>53.016278087885695</v>
      </c>
      <c r="AG7951" s="2">
        <f ca="1"/>
        <v>0.58407195378059229</v>
      </c>
      <c r="AH7951" s="2" t="str">
        <f ca="1"/>
        <v>Bad</v>
      </c>
    </row>
    <row r="7952" spans="2:34" x14ac:dyDescent="0.2">
      <c r="B7952" s="2">
        <f ca="1"/>
        <v>0.86612566539025715</v>
      </c>
      <c r="O7952" s="2">
        <f ca="1"/>
        <v>0.41686420677666131</v>
      </c>
      <c r="X7952" s="2">
        <f ca="1"/>
        <v>49.239784616309521</v>
      </c>
      <c r="AG7952" s="2">
        <f ca="1"/>
        <v>0.40695723751908686</v>
      </c>
      <c r="AH7952" s="2" t="str">
        <f ca="1"/>
        <v>Bad</v>
      </c>
    </row>
    <row r="7953" spans="2:34" x14ac:dyDescent="0.2">
      <c r="B7953" s="2">
        <f ca="1"/>
        <v>2.406201583481038E-2</v>
      </c>
      <c r="O7953" s="2">
        <f ca="1"/>
        <v>0.93716660610648961</v>
      </c>
      <c r="X7953" s="2">
        <f ca="1"/>
        <v>41.190989098411336</v>
      </c>
      <c r="AG7953" s="2">
        <f ca="1"/>
        <v>0.5149864722325086</v>
      </c>
      <c r="AH7953" s="2" t="str">
        <f ca="1"/>
        <v>Bad</v>
      </c>
    </row>
    <row r="7954" spans="2:34" x14ac:dyDescent="0.2">
      <c r="B7954" s="2">
        <f ca="1"/>
        <v>0.34815617242378205</v>
      </c>
      <c r="O7954" s="2">
        <f ca="1"/>
        <v>-0.25565511392533957</v>
      </c>
      <c r="X7954" s="2">
        <f ca="1"/>
        <v>49.858132492989505</v>
      </c>
      <c r="AG7954" s="2">
        <f ca="1"/>
        <v>2.1746308862533814E-2</v>
      </c>
      <c r="AH7954" s="2" t="str">
        <f ca="1"/>
        <v>Good</v>
      </c>
    </row>
    <row r="7955" spans="2:34" x14ac:dyDescent="0.2">
      <c r="B7955" s="2">
        <f ca="1"/>
        <v>0.24480537941392622</v>
      </c>
      <c r="O7955" s="2">
        <f ca="1"/>
        <v>0.26126815556424671</v>
      </c>
      <c r="X7955" s="2">
        <f ca="1"/>
        <v>49.23584558589156</v>
      </c>
      <c r="AG7955" s="2">
        <f ca="1"/>
        <v>0.52531807577444334</v>
      </c>
      <c r="AH7955" s="2" t="str">
        <f ca="1"/>
        <v>Bad</v>
      </c>
    </row>
    <row r="7956" spans="2:34" x14ac:dyDescent="0.2">
      <c r="B7956" s="2">
        <f ca="1"/>
        <v>0.30629725374133066</v>
      </c>
      <c r="O7956" s="2">
        <f ca="1"/>
        <v>-0.1121595065676127</v>
      </c>
      <c r="X7956" s="2">
        <f ca="1"/>
        <v>34.590363031537436</v>
      </c>
      <c r="AG7956" s="2">
        <f ca="1"/>
        <v>0.79558422263249828</v>
      </c>
      <c r="AH7956" s="2" t="str">
        <f ca="1"/>
        <v>Bad</v>
      </c>
    </row>
    <row r="7957" spans="2:34" x14ac:dyDescent="0.2">
      <c r="B7957" s="2">
        <f ca="1"/>
        <v>0.98917145530652784</v>
      </c>
      <c r="O7957" s="2">
        <f ca="1"/>
        <v>-0.30563978956434612</v>
      </c>
      <c r="X7957" s="2">
        <f ca="1"/>
        <v>35.686270427725134</v>
      </c>
      <c r="AG7957" s="2">
        <f ca="1"/>
        <v>0.76793644097835356</v>
      </c>
      <c r="AH7957" s="2" t="str">
        <f ca="1"/>
        <v>Bad</v>
      </c>
    </row>
    <row r="7958" spans="2:34" x14ac:dyDescent="0.2">
      <c r="B7958" s="2">
        <f ca="1"/>
        <v>0.27459291144119313</v>
      </c>
      <c r="O7958" s="2">
        <f ca="1"/>
        <v>1.1402058513739015</v>
      </c>
      <c r="X7958" s="2">
        <f ca="1"/>
        <v>67.089463404117794</v>
      </c>
      <c r="AG7958" s="2">
        <f ca="1"/>
        <v>0.69503675691920286</v>
      </c>
      <c r="AH7958" s="2" t="str">
        <f ca="1"/>
        <v>Bad</v>
      </c>
    </row>
    <row r="7959" spans="2:34" x14ac:dyDescent="0.2">
      <c r="B7959" s="2">
        <f ca="1"/>
        <v>0.58379604259618723</v>
      </c>
      <c r="O7959" s="2">
        <f ca="1"/>
        <v>-0.45511498051776539</v>
      </c>
      <c r="X7959" s="2">
        <f ca="1"/>
        <v>48.777241847018864</v>
      </c>
      <c r="AG7959" s="2">
        <f ca="1"/>
        <v>0.93207049445168</v>
      </c>
      <c r="AH7959" s="2" t="str">
        <f ca="1"/>
        <v>Bad</v>
      </c>
    </row>
    <row r="7960" spans="2:34" x14ac:dyDescent="0.2">
      <c r="B7960" s="2">
        <f ca="1"/>
        <v>0.85723856078357508</v>
      </c>
      <c r="O7960" s="2">
        <f ca="1"/>
        <v>0.14583082255146837</v>
      </c>
      <c r="X7960" s="2">
        <f ca="1"/>
        <v>58.148655090216927</v>
      </c>
      <c r="AG7960" s="2">
        <f ca="1"/>
        <v>0.24791366384967706</v>
      </c>
      <c r="AH7960" s="2" t="str">
        <f ca="1"/>
        <v>OK</v>
      </c>
    </row>
    <row r="7961" spans="2:34" x14ac:dyDescent="0.2">
      <c r="B7961" s="2">
        <f ca="1"/>
        <v>0.82533938531744089</v>
      </c>
      <c r="O7961" s="2">
        <f ca="1"/>
        <v>1.3700886262362644</v>
      </c>
      <c r="X7961" s="2">
        <f ca="1"/>
        <v>61.737267148933562</v>
      </c>
      <c r="AG7961" s="2">
        <f ca="1"/>
        <v>0.40355396167411617</v>
      </c>
      <c r="AH7961" s="2" t="str">
        <f ca="1"/>
        <v>Bad</v>
      </c>
    </row>
    <row r="7962" spans="2:34" x14ac:dyDescent="0.2">
      <c r="B7962" s="2">
        <f ca="1"/>
        <v>1.8372383218066668E-2</v>
      </c>
      <c r="O7962" s="2">
        <f ca="1"/>
        <v>0.94311581655327648</v>
      </c>
      <c r="X7962" s="2">
        <f ca="1"/>
        <v>32.749479738467244</v>
      </c>
      <c r="AG7962" s="2">
        <f ca="1"/>
        <v>0.12519752848240451</v>
      </c>
      <c r="AH7962" s="2" t="str">
        <f ca="1"/>
        <v>OK</v>
      </c>
    </row>
    <row r="7963" spans="2:34" x14ac:dyDescent="0.2">
      <c r="B7963" s="2">
        <f ca="1"/>
        <v>0.94022050137530444</v>
      </c>
      <c r="O7963" s="2">
        <f ca="1"/>
        <v>-0.41807425818003746</v>
      </c>
      <c r="X7963" s="2">
        <f ca="1"/>
        <v>60.757666319408081</v>
      </c>
      <c r="AG7963" s="2">
        <f ca="1"/>
        <v>0.3601856346837875</v>
      </c>
      <c r="AH7963" s="2" t="str">
        <f ca="1"/>
        <v>OK</v>
      </c>
    </row>
    <row r="7964" spans="2:34" x14ac:dyDescent="0.2">
      <c r="B7964" s="2">
        <f ca="1"/>
        <v>2.2530857514498459E-2</v>
      </c>
      <c r="O7964" s="2">
        <f ca="1"/>
        <v>-0.89721095065249579</v>
      </c>
      <c r="X7964" s="2">
        <f ca="1"/>
        <v>48.460263065876539</v>
      </c>
      <c r="AG7964" s="2">
        <f ca="1"/>
        <v>0.89190895549789606</v>
      </c>
      <c r="AH7964" s="2" t="str">
        <f ca="1"/>
        <v>Bad</v>
      </c>
    </row>
    <row r="7965" spans="2:34" x14ac:dyDescent="0.2">
      <c r="B7965" s="2">
        <f ca="1"/>
        <v>0.84783387511225738</v>
      </c>
      <c r="O7965" s="2">
        <f ca="1"/>
        <v>0.96271436167170021</v>
      </c>
      <c r="X7965" s="2">
        <f ca="1"/>
        <v>41.809725709590609</v>
      </c>
      <c r="AG7965" s="2">
        <f ca="1"/>
        <v>0.4969635099070957</v>
      </c>
      <c r="AH7965" s="2" t="str">
        <f ca="1"/>
        <v>Bad</v>
      </c>
    </row>
    <row r="7966" spans="2:34" x14ac:dyDescent="0.2">
      <c r="B7966" s="2">
        <f ca="1"/>
        <v>1.1341385525465819E-2</v>
      </c>
      <c r="O7966" s="2">
        <f ca="1"/>
        <v>0.16730851200534066</v>
      </c>
      <c r="X7966" s="2">
        <f ca="1"/>
        <v>31.039666929264058</v>
      </c>
      <c r="AG7966" s="2">
        <f ca="1"/>
        <v>0.10812930138055354</v>
      </c>
      <c r="AH7966" s="2" t="str">
        <f ca="1"/>
        <v>OK</v>
      </c>
    </row>
    <row r="7967" spans="2:34" x14ac:dyDescent="0.2">
      <c r="B7967" s="2">
        <f ca="1"/>
        <v>0.77093989523486672</v>
      </c>
      <c r="O7967" s="2">
        <f ca="1"/>
        <v>-1.4570122171920281</v>
      </c>
      <c r="X7967" s="2">
        <f ca="1"/>
        <v>59.404172750519308</v>
      </c>
      <c r="AG7967" s="2">
        <f ca="1"/>
        <v>0.89941175184755484</v>
      </c>
      <c r="AH7967" s="2" t="str">
        <f ca="1"/>
        <v>Bad</v>
      </c>
    </row>
    <row r="7968" spans="2:34" x14ac:dyDescent="0.2">
      <c r="B7968" s="2">
        <f ca="1"/>
        <v>0.61805718381527486</v>
      </c>
      <c r="O7968" s="2">
        <f ca="1"/>
        <v>-1.870817751716487</v>
      </c>
      <c r="X7968" s="2">
        <f ca="1"/>
        <v>41.835004904440929</v>
      </c>
      <c r="AG7968" s="2">
        <f ca="1"/>
        <v>0.24620208121633302</v>
      </c>
      <c r="AH7968" s="2" t="str">
        <f ca="1"/>
        <v>OK</v>
      </c>
    </row>
    <row r="7969" spans="2:34" x14ac:dyDescent="0.2">
      <c r="B7969" s="2">
        <f ca="1"/>
        <v>0.71176221176189514</v>
      </c>
      <c r="O7969" s="2">
        <f ca="1"/>
        <v>1.1245690698480748</v>
      </c>
      <c r="X7969" s="2">
        <f ca="1"/>
        <v>59.098140466869552</v>
      </c>
      <c r="AG7969" s="2">
        <f ca="1"/>
        <v>0.20373584860280691</v>
      </c>
      <c r="AH7969" s="2" t="str">
        <f ca="1"/>
        <v>OK</v>
      </c>
    </row>
    <row r="7970" spans="2:34" x14ac:dyDescent="0.2">
      <c r="B7970" s="2">
        <f ca="1"/>
        <v>0.88908954796851103</v>
      </c>
      <c r="O7970" s="2">
        <f ca="1"/>
        <v>0.73736356409141124</v>
      </c>
      <c r="X7970" s="2">
        <f ca="1"/>
        <v>52.929378260950948</v>
      </c>
      <c r="AG7970" s="2">
        <f ca="1"/>
        <v>0.52559453057265348</v>
      </c>
      <c r="AH7970" s="2" t="str">
        <f ca="1"/>
        <v>Bad</v>
      </c>
    </row>
    <row r="7971" spans="2:34" x14ac:dyDescent="0.2">
      <c r="B7971" s="2">
        <f ca="1"/>
        <v>6.2559349350353344E-2</v>
      </c>
      <c r="O7971" s="2">
        <f ca="1"/>
        <v>-0.23492095481022252</v>
      </c>
      <c r="X7971" s="2">
        <f ca="1"/>
        <v>34.910356938195825</v>
      </c>
      <c r="AG7971" s="2">
        <f ca="1"/>
        <v>0.42149169672713671</v>
      </c>
      <c r="AH7971" s="2" t="str">
        <f ca="1"/>
        <v>Bad</v>
      </c>
    </row>
    <row r="7972" spans="2:34" x14ac:dyDescent="0.2">
      <c r="B7972" s="2">
        <f ca="1"/>
        <v>0.19983642988832306</v>
      </c>
      <c r="O7972" s="2">
        <f ca="1"/>
        <v>2.0841442136498167</v>
      </c>
      <c r="X7972" s="2">
        <f ca="1"/>
        <v>23.080888016138786</v>
      </c>
      <c r="AG7972" s="2">
        <f ca="1"/>
        <v>0.99358785174540643</v>
      </c>
      <c r="AH7972" s="2" t="str">
        <f ca="1"/>
        <v>Bad</v>
      </c>
    </row>
    <row r="7973" spans="2:34" x14ac:dyDescent="0.2">
      <c r="B7973" s="2">
        <f ca="1"/>
        <v>0.35144265989197865</v>
      </c>
      <c r="O7973" s="2">
        <f ca="1"/>
        <v>-0.6291973787603089</v>
      </c>
      <c r="X7973" s="2">
        <f ca="1"/>
        <v>49.886115800241058</v>
      </c>
      <c r="AG7973" s="2">
        <f ca="1"/>
        <v>0.95293057821629734</v>
      </c>
      <c r="AH7973" s="2" t="str">
        <f ca="1"/>
        <v>Bad</v>
      </c>
    </row>
    <row r="7974" spans="2:34" x14ac:dyDescent="0.2">
      <c r="B7974" s="2">
        <f ca="1"/>
        <v>0.24931757273610566</v>
      </c>
      <c r="O7974" s="2">
        <f ca="1"/>
        <v>0.25483216310119849</v>
      </c>
      <c r="X7974" s="2">
        <f ca="1"/>
        <v>60.983905376582555</v>
      </c>
      <c r="AG7974" s="2">
        <f ca="1"/>
        <v>4.1280040309699118E-3</v>
      </c>
      <c r="AH7974" s="2" t="str">
        <f ca="1"/>
        <v>Good</v>
      </c>
    </row>
    <row r="7975" spans="2:34" x14ac:dyDescent="0.2">
      <c r="B7975" s="2">
        <f ca="1"/>
        <v>0.90540895487443818</v>
      </c>
      <c r="O7975" s="2">
        <f ca="1"/>
        <v>-0.55779232326452755</v>
      </c>
      <c r="X7975" s="2">
        <f ca="1"/>
        <v>37.777320535962588</v>
      </c>
      <c r="AG7975" s="2">
        <f ca="1"/>
        <v>0.92029414863677861</v>
      </c>
      <c r="AH7975" s="2" t="str">
        <f ca="1"/>
        <v>Bad</v>
      </c>
    </row>
    <row r="7976" spans="2:34" x14ac:dyDescent="0.2">
      <c r="B7976" s="2">
        <f ca="1"/>
        <v>0.86310037458663946</v>
      </c>
      <c r="O7976" s="2">
        <f ca="1"/>
        <v>1.2523944774031373</v>
      </c>
      <c r="X7976" s="2">
        <f ca="1"/>
        <v>28.026363506451062</v>
      </c>
      <c r="AG7976" s="2">
        <f ca="1"/>
        <v>0.46501157604471199</v>
      </c>
      <c r="AH7976" s="2" t="str">
        <f ca="1"/>
        <v>Bad</v>
      </c>
    </row>
    <row r="7977" spans="2:34" x14ac:dyDescent="0.2">
      <c r="B7977" s="2">
        <f ca="1"/>
        <v>0.52882101992780672</v>
      </c>
      <c r="O7977" s="2">
        <f ca="1"/>
        <v>-1.7010194507769647</v>
      </c>
      <c r="X7977" s="2">
        <f ca="1"/>
        <v>90.081000594831679</v>
      </c>
      <c r="AG7977" s="2">
        <f ca="1"/>
        <v>0.62450781092183316</v>
      </c>
      <c r="AH7977" s="2" t="str">
        <f ca="1"/>
        <v>Bad</v>
      </c>
    </row>
    <row r="7978" spans="2:34" x14ac:dyDescent="0.2">
      <c r="B7978" s="2">
        <f ca="1"/>
        <v>0.41629489350632154</v>
      </c>
      <c r="O7978" s="2">
        <f ca="1"/>
        <v>-0.26410624964917734</v>
      </c>
      <c r="X7978" s="2">
        <f ca="1"/>
        <v>46.952280371992423</v>
      </c>
      <c r="AG7978" s="2">
        <f ca="1"/>
        <v>6.6992526390337703E-2</v>
      </c>
      <c r="AH7978" s="2" t="str">
        <f ca="1"/>
        <v>OK</v>
      </c>
    </row>
    <row r="7979" spans="2:34" x14ac:dyDescent="0.2">
      <c r="B7979" s="2">
        <f ca="1"/>
        <v>0.2700282335806341</v>
      </c>
      <c r="O7979" s="2">
        <f ca="1"/>
        <v>-3.7292019161169573E-2</v>
      </c>
      <c r="X7979" s="2">
        <f ca="1"/>
        <v>62.086630392743835</v>
      </c>
      <c r="AG7979" s="2">
        <f ca="1"/>
        <v>0.63918231121817892</v>
      </c>
      <c r="AH7979" s="2" t="str">
        <f ca="1"/>
        <v>Bad</v>
      </c>
    </row>
    <row r="7980" spans="2:34" x14ac:dyDescent="0.2">
      <c r="B7980" s="2">
        <f ca="1"/>
        <v>0.25899194865389452</v>
      </c>
      <c r="O7980" s="2">
        <f ca="1"/>
        <v>1.0151018890120733</v>
      </c>
      <c r="X7980" s="2">
        <f ca="1"/>
        <v>31.324015759433792</v>
      </c>
      <c r="AG7980" s="2">
        <f ca="1"/>
        <v>4.6151402869565317E-3</v>
      </c>
      <c r="AH7980" s="2" t="str">
        <f ca="1"/>
        <v>Good</v>
      </c>
    </row>
    <row r="7981" spans="2:34" x14ac:dyDescent="0.2">
      <c r="B7981" s="2">
        <f ca="1"/>
        <v>0.12456852721425693</v>
      </c>
      <c r="O7981" s="2">
        <f ca="1"/>
        <v>0.3268061028100423</v>
      </c>
      <c r="X7981" s="2">
        <f ca="1"/>
        <v>46.015459416412526</v>
      </c>
      <c r="AG7981" s="2">
        <f ca="1"/>
        <v>0.19584614645204401</v>
      </c>
      <c r="AH7981" s="2" t="str">
        <f ca="1"/>
        <v>OK</v>
      </c>
    </row>
    <row r="7982" spans="2:34" x14ac:dyDescent="0.2">
      <c r="B7982" s="2">
        <f ca="1"/>
        <v>0.86789176986166927</v>
      </c>
      <c r="O7982" s="2">
        <f ca="1"/>
        <v>6.0470996982097507E-2</v>
      </c>
      <c r="X7982" s="2">
        <f ca="1"/>
        <v>42.025737462644777</v>
      </c>
      <c r="AG7982" s="2">
        <f ca="1"/>
        <v>0.23391539852238563</v>
      </c>
      <c r="AH7982" s="2" t="str">
        <f ca="1"/>
        <v>OK</v>
      </c>
    </row>
    <row r="7983" spans="2:34" x14ac:dyDescent="0.2">
      <c r="B7983" s="2">
        <f ca="1"/>
        <v>0.21569114553696278</v>
      </c>
      <c r="O7983" s="2">
        <f ca="1"/>
        <v>-1.2914641914664009</v>
      </c>
      <c r="X7983" s="2">
        <f ca="1"/>
        <v>62.565356203273943</v>
      </c>
      <c r="AG7983" s="2">
        <f ca="1"/>
        <v>0.92556098976766243</v>
      </c>
      <c r="AH7983" s="2" t="str">
        <f ca="1"/>
        <v>Bad</v>
      </c>
    </row>
    <row r="7984" spans="2:34" x14ac:dyDescent="0.2">
      <c r="B7984" s="2">
        <f ca="1"/>
        <v>0.84875591200264466</v>
      </c>
      <c r="O7984" s="2">
        <f ca="1"/>
        <v>1.67737810969391</v>
      </c>
      <c r="X7984" s="2">
        <f ca="1"/>
        <v>62.78522500918973</v>
      </c>
      <c r="AG7984" s="2">
        <f ca="1"/>
        <v>0.60243371192417383</v>
      </c>
      <c r="AH7984" s="2" t="str">
        <f ca="1"/>
        <v>Bad</v>
      </c>
    </row>
    <row r="7985" spans="2:34" x14ac:dyDescent="0.2">
      <c r="B7985" s="2">
        <f ca="1"/>
        <v>0.65078797707909364</v>
      </c>
      <c r="O7985" s="2">
        <f ca="1"/>
        <v>-0.45992333248988831</v>
      </c>
      <c r="X7985" s="2">
        <f ca="1"/>
        <v>75.279301796877093</v>
      </c>
      <c r="AG7985" s="2">
        <f ca="1"/>
        <v>0.25923212213941738</v>
      </c>
      <c r="AH7985" s="2" t="str">
        <f ca="1"/>
        <v>OK</v>
      </c>
    </row>
    <row r="7986" spans="2:34" x14ac:dyDescent="0.2">
      <c r="B7986" s="2">
        <f ca="1"/>
        <v>0.54858961363114922</v>
      </c>
      <c r="O7986" s="2">
        <f ca="1"/>
        <v>1.5523480324792021</v>
      </c>
      <c r="X7986" s="2">
        <f ca="1"/>
        <v>24.947818655993956</v>
      </c>
      <c r="AG7986" s="2">
        <f ca="1"/>
        <v>0.83867065293050591</v>
      </c>
      <c r="AH7986" s="2" t="str">
        <f ca="1"/>
        <v>Bad</v>
      </c>
    </row>
    <row r="7987" spans="2:34" x14ac:dyDescent="0.2">
      <c r="B7987" s="2">
        <f ca="1"/>
        <v>0.80152790665399465</v>
      </c>
      <c r="O7987" s="2">
        <f ca="1"/>
        <v>0.30385124082389525</v>
      </c>
      <c r="X7987" s="2">
        <f ca="1"/>
        <v>24.814767724714191</v>
      </c>
      <c r="AG7987" s="2">
        <f ca="1"/>
        <v>0.88844802963351599</v>
      </c>
      <c r="AH7987" s="2" t="str">
        <f ca="1"/>
        <v>Bad</v>
      </c>
    </row>
    <row r="7988" spans="2:34" x14ac:dyDescent="0.2">
      <c r="B7988" s="2">
        <f ca="1"/>
        <v>4.3279072962755905E-2</v>
      </c>
      <c r="O7988" s="2">
        <f ca="1"/>
        <v>0.79483359787659003</v>
      </c>
      <c r="X7988" s="2">
        <f ca="1"/>
        <v>57.812303218086505</v>
      </c>
      <c r="AG7988" s="2">
        <f ca="1"/>
        <v>0.27204042570237763</v>
      </c>
      <c r="AH7988" s="2" t="str">
        <f ca="1"/>
        <v>OK</v>
      </c>
    </row>
    <row r="7989" spans="2:34" x14ac:dyDescent="0.2">
      <c r="B7989" s="2">
        <f ca="1"/>
        <v>0.55654871661226557</v>
      </c>
      <c r="O7989" s="2">
        <f ca="1"/>
        <v>-1.0808168340459128</v>
      </c>
      <c r="X7989" s="2">
        <f ca="1"/>
        <v>40.544391916787021</v>
      </c>
      <c r="AG7989" s="2">
        <f ca="1"/>
        <v>0.46436245893590855</v>
      </c>
      <c r="AH7989" s="2" t="str">
        <f ca="1"/>
        <v>Bad</v>
      </c>
    </row>
    <row r="7990" spans="2:34" x14ac:dyDescent="0.2">
      <c r="B7990" s="2">
        <f ca="1"/>
        <v>0.79280107563043178</v>
      </c>
      <c r="O7990" s="2">
        <f ca="1"/>
        <v>1.0786297986006199</v>
      </c>
      <c r="X7990" s="2">
        <f ca="1"/>
        <v>62.896680923479131</v>
      </c>
      <c r="AG7990" s="2">
        <f ca="1"/>
        <v>0.56736845433988203</v>
      </c>
      <c r="AH7990" s="2" t="str">
        <f ca="1"/>
        <v>Bad</v>
      </c>
    </row>
    <row r="7991" spans="2:34" x14ac:dyDescent="0.2">
      <c r="B7991" s="2">
        <f ca="1"/>
        <v>9.0457236937560692E-2</v>
      </c>
      <c r="O7991" s="2">
        <f ca="1"/>
        <v>0.33679731844405542</v>
      </c>
      <c r="X7991" s="2">
        <f ca="1"/>
        <v>85.361552195058422</v>
      </c>
      <c r="AG7991" s="2">
        <f ca="1"/>
        <v>0.75901744728971443</v>
      </c>
      <c r="AH7991" s="2" t="str">
        <f ca="1"/>
        <v>Bad</v>
      </c>
    </row>
    <row r="7992" spans="2:34" x14ac:dyDescent="0.2">
      <c r="B7992" s="2">
        <f ca="1"/>
        <v>0.29241993935547961</v>
      </c>
      <c r="O7992" s="2">
        <f ca="1"/>
        <v>-0.14971014186521658</v>
      </c>
      <c r="X7992" s="2">
        <f ca="1"/>
        <v>33.104042993476419</v>
      </c>
      <c r="AG7992" s="2">
        <f ca="1"/>
        <v>0.2472157279429168</v>
      </c>
      <c r="AH7992" s="2" t="str">
        <f ca="1"/>
        <v>OK</v>
      </c>
    </row>
    <row r="7993" spans="2:34" x14ac:dyDescent="0.2">
      <c r="B7993" s="2">
        <f ca="1"/>
        <v>0.25192862068259747</v>
      </c>
      <c r="O7993" s="2">
        <f ca="1"/>
        <v>0.35908075742721796</v>
      </c>
      <c r="X7993" s="2">
        <f ca="1"/>
        <v>50.396714942608114</v>
      </c>
      <c r="AG7993" s="2">
        <f ca="1"/>
        <v>0.50668968018803695</v>
      </c>
      <c r="AH7993" s="2" t="str">
        <f ca="1"/>
        <v>Bad</v>
      </c>
    </row>
    <row r="7994" spans="2:34" x14ac:dyDescent="0.2">
      <c r="B7994" s="2">
        <f ca="1"/>
        <v>0.72071566390058739</v>
      </c>
      <c r="O7994" s="2">
        <f ca="1"/>
        <v>0.70321242304265941</v>
      </c>
      <c r="X7994" s="2">
        <f ca="1"/>
        <v>42.11080973992474</v>
      </c>
      <c r="AG7994" s="2">
        <f ca="1"/>
        <v>0.39521075049845344</v>
      </c>
      <c r="AH7994" s="2" t="str">
        <f ca="1"/>
        <v>OK</v>
      </c>
    </row>
    <row r="7995" spans="2:34" x14ac:dyDescent="0.2">
      <c r="B7995" s="2">
        <f ca="1"/>
        <v>0.19530662125069687</v>
      </c>
      <c r="O7995" s="2">
        <f ca="1"/>
        <v>-1.0271887259643449</v>
      </c>
      <c r="X7995" s="2">
        <f ca="1"/>
        <v>62.536057446786629</v>
      </c>
      <c r="AG7995" s="2">
        <f ca="1"/>
        <v>0.2138072980828245</v>
      </c>
      <c r="AH7995" s="2" t="str">
        <f ca="1"/>
        <v>OK</v>
      </c>
    </row>
    <row r="7996" spans="2:34" x14ac:dyDescent="0.2">
      <c r="B7996" s="2">
        <f ca="1"/>
        <v>0.56269315490862915</v>
      </c>
      <c r="O7996" s="2">
        <f ca="1"/>
        <v>-0.28474347545229856</v>
      </c>
      <c r="X7996" s="2">
        <f ca="1"/>
        <v>28.677402709163239</v>
      </c>
      <c r="AG7996" s="2">
        <f ca="1"/>
        <v>0.52045667667077744</v>
      </c>
      <c r="AH7996" s="2" t="str">
        <f ca="1"/>
        <v>Bad</v>
      </c>
    </row>
    <row r="7997" spans="2:34" x14ac:dyDescent="0.2">
      <c r="B7997" s="2">
        <f ca="1"/>
        <v>0.50432466923988128</v>
      </c>
      <c r="O7997" s="2">
        <f ca="1"/>
        <v>-6.7364413270485771E-2</v>
      </c>
      <c r="X7997" s="2">
        <f ca="1"/>
        <v>22.874715388237323</v>
      </c>
      <c r="AG7997" s="2">
        <f ca="1"/>
        <v>0.21629083594633181</v>
      </c>
      <c r="AH7997" s="2" t="str">
        <f ca="1"/>
        <v>OK</v>
      </c>
    </row>
    <row r="7998" spans="2:34" x14ac:dyDescent="0.2">
      <c r="B7998" s="2">
        <f ca="1"/>
        <v>0.48536181252415544</v>
      </c>
      <c r="O7998" s="2">
        <f ca="1"/>
        <v>0.6303283624970768</v>
      </c>
      <c r="X7998" s="2">
        <f ca="1"/>
        <v>49.335705714675584</v>
      </c>
      <c r="AG7998" s="2">
        <f ca="1"/>
        <v>0.49491772622006547</v>
      </c>
      <c r="AH7998" s="2" t="str">
        <f ca="1"/>
        <v>Bad</v>
      </c>
    </row>
    <row r="7999" spans="2:34" x14ac:dyDescent="0.2">
      <c r="B7999" s="2">
        <f ca="1"/>
        <v>0.92362544034629934</v>
      </c>
      <c r="O7999" s="2">
        <f ca="1"/>
        <v>0.16553265894163158</v>
      </c>
      <c r="X7999" s="2">
        <f ca="1"/>
        <v>49.309492232171337</v>
      </c>
      <c r="AG7999" s="2">
        <f ca="1"/>
        <v>0.90452242154113094</v>
      </c>
      <c r="AH7999" s="2" t="str">
        <f ca="1"/>
        <v>Bad</v>
      </c>
    </row>
    <row r="8000" spans="2:34" x14ac:dyDescent="0.2">
      <c r="B8000" s="2">
        <f ca="1"/>
        <v>0.64514637739986558</v>
      </c>
      <c r="O8000" s="2">
        <f ca="1"/>
        <v>1.1658329019417641</v>
      </c>
      <c r="X8000" s="2">
        <f ca="1"/>
        <v>32.908799056216132</v>
      </c>
      <c r="AG8000" s="2">
        <f ca="1"/>
        <v>0.88316708224931895</v>
      </c>
      <c r="AH8000" s="2" t="str">
        <f ca="1"/>
        <v>Bad</v>
      </c>
    </row>
    <row r="8001" spans="2:34" x14ac:dyDescent="0.2">
      <c r="B8001" s="2">
        <f ca="1"/>
        <v>0.23450771233169276</v>
      </c>
      <c r="O8001" s="2">
        <f ca="1"/>
        <v>-1.0870191798361752</v>
      </c>
      <c r="X8001" s="2">
        <f ca="1"/>
        <v>27.631685356799245</v>
      </c>
      <c r="AG8001" s="2">
        <f ca="1"/>
        <v>0.73471542960180614</v>
      </c>
      <c r="AH8001" s="2" t="str">
        <f ca="1"/>
        <v>Bad</v>
      </c>
    </row>
    <row r="8002" spans="2:34" x14ac:dyDescent="0.2">
      <c r="B8002" s="2">
        <f ca="1"/>
        <v>0.50417552657106701</v>
      </c>
      <c r="O8002" s="2">
        <f ca="1"/>
        <v>-2.1309293344474853</v>
      </c>
      <c r="X8002" s="2">
        <f ca="1"/>
        <v>51.205359572135229</v>
      </c>
      <c r="AG8002" s="2">
        <f ca="1"/>
        <v>3.3624748372842905E-2</v>
      </c>
      <c r="AH8002" s="2" t="str">
        <f ca="1"/>
        <v>Good</v>
      </c>
    </row>
    <row r="8003" spans="2:34" x14ac:dyDescent="0.2">
      <c r="B8003" s="2">
        <f ca="1"/>
        <v>0.55645581962200219</v>
      </c>
      <c r="O8003" s="2">
        <f ca="1"/>
        <v>-0.57786524017827579</v>
      </c>
      <c r="X8003" s="2">
        <f ca="1"/>
        <v>50.852699014620406</v>
      </c>
      <c r="AG8003" s="2">
        <f ca="1"/>
        <v>0.9029644619447863</v>
      </c>
      <c r="AH8003" s="2" t="str">
        <f ca="1"/>
        <v>Bad</v>
      </c>
    </row>
    <row r="8004" spans="2:34" x14ac:dyDescent="0.2">
      <c r="B8004" s="2">
        <f ca="1"/>
        <v>0.37902035296915071</v>
      </c>
      <c r="O8004" s="2">
        <f ca="1"/>
        <v>-1.0274342639821787</v>
      </c>
      <c r="X8004" s="2">
        <f ca="1"/>
        <v>58.796608761125491</v>
      </c>
      <c r="AG8004" s="2">
        <f ca="1"/>
        <v>0.40826733743297705</v>
      </c>
      <c r="AH8004" s="2" t="str">
        <f ca="1"/>
        <v>Bad</v>
      </c>
    </row>
    <row r="8005" spans="2:34" x14ac:dyDescent="0.2">
      <c r="B8005" s="2">
        <f ca="1"/>
        <v>6.962594018660484E-2</v>
      </c>
      <c r="O8005" s="2">
        <f ca="1"/>
        <v>-0.79214621085277315</v>
      </c>
      <c r="X8005" s="2">
        <f ca="1"/>
        <v>44.977366015634139</v>
      </c>
      <c r="AG8005" s="2">
        <f ca="1"/>
        <v>0.56310093366111524</v>
      </c>
      <c r="AH8005" s="2" t="str">
        <f ca="1"/>
        <v>Bad</v>
      </c>
    </row>
    <row r="8006" spans="2:34" x14ac:dyDescent="0.2">
      <c r="B8006" s="2">
        <f ca="1"/>
        <v>0.3062092134292671</v>
      </c>
      <c r="O8006" s="2">
        <f ca="1"/>
        <v>0.98534611042317988</v>
      </c>
      <c r="X8006" s="2">
        <f ca="1"/>
        <v>75.529864903067676</v>
      </c>
      <c r="AG8006" s="2">
        <f ca="1"/>
        <v>0.23935052072943575</v>
      </c>
      <c r="AH8006" s="2" t="str">
        <f ca="1"/>
        <v>OK</v>
      </c>
    </row>
    <row r="8007" spans="2:34" x14ac:dyDescent="0.2">
      <c r="B8007" s="2">
        <f ca="1"/>
        <v>0.92268485906268727</v>
      </c>
      <c r="O8007" s="2">
        <f ca="1"/>
        <v>0.46365804317233822</v>
      </c>
      <c r="X8007" s="2">
        <f ca="1"/>
        <v>36.115399886057993</v>
      </c>
      <c r="AG8007" s="2">
        <f ca="1"/>
        <v>0.91288028798985255</v>
      </c>
      <c r="AH8007" s="2" t="str">
        <f ca="1"/>
        <v>Bad</v>
      </c>
    </row>
    <row r="8008" spans="2:34" x14ac:dyDescent="0.2">
      <c r="B8008" s="2">
        <f ca="1"/>
        <v>4.1024393819719673E-2</v>
      </c>
      <c r="O8008" s="2">
        <f ca="1"/>
        <v>1.1876059189571047</v>
      </c>
      <c r="X8008" s="2">
        <f ca="1"/>
        <v>77.392409752488575</v>
      </c>
      <c r="AG8008" s="2">
        <f ca="1"/>
        <v>0.76064080250959143</v>
      </c>
      <c r="AH8008" s="2" t="str">
        <f ca="1"/>
        <v>Bad</v>
      </c>
    </row>
    <row r="8009" spans="2:34" x14ac:dyDescent="0.2">
      <c r="B8009" s="2">
        <f ca="1"/>
        <v>0.35964152009372796</v>
      </c>
      <c r="O8009" s="2">
        <f ca="1"/>
        <v>3.7919481173434591E-2</v>
      </c>
      <c r="X8009" s="2">
        <f ca="1"/>
        <v>84.908059206408524</v>
      </c>
      <c r="AG8009" s="2">
        <f ca="1"/>
        <v>0.8353223972436099</v>
      </c>
      <c r="AH8009" s="2" t="str">
        <f ca="1"/>
        <v>Bad</v>
      </c>
    </row>
    <row r="8010" spans="2:34" x14ac:dyDescent="0.2">
      <c r="B8010" s="2">
        <f ca="1"/>
        <v>0.88089590247258753</v>
      </c>
      <c r="O8010" s="2">
        <f ca="1"/>
        <v>-0.60194807228489811</v>
      </c>
      <c r="X8010" s="2">
        <f ca="1"/>
        <v>46.859558675563292</v>
      </c>
      <c r="AG8010" s="2">
        <f ca="1"/>
        <v>0.6278171861144588</v>
      </c>
      <c r="AH8010" s="2" t="str">
        <f ca="1"/>
        <v>Bad</v>
      </c>
    </row>
    <row r="8011" spans="2:34" x14ac:dyDescent="0.2">
      <c r="B8011" s="2">
        <f ca="1"/>
        <v>0.44281905441712199</v>
      </c>
      <c r="O8011" s="2">
        <f ca="1"/>
        <v>0.23256413211180202</v>
      </c>
      <c r="X8011" s="2">
        <f ca="1"/>
        <v>37.518764630395367</v>
      </c>
      <c r="AG8011" s="2">
        <f ca="1"/>
        <v>0.78032802018139646</v>
      </c>
      <c r="AH8011" s="2" t="str">
        <f ca="1"/>
        <v>Bad</v>
      </c>
    </row>
    <row r="8012" spans="2:34" x14ac:dyDescent="0.2">
      <c r="B8012" s="2">
        <f ca="1"/>
        <v>4.0176739224594193E-2</v>
      </c>
      <c r="O8012" s="2">
        <f ca="1"/>
        <v>-0.25953297778947143</v>
      </c>
      <c r="X8012" s="2">
        <f ca="1"/>
        <v>53.880645566276883</v>
      </c>
      <c r="AG8012" s="2">
        <f ca="1"/>
        <v>0.19403326065421544</v>
      </c>
      <c r="AH8012" s="2" t="str">
        <f ca="1"/>
        <v>OK</v>
      </c>
    </row>
    <row r="8013" spans="2:34" x14ac:dyDescent="0.2">
      <c r="B8013" s="2">
        <f ca="1"/>
        <v>0.52548047172128554</v>
      </c>
      <c r="O8013" s="2">
        <f ca="1"/>
        <v>-0.58587404945236043</v>
      </c>
      <c r="X8013" s="2">
        <f ca="1"/>
        <v>82.132204160077592</v>
      </c>
      <c r="AG8013" s="2">
        <f ca="1"/>
        <v>0.66937734661532078</v>
      </c>
      <c r="AH8013" s="2" t="str">
        <f ca="1"/>
        <v>Bad</v>
      </c>
    </row>
    <row r="8014" spans="2:34" x14ac:dyDescent="0.2">
      <c r="B8014" s="2">
        <f ca="1"/>
        <v>0.52232737175375443</v>
      </c>
      <c r="O8014" s="2">
        <f ca="1"/>
        <v>-1.3237380080487346</v>
      </c>
      <c r="X8014" s="2">
        <f ca="1"/>
        <v>48.142613966435746</v>
      </c>
      <c r="AG8014" s="2">
        <f ca="1"/>
        <v>0.57964534219052699</v>
      </c>
      <c r="AH8014" s="2" t="str">
        <f ca="1"/>
        <v>Bad</v>
      </c>
    </row>
    <row r="8015" spans="2:34" x14ac:dyDescent="0.2">
      <c r="B8015" s="2">
        <f ca="1"/>
        <v>0.65263060734772793</v>
      </c>
      <c r="O8015" s="2">
        <f ca="1"/>
        <v>-0.26681684322340599</v>
      </c>
      <c r="X8015" s="2">
        <f ca="1"/>
        <v>52.036359077654225</v>
      </c>
      <c r="AG8015" s="2">
        <f ca="1"/>
        <v>1.8414106759349735E-2</v>
      </c>
      <c r="AH8015" s="2" t="str">
        <f ca="1"/>
        <v>Good</v>
      </c>
    </row>
    <row r="8016" spans="2:34" x14ac:dyDescent="0.2">
      <c r="B8016" s="2">
        <f ca="1"/>
        <v>0.80678329582964126</v>
      </c>
      <c r="O8016" s="2">
        <f ca="1"/>
        <v>-0.69650847364787383</v>
      </c>
      <c r="X8016" s="2">
        <f ca="1"/>
        <v>60.956653477844313</v>
      </c>
      <c r="AG8016" s="2">
        <f ca="1"/>
        <v>0.78365723298998158</v>
      </c>
      <c r="AH8016" s="2" t="str">
        <f ca="1"/>
        <v>Bad</v>
      </c>
    </row>
    <row r="8017" spans="2:34" x14ac:dyDescent="0.2">
      <c r="B8017" s="2">
        <f ca="1"/>
        <v>0.99172195019348375</v>
      </c>
      <c r="O8017" s="2">
        <f ca="1"/>
        <v>0.30098751843736304</v>
      </c>
      <c r="X8017" s="2">
        <f ca="1"/>
        <v>52.856856047590227</v>
      </c>
      <c r="AG8017" s="2">
        <f ca="1"/>
        <v>0.47292800620837672</v>
      </c>
      <c r="AH8017" s="2" t="str">
        <f ca="1"/>
        <v>Bad</v>
      </c>
    </row>
    <row r="8018" spans="2:34" x14ac:dyDescent="0.2">
      <c r="B8018" s="2">
        <f ca="1"/>
        <v>0.57524570240018558</v>
      </c>
      <c r="O8018" s="2">
        <f ca="1"/>
        <v>0.11915631470332734</v>
      </c>
      <c r="X8018" s="2">
        <f ca="1"/>
        <v>57.618772544121001</v>
      </c>
      <c r="AG8018" s="2">
        <f ca="1"/>
        <v>0.52640312220412389</v>
      </c>
      <c r="AH8018" s="2" t="str">
        <f ca="1"/>
        <v>Bad</v>
      </c>
    </row>
    <row r="8019" spans="2:34" x14ac:dyDescent="0.2">
      <c r="B8019" s="2">
        <f ca="1"/>
        <v>0.86991948919941908</v>
      </c>
      <c r="O8019" s="2">
        <f ca="1"/>
        <v>2.4886826106223858</v>
      </c>
      <c r="X8019" s="2">
        <f ca="1"/>
        <v>20.774313828998928</v>
      </c>
      <c r="AG8019" s="2">
        <f ca="1"/>
        <v>0.34734302540301876</v>
      </c>
      <c r="AH8019" s="2" t="str">
        <f ca="1"/>
        <v>OK</v>
      </c>
    </row>
    <row r="8020" spans="2:34" x14ac:dyDescent="0.2">
      <c r="B8020" s="2">
        <f ca="1"/>
        <v>0.15562353418223962</v>
      </c>
      <c r="O8020" s="2">
        <f ca="1"/>
        <v>0.25944299707975466</v>
      </c>
      <c r="X8020" s="2">
        <f ca="1"/>
        <v>64.433293234295263</v>
      </c>
      <c r="AG8020" s="2">
        <f ca="1"/>
        <v>0.56817448885270783</v>
      </c>
      <c r="AH8020" s="2" t="str">
        <f ca="1"/>
        <v>Bad</v>
      </c>
    </row>
    <row r="8021" spans="2:34" x14ac:dyDescent="0.2">
      <c r="B8021" s="2">
        <f ca="1"/>
        <v>0.45163713199344069</v>
      </c>
      <c r="O8021" s="2">
        <f ca="1"/>
        <v>-1.5817486277844284</v>
      </c>
      <c r="X8021" s="2">
        <f ca="1"/>
        <v>31.772829558359543</v>
      </c>
      <c r="AG8021" s="2">
        <f ca="1"/>
        <v>0.54634901391298896</v>
      </c>
      <c r="AH8021" s="2" t="str">
        <f ca="1"/>
        <v>Bad</v>
      </c>
    </row>
    <row r="8022" spans="2:34" x14ac:dyDescent="0.2">
      <c r="B8022" s="2">
        <f ca="1"/>
        <v>0.11082946643161762</v>
      </c>
      <c r="O8022" s="2">
        <f ca="1"/>
        <v>-0.64074777657633675</v>
      </c>
      <c r="X8022" s="2">
        <f ca="1"/>
        <v>45.498096670626403</v>
      </c>
      <c r="AG8022" s="2">
        <f ca="1"/>
        <v>0.88147246321888573</v>
      </c>
      <c r="AH8022" s="2" t="str">
        <f ca="1"/>
        <v>Bad</v>
      </c>
    </row>
    <row r="8023" spans="2:34" x14ac:dyDescent="0.2">
      <c r="B8023" s="2">
        <f ca="1"/>
        <v>0.99092707756448073</v>
      </c>
      <c r="O8023" s="2">
        <f ca="1"/>
        <v>0.10898532783082852</v>
      </c>
      <c r="X8023" s="2">
        <f ca="1"/>
        <v>42.093148582608009</v>
      </c>
      <c r="AG8023" s="2">
        <f ca="1"/>
        <v>0.55000405755284154</v>
      </c>
      <c r="AH8023" s="2" t="str">
        <f ca="1"/>
        <v>Bad</v>
      </c>
    </row>
    <row r="8024" spans="2:34" x14ac:dyDescent="0.2">
      <c r="B8024" s="2">
        <f ca="1"/>
        <v>0.32705300016729955</v>
      </c>
      <c r="O8024" s="2">
        <f ca="1"/>
        <v>0.63596783685406055</v>
      </c>
      <c r="X8024" s="2">
        <f ca="1"/>
        <v>29.408204320879982</v>
      </c>
      <c r="AG8024" s="2">
        <f ca="1"/>
        <v>2.830607154576259E-2</v>
      </c>
      <c r="AH8024" s="2" t="str">
        <f ca="1"/>
        <v>Good</v>
      </c>
    </row>
    <row r="8025" spans="2:34" x14ac:dyDescent="0.2">
      <c r="B8025" s="2">
        <f ca="1"/>
        <v>0.27661125610839932</v>
      </c>
      <c r="O8025" s="2">
        <f ca="1"/>
        <v>-1.0432907548400998</v>
      </c>
      <c r="X8025" s="2">
        <f ca="1"/>
        <v>49.418484646250647</v>
      </c>
      <c r="AG8025" s="2">
        <f ca="1"/>
        <v>0.14050886428803944</v>
      </c>
      <c r="AH8025" s="2" t="str">
        <f ca="1"/>
        <v>OK</v>
      </c>
    </row>
    <row r="8026" spans="2:34" x14ac:dyDescent="0.2">
      <c r="B8026" s="2">
        <f ca="1"/>
        <v>0.15075239549968256</v>
      </c>
      <c r="O8026" s="2">
        <f ca="1"/>
        <v>-0.6062003546189112</v>
      </c>
      <c r="X8026" s="2">
        <f ca="1"/>
        <v>47.552023340888205</v>
      </c>
      <c r="AG8026" s="2">
        <f ca="1"/>
        <v>0.58675899157980016</v>
      </c>
      <c r="AH8026" s="2" t="str">
        <f ca="1"/>
        <v>Bad</v>
      </c>
    </row>
    <row r="8027" spans="2:34" x14ac:dyDescent="0.2">
      <c r="B8027" s="2">
        <f ca="1"/>
        <v>0.40696383544243098</v>
      </c>
      <c r="O8027" s="2">
        <f ca="1"/>
        <v>-0.91660362841345788</v>
      </c>
      <c r="X8027" s="2">
        <f ca="1"/>
        <v>43.794746892467245</v>
      </c>
      <c r="AG8027" s="2">
        <f ca="1"/>
        <v>0.79770383570598669</v>
      </c>
      <c r="AH8027" s="2" t="str">
        <f ca="1"/>
        <v>Bad</v>
      </c>
    </row>
    <row r="8028" spans="2:34" x14ac:dyDescent="0.2">
      <c r="B8028" s="2">
        <f ca="1"/>
        <v>0.43135734411021542</v>
      </c>
      <c r="O8028" s="2">
        <f ca="1"/>
        <v>1.6964456981984202</v>
      </c>
      <c r="X8028" s="2">
        <f ca="1"/>
        <v>45.997968967814124</v>
      </c>
      <c r="AG8028" s="2">
        <f ca="1"/>
        <v>0.45662650771996227</v>
      </c>
      <c r="AH8028" s="2" t="str">
        <f ca="1"/>
        <v>Bad</v>
      </c>
    </row>
    <row r="8029" spans="2:34" x14ac:dyDescent="0.2">
      <c r="B8029" s="2">
        <f ca="1"/>
        <v>0.6069005788915407</v>
      </c>
      <c r="O8029" s="2">
        <f ca="1"/>
        <v>7.7546336175732949E-3</v>
      </c>
      <c r="X8029" s="2">
        <f ca="1"/>
        <v>30.800580587146328</v>
      </c>
      <c r="AG8029" s="2">
        <f ca="1"/>
        <v>2.6043897612721745E-2</v>
      </c>
      <c r="AH8029" s="2" t="str">
        <f ca="1"/>
        <v>Good</v>
      </c>
    </row>
    <row r="8030" spans="2:34" x14ac:dyDescent="0.2">
      <c r="B8030" s="2">
        <f ca="1"/>
        <v>0.63192804513294587</v>
      </c>
      <c r="O8030" s="2">
        <f ca="1"/>
        <v>1.4026800569463127</v>
      </c>
      <c r="X8030" s="2">
        <f ca="1"/>
        <v>47.8458605820176</v>
      </c>
      <c r="AG8030" s="2">
        <f ca="1"/>
        <v>0.66217727077343991</v>
      </c>
      <c r="AH8030" s="2" t="str">
        <f ca="1"/>
        <v>Bad</v>
      </c>
    </row>
    <row r="8031" spans="2:34" x14ac:dyDescent="0.2">
      <c r="B8031" s="2">
        <f ca="1"/>
        <v>0.56095434441753245</v>
      </c>
      <c r="O8031" s="2">
        <f ca="1"/>
        <v>-0.97041374853097007</v>
      </c>
      <c r="X8031" s="2">
        <f ca="1"/>
        <v>45.523774370206993</v>
      </c>
      <c r="AG8031" s="2">
        <f ca="1"/>
        <v>0.61595526594065686</v>
      </c>
      <c r="AH8031" s="2" t="str">
        <f ca="1"/>
        <v>Bad</v>
      </c>
    </row>
    <row r="8032" spans="2:34" x14ac:dyDescent="0.2">
      <c r="B8032" s="2">
        <f ca="1"/>
        <v>8.9374493814153411E-2</v>
      </c>
      <c r="O8032" s="2">
        <f ca="1"/>
        <v>0.47920635989787203</v>
      </c>
      <c r="X8032" s="2">
        <f ca="1"/>
        <v>45.767649851073173</v>
      </c>
      <c r="AG8032" s="2">
        <f ca="1"/>
        <v>0.24477045519894136</v>
      </c>
      <c r="AH8032" s="2" t="str">
        <f ca="1"/>
        <v>OK</v>
      </c>
    </row>
    <row r="8033" spans="2:34" x14ac:dyDescent="0.2">
      <c r="B8033" s="2">
        <f ca="1"/>
        <v>0.4549051893570788</v>
      </c>
      <c r="O8033" s="2">
        <f ca="1"/>
        <v>-0.11165272442354138</v>
      </c>
      <c r="X8033" s="2">
        <f ca="1"/>
        <v>60.782025609173751</v>
      </c>
      <c r="AG8033" s="2">
        <f ca="1"/>
        <v>0.64360253143763479</v>
      </c>
      <c r="AH8033" s="2" t="str">
        <f ca="1"/>
        <v>Bad</v>
      </c>
    </row>
    <row r="8034" spans="2:34" x14ac:dyDescent="0.2">
      <c r="B8034" s="2">
        <f ca="1"/>
        <v>1.9087629309337828E-3</v>
      </c>
      <c r="O8034" s="2">
        <f ca="1"/>
        <v>0.53658805404446341</v>
      </c>
      <c r="X8034" s="2">
        <f ca="1"/>
        <v>51.504057469692569</v>
      </c>
      <c r="AG8034" s="2">
        <f ca="1"/>
        <v>0.59814527855693878</v>
      </c>
      <c r="AH8034" s="2" t="str">
        <f ca="1"/>
        <v>Bad</v>
      </c>
    </row>
    <row r="8035" spans="2:34" x14ac:dyDescent="0.2">
      <c r="B8035" s="2">
        <f ca="1"/>
        <v>3.0421695183890929E-2</v>
      </c>
      <c r="O8035" s="2">
        <f ca="1"/>
        <v>0.67046939520685278</v>
      </c>
      <c r="X8035" s="2">
        <f ca="1"/>
        <v>48.882088040992528</v>
      </c>
      <c r="AG8035" s="2">
        <f ca="1"/>
        <v>0.91759483726833491</v>
      </c>
      <c r="AH8035" s="2" t="str">
        <f ca="1"/>
        <v>Bad</v>
      </c>
    </row>
    <row r="8036" spans="2:34" x14ac:dyDescent="0.2">
      <c r="B8036" s="2">
        <f ca="1"/>
        <v>0.90488057085595019</v>
      </c>
      <c r="O8036" s="2">
        <f ca="1"/>
        <v>-1.0329900009076347E-2</v>
      </c>
      <c r="X8036" s="2">
        <f ca="1"/>
        <v>59.493308540387339</v>
      </c>
      <c r="AG8036" s="2">
        <f ca="1"/>
        <v>0.47590521565741772</v>
      </c>
      <c r="AH8036" s="2" t="str">
        <f ca="1"/>
        <v>Bad</v>
      </c>
    </row>
    <row r="8037" spans="2:34" x14ac:dyDescent="0.2">
      <c r="B8037" s="2">
        <f ca="1"/>
        <v>0.20821711781580698</v>
      </c>
      <c r="O8037" s="2">
        <f ca="1"/>
        <v>0.41460191087146064</v>
      </c>
      <c r="X8037" s="2">
        <f ca="1"/>
        <v>48.350132503611093</v>
      </c>
      <c r="AG8037" s="2">
        <f ca="1"/>
        <v>0.4643906287718611</v>
      </c>
      <c r="AH8037" s="2" t="str">
        <f ca="1"/>
        <v>Bad</v>
      </c>
    </row>
    <row r="8038" spans="2:34" x14ac:dyDescent="0.2">
      <c r="B8038" s="2">
        <f ca="1"/>
        <v>0.38424484440966578</v>
      </c>
      <c r="O8038" s="2">
        <f ca="1"/>
        <v>1.5536586745070933</v>
      </c>
      <c r="X8038" s="2">
        <f ca="1"/>
        <v>28.777800805432371</v>
      </c>
      <c r="AG8038" s="2">
        <f ca="1"/>
        <v>0.19366555855934497</v>
      </c>
      <c r="AH8038" s="2" t="str">
        <f ca="1"/>
        <v>OK</v>
      </c>
    </row>
    <row r="8039" spans="2:34" x14ac:dyDescent="0.2">
      <c r="B8039" s="2">
        <f ca="1"/>
        <v>0.29975228219428107</v>
      </c>
      <c r="O8039" s="2">
        <f ca="1"/>
        <v>-1.323025372728964</v>
      </c>
      <c r="X8039" s="2">
        <f ca="1"/>
        <v>36.051791621841858</v>
      </c>
      <c r="AG8039" s="2">
        <f ca="1"/>
        <v>0.90216485441579852</v>
      </c>
      <c r="AH8039" s="2" t="str">
        <f ca="1"/>
        <v>Bad</v>
      </c>
    </row>
    <row r="8040" spans="2:34" x14ac:dyDescent="0.2">
      <c r="B8040" s="2">
        <f ca="1"/>
        <v>3.3426990297283465E-2</v>
      </c>
      <c r="O8040" s="2">
        <f ca="1"/>
        <v>1.25376278370812</v>
      </c>
      <c r="X8040" s="2">
        <f ca="1"/>
        <v>32.811114458273032</v>
      </c>
      <c r="AG8040" s="2">
        <f ca="1"/>
        <v>0.40431031541676021</v>
      </c>
      <c r="AH8040" s="2" t="str">
        <f ca="1"/>
        <v>Bad</v>
      </c>
    </row>
    <row r="8041" spans="2:34" x14ac:dyDescent="0.2">
      <c r="B8041" s="2">
        <f ca="1"/>
        <v>0.28582854585934236</v>
      </c>
      <c r="O8041" s="2">
        <f ca="1"/>
        <v>-0.36452261102336675</v>
      </c>
      <c r="X8041" s="2">
        <f ca="1"/>
        <v>59.494624199643333</v>
      </c>
      <c r="AG8041" s="2">
        <f ca="1"/>
        <v>0.69879011385984935</v>
      </c>
      <c r="AH8041" s="2" t="str">
        <f ca="1"/>
        <v>Bad</v>
      </c>
    </row>
    <row r="8042" spans="2:34" x14ac:dyDescent="0.2">
      <c r="B8042" s="2">
        <f ca="1"/>
        <v>0.72717115088059425</v>
      </c>
      <c r="O8042" s="2">
        <f ca="1"/>
        <v>-0.62943175794202699</v>
      </c>
      <c r="X8042" s="2">
        <f ca="1"/>
        <v>34.352461333892364</v>
      </c>
      <c r="AG8042" s="2">
        <f ca="1"/>
        <v>0.32574396023943741</v>
      </c>
      <c r="AH8042" s="2" t="str">
        <f ca="1"/>
        <v>OK</v>
      </c>
    </row>
    <row r="8043" spans="2:34" x14ac:dyDescent="0.2">
      <c r="B8043" s="2">
        <f ca="1"/>
        <v>0.88930863051584264</v>
      </c>
      <c r="O8043" s="2">
        <f ca="1"/>
        <v>2.2813500390974255</v>
      </c>
      <c r="X8043" s="2">
        <f ca="1"/>
        <v>49.273474238488468</v>
      </c>
      <c r="AG8043" s="2">
        <f ca="1"/>
        <v>0.94470476867928288</v>
      </c>
      <c r="AH8043" s="2" t="str">
        <f ca="1"/>
        <v>Bad</v>
      </c>
    </row>
    <row r="8044" spans="2:34" x14ac:dyDescent="0.2">
      <c r="B8044" s="2">
        <f ca="1"/>
        <v>0.6919569284144671</v>
      </c>
      <c r="O8044" s="2">
        <f ca="1"/>
        <v>1.1727376144477337</v>
      </c>
      <c r="X8044" s="2">
        <f ca="1"/>
        <v>31.065757765957219</v>
      </c>
      <c r="AG8044" s="2">
        <f ca="1"/>
        <v>0.66551075273366656</v>
      </c>
      <c r="AH8044" s="2" t="str">
        <f ca="1"/>
        <v>Bad</v>
      </c>
    </row>
    <row r="8045" spans="2:34" x14ac:dyDescent="0.2">
      <c r="B8045" s="2">
        <f ca="1"/>
        <v>0.72577914262768939</v>
      </c>
      <c r="O8045" s="2">
        <f ca="1"/>
        <v>-0.90915469849795716</v>
      </c>
      <c r="X8045" s="2">
        <f ca="1"/>
        <v>35.091165341949448</v>
      </c>
      <c r="AG8045" s="2">
        <f ca="1"/>
        <v>0.26741129449824763</v>
      </c>
      <c r="AH8045" s="2" t="str">
        <f ca="1"/>
        <v>OK</v>
      </c>
    </row>
    <row r="8046" spans="2:34" x14ac:dyDescent="0.2">
      <c r="B8046" s="2">
        <f ca="1"/>
        <v>0.69028043141360174</v>
      </c>
      <c r="O8046" s="2">
        <f ca="1"/>
        <v>0.2622080384004612</v>
      </c>
      <c r="X8046" s="2">
        <f ca="1"/>
        <v>29.105662762326677</v>
      </c>
      <c r="AG8046" s="2">
        <f ca="1"/>
        <v>0.79905624137808129</v>
      </c>
      <c r="AH8046" s="2" t="str">
        <f ca="1"/>
        <v>Bad</v>
      </c>
    </row>
    <row r="8047" spans="2:34" x14ac:dyDescent="0.2">
      <c r="B8047" s="2">
        <f ca="1"/>
        <v>0.87706976833528705</v>
      </c>
      <c r="O8047" s="2">
        <f ca="1"/>
        <v>2.111844327261716</v>
      </c>
      <c r="X8047" s="2">
        <f ca="1"/>
        <v>51.498737285490641</v>
      </c>
      <c r="AG8047" s="2">
        <f ca="1"/>
        <v>0.19480900107646248</v>
      </c>
      <c r="AH8047" s="2" t="str">
        <f ca="1"/>
        <v>OK</v>
      </c>
    </row>
    <row r="8048" spans="2:34" x14ac:dyDescent="0.2">
      <c r="B8048" s="2">
        <f ca="1"/>
        <v>0.96056875678130993</v>
      </c>
      <c r="O8048" s="2">
        <f ca="1"/>
        <v>1.104951905541143</v>
      </c>
      <c r="X8048" s="2">
        <f ca="1"/>
        <v>63.128062305154423</v>
      </c>
      <c r="AG8048" s="2">
        <f ca="1"/>
        <v>0.84597942948435989</v>
      </c>
      <c r="AH8048" s="2" t="str">
        <f ca="1"/>
        <v>Bad</v>
      </c>
    </row>
    <row r="8049" spans="2:34" x14ac:dyDescent="0.2">
      <c r="B8049" s="2">
        <f ca="1"/>
        <v>0.49089813970569507</v>
      </c>
      <c r="O8049" s="2">
        <f ca="1"/>
        <v>0.38334979840048289</v>
      </c>
      <c r="X8049" s="2">
        <f ca="1"/>
        <v>33.560526526430991</v>
      </c>
      <c r="AG8049" s="2">
        <f ca="1"/>
        <v>0.5797110861847532</v>
      </c>
      <c r="AH8049" s="2" t="str">
        <f ca="1"/>
        <v>Bad</v>
      </c>
    </row>
    <row r="8050" spans="2:34" x14ac:dyDescent="0.2">
      <c r="B8050" s="2">
        <f ca="1"/>
        <v>0.59415490959530537</v>
      </c>
      <c r="O8050" s="2">
        <f ca="1"/>
        <v>-4.5528017555614871E-2</v>
      </c>
      <c r="X8050" s="2">
        <f ca="1"/>
        <v>28.64425558254495</v>
      </c>
      <c r="AG8050" s="2">
        <f ca="1"/>
        <v>0.26428181367233505</v>
      </c>
      <c r="AH8050" s="2" t="str">
        <f ca="1"/>
        <v>OK</v>
      </c>
    </row>
    <row r="8051" spans="2:34" x14ac:dyDescent="0.2">
      <c r="B8051" s="2">
        <f ca="1"/>
        <v>9.7196751805875614E-2</v>
      </c>
      <c r="O8051" s="2">
        <f ca="1"/>
        <v>-0.28530333258715818</v>
      </c>
      <c r="X8051" s="2">
        <f ca="1"/>
        <v>36.104773504741082</v>
      </c>
      <c r="AG8051" s="2">
        <f ca="1"/>
        <v>0.63527869235240031</v>
      </c>
      <c r="AH8051" s="2" t="str">
        <f ca="1"/>
        <v>Bad</v>
      </c>
    </row>
    <row r="8052" spans="2:34" x14ac:dyDescent="0.2">
      <c r="B8052" s="2">
        <f ca="1"/>
        <v>0.62475717779780027</v>
      </c>
      <c r="O8052" s="2">
        <f ca="1"/>
        <v>0.95306307599483198</v>
      </c>
      <c r="X8052" s="2">
        <f ca="1"/>
        <v>32.351238765452237</v>
      </c>
      <c r="AG8052" s="2">
        <f ca="1"/>
        <v>0.71805315922654778</v>
      </c>
      <c r="AH8052" s="2" t="str">
        <f ca="1"/>
        <v>Bad</v>
      </c>
    </row>
    <row r="8053" spans="2:34" x14ac:dyDescent="0.2">
      <c r="B8053" s="2">
        <f ca="1"/>
        <v>5.0738634910135749E-2</v>
      </c>
      <c r="O8053" s="2">
        <f ca="1"/>
        <v>1.1335753842073524</v>
      </c>
      <c r="X8053" s="2">
        <f ca="1"/>
        <v>36.672158879737488</v>
      </c>
      <c r="AG8053" s="2">
        <f ca="1"/>
        <v>0.71400725733110315</v>
      </c>
      <c r="AH8053" s="2" t="str">
        <f ca="1"/>
        <v>Bad</v>
      </c>
    </row>
    <row r="8054" spans="2:34" x14ac:dyDescent="0.2">
      <c r="B8054" s="2">
        <f ca="1"/>
        <v>0.50480097929630752</v>
      </c>
      <c r="O8054" s="2">
        <f ca="1"/>
        <v>-1.3931111749456937</v>
      </c>
      <c r="X8054" s="2">
        <f ca="1"/>
        <v>40.946037378293354</v>
      </c>
      <c r="AG8054" s="2">
        <f ca="1"/>
        <v>0.95195137779517824</v>
      </c>
      <c r="AH8054" s="2" t="str">
        <f ca="1"/>
        <v>Bad</v>
      </c>
    </row>
    <row r="8055" spans="2:34" x14ac:dyDescent="0.2">
      <c r="B8055" s="2">
        <f ca="1"/>
        <v>7.7475598296024462E-2</v>
      </c>
      <c r="O8055" s="2">
        <f ca="1"/>
        <v>0.2672746789920396</v>
      </c>
      <c r="X8055" s="2">
        <f ca="1"/>
        <v>57.63779119766923</v>
      </c>
      <c r="AG8055" s="2">
        <f ca="1"/>
        <v>0.68975303702242474</v>
      </c>
      <c r="AH8055" s="2" t="str">
        <f ca="1"/>
        <v>Bad</v>
      </c>
    </row>
    <row r="8056" spans="2:34" x14ac:dyDescent="0.2">
      <c r="B8056" s="2">
        <f ca="1"/>
        <v>0.73252243372304626</v>
      </c>
      <c r="O8056" s="2">
        <f ca="1"/>
        <v>-2.1152257130045052E-2</v>
      </c>
      <c r="X8056" s="2">
        <f ca="1"/>
        <v>51.147942175687255</v>
      </c>
      <c r="AG8056" s="2">
        <f ca="1"/>
        <v>0.6353638251536311</v>
      </c>
      <c r="AH8056" s="2" t="str">
        <f ca="1"/>
        <v>Bad</v>
      </c>
    </row>
    <row r="8057" spans="2:34" x14ac:dyDescent="0.2">
      <c r="B8057" s="2">
        <f ca="1"/>
        <v>0.68255456853664209</v>
      </c>
      <c r="O8057" s="2">
        <f ca="1"/>
        <v>-0.77346115388746339</v>
      </c>
      <c r="X8057" s="2">
        <f ca="1"/>
        <v>60.973170376146456</v>
      </c>
      <c r="AG8057" s="2">
        <f ca="1"/>
        <v>0.22102407417076808</v>
      </c>
      <c r="AH8057" s="2" t="str">
        <f ca="1"/>
        <v>OK</v>
      </c>
    </row>
    <row r="8058" spans="2:34" x14ac:dyDescent="0.2">
      <c r="B8058" s="2">
        <f ca="1"/>
        <v>0.67046674139098861</v>
      </c>
      <c r="O8058" s="2">
        <f ca="1"/>
        <v>0.70420164462943002</v>
      </c>
      <c r="X8058" s="2">
        <f ca="1"/>
        <v>39.583888153413355</v>
      </c>
      <c r="AG8058" s="2">
        <f ca="1"/>
        <v>0.5647080329897225</v>
      </c>
      <c r="AH8058" s="2" t="str">
        <f ca="1"/>
        <v>Bad</v>
      </c>
    </row>
    <row r="8059" spans="2:34" x14ac:dyDescent="0.2">
      <c r="B8059" s="2">
        <f ca="1"/>
        <v>7.7101458431413139E-2</v>
      </c>
      <c r="O8059" s="2">
        <f ca="1"/>
        <v>1.5461505397870563</v>
      </c>
      <c r="X8059" s="2">
        <f ca="1"/>
        <v>66.172424541993962</v>
      </c>
      <c r="AG8059" s="2">
        <f ca="1"/>
        <v>0.41631831967974731</v>
      </c>
      <c r="AH8059" s="2" t="str">
        <f ca="1"/>
        <v>Bad</v>
      </c>
    </row>
    <row r="8060" spans="2:34" x14ac:dyDescent="0.2">
      <c r="B8060" s="2">
        <f ca="1"/>
        <v>0.57621759553208785</v>
      </c>
      <c r="O8060" s="2">
        <f ca="1"/>
        <v>4.4263625823875656E-2</v>
      </c>
      <c r="X8060" s="2">
        <f ca="1"/>
        <v>41.629491941273599</v>
      </c>
      <c r="AG8060" s="2">
        <f ca="1"/>
        <v>0.72642795709722074</v>
      </c>
      <c r="AH8060" s="2" t="str">
        <f ca="1"/>
        <v>Bad</v>
      </c>
    </row>
    <row r="8061" spans="2:34" x14ac:dyDescent="0.2">
      <c r="B8061" s="2">
        <f ca="1"/>
        <v>0.48867478372257311</v>
      </c>
      <c r="O8061" s="2">
        <f ca="1"/>
        <v>-0.7656448122653442</v>
      </c>
      <c r="X8061" s="2">
        <f ca="1"/>
        <v>47.144983268863427</v>
      </c>
      <c r="AG8061" s="2">
        <f ca="1"/>
        <v>0.57065675328587684</v>
      </c>
      <c r="AH8061" s="2" t="str">
        <f ca="1"/>
        <v>Bad</v>
      </c>
    </row>
    <row r="8062" spans="2:34" x14ac:dyDescent="0.2">
      <c r="B8062" s="2">
        <f ca="1"/>
        <v>0.83700992485685166</v>
      </c>
      <c r="O8062" s="2">
        <f ca="1"/>
        <v>-0.15794968885760455</v>
      </c>
      <c r="X8062" s="2">
        <f ca="1"/>
        <v>41.560897813771845</v>
      </c>
      <c r="AG8062" s="2">
        <f ca="1"/>
        <v>0.80035082729791718</v>
      </c>
      <c r="AH8062" s="2" t="str">
        <f ca="1"/>
        <v>Bad</v>
      </c>
    </row>
    <row r="8063" spans="2:34" x14ac:dyDescent="0.2">
      <c r="B8063" s="2">
        <f ca="1"/>
        <v>0.73680690430135432</v>
      </c>
      <c r="O8063" s="2">
        <f ca="1"/>
        <v>-1.6196506528330141</v>
      </c>
      <c r="X8063" s="2">
        <f ca="1"/>
        <v>33.731966799483494</v>
      </c>
      <c r="AG8063" s="2">
        <f ca="1"/>
        <v>0.51730542217732123</v>
      </c>
      <c r="AH8063" s="2" t="str">
        <f ca="1"/>
        <v>Bad</v>
      </c>
    </row>
    <row r="8064" spans="2:34" x14ac:dyDescent="0.2">
      <c r="B8064" s="2">
        <f ca="1"/>
        <v>0.8830417168890794</v>
      </c>
      <c r="O8064" s="2">
        <f ca="1"/>
        <v>-1.0131494334861439</v>
      </c>
      <c r="X8064" s="2">
        <f ca="1"/>
        <v>66.510228530663838</v>
      </c>
      <c r="AG8064" s="2">
        <f ca="1"/>
        <v>0.63053046977754357</v>
      </c>
      <c r="AH8064" s="2" t="str">
        <f ca="1"/>
        <v>Bad</v>
      </c>
    </row>
    <row r="8065" spans="2:34" x14ac:dyDescent="0.2">
      <c r="B8065" s="2">
        <f ca="1"/>
        <v>0.23711695888629825</v>
      </c>
      <c r="O8065" s="2">
        <f ca="1"/>
        <v>-6.9045855192825106E-2</v>
      </c>
      <c r="X8065" s="2">
        <f ca="1"/>
        <v>39.157108323131254</v>
      </c>
      <c r="AG8065" s="2">
        <f ca="1"/>
        <v>0.888140520563657</v>
      </c>
      <c r="AH8065" s="2" t="str">
        <f ca="1"/>
        <v>Bad</v>
      </c>
    </row>
    <row r="8066" spans="2:34" x14ac:dyDescent="0.2">
      <c r="B8066" s="2">
        <f ca="1"/>
        <v>0.86942458845129722</v>
      </c>
      <c r="O8066" s="2">
        <f ca="1"/>
        <v>-0.48989668474180414</v>
      </c>
      <c r="X8066" s="2">
        <f ca="1"/>
        <v>46.313634806225032</v>
      </c>
      <c r="AG8066" s="2">
        <f ca="1"/>
        <v>0.15235425051113061</v>
      </c>
      <c r="AH8066" s="2" t="str">
        <f ca="1"/>
        <v>OK</v>
      </c>
    </row>
    <row r="8067" spans="2:34" x14ac:dyDescent="0.2">
      <c r="B8067" s="2">
        <f ca="1"/>
        <v>0.39101558663446156</v>
      </c>
      <c r="O8067" s="2">
        <f ca="1"/>
        <v>1.3339445205617013</v>
      </c>
      <c r="X8067" s="2">
        <f ca="1"/>
        <v>55.146903184708549</v>
      </c>
      <c r="AG8067" s="2">
        <f ca="1"/>
        <v>0.72607834790508519</v>
      </c>
      <c r="AH8067" s="2" t="str">
        <f ca="1"/>
        <v>Bad</v>
      </c>
    </row>
    <row r="8068" spans="2:34" x14ac:dyDescent="0.2">
      <c r="B8068" s="2">
        <f ca="1"/>
        <v>0.4350137545610735</v>
      </c>
      <c r="O8068" s="2">
        <f ca="1"/>
        <v>1.7298019310899637</v>
      </c>
      <c r="X8068" s="2">
        <f ca="1"/>
        <v>54.831391883136064</v>
      </c>
      <c r="AG8068" s="2">
        <f ca="1"/>
        <v>0.8993497395782073</v>
      </c>
      <c r="AH8068" s="2" t="str">
        <f ca="1"/>
        <v>Bad</v>
      </c>
    </row>
    <row r="8069" spans="2:34" x14ac:dyDescent="0.2">
      <c r="B8069" s="2">
        <f ca="1"/>
        <v>0.885396053398261</v>
      </c>
      <c r="O8069" s="2">
        <f ca="1"/>
        <v>1.2620358551968525</v>
      </c>
      <c r="X8069" s="2">
        <f ca="1"/>
        <v>69.528807727202334</v>
      </c>
      <c r="AG8069" s="2">
        <f ca="1"/>
        <v>0.88722459271130671</v>
      </c>
      <c r="AH8069" s="2" t="str">
        <f ca="1"/>
        <v>Bad</v>
      </c>
    </row>
    <row r="8070" spans="2:34" x14ac:dyDescent="0.2">
      <c r="B8070" s="2">
        <f ca="1"/>
        <v>0.83869124462872802</v>
      </c>
      <c r="O8070" s="2">
        <f ca="1"/>
        <v>0.28113917162950414</v>
      </c>
      <c r="X8070" s="2">
        <f ca="1"/>
        <v>40.831070544976498</v>
      </c>
      <c r="AG8070" s="2">
        <f ca="1"/>
        <v>0.22740946027111564</v>
      </c>
      <c r="AH8070" s="2" t="str">
        <f ca="1"/>
        <v>OK</v>
      </c>
    </row>
    <row r="8071" spans="2:34" x14ac:dyDescent="0.2">
      <c r="B8071" s="2">
        <f ca="1"/>
        <v>0.67790532519222357</v>
      </c>
      <c r="O8071" s="2">
        <f ca="1"/>
        <v>0.84216495430500449</v>
      </c>
      <c r="X8071" s="2">
        <f ca="1"/>
        <v>38.558576607773077</v>
      </c>
      <c r="AG8071" s="2">
        <f ca="1"/>
        <v>0.78979941244621243</v>
      </c>
      <c r="AH8071" s="2" t="str">
        <f ca="1"/>
        <v>Bad</v>
      </c>
    </row>
    <row r="8072" spans="2:34" x14ac:dyDescent="0.2">
      <c r="B8072" s="2">
        <f ca="1"/>
        <v>0.16072224698653081</v>
      </c>
      <c r="O8072" s="2">
        <f ca="1"/>
        <v>-1.6189964437823932</v>
      </c>
      <c r="X8072" s="2">
        <f ca="1"/>
        <v>56.604934308496482</v>
      </c>
      <c r="AG8072" s="2">
        <f ca="1"/>
        <v>0.70328512209664562</v>
      </c>
      <c r="AH8072" s="2" t="str">
        <f ca="1"/>
        <v>Bad</v>
      </c>
    </row>
    <row r="8073" spans="2:34" x14ac:dyDescent="0.2">
      <c r="B8073" s="2">
        <f ca="1"/>
        <v>0.49641786749395744</v>
      </c>
      <c r="O8073" s="2">
        <f ca="1"/>
        <v>-0.20793027192891572</v>
      </c>
      <c r="X8073" s="2">
        <f ca="1"/>
        <v>63.891208522913779</v>
      </c>
      <c r="AG8073" s="2">
        <f ca="1"/>
        <v>0.46018363490507141</v>
      </c>
      <c r="AH8073" s="2" t="str">
        <f ca="1"/>
        <v>Bad</v>
      </c>
    </row>
    <row r="8074" spans="2:34" x14ac:dyDescent="0.2">
      <c r="B8074" s="2">
        <f ca="1"/>
        <v>0.57664011085540556</v>
      </c>
      <c r="O8074" s="2">
        <f ca="1"/>
        <v>-0.30440091501125077</v>
      </c>
      <c r="X8074" s="2">
        <f ca="1"/>
        <v>23.476716818388724</v>
      </c>
      <c r="AG8074" s="2">
        <f ca="1"/>
        <v>0.31454364466331897</v>
      </c>
      <c r="AH8074" s="2" t="str">
        <f ca="1"/>
        <v>OK</v>
      </c>
    </row>
    <row r="8075" spans="2:34" x14ac:dyDescent="0.2">
      <c r="B8075" s="2">
        <f ca="1"/>
        <v>0.14043173353174865</v>
      </c>
      <c r="O8075" s="2">
        <f ca="1"/>
        <v>-1.1393581746574866</v>
      </c>
      <c r="X8075" s="2">
        <f ca="1"/>
        <v>46.309795587455767</v>
      </c>
      <c r="AG8075" s="2">
        <f ca="1"/>
        <v>0.6149789083362045</v>
      </c>
      <c r="AH8075" s="2" t="str">
        <f ca="1"/>
        <v>Bad</v>
      </c>
    </row>
    <row r="8076" spans="2:34" x14ac:dyDescent="0.2">
      <c r="B8076" s="2">
        <f ca="1"/>
        <v>0.63136377200664695</v>
      </c>
      <c r="O8076" s="2">
        <f ca="1"/>
        <v>-0.1696550501588914</v>
      </c>
      <c r="X8076" s="2">
        <f ca="1"/>
        <v>26.514279329289362</v>
      </c>
      <c r="AG8076" s="2">
        <f ca="1"/>
        <v>0.23289120525687568</v>
      </c>
      <c r="AH8076" s="2" t="str">
        <f ca="1"/>
        <v>OK</v>
      </c>
    </row>
    <row r="8077" spans="2:34" x14ac:dyDescent="0.2">
      <c r="B8077" s="2">
        <f ca="1"/>
        <v>0.63272329929110116</v>
      </c>
      <c r="O8077" s="2">
        <f ca="1"/>
        <v>-1.0324415838619094</v>
      </c>
      <c r="X8077" s="2">
        <f ca="1"/>
        <v>63.97786843174498</v>
      </c>
      <c r="AG8077" s="2">
        <f ca="1"/>
        <v>0.2754623081915899</v>
      </c>
      <c r="AH8077" s="2" t="str">
        <f ca="1"/>
        <v>OK</v>
      </c>
    </row>
    <row r="8078" spans="2:34" x14ac:dyDescent="0.2">
      <c r="B8078" s="2">
        <f ca="1"/>
        <v>0.40182295381605693</v>
      </c>
      <c r="O8078" s="2">
        <f ca="1"/>
        <v>0.49773524157459076</v>
      </c>
      <c r="X8078" s="2">
        <f ca="1"/>
        <v>44.975249244633503</v>
      </c>
      <c r="AG8078" s="2">
        <f ca="1"/>
        <v>0.40465645307723253</v>
      </c>
      <c r="AH8078" s="2" t="str">
        <f ca="1"/>
        <v>Bad</v>
      </c>
    </row>
    <row r="8079" spans="2:34" x14ac:dyDescent="0.2">
      <c r="B8079" s="2">
        <f ca="1"/>
        <v>0.15617917507044421</v>
      </c>
      <c r="O8079" s="2">
        <f ca="1"/>
        <v>0.24131412273784261</v>
      </c>
      <c r="X8079" s="2">
        <f ca="1"/>
        <v>31.677527888183054</v>
      </c>
      <c r="AG8079" s="2">
        <f ca="1"/>
        <v>0.91973819055559125</v>
      </c>
      <c r="AH8079" s="2" t="str">
        <f ca="1"/>
        <v>Bad</v>
      </c>
    </row>
    <row r="8080" spans="2:34" x14ac:dyDescent="0.2">
      <c r="B8080" s="2">
        <f ca="1"/>
        <v>0.14322265045090243</v>
      </c>
      <c r="O8080" s="2">
        <f ca="1"/>
        <v>-7.2246324914845145E-2</v>
      </c>
      <c r="X8080" s="2">
        <f ca="1"/>
        <v>39.326479759644059</v>
      </c>
      <c r="AG8080" s="2">
        <f ca="1"/>
        <v>6.7948666664384261E-2</v>
      </c>
      <c r="AH8080" s="2" t="str">
        <f ca="1"/>
        <v>OK</v>
      </c>
    </row>
    <row r="8081" spans="2:34" x14ac:dyDescent="0.2">
      <c r="B8081" s="2">
        <f ca="1"/>
        <v>0.10816579874591525</v>
      </c>
      <c r="O8081" s="2">
        <f ca="1"/>
        <v>0.32937682823390951</v>
      </c>
      <c r="X8081" s="2">
        <f ca="1"/>
        <v>70.441366048788126</v>
      </c>
      <c r="AG8081" s="2">
        <f ca="1"/>
        <v>0.2169106943974346</v>
      </c>
      <c r="AH8081" s="2" t="str">
        <f ca="1"/>
        <v>OK</v>
      </c>
    </row>
    <row r="8082" spans="2:34" x14ac:dyDescent="0.2">
      <c r="B8082" s="2">
        <f ca="1"/>
        <v>0.44455325913710908</v>
      </c>
      <c r="O8082" s="2">
        <f ca="1"/>
        <v>1.0671186825072942</v>
      </c>
      <c r="X8082" s="2">
        <f ca="1"/>
        <v>30.044926214694712</v>
      </c>
      <c r="AG8082" s="2">
        <f ca="1"/>
        <v>0.63363545678421684</v>
      </c>
      <c r="AH8082" s="2" t="str">
        <f ca="1"/>
        <v>Bad</v>
      </c>
    </row>
    <row r="8083" spans="2:34" x14ac:dyDescent="0.2">
      <c r="B8083" s="2">
        <f ca="1"/>
        <v>0.20895653589298568</v>
      </c>
      <c r="O8083" s="2">
        <f ca="1"/>
        <v>-0.57045056218837165</v>
      </c>
      <c r="X8083" s="2">
        <f ca="1"/>
        <v>41.334866052392044</v>
      </c>
      <c r="AG8083" s="2">
        <f ca="1"/>
        <v>0.70029705689160249</v>
      </c>
      <c r="AH8083" s="2" t="str">
        <f ca="1"/>
        <v>Bad</v>
      </c>
    </row>
    <row r="8084" spans="2:34" x14ac:dyDescent="0.2">
      <c r="B8084" s="2">
        <f ca="1"/>
        <v>0.67828455567700296</v>
      </c>
      <c r="O8084" s="2">
        <f ca="1"/>
        <v>-0.11355262731588828</v>
      </c>
      <c r="X8084" s="2">
        <f ca="1"/>
        <v>43.165266457995095</v>
      </c>
      <c r="AG8084" s="2">
        <f ca="1"/>
        <v>0.31810779110236154</v>
      </c>
      <c r="AH8084" s="2" t="str">
        <f ca="1"/>
        <v>OK</v>
      </c>
    </row>
    <row r="8085" spans="2:34" x14ac:dyDescent="0.2">
      <c r="B8085" s="2">
        <f ca="1"/>
        <v>0.88586325408441868</v>
      </c>
      <c r="O8085" s="2">
        <f ca="1"/>
        <v>-0.22474687028993776</v>
      </c>
      <c r="X8085" s="2">
        <f ca="1"/>
        <v>47.260050907550848</v>
      </c>
      <c r="AG8085" s="2">
        <f ca="1"/>
        <v>0.69616035860896508</v>
      </c>
      <c r="AH8085" s="2" t="str">
        <f ca="1"/>
        <v>Bad</v>
      </c>
    </row>
    <row r="8086" spans="2:34" x14ac:dyDescent="0.2">
      <c r="B8086" s="2">
        <f ca="1"/>
        <v>0.58326965620114657</v>
      </c>
      <c r="O8086" s="2">
        <f ca="1"/>
        <v>-1.1456243353268618</v>
      </c>
      <c r="X8086" s="2">
        <f ca="1"/>
        <v>50.174974121156012</v>
      </c>
      <c r="AG8086" s="2">
        <f ca="1"/>
        <v>0.9412048592666673</v>
      </c>
      <c r="AH8086" s="2" t="str">
        <f ca="1"/>
        <v>Bad</v>
      </c>
    </row>
    <row r="8087" spans="2:34" x14ac:dyDescent="0.2">
      <c r="B8087" s="2">
        <f ca="1"/>
        <v>0.33551402644245076</v>
      </c>
      <c r="O8087" s="2">
        <f ca="1"/>
        <v>-1.3018471691181688</v>
      </c>
      <c r="X8087" s="2">
        <f ca="1"/>
        <v>36.329051120852618</v>
      </c>
      <c r="AG8087" s="2">
        <f ca="1"/>
        <v>0.83873816020165548</v>
      </c>
      <c r="AH8087" s="2" t="str">
        <f ca="1"/>
        <v>Bad</v>
      </c>
    </row>
    <row r="8088" spans="2:34" x14ac:dyDescent="0.2">
      <c r="B8088" s="2">
        <f ca="1"/>
        <v>0.35955169277328713</v>
      </c>
      <c r="O8088" s="2">
        <f ca="1"/>
        <v>-0.53554921024902746</v>
      </c>
      <c r="X8088" s="2">
        <f ca="1"/>
        <v>26.115740068916956</v>
      </c>
      <c r="AG8088" s="2">
        <f ca="1"/>
        <v>0.50632931831386618</v>
      </c>
      <c r="AH8088" s="2" t="str">
        <f ca="1"/>
        <v>Bad</v>
      </c>
    </row>
    <row r="8089" spans="2:34" x14ac:dyDescent="0.2">
      <c r="B8089" s="2">
        <f ca="1"/>
        <v>0.38342642278322447</v>
      </c>
      <c r="O8089" s="2">
        <f ca="1"/>
        <v>-1.3883160077909475</v>
      </c>
      <c r="X8089" s="2">
        <f ca="1"/>
        <v>30.327819503075087</v>
      </c>
      <c r="AG8089" s="2">
        <f ca="1"/>
        <v>0.58497972010338972</v>
      </c>
      <c r="AH8089" s="2" t="str">
        <f ca="1"/>
        <v>Bad</v>
      </c>
    </row>
    <row r="8090" spans="2:34" x14ac:dyDescent="0.2">
      <c r="B8090" s="2">
        <f ca="1"/>
        <v>6.819675681621451E-2</v>
      </c>
      <c r="O8090" s="2">
        <f ca="1"/>
        <v>-0.40510334342632531</v>
      </c>
      <c r="X8090" s="2">
        <f ca="1"/>
        <v>44.277763133784738</v>
      </c>
      <c r="AG8090" s="2">
        <f ca="1"/>
        <v>0.65166345899522837</v>
      </c>
      <c r="AH8090" s="2" t="str">
        <f ca="1"/>
        <v>Bad</v>
      </c>
    </row>
    <row r="8091" spans="2:34" x14ac:dyDescent="0.2">
      <c r="B8091" s="2">
        <f ca="1"/>
        <v>0.73895697365051838</v>
      </c>
      <c r="O8091" s="2">
        <f ca="1"/>
        <v>7.6525478789258097E-2</v>
      </c>
      <c r="X8091" s="2">
        <f ca="1"/>
        <v>59.619938215587105</v>
      </c>
      <c r="AG8091" s="2">
        <f ca="1"/>
        <v>0.59974854935874311</v>
      </c>
      <c r="AH8091" s="2" t="str">
        <f ca="1"/>
        <v>Bad</v>
      </c>
    </row>
    <row r="8092" spans="2:34" x14ac:dyDescent="0.2">
      <c r="B8092" s="2">
        <f ca="1"/>
        <v>0.66864282417390597</v>
      </c>
      <c r="O8092" s="2">
        <f ca="1"/>
        <v>1.0549096834997722</v>
      </c>
      <c r="X8092" s="2">
        <f ca="1"/>
        <v>59.277643765685227</v>
      </c>
      <c r="AG8092" s="2">
        <f ca="1"/>
        <v>0.80378562303370549</v>
      </c>
      <c r="AH8092" s="2" t="str">
        <f ca="1"/>
        <v>Bad</v>
      </c>
    </row>
    <row r="8093" spans="2:34" x14ac:dyDescent="0.2">
      <c r="B8093" s="2">
        <f ca="1"/>
        <v>0.56001390912901083</v>
      </c>
      <c r="O8093" s="2">
        <f ca="1"/>
        <v>1.3399964601908634</v>
      </c>
      <c r="X8093" s="2">
        <f ca="1"/>
        <v>62.454225972760753</v>
      </c>
      <c r="AG8093" s="2">
        <f ca="1"/>
        <v>0.56186232176823192</v>
      </c>
      <c r="AH8093" s="2" t="str">
        <f ca="1"/>
        <v>Bad</v>
      </c>
    </row>
    <row r="8094" spans="2:34" x14ac:dyDescent="0.2">
      <c r="B8094" s="2">
        <f ca="1"/>
        <v>8.1680682261439763E-2</v>
      </c>
      <c r="O8094" s="2">
        <f ca="1"/>
        <v>-4.9320180644623367E-2</v>
      </c>
      <c r="X8094" s="2">
        <f ca="1"/>
        <v>49.115995519215794</v>
      </c>
      <c r="AG8094" s="2">
        <f ca="1"/>
        <v>0.58674557253103798</v>
      </c>
      <c r="AH8094" s="2" t="str">
        <f ca="1"/>
        <v>Bad</v>
      </c>
    </row>
    <row r="8095" spans="2:34" x14ac:dyDescent="0.2">
      <c r="B8095" s="2">
        <f ca="1"/>
        <v>8.1395702716421159E-2</v>
      </c>
      <c r="O8095" s="2">
        <f ca="1"/>
        <v>3.5034881688638102E-2</v>
      </c>
      <c r="X8095" s="2">
        <f ca="1"/>
        <v>54.15476250151842</v>
      </c>
      <c r="AG8095" s="2">
        <f ca="1"/>
        <v>0.7978922097284975</v>
      </c>
      <c r="AH8095" s="2" t="str">
        <f ca="1"/>
        <v>Bad</v>
      </c>
    </row>
    <row r="8096" spans="2:34" x14ac:dyDescent="0.2">
      <c r="B8096" s="2">
        <f ca="1"/>
        <v>0.5286136253055076</v>
      </c>
      <c r="O8096" s="2">
        <f ca="1"/>
        <v>-0.38304089907072419</v>
      </c>
      <c r="X8096" s="2">
        <f ca="1"/>
        <v>23.229156743223985</v>
      </c>
      <c r="AG8096" s="2">
        <f ca="1"/>
        <v>0.92189109933801983</v>
      </c>
      <c r="AH8096" s="2" t="str">
        <f ca="1"/>
        <v>Bad</v>
      </c>
    </row>
    <row r="8097" spans="2:34" x14ac:dyDescent="0.2">
      <c r="B8097" s="2">
        <f ca="1"/>
        <v>9.1101577231068154E-2</v>
      </c>
      <c r="O8097" s="2">
        <f ca="1"/>
        <v>-0.12879131184072684</v>
      </c>
      <c r="X8097" s="2">
        <f ca="1"/>
        <v>41.85587068905064</v>
      </c>
      <c r="AG8097" s="2">
        <f ca="1"/>
        <v>0.82830694516627279</v>
      </c>
      <c r="AH8097" s="2" t="str">
        <f ca="1"/>
        <v>Bad</v>
      </c>
    </row>
    <row r="8098" spans="2:34" x14ac:dyDescent="0.2">
      <c r="B8098" s="2">
        <f ca="1"/>
        <v>0.89402013459161966</v>
      </c>
      <c r="O8098" s="2">
        <f ca="1"/>
        <v>-0.36496969989914585</v>
      </c>
      <c r="X8098" s="2">
        <f ca="1"/>
        <v>61.347039656372544</v>
      </c>
      <c r="AG8098" s="2">
        <f ca="1"/>
        <v>9.5633889598814248E-2</v>
      </c>
      <c r="AH8098" s="2" t="str">
        <f ca="1"/>
        <v>OK</v>
      </c>
    </row>
    <row r="8099" spans="2:34" x14ac:dyDescent="0.2">
      <c r="B8099" s="2">
        <f ca="1"/>
        <v>0.43557625311614023</v>
      </c>
      <c r="O8099" s="2">
        <f ca="1"/>
        <v>0.27789592135496233</v>
      </c>
      <c r="X8099" s="2">
        <f ca="1"/>
        <v>67.57577611937289</v>
      </c>
      <c r="AG8099" s="2">
        <f ca="1"/>
        <v>0.75629982563497689</v>
      </c>
      <c r="AH8099" s="2" t="str">
        <f ca="1"/>
        <v>Bad</v>
      </c>
    </row>
    <row r="8100" spans="2:34" x14ac:dyDescent="0.2">
      <c r="B8100" s="2">
        <f ca="1"/>
        <v>0.37823838201732918</v>
      </c>
      <c r="O8100" s="2">
        <f ca="1"/>
        <v>0.85476552433765518</v>
      </c>
      <c r="X8100" s="2">
        <f ca="1"/>
        <v>17.676516009023231</v>
      </c>
      <c r="AG8100" s="2">
        <f ca="1"/>
        <v>0.24459773466589985</v>
      </c>
      <c r="AH8100" s="2" t="str">
        <f ca="1"/>
        <v>OK</v>
      </c>
    </row>
    <row r="8101" spans="2:34" x14ac:dyDescent="0.2">
      <c r="B8101" s="2">
        <f ca="1"/>
        <v>0.76112162885978085</v>
      </c>
      <c r="O8101" s="2">
        <f ca="1"/>
        <v>1.0184430963675004</v>
      </c>
      <c r="X8101" s="2">
        <f ca="1"/>
        <v>72.721994978774688</v>
      </c>
      <c r="AG8101" s="2">
        <f ca="1"/>
        <v>0.18324915306239475</v>
      </c>
      <c r="AH8101" s="2" t="str">
        <f ca="1"/>
        <v>OK</v>
      </c>
    </row>
    <row r="8102" spans="2:34" x14ac:dyDescent="0.2">
      <c r="B8102" s="2">
        <f ca="1"/>
        <v>0.13624446458493678</v>
      </c>
      <c r="O8102" s="2">
        <f ca="1"/>
        <v>-0.19670298613820306</v>
      </c>
      <c r="X8102" s="2">
        <f ca="1"/>
        <v>84.921388542168316</v>
      </c>
      <c r="AG8102" s="2">
        <f ca="1"/>
        <v>0.22853910832336233</v>
      </c>
      <c r="AH8102" s="2" t="str">
        <f ca="1"/>
        <v>OK</v>
      </c>
    </row>
    <row r="8103" spans="2:34" x14ac:dyDescent="0.2">
      <c r="B8103" s="2">
        <f ca="1"/>
        <v>0.35631419228065964</v>
      </c>
      <c r="O8103" s="2">
        <f ca="1"/>
        <v>0.7362015169142192</v>
      </c>
      <c r="X8103" s="2">
        <f ca="1"/>
        <v>66.800949368813534</v>
      </c>
      <c r="AG8103" s="2">
        <f ca="1"/>
        <v>0.77847117587876302</v>
      </c>
      <c r="AH8103" s="2" t="str">
        <f ca="1"/>
        <v>Bad</v>
      </c>
    </row>
    <row r="8104" spans="2:34" x14ac:dyDescent="0.2">
      <c r="B8104" s="2">
        <f ca="1"/>
        <v>0.59570267221910345</v>
      </c>
      <c r="O8104" s="2">
        <f ca="1"/>
        <v>9.2993710236256646E-2</v>
      </c>
      <c r="X8104" s="2">
        <f ca="1"/>
        <v>51.015931626356235</v>
      </c>
      <c r="AG8104" s="2">
        <f ca="1"/>
        <v>0.38851683229663392</v>
      </c>
      <c r="AH8104" s="2" t="str">
        <f ca="1"/>
        <v>OK</v>
      </c>
    </row>
    <row r="8105" spans="2:34" x14ac:dyDescent="0.2">
      <c r="B8105" s="2">
        <f ca="1"/>
        <v>0.54141260236783761</v>
      </c>
      <c r="O8105" s="2">
        <f ca="1"/>
        <v>-0.50155191490837903</v>
      </c>
      <c r="X8105" s="2">
        <f ca="1"/>
        <v>46.733545365791009</v>
      </c>
      <c r="AG8105" s="2">
        <f ca="1"/>
        <v>0.785926265813502</v>
      </c>
      <c r="AH8105" s="2" t="str">
        <f ca="1"/>
        <v>Bad</v>
      </c>
    </row>
    <row r="8106" spans="2:34" x14ac:dyDescent="0.2">
      <c r="B8106" s="2">
        <f ca="1"/>
        <v>0.80004048070195188</v>
      </c>
      <c r="O8106" s="2">
        <f ca="1"/>
        <v>0.78361308034562682</v>
      </c>
      <c r="X8106" s="2">
        <f ca="1"/>
        <v>88.245341583264462</v>
      </c>
      <c r="AG8106" s="2">
        <f ca="1"/>
        <v>0.42722544891890535</v>
      </c>
      <c r="AH8106" s="2" t="str">
        <f ca="1"/>
        <v>Bad</v>
      </c>
    </row>
    <row r="8107" spans="2:34" x14ac:dyDescent="0.2">
      <c r="B8107" s="2">
        <f ca="1"/>
        <v>0.50632218478517799</v>
      </c>
      <c r="O8107" s="2">
        <f ca="1"/>
        <v>-0.95871634782065118</v>
      </c>
      <c r="X8107" s="2">
        <f ca="1"/>
        <v>40.66772550134403</v>
      </c>
      <c r="AG8107" s="2">
        <f ca="1"/>
        <v>0.37465252870763832</v>
      </c>
      <c r="AH8107" s="2" t="str">
        <f ca="1"/>
        <v>OK</v>
      </c>
    </row>
    <row r="8108" spans="2:34" x14ac:dyDescent="0.2">
      <c r="B8108" s="2">
        <f ca="1"/>
        <v>0.91001060547076462</v>
      </c>
      <c r="O8108" s="2">
        <f ca="1"/>
        <v>0.53621392637172061</v>
      </c>
      <c r="X8108" s="2">
        <f ca="1"/>
        <v>48.771591924112755</v>
      </c>
      <c r="AG8108" s="2">
        <f ca="1"/>
        <v>0.13548466231241552</v>
      </c>
      <c r="AH8108" s="2" t="str">
        <f ca="1"/>
        <v>OK</v>
      </c>
    </row>
    <row r="8109" spans="2:34" x14ac:dyDescent="0.2">
      <c r="B8109" s="2">
        <f ca="1"/>
        <v>0.23128853709054664</v>
      </c>
      <c r="O8109" s="2">
        <f ca="1"/>
        <v>1.790599207258782</v>
      </c>
      <c r="X8109" s="2">
        <f ca="1"/>
        <v>40.966418048664039</v>
      </c>
      <c r="AG8109" s="2">
        <f ca="1"/>
        <v>0.35356767325096561</v>
      </c>
      <c r="AH8109" s="2" t="str">
        <f ca="1"/>
        <v>OK</v>
      </c>
    </row>
    <row r="8110" spans="2:34" x14ac:dyDescent="0.2">
      <c r="B8110" s="2">
        <f ca="1"/>
        <v>0.846349324082319</v>
      </c>
      <c r="O8110" s="2">
        <f ca="1"/>
        <v>-0.60443733492991458</v>
      </c>
      <c r="X8110" s="2">
        <f ca="1"/>
        <v>27.047922656265651</v>
      </c>
      <c r="AG8110" s="2">
        <f ca="1"/>
        <v>0.14110975931577996</v>
      </c>
      <c r="AH8110" s="2" t="str">
        <f ca="1"/>
        <v>OK</v>
      </c>
    </row>
    <row r="8111" spans="2:34" x14ac:dyDescent="0.2">
      <c r="B8111" s="2">
        <f ca="1"/>
        <v>0.91120352486652378</v>
      </c>
      <c r="O8111" s="2">
        <f ca="1"/>
        <v>-0.43155877594126019</v>
      </c>
      <c r="X8111" s="2">
        <f ca="1"/>
        <v>44.125327706759037</v>
      </c>
      <c r="AG8111" s="2">
        <f ca="1"/>
        <v>0.75128340094459167</v>
      </c>
      <c r="AH8111" s="2" t="str">
        <f ca="1"/>
        <v>Bad</v>
      </c>
    </row>
    <row r="8112" spans="2:34" x14ac:dyDescent="0.2">
      <c r="B8112" s="2">
        <f ca="1"/>
        <v>0.93032858738980795</v>
      </c>
      <c r="O8112" s="2">
        <f ca="1"/>
        <v>-0.53120537699781722</v>
      </c>
      <c r="X8112" s="2">
        <f ca="1"/>
        <v>18.713432079690747</v>
      </c>
      <c r="AG8112" s="2">
        <f ca="1"/>
        <v>0.74663282101442086</v>
      </c>
      <c r="AH8112" s="2" t="str">
        <f ca="1"/>
        <v>Bad</v>
      </c>
    </row>
    <row r="8113" spans="2:34" x14ac:dyDescent="0.2">
      <c r="B8113" s="2">
        <f ca="1"/>
        <v>0.26948436211407967</v>
      </c>
      <c r="O8113" s="2">
        <f ca="1"/>
        <v>0.15807403442891932</v>
      </c>
      <c r="X8113" s="2">
        <f ca="1"/>
        <v>72.196402518154571</v>
      </c>
      <c r="AG8113" s="2">
        <f ca="1"/>
        <v>0.77987389287551823</v>
      </c>
      <c r="AH8113" s="2" t="str">
        <f ca="1"/>
        <v>Bad</v>
      </c>
    </row>
    <row r="8114" spans="2:34" x14ac:dyDescent="0.2">
      <c r="B8114" s="2">
        <f ca="1"/>
        <v>0.24558641864557695</v>
      </c>
      <c r="O8114" s="2">
        <f ca="1"/>
        <v>0.45655306207398338</v>
      </c>
      <c r="X8114" s="2">
        <f ca="1"/>
        <v>65.75183819575301</v>
      </c>
      <c r="AG8114" s="2">
        <f ca="1"/>
        <v>0.5737759082830296</v>
      </c>
      <c r="AH8114" s="2" t="str">
        <f ca="1"/>
        <v>Bad</v>
      </c>
    </row>
    <row r="8115" spans="2:34" x14ac:dyDescent="0.2">
      <c r="B8115" s="2">
        <f ca="1"/>
        <v>0.5945697173740383</v>
      </c>
      <c r="O8115" s="2">
        <f ca="1"/>
        <v>-0.69296698941662049</v>
      </c>
      <c r="X8115" s="2">
        <f ca="1"/>
        <v>51.262412467319265</v>
      </c>
      <c r="AG8115" s="2">
        <f ca="1"/>
        <v>0.58498182907998175</v>
      </c>
      <c r="AH8115" s="2" t="str">
        <f ca="1"/>
        <v>Bad</v>
      </c>
    </row>
    <row r="8116" spans="2:34" x14ac:dyDescent="0.2">
      <c r="B8116" s="2">
        <f ca="1"/>
        <v>0.36382575075945844</v>
      </c>
      <c r="O8116" s="2">
        <f ca="1"/>
        <v>-0.55076997073757716</v>
      </c>
      <c r="X8116" s="2">
        <f ca="1"/>
        <v>60.770311778108464</v>
      </c>
      <c r="AG8116" s="2">
        <f ca="1"/>
        <v>0.86438479383739963</v>
      </c>
      <c r="AH8116" s="2" t="str">
        <f ca="1"/>
        <v>Bad</v>
      </c>
    </row>
    <row r="8117" spans="2:34" x14ac:dyDescent="0.2">
      <c r="B8117" s="2">
        <f ca="1"/>
        <v>0.304879132552621</v>
      </c>
      <c r="O8117" s="2">
        <f ca="1"/>
        <v>1.5402009093339155</v>
      </c>
      <c r="X8117" s="2">
        <f ca="1"/>
        <v>51.65665412133454</v>
      </c>
      <c r="AG8117" s="2">
        <f ca="1"/>
        <v>7.5282897599266985E-2</v>
      </c>
      <c r="AH8117" s="2" t="str">
        <f ca="1"/>
        <v>OK</v>
      </c>
    </row>
    <row r="8118" spans="2:34" x14ac:dyDescent="0.2">
      <c r="B8118" s="2">
        <f ca="1"/>
        <v>0.35093431270834263</v>
      </c>
      <c r="O8118" s="2">
        <f ca="1"/>
        <v>1.4132761270980494</v>
      </c>
      <c r="X8118" s="2">
        <f ca="1"/>
        <v>30.002043096286577</v>
      </c>
      <c r="AG8118" s="2">
        <f ca="1"/>
        <v>0.14689699209208973</v>
      </c>
      <c r="AH8118" s="2" t="str">
        <f ca="1"/>
        <v>OK</v>
      </c>
    </row>
    <row r="8119" spans="2:34" x14ac:dyDescent="0.2">
      <c r="B8119" s="2">
        <f ca="1"/>
        <v>0.11035340308288166</v>
      </c>
      <c r="O8119" s="2">
        <f ca="1"/>
        <v>0.11881395291282854</v>
      </c>
      <c r="X8119" s="2">
        <f ca="1"/>
        <v>36.724647533306381</v>
      </c>
      <c r="AG8119" s="2">
        <f ca="1"/>
        <v>0.16429747768793201</v>
      </c>
      <c r="AH8119" s="2" t="str">
        <f ca="1"/>
        <v>OK</v>
      </c>
    </row>
    <row r="8120" spans="2:34" x14ac:dyDescent="0.2">
      <c r="B8120" s="2">
        <f ca="1"/>
        <v>0.89102407255990679</v>
      </c>
      <c r="O8120" s="2">
        <f ca="1"/>
        <v>-0.92229888892741774</v>
      </c>
      <c r="X8120" s="2">
        <f ca="1"/>
        <v>69.978298671138887</v>
      </c>
      <c r="AG8120" s="2">
        <f ca="1"/>
        <v>0.54076245083896901</v>
      </c>
      <c r="AH8120" s="2" t="str">
        <f ca="1"/>
        <v>Bad</v>
      </c>
    </row>
    <row r="8121" spans="2:34" x14ac:dyDescent="0.2">
      <c r="B8121" s="2">
        <f ca="1"/>
        <v>0.90726054508434806</v>
      </c>
      <c r="O8121" s="2">
        <f ca="1"/>
        <v>2.3742614588291362E-2</v>
      </c>
      <c r="X8121" s="2">
        <f ca="1"/>
        <v>45.201194848883183</v>
      </c>
      <c r="AG8121" s="2">
        <f ca="1"/>
        <v>0.64798819198720037</v>
      </c>
      <c r="AH8121" s="2" t="str">
        <f ca="1"/>
        <v>Bad</v>
      </c>
    </row>
    <row r="8122" spans="2:34" x14ac:dyDescent="0.2">
      <c r="B8122" s="2">
        <f ca="1"/>
        <v>0.99025665590938483</v>
      </c>
      <c r="O8122" s="2">
        <f ca="1"/>
        <v>0.97929004507590245</v>
      </c>
      <c r="X8122" s="2">
        <f ca="1"/>
        <v>50.126835525585875</v>
      </c>
      <c r="AG8122" s="2">
        <f ca="1"/>
        <v>0.89205425287325091</v>
      </c>
      <c r="AH8122" s="2" t="str">
        <f ca="1"/>
        <v>Bad</v>
      </c>
    </row>
    <row r="8123" spans="2:34" x14ac:dyDescent="0.2">
      <c r="B8123" s="2">
        <f ca="1"/>
        <v>0.52227744964049694</v>
      </c>
      <c r="O8123" s="2">
        <f ca="1"/>
        <v>0.7057123705078252</v>
      </c>
      <c r="X8123" s="2">
        <f ca="1"/>
        <v>29.331417800454172</v>
      </c>
      <c r="AG8123" s="2">
        <f ca="1"/>
        <v>0.15608015107070861</v>
      </c>
      <c r="AH8123" s="2" t="str">
        <f ca="1"/>
        <v>OK</v>
      </c>
    </row>
    <row r="8124" spans="2:34" x14ac:dyDescent="0.2">
      <c r="B8124" s="2">
        <f ca="1"/>
        <v>0.97643343167278895</v>
      </c>
      <c r="O8124" s="2">
        <f ca="1"/>
        <v>4.1152512724982986E-2</v>
      </c>
      <c r="X8124" s="2">
        <f ca="1"/>
        <v>50.228508304239824</v>
      </c>
      <c r="AG8124" s="2">
        <f ca="1"/>
        <v>0.22743149662941287</v>
      </c>
      <c r="AH8124" s="2" t="str">
        <f ca="1"/>
        <v>OK</v>
      </c>
    </row>
    <row r="8125" spans="2:34" x14ac:dyDescent="0.2">
      <c r="B8125" s="2">
        <f ca="1"/>
        <v>0.95696514173953573</v>
      </c>
      <c r="O8125" s="2">
        <f ca="1"/>
        <v>1.6803491280691434</v>
      </c>
      <c r="X8125" s="2">
        <f ca="1"/>
        <v>84.24696670550594</v>
      </c>
      <c r="AG8125" s="2">
        <f ca="1"/>
        <v>0.8947664465965659</v>
      </c>
      <c r="AH8125" s="2" t="str">
        <f ca="1"/>
        <v>Bad</v>
      </c>
    </row>
    <row r="8126" spans="2:34" x14ac:dyDescent="0.2">
      <c r="B8126" s="2">
        <f ca="1"/>
        <v>0.56870859342781377</v>
      </c>
      <c r="O8126" s="2">
        <f ca="1"/>
        <v>7.2479632017457926E-2</v>
      </c>
      <c r="X8126" s="2">
        <f ca="1"/>
        <v>42.981818646024394</v>
      </c>
      <c r="AG8126" s="2">
        <f ca="1"/>
        <v>0.68456367671322593</v>
      </c>
      <c r="AH8126" s="2" t="str">
        <f ca="1"/>
        <v>Bad</v>
      </c>
    </row>
    <row r="8127" spans="2:34" x14ac:dyDescent="0.2">
      <c r="B8127" s="2">
        <f ca="1"/>
        <v>7.6133074514159071E-2</v>
      </c>
      <c r="O8127" s="2">
        <f ca="1"/>
        <v>-0.11634022101998051</v>
      </c>
      <c r="X8127" s="2">
        <f ca="1"/>
        <v>41.541657560730798</v>
      </c>
      <c r="AG8127" s="2">
        <f ca="1"/>
        <v>0.91889994985894519</v>
      </c>
      <c r="AH8127" s="2" t="str">
        <f ca="1"/>
        <v>Bad</v>
      </c>
    </row>
    <row r="8128" spans="2:34" x14ac:dyDescent="0.2">
      <c r="B8128" s="2">
        <f ca="1"/>
        <v>2.4378359265841976E-3</v>
      </c>
      <c r="O8128" s="2">
        <f ca="1"/>
        <v>0.42948785057312683</v>
      </c>
      <c r="X8128" s="2">
        <f ca="1"/>
        <v>32.942786794230415</v>
      </c>
      <c r="AG8128" s="2">
        <f ca="1"/>
        <v>0.27091128277467114</v>
      </c>
      <c r="AH8128" s="2" t="str">
        <f ca="1"/>
        <v>OK</v>
      </c>
    </row>
    <row r="8129" spans="2:34" x14ac:dyDescent="0.2">
      <c r="B8129" s="2">
        <f ca="1"/>
        <v>0.84653242493435932</v>
      </c>
      <c r="O8129" s="2">
        <f ca="1"/>
        <v>-0.20177880545973761</v>
      </c>
      <c r="X8129" s="2">
        <f ca="1"/>
        <v>51.719708584038891</v>
      </c>
      <c r="AG8129" s="2">
        <f ca="1"/>
        <v>0.89183334574843287</v>
      </c>
      <c r="AH8129" s="2" t="str">
        <f ca="1"/>
        <v>Bad</v>
      </c>
    </row>
    <row r="8130" spans="2:34" x14ac:dyDescent="0.2">
      <c r="B8130" s="2">
        <f ca="1"/>
        <v>0.58532226145057331</v>
      </c>
      <c r="O8130" s="2">
        <f ca="1"/>
        <v>-1.3316980177097479</v>
      </c>
      <c r="X8130" s="2">
        <f ca="1"/>
        <v>60.38481866738298</v>
      </c>
      <c r="AG8130" s="2">
        <f ca="1"/>
        <v>0.42279476157491214</v>
      </c>
      <c r="AH8130" s="2" t="str">
        <f ca="1"/>
        <v>Bad</v>
      </c>
    </row>
    <row r="8131" spans="2:34" x14ac:dyDescent="0.2">
      <c r="B8131" s="2">
        <f ca="1"/>
        <v>0.61540458501690587</v>
      </c>
      <c r="O8131" s="2">
        <f ca="1"/>
        <v>-1.9528404535774726</v>
      </c>
      <c r="X8131" s="2">
        <f ca="1"/>
        <v>37.696653389183602</v>
      </c>
      <c r="AG8131" s="2">
        <f ca="1"/>
        <v>0.76254773143241472</v>
      </c>
      <c r="AH8131" s="2" t="str">
        <f ca="1"/>
        <v>Bad</v>
      </c>
    </row>
    <row r="8132" spans="2:34" x14ac:dyDescent="0.2">
      <c r="B8132" s="2">
        <f ca="1"/>
        <v>0.77503928284352308</v>
      </c>
      <c r="O8132" s="2">
        <f ca="1"/>
        <v>-0.55860441614670964</v>
      </c>
      <c r="X8132" s="2">
        <f ca="1"/>
        <v>59.67478802831473</v>
      </c>
      <c r="AG8132" s="2">
        <f ca="1"/>
        <v>0.44877579345425334</v>
      </c>
      <c r="AH8132" s="2" t="str">
        <f ca="1"/>
        <v>Bad</v>
      </c>
    </row>
    <row r="8133" spans="2:34" x14ac:dyDescent="0.2">
      <c r="B8133" s="2">
        <f ca="1"/>
        <v>0.43848006484178059</v>
      </c>
      <c r="O8133" s="2">
        <f ca="1"/>
        <v>2.359507860751668</v>
      </c>
      <c r="X8133" s="2">
        <f ca="1"/>
        <v>59.2111590418004</v>
      </c>
      <c r="AG8133" s="2">
        <f ca="1"/>
        <v>0.58298712562786248</v>
      </c>
      <c r="AH8133" s="2" t="str">
        <f ca="1"/>
        <v>Bad</v>
      </c>
    </row>
    <row r="8134" spans="2:34" x14ac:dyDescent="0.2">
      <c r="B8134" s="2">
        <f ca="1"/>
        <v>9.1297794896013196E-2</v>
      </c>
      <c r="O8134" s="2">
        <f ca="1"/>
        <v>-5.5856466012798506E-2</v>
      </c>
      <c r="X8134" s="2">
        <f ca="1"/>
        <v>25.177431089289435</v>
      </c>
      <c r="AG8134" s="2">
        <f ca="1"/>
        <v>0.52785175735219414</v>
      </c>
      <c r="AH8134" s="2" t="str">
        <f ca="1"/>
        <v>Bad</v>
      </c>
    </row>
    <row r="8135" spans="2:34" x14ac:dyDescent="0.2">
      <c r="B8135" s="2">
        <f ca="1"/>
        <v>0.15809221597059908</v>
      </c>
      <c r="O8135" s="2">
        <f ca="1"/>
        <v>-1.1964908636856584</v>
      </c>
      <c r="X8135" s="2">
        <f ca="1"/>
        <v>28.859011661115016</v>
      </c>
      <c r="AG8135" s="2">
        <f ca="1"/>
        <v>0.30753645855943557</v>
      </c>
      <c r="AH8135" s="2" t="str">
        <f ca="1"/>
        <v>OK</v>
      </c>
    </row>
    <row r="8136" spans="2:34" x14ac:dyDescent="0.2">
      <c r="B8136" s="2">
        <f ca="1"/>
        <v>0.79419971897890673</v>
      </c>
      <c r="O8136" s="2">
        <f ca="1"/>
        <v>-0.80672607388096784</v>
      </c>
      <c r="X8136" s="2">
        <f ca="1"/>
        <v>32.108711644838323</v>
      </c>
      <c r="AG8136" s="2">
        <f ca="1"/>
        <v>0.41895720235613654</v>
      </c>
      <c r="AH8136" s="2" t="str">
        <f ca="1"/>
        <v>Bad</v>
      </c>
    </row>
    <row r="8137" spans="2:34" x14ac:dyDescent="0.2">
      <c r="B8137" s="2">
        <f ca="1"/>
        <v>0.72027150038512056</v>
      </c>
      <c r="O8137" s="2">
        <f ca="1"/>
        <v>-1.3051077511091611</v>
      </c>
      <c r="X8137" s="2">
        <f ca="1"/>
        <v>51.87814627020564</v>
      </c>
      <c r="AG8137" s="2">
        <f ca="1"/>
        <v>0.77267722623896629</v>
      </c>
      <c r="AH8137" s="2" t="str">
        <f ca="1"/>
        <v>Bad</v>
      </c>
    </row>
    <row r="8138" spans="2:34" x14ac:dyDescent="0.2">
      <c r="B8138" s="2">
        <f ca="1"/>
        <v>1.5550799460457565E-2</v>
      </c>
      <c r="O8138" s="2">
        <f ca="1"/>
        <v>-0.52305436025448027</v>
      </c>
      <c r="X8138" s="2">
        <f ca="1"/>
        <v>29.235187145513066</v>
      </c>
      <c r="AG8138" s="2">
        <f ca="1"/>
        <v>0.60056428693680908</v>
      </c>
      <c r="AH8138" s="2" t="str">
        <f ca="1"/>
        <v>Bad</v>
      </c>
    </row>
    <row r="8139" spans="2:34" x14ac:dyDescent="0.2">
      <c r="B8139" s="2">
        <f ca="1"/>
        <v>0.4558126701169849</v>
      </c>
      <c r="O8139" s="2">
        <f ca="1"/>
        <v>-1.5642421011956507</v>
      </c>
      <c r="X8139" s="2">
        <f ca="1"/>
        <v>35.307331903906899</v>
      </c>
      <c r="AG8139" s="2">
        <f ca="1"/>
        <v>0.50015412914481705</v>
      </c>
      <c r="AH8139" s="2" t="str">
        <f ca="1"/>
        <v>Bad</v>
      </c>
    </row>
    <row r="8140" spans="2:34" x14ac:dyDescent="0.2">
      <c r="B8140" s="2">
        <f ca="1"/>
        <v>0.54345204551488613</v>
      </c>
      <c r="O8140" s="2">
        <f ca="1"/>
        <v>-0.17150227478914204</v>
      </c>
      <c r="X8140" s="2">
        <f ca="1"/>
        <v>47.860055618043248</v>
      </c>
      <c r="AG8140" s="2">
        <f ca="1"/>
        <v>0.79240762630657424</v>
      </c>
      <c r="AH8140" s="2" t="str">
        <f ca="1"/>
        <v>Bad</v>
      </c>
    </row>
    <row r="8141" spans="2:34" x14ac:dyDescent="0.2">
      <c r="B8141" s="2">
        <f ca="1"/>
        <v>0.89721706955806946</v>
      </c>
      <c r="O8141" s="2">
        <f ca="1"/>
        <v>-0.56556574007319393</v>
      </c>
      <c r="X8141" s="2">
        <f ca="1"/>
        <v>56.823370113338214</v>
      </c>
      <c r="AG8141" s="2">
        <f ca="1"/>
        <v>0.11183033140319809</v>
      </c>
      <c r="AH8141" s="2" t="str">
        <f ca="1"/>
        <v>OK</v>
      </c>
    </row>
    <row r="8142" spans="2:34" x14ac:dyDescent="0.2">
      <c r="B8142" s="2">
        <f ca="1"/>
        <v>0.83625491693186094</v>
      </c>
      <c r="O8142" s="2">
        <f ca="1"/>
        <v>0.40656301626104024</v>
      </c>
      <c r="X8142" s="2">
        <f ca="1"/>
        <v>63.674256573141044</v>
      </c>
      <c r="AG8142" s="2">
        <f ca="1"/>
        <v>0.93289572718677705</v>
      </c>
      <c r="AH8142" s="2" t="str">
        <f ca="1"/>
        <v>Bad</v>
      </c>
    </row>
    <row r="8143" spans="2:34" x14ac:dyDescent="0.2">
      <c r="B8143" s="2">
        <f ca="1"/>
        <v>0.53767674324679127</v>
      </c>
      <c r="O8143" s="2">
        <f ca="1"/>
        <v>-1.5916240633676038</v>
      </c>
      <c r="X8143" s="2">
        <f ca="1"/>
        <v>36.20439651830371</v>
      </c>
      <c r="AG8143" s="2">
        <f ca="1"/>
        <v>0.31621010101400904</v>
      </c>
      <c r="AH8143" s="2" t="str">
        <f ca="1"/>
        <v>OK</v>
      </c>
    </row>
    <row r="8144" spans="2:34" x14ac:dyDescent="0.2">
      <c r="B8144" s="2">
        <f ca="1"/>
        <v>2.5274636441928511E-2</v>
      </c>
      <c r="O8144" s="2">
        <f ca="1"/>
        <v>-1.984939596769413</v>
      </c>
      <c r="X8144" s="2">
        <f ca="1"/>
        <v>47.482221795660863</v>
      </c>
      <c r="AG8144" s="2">
        <f ca="1"/>
        <v>0.80740844570986869</v>
      </c>
      <c r="AH8144" s="2" t="str">
        <f ca="1"/>
        <v>Bad</v>
      </c>
    </row>
    <row r="8145" spans="2:34" x14ac:dyDescent="0.2">
      <c r="B8145" s="2">
        <f ca="1"/>
        <v>0.81811269290907473</v>
      </c>
      <c r="O8145" s="2">
        <f ca="1"/>
        <v>-2.0023446535026403</v>
      </c>
      <c r="X8145" s="2">
        <f ca="1"/>
        <v>54.666125176282222</v>
      </c>
      <c r="AG8145" s="2">
        <f ca="1"/>
        <v>0.36602233524203531</v>
      </c>
      <c r="AH8145" s="2" t="str">
        <f ca="1"/>
        <v>OK</v>
      </c>
    </row>
    <row r="8146" spans="2:34" x14ac:dyDescent="0.2">
      <c r="B8146" s="2">
        <f ca="1"/>
        <v>0.23460480826724095</v>
      </c>
      <c r="O8146" s="2">
        <f ca="1"/>
        <v>-0.45657246095406617</v>
      </c>
      <c r="X8146" s="2">
        <f ca="1"/>
        <v>55.907919047657828</v>
      </c>
      <c r="AG8146" s="2">
        <f ca="1"/>
        <v>7.3540934258000012E-2</v>
      </c>
      <c r="AH8146" s="2" t="str">
        <f ca="1"/>
        <v>OK</v>
      </c>
    </row>
    <row r="8147" spans="2:34" x14ac:dyDescent="0.2">
      <c r="B8147" s="2">
        <f ca="1"/>
        <v>0.56308916571477408</v>
      </c>
      <c r="O8147" s="2">
        <f ca="1"/>
        <v>0.64870534016072423</v>
      </c>
      <c r="X8147" s="2">
        <f ca="1"/>
        <v>24.388506195270875</v>
      </c>
      <c r="AG8147" s="2">
        <f ca="1"/>
        <v>0.7274332543298947</v>
      </c>
      <c r="AH8147" s="2" t="str">
        <f ca="1"/>
        <v>Bad</v>
      </c>
    </row>
    <row r="8148" spans="2:34" x14ac:dyDescent="0.2">
      <c r="B8148" s="2">
        <f ca="1"/>
        <v>0.69067343537475145</v>
      </c>
      <c r="O8148" s="2">
        <f ca="1"/>
        <v>0.36311580158682527</v>
      </c>
      <c r="X8148" s="2">
        <f ca="1"/>
        <v>60.649663211264304</v>
      </c>
      <c r="AG8148" s="2">
        <f ca="1"/>
        <v>0.32872456756633461</v>
      </c>
      <c r="AH8148" s="2" t="str">
        <f ca="1"/>
        <v>OK</v>
      </c>
    </row>
    <row r="8149" spans="2:34" x14ac:dyDescent="0.2">
      <c r="B8149" s="2">
        <f ca="1"/>
        <v>0.24887708976661305</v>
      </c>
      <c r="O8149" s="2">
        <f ca="1"/>
        <v>-0.73208752609231253</v>
      </c>
      <c r="X8149" s="2">
        <f ca="1"/>
        <v>59.098561018518218</v>
      </c>
      <c r="AG8149" s="2">
        <f ca="1"/>
        <v>0.36334052232171854</v>
      </c>
      <c r="AH8149" s="2" t="str">
        <f ca="1"/>
        <v>OK</v>
      </c>
    </row>
    <row r="8150" spans="2:34" x14ac:dyDescent="0.2">
      <c r="B8150" s="2">
        <f ca="1"/>
        <v>0.63759030059805744</v>
      </c>
      <c r="O8150" s="2">
        <f ca="1"/>
        <v>-0.29978027126927626</v>
      </c>
      <c r="X8150" s="2">
        <f ca="1"/>
        <v>37.149038556623594</v>
      </c>
      <c r="AG8150" s="2">
        <f ca="1"/>
        <v>0.20679080437730613</v>
      </c>
      <c r="AH8150" s="2" t="str">
        <f ca="1"/>
        <v>OK</v>
      </c>
    </row>
    <row r="8151" spans="2:34" x14ac:dyDescent="0.2">
      <c r="B8151" s="2">
        <f ca="1"/>
        <v>2.4746638614854266E-3</v>
      </c>
      <c r="O8151" s="2">
        <f ca="1"/>
        <v>-0.77058562582888734</v>
      </c>
      <c r="X8151" s="2">
        <f ca="1"/>
        <v>62.039529231688505</v>
      </c>
      <c r="AG8151" s="2">
        <f ca="1"/>
        <v>0.51409038110649208</v>
      </c>
      <c r="AH8151" s="2" t="str">
        <f ca="1"/>
        <v>Bad</v>
      </c>
    </row>
    <row r="8152" spans="2:34" x14ac:dyDescent="0.2">
      <c r="B8152" s="2">
        <f ca="1"/>
        <v>0.44773482378114493</v>
      </c>
      <c r="O8152" s="2">
        <f ca="1"/>
        <v>1.2346590451888761</v>
      </c>
      <c r="X8152" s="2">
        <f ca="1"/>
        <v>44.954244880943996</v>
      </c>
      <c r="AG8152" s="2">
        <f ca="1"/>
        <v>0.36848523194241856</v>
      </c>
      <c r="AH8152" s="2" t="str">
        <f ca="1"/>
        <v>OK</v>
      </c>
    </row>
    <row r="8153" spans="2:34" x14ac:dyDescent="0.2">
      <c r="B8153" s="2">
        <f ca="1"/>
        <v>0.8652944350363454</v>
      </c>
      <c r="O8153" s="2">
        <f ca="1"/>
        <v>-0.12605669949105838</v>
      </c>
      <c r="X8153" s="2">
        <f ca="1"/>
        <v>52.524129412295864</v>
      </c>
      <c r="AG8153" s="2">
        <f ca="1"/>
        <v>0.80352559872922424</v>
      </c>
      <c r="AH8153" s="2" t="str">
        <f ca="1"/>
        <v>Bad</v>
      </c>
    </row>
    <row r="8154" spans="2:34" x14ac:dyDescent="0.2">
      <c r="B8154" s="2">
        <f ca="1"/>
        <v>0.41062403806451941</v>
      </c>
      <c r="O8154" s="2">
        <f ca="1"/>
        <v>-0.35146914211767966</v>
      </c>
      <c r="X8154" s="2">
        <f ca="1"/>
        <v>57.307001482333213</v>
      </c>
      <c r="AG8154" s="2">
        <f ca="1"/>
        <v>0.13456302155818989</v>
      </c>
      <c r="AH8154" s="2" t="str">
        <f ca="1"/>
        <v>OK</v>
      </c>
    </row>
    <row r="8155" spans="2:34" x14ac:dyDescent="0.2">
      <c r="B8155" s="2">
        <f ca="1"/>
        <v>0.97277479831240865</v>
      </c>
      <c r="O8155" s="2">
        <f ca="1"/>
        <v>-6.7404726705499017E-6</v>
      </c>
      <c r="X8155" s="2">
        <f ca="1"/>
        <v>57.132923870817635</v>
      </c>
      <c r="AG8155" s="2">
        <f ca="1"/>
        <v>0.32989664527624663</v>
      </c>
      <c r="AH8155" s="2" t="str">
        <f ca="1"/>
        <v>OK</v>
      </c>
    </row>
    <row r="8156" spans="2:34" x14ac:dyDescent="0.2">
      <c r="B8156" s="2">
        <f ca="1"/>
        <v>0.5841820779227207</v>
      </c>
      <c r="O8156" s="2">
        <f ca="1"/>
        <v>0.33571469467340037</v>
      </c>
      <c r="X8156" s="2">
        <f ca="1"/>
        <v>49.050528665613868</v>
      </c>
      <c r="AG8156" s="2">
        <f ca="1"/>
        <v>5.1108599162834611E-3</v>
      </c>
      <c r="AH8156" s="2" t="str">
        <f ca="1"/>
        <v>Good</v>
      </c>
    </row>
    <row r="8157" spans="2:34" x14ac:dyDescent="0.2">
      <c r="B8157" s="2">
        <f ca="1"/>
        <v>0.61852589802574487</v>
      </c>
      <c r="O8157" s="2">
        <f ca="1"/>
        <v>7.81873293337665E-2</v>
      </c>
      <c r="X8157" s="2">
        <f ca="1"/>
        <v>31.641410249061913</v>
      </c>
      <c r="AG8157" s="2">
        <f ca="1"/>
        <v>0.14547281858302452</v>
      </c>
      <c r="AH8157" s="2" t="str">
        <f ca="1"/>
        <v>OK</v>
      </c>
    </row>
    <row r="8158" spans="2:34" x14ac:dyDescent="0.2">
      <c r="B8158" s="2">
        <f ca="1"/>
        <v>8.8365611944219102E-2</v>
      </c>
      <c r="O8158" s="2">
        <f ca="1"/>
        <v>-1.0075437147841393</v>
      </c>
      <c r="X8158" s="2">
        <f ca="1"/>
        <v>50.361094777067528</v>
      </c>
      <c r="AG8158" s="2">
        <f ca="1"/>
        <v>0.40311383258866629</v>
      </c>
      <c r="AH8158" s="2" t="str">
        <f ca="1"/>
        <v>Bad</v>
      </c>
    </row>
    <row r="8159" spans="2:34" x14ac:dyDescent="0.2">
      <c r="B8159" s="2">
        <f ca="1"/>
        <v>0.48791958535346036</v>
      </c>
      <c r="O8159" s="2">
        <f ca="1"/>
        <v>-1.2211839370863573</v>
      </c>
      <c r="X8159" s="2">
        <f ca="1"/>
        <v>38.400831713560635</v>
      </c>
      <c r="AG8159" s="2">
        <f ca="1"/>
        <v>0.68223477628432128</v>
      </c>
      <c r="AH8159" s="2" t="str">
        <f ca="1"/>
        <v>Bad</v>
      </c>
    </row>
    <row r="8160" spans="2:34" x14ac:dyDescent="0.2">
      <c r="B8160" s="2">
        <f ca="1"/>
        <v>0.43294173271065994</v>
      </c>
      <c r="O8160" s="2">
        <f ca="1"/>
        <v>-0.92490851586748535</v>
      </c>
      <c r="X8160" s="2">
        <f ca="1"/>
        <v>48.821949778402541</v>
      </c>
      <c r="AG8160" s="2">
        <f ca="1"/>
        <v>0.19933795616075578</v>
      </c>
      <c r="AH8160" s="2" t="str">
        <f ca="1"/>
        <v>OK</v>
      </c>
    </row>
    <row r="8161" spans="2:34" x14ac:dyDescent="0.2">
      <c r="B8161" s="2">
        <f ca="1"/>
        <v>0.77477653706367478</v>
      </c>
      <c r="O8161" s="2">
        <f ca="1"/>
        <v>0.60168415587027224</v>
      </c>
      <c r="X8161" s="2">
        <f ca="1"/>
        <v>47.992191479614604</v>
      </c>
      <c r="AG8161" s="2">
        <f ca="1"/>
        <v>0.9686689799403807</v>
      </c>
      <c r="AH8161" s="2" t="str">
        <f ca="1"/>
        <v>Bad</v>
      </c>
    </row>
    <row r="8162" spans="2:34" x14ac:dyDescent="0.2">
      <c r="B8162" s="2">
        <f ca="1"/>
        <v>0.99570095074896292</v>
      </c>
      <c r="O8162" s="2">
        <f ca="1"/>
        <v>1.0421900922818179</v>
      </c>
      <c r="X8162" s="2">
        <f ca="1"/>
        <v>78.792019371531666</v>
      </c>
      <c r="AG8162" s="2">
        <f ca="1"/>
        <v>0.75675217495640101</v>
      </c>
      <c r="AH8162" s="2" t="str">
        <f ca="1"/>
        <v>Bad</v>
      </c>
    </row>
    <row r="8163" spans="2:34" x14ac:dyDescent="0.2">
      <c r="B8163" s="2">
        <f ca="1"/>
        <v>0.89261894414382903</v>
      </c>
      <c r="O8163" s="2">
        <f ca="1"/>
        <v>0.39169726054694837</v>
      </c>
      <c r="X8163" s="2">
        <f ca="1"/>
        <v>55.767369236873769</v>
      </c>
      <c r="AG8163" s="2">
        <f ca="1"/>
        <v>0.32052595909151682</v>
      </c>
      <c r="AH8163" s="2" t="str">
        <f ca="1"/>
        <v>OK</v>
      </c>
    </row>
    <row r="8164" spans="2:34" x14ac:dyDescent="0.2">
      <c r="B8164" s="2">
        <f ca="1"/>
        <v>0.71392100877724274</v>
      </c>
      <c r="O8164" s="2">
        <f ca="1"/>
        <v>-0.96584209789168851</v>
      </c>
      <c r="X8164" s="2">
        <f ca="1"/>
        <v>60.817923282035849</v>
      </c>
      <c r="AG8164" s="2">
        <f ca="1"/>
        <v>0.91710625697349246</v>
      </c>
      <c r="AH8164" s="2" t="str">
        <f ca="1"/>
        <v>Bad</v>
      </c>
    </row>
    <row r="8165" spans="2:34" x14ac:dyDescent="0.2">
      <c r="B8165" s="2">
        <f ca="1"/>
        <v>0.71637897557940411</v>
      </c>
      <c r="O8165" s="2">
        <f ca="1"/>
        <v>0.39473327420942905</v>
      </c>
      <c r="X8165" s="2">
        <f ca="1"/>
        <v>60.561332264644619</v>
      </c>
      <c r="AG8165" s="2">
        <f ca="1"/>
        <v>0.65428791144383736</v>
      </c>
      <c r="AH8165" s="2" t="str">
        <f ca="1"/>
        <v>Bad</v>
      </c>
    </row>
    <row r="8166" spans="2:34" x14ac:dyDescent="0.2">
      <c r="B8166" s="2">
        <f ca="1"/>
        <v>9.6218448461110606E-2</v>
      </c>
      <c r="O8166" s="2">
        <f ca="1"/>
        <v>0.43466457808896358</v>
      </c>
      <c r="X8166" s="2">
        <f ca="1"/>
        <v>59.508114436244938</v>
      </c>
      <c r="AG8166" s="2">
        <f ca="1"/>
        <v>0.8007912926683487</v>
      </c>
      <c r="AH8166" s="2" t="str">
        <f ca="1"/>
        <v>Bad</v>
      </c>
    </row>
    <row r="8167" spans="2:34" x14ac:dyDescent="0.2">
      <c r="B8167" s="2">
        <f ca="1"/>
        <v>0.25410306831045348</v>
      </c>
      <c r="O8167" s="2">
        <f ca="1"/>
        <v>-0.20372739702238349</v>
      </c>
      <c r="X8167" s="2">
        <f ca="1"/>
        <v>30.244925080340835</v>
      </c>
      <c r="AG8167" s="2">
        <f ca="1"/>
        <v>0.65981318967109681</v>
      </c>
      <c r="AH8167" s="2" t="str">
        <f ca="1"/>
        <v>Bad</v>
      </c>
    </row>
    <row r="8168" spans="2:34" x14ac:dyDescent="0.2">
      <c r="B8168" s="2">
        <f ca="1"/>
        <v>0.23381355739131138</v>
      </c>
      <c r="O8168" s="2">
        <f ca="1"/>
        <v>-0.71591899221286337</v>
      </c>
      <c r="X8168" s="2">
        <f ca="1"/>
        <v>64.085126556259468</v>
      </c>
      <c r="AG8168" s="2">
        <f ca="1"/>
        <v>0.14192418618029534</v>
      </c>
      <c r="AH8168" s="2" t="str">
        <f ca="1"/>
        <v>OK</v>
      </c>
    </row>
    <row r="8169" spans="2:34" x14ac:dyDescent="0.2">
      <c r="B8169" s="2">
        <f ca="1"/>
        <v>0.56853342280359676</v>
      </c>
      <c r="O8169" s="2">
        <f ca="1"/>
        <v>0.98362797001399538</v>
      </c>
      <c r="X8169" s="2">
        <f ca="1"/>
        <v>70.284087646530168</v>
      </c>
      <c r="AG8169" s="2">
        <f ca="1"/>
        <v>0.53518025353963239</v>
      </c>
      <c r="AH8169" s="2" t="str">
        <f ca="1"/>
        <v>Bad</v>
      </c>
    </row>
    <row r="8170" spans="2:34" x14ac:dyDescent="0.2">
      <c r="B8170" s="2">
        <f ca="1"/>
        <v>0.89056318373519106</v>
      </c>
      <c r="O8170" s="2">
        <f ca="1"/>
        <v>0.39621936315776468</v>
      </c>
      <c r="X8170" s="2">
        <f ca="1"/>
        <v>34.931177728613321</v>
      </c>
      <c r="AG8170" s="2">
        <f ca="1"/>
        <v>1.7999183655218243E-2</v>
      </c>
      <c r="AH8170" s="2" t="str">
        <f ca="1"/>
        <v>Good</v>
      </c>
    </row>
    <row r="8171" spans="2:34" x14ac:dyDescent="0.2">
      <c r="B8171" s="2">
        <f ca="1"/>
        <v>9.0857102250605726E-2</v>
      </c>
      <c r="O8171" s="2">
        <f ca="1"/>
        <v>-1.3572054901243269</v>
      </c>
      <c r="X8171" s="2">
        <f ca="1"/>
        <v>38.510268209585597</v>
      </c>
      <c r="AG8171" s="2">
        <f ca="1"/>
        <v>0.59557566095081915</v>
      </c>
      <c r="AH8171" s="2" t="str">
        <f ca="1"/>
        <v>Bad</v>
      </c>
    </row>
    <row r="8172" spans="2:34" x14ac:dyDescent="0.2">
      <c r="B8172" s="2">
        <f ca="1"/>
        <v>0.1160739006024889</v>
      </c>
      <c r="O8172" s="2">
        <f ca="1"/>
        <v>1.1328335344348637</v>
      </c>
      <c r="X8172" s="2">
        <f ca="1"/>
        <v>76.881505288551736</v>
      </c>
      <c r="AG8172" s="2">
        <f ca="1"/>
        <v>0.61152173221790784</v>
      </c>
      <c r="AH8172" s="2" t="str">
        <f ca="1"/>
        <v>Bad</v>
      </c>
    </row>
    <row r="8173" spans="2:34" x14ac:dyDescent="0.2">
      <c r="B8173" s="2">
        <f ca="1"/>
        <v>0.56445813990627602</v>
      </c>
      <c r="O8173" s="2">
        <f ca="1"/>
        <v>-0.56336009411161247</v>
      </c>
      <c r="X8173" s="2">
        <f ca="1"/>
        <v>51.496113440669056</v>
      </c>
      <c r="AG8173" s="2">
        <f ca="1"/>
        <v>0.23083935279384837</v>
      </c>
      <c r="AH8173" s="2" t="str">
        <f ca="1"/>
        <v>OK</v>
      </c>
    </row>
    <row r="8174" spans="2:34" x14ac:dyDescent="0.2">
      <c r="B8174" s="2">
        <f ca="1"/>
        <v>0.91875566583728796</v>
      </c>
      <c r="O8174" s="2">
        <f ca="1"/>
        <v>-0.42317403542664922</v>
      </c>
      <c r="X8174" s="2">
        <f ca="1"/>
        <v>33.422965371116007</v>
      </c>
      <c r="AG8174" s="2">
        <f ca="1"/>
        <v>0.78242210131088186</v>
      </c>
      <c r="AH8174" s="2" t="str">
        <f ca="1"/>
        <v>Bad</v>
      </c>
    </row>
    <row r="8175" spans="2:34" x14ac:dyDescent="0.2">
      <c r="B8175" s="2">
        <f ca="1"/>
        <v>0.76511206781546059</v>
      </c>
      <c r="O8175" s="2">
        <f ca="1"/>
        <v>0.36016653477225935</v>
      </c>
      <c r="X8175" s="2">
        <f ca="1"/>
        <v>49.948233853798918</v>
      </c>
      <c r="AG8175" s="2">
        <f ca="1"/>
        <v>0.21950181293303173</v>
      </c>
      <c r="AH8175" s="2" t="str">
        <f ca="1"/>
        <v>OK</v>
      </c>
    </row>
    <row r="8176" spans="2:34" x14ac:dyDescent="0.2">
      <c r="B8176" s="2">
        <f ca="1"/>
        <v>0.75701990030738475</v>
      </c>
      <c r="O8176" s="2">
        <f ca="1"/>
        <v>0.67974733567991275</v>
      </c>
      <c r="X8176" s="2">
        <f ca="1"/>
        <v>83.82930328911543</v>
      </c>
      <c r="AG8176" s="2">
        <f ca="1"/>
        <v>0.46980474668881889</v>
      </c>
      <c r="AH8176" s="2" t="str">
        <f ca="1"/>
        <v>Bad</v>
      </c>
    </row>
    <row r="8177" spans="2:34" x14ac:dyDescent="0.2">
      <c r="B8177" s="2">
        <f ca="1"/>
        <v>0.10435449340145286</v>
      </c>
      <c r="O8177" s="2">
        <f ca="1"/>
        <v>0.57129106753592074</v>
      </c>
      <c r="X8177" s="2">
        <f ca="1"/>
        <v>49.194209241232343</v>
      </c>
      <c r="AG8177" s="2">
        <f ca="1"/>
        <v>0.11322242966558926</v>
      </c>
      <c r="AH8177" s="2" t="str">
        <f ca="1"/>
        <v>OK</v>
      </c>
    </row>
    <row r="8178" spans="2:34" x14ac:dyDescent="0.2">
      <c r="B8178" s="2">
        <f ca="1"/>
        <v>0.63556648466989207</v>
      </c>
      <c r="O8178" s="2">
        <f ca="1"/>
        <v>-0.42955229966726227</v>
      </c>
      <c r="X8178" s="2">
        <f ca="1"/>
        <v>46.612864236074536</v>
      </c>
      <c r="AG8178" s="2">
        <f ca="1"/>
        <v>0.72845924363237469</v>
      </c>
      <c r="AH8178" s="2" t="str">
        <f ca="1"/>
        <v>Bad</v>
      </c>
    </row>
    <row r="8179" spans="2:34" x14ac:dyDescent="0.2">
      <c r="B8179" s="2">
        <f ca="1"/>
        <v>0.59088930752154445</v>
      </c>
      <c r="O8179" s="2">
        <f ca="1"/>
        <v>1.6581108868308325</v>
      </c>
      <c r="X8179" s="2">
        <f ca="1"/>
        <v>37.881741106655099</v>
      </c>
      <c r="AG8179" s="2">
        <f ca="1"/>
        <v>0.7407112585611153</v>
      </c>
      <c r="AH8179" s="2" t="str">
        <f ca="1"/>
        <v>Bad</v>
      </c>
    </row>
    <row r="8180" spans="2:34" x14ac:dyDescent="0.2">
      <c r="B8180" s="2">
        <f ca="1"/>
        <v>0.54184909854389596</v>
      </c>
      <c r="O8180" s="2">
        <f ca="1"/>
        <v>0.69189683708252081</v>
      </c>
      <c r="X8180" s="2">
        <f ca="1"/>
        <v>35.465950766507362</v>
      </c>
      <c r="AG8180" s="2">
        <f ca="1"/>
        <v>0.74870716804966531</v>
      </c>
      <c r="AH8180" s="2" t="str">
        <f ca="1"/>
        <v>Bad</v>
      </c>
    </row>
    <row r="8181" spans="2:34" x14ac:dyDescent="0.2">
      <c r="B8181" s="2">
        <f ca="1"/>
        <v>0.22610352093072517</v>
      </c>
      <c r="O8181" s="2">
        <f ca="1"/>
        <v>0.41786518177716364</v>
      </c>
      <c r="X8181" s="2">
        <f ca="1"/>
        <v>35.90722747862926</v>
      </c>
      <c r="AG8181" s="2">
        <f ca="1"/>
        <v>0.30177723772757781</v>
      </c>
      <c r="AH8181" s="2" t="str">
        <f ca="1"/>
        <v>OK</v>
      </c>
    </row>
    <row r="8182" spans="2:34" x14ac:dyDescent="0.2">
      <c r="B8182" s="2">
        <f ca="1"/>
        <v>0.36935627964277917</v>
      </c>
      <c r="O8182" s="2">
        <f ca="1"/>
        <v>2.0152586819701481</v>
      </c>
      <c r="X8182" s="2">
        <f ca="1"/>
        <v>35.844371436579614</v>
      </c>
      <c r="AG8182" s="2">
        <f ca="1"/>
        <v>0.32264766449673932</v>
      </c>
      <c r="AH8182" s="2" t="str">
        <f ca="1"/>
        <v>OK</v>
      </c>
    </row>
    <row r="8183" spans="2:34" x14ac:dyDescent="0.2">
      <c r="B8183" s="2">
        <f ca="1"/>
        <v>0.88722661486116494</v>
      </c>
      <c r="O8183" s="2">
        <f ca="1"/>
        <v>-0.63422666825050777</v>
      </c>
      <c r="X8183" s="2">
        <f ca="1"/>
        <v>40.486643346433084</v>
      </c>
      <c r="AG8183" s="2">
        <f ca="1"/>
        <v>0.50114952962023152</v>
      </c>
      <c r="AH8183" s="2" t="str">
        <f ca="1"/>
        <v>Bad</v>
      </c>
    </row>
    <row r="8184" spans="2:34" x14ac:dyDescent="0.2">
      <c r="B8184" s="2">
        <f ca="1"/>
        <v>0.31090795844938746</v>
      </c>
      <c r="O8184" s="2">
        <f ca="1"/>
        <v>4.8417949038141575E-2</v>
      </c>
      <c r="X8184" s="2">
        <f ca="1"/>
        <v>54.790563373113024</v>
      </c>
      <c r="AG8184" s="2">
        <f ca="1"/>
        <v>0.32397336625682605</v>
      </c>
      <c r="AH8184" s="2" t="str">
        <f ca="1"/>
        <v>OK</v>
      </c>
    </row>
    <row r="8185" spans="2:34" x14ac:dyDescent="0.2">
      <c r="B8185" s="2">
        <f ca="1"/>
        <v>0.72269620856931116</v>
      </c>
      <c r="O8185" s="2">
        <f ca="1"/>
        <v>0.28949150196965212</v>
      </c>
      <c r="X8185" s="2">
        <f ca="1"/>
        <v>54.347227001379828</v>
      </c>
      <c r="AG8185" s="2">
        <f ca="1"/>
        <v>0.41362944316956574</v>
      </c>
      <c r="AH8185" s="2" t="str">
        <f ca="1"/>
        <v>Bad</v>
      </c>
    </row>
    <row r="8186" spans="2:34" x14ac:dyDescent="0.2">
      <c r="B8186" s="2">
        <f ca="1"/>
        <v>0.82314012694672312</v>
      </c>
      <c r="O8186" s="2">
        <f ca="1"/>
        <v>1.2540883002807319</v>
      </c>
      <c r="X8186" s="2">
        <f ca="1"/>
        <v>19.988607189417586</v>
      </c>
      <c r="AG8186" s="2">
        <f ca="1"/>
        <v>7.8516994000339402E-2</v>
      </c>
      <c r="AH8186" s="2" t="str">
        <f ca="1"/>
        <v>OK</v>
      </c>
    </row>
    <row r="8187" spans="2:34" x14ac:dyDescent="0.2">
      <c r="B8187" s="2">
        <f ca="1"/>
        <v>0.17220085910821403</v>
      </c>
      <c r="O8187" s="2">
        <f ca="1"/>
        <v>-0.56664830323492865</v>
      </c>
      <c r="X8187" s="2">
        <f ca="1"/>
        <v>14.587902381100657</v>
      </c>
      <c r="AG8187" s="2">
        <f ca="1"/>
        <v>0.5966335251326389</v>
      </c>
      <c r="AH8187" s="2" t="str">
        <f ca="1"/>
        <v>Bad</v>
      </c>
    </row>
    <row r="8188" spans="2:34" x14ac:dyDescent="0.2">
      <c r="B8188" s="2">
        <f ca="1"/>
        <v>0.99178089446639239</v>
      </c>
      <c r="O8188" s="2">
        <f ca="1"/>
        <v>0.71948243393348166</v>
      </c>
      <c r="X8188" s="2">
        <f ca="1"/>
        <v>45.272147991048108</v>
      </c>
      <c r="AG8188" s="2">
        <f ca="1"/>
        <v>0.61710885952874106</v>
      </c>
      <c r="AH8188" s="2" t="str">
        <f ca="1"/>
        <v>Bad</v>
      </c>
    </row>
    <row r="8189" spans="2:34" x14ac:dyDescent="0.2">
      <c r="B8189" s="2">
        <f ca="1"/>
        <v>0.74469959916045503</v>
      </c>
      <c r="O8189" s="2">
        <f ca="1"/>
        <v>-1.0082227658359069</v>
      </c>
      <c r="X8189" s="2">
        <f ca="1"/>
        <v>56.012293693486029</v>
      </c>
      <c r="AG8189" s="2">
        <f ca="1"/>
        <v>0.85174936344903274</v>
      </c>
      <c r="AH8189" s="2" t="str">
        <f ca="1"/>
        <v>Bad</v>
      </c>
    </row>
    <row r="8190" spans="2:34" x14ac:dyDescent="0.2">
      <c r="B8190" s="2">
        <f ca="1"/>
        <v>0.34929918614612254</v>
      </c>
      <c r="O8190" s="2">
        <f ca="1"/>
        <v>-0.95832346979780136</v>
      </c>
      <c r="X8190" s="2">
        <f ca="1"/>
        <v>39.61395616910729</v>
      </c>
      <c r="AG8190" s="2">
        <f ca="1"/>
        <v>0.93910131523800944</v>
      </c>
      <c r="AH8190" s="2" t="str">
        <f ca="1"/>
        <v>Bad</v>
      </c>
    </row>
    <row r="8191" spans="2:34" x14ac:dyDescent="0.2">
      <c r="B8191" s="2">
        <f ca="1"/>
        <v>8.5987174156423096E-2</v>
      </c>
      <c r="O8191" s="2">
        <f ca="1"/>
        <v>-0.56603420419350825</v>
      </c>
      <c r="X8191" s="2">
        <f ca="1"/>
        <v>48.494086496808961</v>
      </c>
      <c r="AG8191" s="2">
        <f ca="1"/>
        <v>0.21111698810888813</v>
      </c>
      <c r="AH8191" s="2" t="str">
        <f ca="1"/>
        <v>OK</v>
      </c>
    </row>
    <row r="8192" spans="2:34" x14ac:dyDescent="0.2">
      <c r="B8192" s="2">
        <f ca="1"/>
        <v>0.38932237438970474</v>
      </c>
      <c r="O8192" s="2">
        <f ca="1"/>
        <v>-0.74326357351004668</v>
      </c>
      <c r="X8192" s="2">
        <f ca="1"/>
        <v>64.041420391842109</v>
      </c>
      <c r="AG8192" s="2">
        <f ca="1"/>
        <v>0.18404933436038751</v>
      </c>
      <c r="AH8192" s="2" t="str">
        <f ca="1"/>
        <v>OK</v>
      </c>
    </row>
    <row r="8193" spans="2:34" x14ac:dyDescent="0.2">
      <c r="B8193" s="2">
        <f ca="1"/>
        <v>0.9371193902519579</v>
      </c>
      <c r="O8193" s="2">
        <f ca="1"/>
        <v>2.4866401987658084E-2</v>
      </c>
      <c r="X8193" s="2">
        <f ca="1"/>
        <v>32.085169138395607</v>
      </c>
      <c r="AG8193" s="2">
        <f ca="1"/>
        <v>0.94354680756254861</v>
      </c>
      <c r="AH8193" s="2" t="str">
        <f ca="1"/>
        <v>Bad</v>
      </c>
    </row>
    <row r="8194" spans="2:34" x14ac:dyDescent="0.2">
      <c r="B8194" s="2">
        <f ca="1"/>
        <v>0.37710944183855855</v>
      </c>
      <c r="O8194" s="2">
        <f ca="1"/>
        <v>-0.26094118085033469</v>
      </c>
      <c r="X8194" s="2">
        <f ca="1"/>
        <v>27.857306579378193</v>
      </c>
      <c r="AG8194" s="2">
        <f ca="1"/>
        <v>0.2983660685854479</v>
      </c>
      <c r="AH8194" s="2" t="str">
        <f ca="1"/>
        <v>OK</v>
      </c>
    </row>
    <row r="8195" spans="2:34" x14ac:dyDescent="0.2">
      <c r="B8195" s="2">
        <f ca="1"/>
        <v>0.52380174400864687</v>
      </c>
      <c r="O8195" s="2">
        <f ca="1"/>
        <v>2.2144291616528484</v>
      </c>
      <c r="X8195" s="2">
        <f ca="1"/>
        <v>33.969726499039112</v>
      </c>
      <c r="AG8195" s="2">
        <f ca="1"/>
        <v>0.91839534671074619</v>
      </c>
      <c r="AH8195" s="2" t="str">
        <f ca="1"/>
        <v>Bad</v>
      </c>
    </row>
    <row r="8196" spans="2:34" x14ac:dyDescent="0.2">
      <c r="B8196" s="2">
        <f ca="1"/>
        <v>0.30198743669945527</v>
      </c>
      <c r="O8196" s="2">
        <f ca="1"/>
        <v>3.3313650845383354E-2</v>
      </c>
      <c r="X8196" s="2">
        <f ca="1"/>
        <v>29.106025096961112</v>
      </c>
      <c r="AG8196" s="2">
        <f ca="1"/>
        <v>0.41795527405664079</v>
      </c>
      <c r="AH8196" s="2" t="str">
        <f ca="1"/>
        <v>Bad</v>
      </c>
    </row>
    <row r="8197" spans="2:34" x14ac:dyDescent="0.2">
      <c r="B8197" s="2">
        <f ca="1"/>
        <v>0.12844823995198817</v>
      </c>
      <c r="O8197" s="2">
        <f ca="1"/>
        <v>0.43025222250297568</v>
      </c>
      <c r="X8197" s="2">
        <f ca="1"/>
        <v>56.38100564996202</v>
      </c>
      <c r="AG8197" s="2">
        <f ca="1"/>
        <v>0.39008454209495724</v>
      </c>
      <c r="AH8197" s="2" t="str">
        <f ca="1"/>
        <v>OK</v>
      </c>
    </row>
    <row r="8198" spans="2:34" x14ac:dyDescent="0.2">
      <c r="B8198" s="2">
        <f ca="1"/>
        <v>0.32752823231464245</v>
      </c>
      <c r="O8198" s="2">
        <f ca="1"/>
        <v>-0.50487925148281765</v>
      </c>
      <c r="X8198" s="2">
        <f ca="1"/>
        <v>28.323167089469532</v>
      </c>
      <c r="AG8198" s="2">
        <f ca="1"/>
        <v>0.15637928356254727</v>
      </c>
      <c r="AH8198" s="2" t="str">
        <f ca="1"/>
        <v>OK</v>
      </c>
    </row>
    <row r="8199" spans="2:34" x14ac:dyDescent="0.2">
      <c r="B8199" s="2">
        <f ca="1"/>
        <v>0.11932492752745438</v>
      </c>
      <c r="O8199" s="2">
        <f ca="1"/>
        <v>0.52702245837816331</v>
      </c>
      <c r="X8199" s="2">
        <f ca="1"/>
        <v>42.171868309993187</v>
      </c>
      <c r="AG8199" s="2">
        <f ca="1"/>
        <v>7.631236658301277E-2</v>
      </c>
      <c r="AH8199" s="2" t="str">
        <f ca="1"/>
        <v>OK</v>
      </c>
    </row>
    <row r="8200" spans="2:34" x14ac:dyDescent="0.2">
      <c r="B8200" s="2">
        <f ca="1"/>
        <v>0.20701646025210318</v>
      </c>
      <c r="O8200" s="2">
        <f ca="1"/>
        <v>-0.65299174352849021</v>
      </c>
      <c r="X8200" s="2">
        <f ca="1"/>
        <v>78.07987361242823</v>
      </c>
      <c r="AG8200" s="2">
        <f ca="1"/>
        <v>0.98961480751308462</v>
      </c>
      <c r="AH8200" s="2" t="str">
        <f ca="1"/>
        <v>Bad</v>
      </c>
    </row>
    <row r="8201" spans="2:34" x14ac:dyDescent="0.2">
      <c r="B8201" s="2">
        <f ca="1"/>
        <v>5.3924211294149371E-2</v>
      </c>
      <c r="O8201" s="2">
        <f ca="1"/>
        <v>-2.3968489823999617</v>
      </c>
      <c r="X8201" s="2">
        <f ca="1"/>
        <v>44.184233946504747</v>
      </c>
      <c r="AG8201" s="2">
        <f ca="1"/>
        <v>0.56009710623160402</v>
      </c>
      <c r="AH8201" s="2" t="str">
        <f ca="1"/>
        <v>Bad</v>
      </c>
    </row>
    <row r="8202" spans="2:34" x14ac:dyDescent="0.2">
      <c r="B8202" s="2">
        <f ca="1"/>
        <v>0.94778709532289107</v>
      </c>
      <c r="O8202" s="2">
        <f ca="1"/>
        <v>-1.1504086390658588</v>
      </c>
      <c r="X8202" s="2">
        <f ca="1"/>
        <v>47.072956463536777</v>
      </c>
      <c r="AG8202" s="2">
        <f ca="1"/>
        <v>0.16187738559785902</v>
      </c>
      <c r="AH8202" s="2" t="str">
        <f ca="1"/>
        <v>OK</v>
      </c>
    </row>
    <row r="8203" spans="2:34" x14ac:dyDescent="0.2">
      <c r="B8203" s="2">
        <f ca="1"/>
        <v>0.57282029765011311</v>
      </c>
      <c r="O8203" s="2">
        <f ca="1"/>
        <v>0.61433768750980911</v>
      </c>
      <c r="X8203" s="2">
        <f ca="1"/>
        <v>42.782979602261733</v>
      </c>
      <c r="AG8203" s="2">
        <f ca="1"/>
        <v>0.83782182810050609</v>
      </c>
      <c r="AH8203" s="2" t="str">
        <f ca="1"/>
        <v>Bad</v>
      </c>
    </row>
    <row r="8204" spans="2:34" x14ac:dyDescent="0.2">
      <c r="B8204" s="2">
        <f ca="1"/>
        <v>5.4932624627413551E-2</v>
      </c>
      <c r="O8204" s="2">
        <f ca="1"/>
        <v>0.4142049265223991</v>
      </c>
      <c r="X8204" s="2">
        <f ca="1"/>
        <v>60.208282993967821</v>
      </c>
      <c r="AG8204" s="2">
        <f ca="1"/>
        <v>0.48391021665648193</v>
      </c>
      <c r="AH8204" s="2" t="str">
        <f ca="1"/>
        <v>Bad</v>
      </c>
    </row>
    <row r="8205" spans="2:34" x14ac:dyDescent="0.2">
      <c r="B8205" s="2">
        <f ca="1"/>
        <v>0.66330833863779337</v>
      </c>
      <c r="O8205" s="2">
        <f ca="1"/>
        <v>-1.1537629797055997</v>
      </c>
      <c r="X8205" s="2">
        <f ca="1"/>
        <v>72.643150198078231</v>
      </c>
      <c r="AG8205" s="2">
        <f ca="1"/>
        <v>0.76624068103488852</v>
      </c>
      <c r="AH8205" s="2" t="str">
        <f ca="1"/>
        <v>Bad</v>
      </c>
    </row>
    <row r="8206" spans="2:34" x14ac:dyDescent="0.2">
      <c r="B8206" s="2">
        <f ca="1"/>
        <v>0.85423116383112285</v>
      </c>
      <c r="O8206" s="2">
        <f ca="1"/>
        <v>0.22525573460933834</v>
      </c>
      <c r="X8206" s="2">
        <f ca="1"/>
        <v>58.012779550670651</v>
      </c>
      <c r="AG8206" s="2">
        <f ca="1"/>
        <v>0.81574151123039584</v>
      </c>
      <c r="AH8206" s="2" t="str">
        <f ca="1"/>
        <v>Bad</v>
      </c>
    </row>
    <row r="8207" spans="2:34" x14ac:dyDescent="0.2">
      <c r="B8207" s="2">
        <f ca="1"/>
        <v>0.4211506811936836</v>
      </c>
      <c r="O8207" s="2">
        <f ca="1"/>
        <v>0.84838236897535635</v>
      </c>
      <c r="X8207" s="2">
        <f ca="1"/>
        <v>43.707820719520846</v>
      </c>
      <c r="AG8207" s="2">
        <f ca="1"/>
        <v>0.56418554667878507</v>
      </c>
      <c r="AH8207" s="2" t="str">
        <f ca="1"/>
        <v>Bad</v>
      </c>
    </row>
    <row r="8208" spans="2:34" x14ac:dyDescent="0.2">
      <c r="B8208" s="2">
        <f ca="1"/>
        <v>4.8395351642090745E-2</v>
      </c>
      <c r="O8208" s="2">
        <f ca="1"/>
        <v>-0.28744398063605459</v>
      </c>
      <c r="X8208" s="2">
        <f ca="1"/>
        <v>36.15081332506373</v>
      </c>
      <c r="AG8208" s="2">
        <f ca="1"/>
        <v>0.43241406546190064</v>
      </c>
      <c r="AH8208" s="2" t="str">
        <f ca="1"/>
        <v>Bad</v>
      </c>
    </row>
    <row r="8209" spans="2:34" x14ac:dyDescent="0.2">
      <c r="B8209" s="2">
        <f ca="1"/>
        <v>0.33805739355644171</v>
      </c>
      <c r="O8209" s="2">
        <f ca="1"/>
        <v>0.28341809042091987</v>
      </c>
      <c r="X8209" s="2">
        <f ca="1"/>
        <v>52.315663070607172</v>
      </c>
      <c r="AG8209" s="2">
        <f ca="1"/>
        <v>0.27290339562480925</v>
      </c>
      <c r="AH8209" s="2" t="str">
        <f ca="1"/>
        <v>OK</v>
      </c>
    </row>
    <row r="8210" spans="2:34" x14ac:dyDescent="0.2">
      <c r="B8210" s="2">
        <f ca="1"/>
        <v>0.68977900854029373</v>
      </c>
      <c r="O8210" s="2">
        <f ca="1"/>
        <v>1.0142400035780197</v>
      </c>
      <c r="X8210" s="2">
        <f ca="1"/>
        <v>47.622071608239182</v>
      </c>
      <c r="AG8210" s="2">
        <f ca="1"/>
        <v>0.5649770794962472</v>
      </c>
      <c r="AH8210" s="2" t="str">
        <f ca="1"/>
        <v>Bad</v>
      </c>
    </row>
    <row r="8211" spans="2:34" x14ac:dyDescent="0.2">
      <c r="B8211" s="2">
        <f ca="1"/>
        <v>0.12022570069306671</v>
      </c>
      <c r="O8211" s="2">
        <f ca="1"/>
        <v>-1.8198708473999843</v>
      </c>
      <c r="X8211" s="2">
        <f ca="1"/>
        <v>33.894106787089498</v>
      </c>
      <c r="AG8211" s="2">
        <f ca="1"/>
        <v>0.67236739439403626</v>
      </c>
      <c r="AH8211" s="2" t="str">
        <f ca="1"/>
        <v>Bad</v>
      </c>
    </row>
    <row r="8212" spans="2:34" x14ac:dyDescent="0.2">
      <c r="B8212" s="2">
        <f ca="1"/>
        <v>0.5846889526782808</v>
      </c>
      <c r="O8212" s="2">
        <f ca="1"/>
        <v>0.93873997629370054</v>
      </c>
      <c r="X8212" s="2">
        <f ca="1"/>
        <v>47.54949329888202</v>
      </c>
      <c r="AG8212" s="2">
        <f ca="1"/>
        <v>0.17658621826152698</v>
      </c>
      <c r="AH8212" s="2" t="str">
        <f ca="1"/>
        <v>OK</v>
      </c>
    </row>
    <row r="8213" spans="2:34" x14ac:dyDescent="0.2">
      <c r="B8213" s="2">
        <f ca="1"/>
        <v>0.67134701289870802</v>
      </c>
      <c r="O8213" s="2">
        <f ca="1"/>
        <v>0.16029335613016349</v>
      </c>
      <c r="X8213" s="2">
        <f ca="1"/>
        <v>43.0351084175892</v>
      </c>
      <c r="AG8213" s="2">
        <f ca="1"/>
        <v>0.26726236339990428</v>
      </c>
      <c r="AH8213" s="2" t="str">
        <f ca="1"/>
        <v>OK</v>
      </c>
    </row>
    <row r="8214" spans="2:34" x14ac:dyDescent="0.2">
      <c r="B8214" s="2">
        <f ca="1"/>
        <v>0.14498334871741636</v>
      </c>
      <c r="O8214" s="2">
        <f ca="1"/>
        <v>1.1932599455662944</v>
      </c>
      <c r="X8214" s="2">
        <f ca="1"/>
        <v>44.610330896147005</v>
      </c>
      <c r="AG8214" s="2">
        <f ca="1"/>
        <v>0.23975515852512785</v>
      </c>
      <c r="AH8214" s="2" t="str">
        <f ca="1"/>
        <v>OK</v>
      </c>
    </row>
    <row r="8215" spans="2:34" x14ac:dyDescent="0.2">
      <c r="B8215" s="2">
        <f ca="1"/>
        <v>0.80491118304686338</v>
      </c>
      <c r="O8215" s="2">
        <f ca="1"/>
        <v>-0.25579648647627873</v>
      </c>
      <c r="X8215" s="2">
        <f ca="1"/>
        <v>46.563816241930169</v>
      </c>
      <c r="AG8215" s="2">
        <f ca="1"/>
        <v>0.71030100147469066</v>
      </c>
      <c r="AH8215" s="2" t="str">
        <f ca="1"/>
        <v>Bad</v>
      </c>
    </row>
    <row r="8216" spans="2:34" x14ac:dyDescent="0.2">
      <c r="B8216" s="2">
        <f ca="1"/>
        <v>0.97046241939134803</v>
      </c>
      <c r="O8216" s="2">
        <f ca="1"/>
        <v>-0.11826182454472629</v>
      </c>
      <c r="X8216" s="2">
        <f ca="1"/>
        <v>75.017994077610979</v>
      </c>
      <c r="AG8216" s="2">
        <f ca="1"/>
        <v>0.37329327818678237</v>
      </c>
      <c r="AH8216" s="2" t="str">
        <f ca="1"/>
        <v>OK</v>
      </c>
    </row>
    <row r="8217" spans="2:34" x14ac:dyDescent="0.2">
      <c r="B8217" s="2">
        <f ca="1"/>
        <v>0.61352444571505149</v>
      </c>
      <c r="O8217" s="2">
        <f ca="1"/>
        <v>-1.3337042350387096</v>
      </c>
      <c r="X8217" s="2">
        <f ca="1"/>
        <v>41.283298436725644</v>
      </c>
      <c r="AG8217" s="2">
        <f ca="1"/>
        <v>0.60192669971043755</v>
      </c>
      <c r="AH8217" s="2" t="str">
        <f ca="1"/>
        <v>Bad</v>
      </c>
    </row>
    <row r="8218" spans="2:34" x14ac:dyDescent="0.2">
      <c r="B8218" s="2">
        <f ca="1"/>
        <v>0.83144471683286181</v>
      </c>
      <c r="O8218" s="2">
        <f ca="1"/>
        <v>0.95136701818778946</v>
      </c>
      <c r="X8218" s="2">
        <f ca="1"/>
        <v>35.482133335502255</v>
      </c>
      <c r="AG8218" s="2">
        <f ca="1"/>
        <v>0.77635943727587287</v>
      </c>
      <c r="AH8218" s="2" t="str">
        <f ca="1"/>
        <v>Bad</v>
      </c>
    </row>
    <row r="8219" spans="2:34" x14ac:dyDescent="0.2">
      <c r="B8219" s="2">
        <f ca="1"/>
        <v>0.4914547064433894</v>
      </c>
      <c r="O8219" s="2">
        <f ca="1"/>
        <v>2.4699878387858858</v>
      </c>
      <c r="X8219" s="2">
        <f ca="1"/>
        <v>31.251744859324553</v>
      </c>
      <c r="AG8219" s="2">
        <f ca="1"/>
        <v>0.68166732587102308</v>
      </c>
      <c r="AH8219" s="2" t="str">
        <f ca="1"/>
        <v>Bad</v>
      </c>
    </row>
    <row r="8220" spans="2:34" x14ac:dyDescent="0.2">
      <c r="B8220" s="2">
        <f ca="1"/>
        <v>0.17740257680366134</v>
      </c>
      <c r="O8220" s="2">
        <f ca="1"/>
        <v>-2.0432988202668674</v>
      </c>
      <c r="X8220" s="2">
        <f ca="1"/>
        <v>56.028876105622828</v>
      </c>
      <c r="AG8220" s="2">
        <f ca="1"/>
        <v>0.29819934893157463</v>
      </c>
      <c r="AH8220" s="2" t="str">
        <f ca="1"/>
        <v>OK</v>
      </c>
    </row>
    <row r="8221" spans="2:34" x14ac:dyDescent="0.2">
      <c r="B8221" s="2">
        <f ca="1"/>
        <v>0.71291204135450581</v>
      </c>
      <c r="O8221" s="2">
        <f ca="1"/>
        <v>-1.1567805478512165</v>
      </c>
      <c r="X8221" s="2">
        <f ca="1"/>
        <v>39.610246492875739</v>
      </c>
      <c r="AG8221" s="2">
        <f ca="1"/>
        <v>0.92406118294969031</v>
      </c>
      <c r="AH8221" s="2" t="str">
        <f ca="1"/>
        <v>Bad</v>
      </c>
    </row>
    <row r="8222" spans="2:34" x14ac:dyDescent="0.2">
      <c r="B8222" s="2">
        <f ca="1"/>
        <v>0.50822374034708862</v>
      </c>
      <c r="O8222" s="2">
        <f ca="1"/>
        <v>-1.293240226364746</v>
      </c>
      <c r="X8222" s="2">
        <f ca="1"/>
        <v>36.219646543950233</v>
      </c>
      <c r="AG8222" s="2">
        <f ca="1"/>
        <v>0.61261395558837095</v>
      </c>
      <c r="AH8222" s="2" t="str">
        <f ca="1"/>
        <v>Bad</v>
      </c>
    </row>
    <row r="8223" spans="2:34" x14ac:dyDescent="0.2">
      <c r="B8223" s="2">
        <f ca="1"/>
        <v>0.29079500137277026</v>
      </c>
      <c r="O8223" s="2">
        <f ca="1"/>
        <v>-1.3233795290875785</v>
      </c>
      <c r="X8223" s="2">
        <f ca="1"/>
        <v>35.887402510021268</v>
      </c>
      <c r="AG8223" s="2">
        <f ca="1"/>
        <v>0.49911722950278059</v>
      </c>
      <c r="AH8223" s="2" t="str">
        <f ca="1"/>
        <v>Bad</v>
      </c>
    </row>
    <row r="8224" spans="2:34" x14ac:dyDescent="0.2">
      <c r="B8224" s="2">
        <f ca="1"/>
        <v>0.38169873149733591</v>
      </c>
      <c r="O8224" s="2">
        <f ca="1"/>
        <v>1.0753366176398076</v>
      </c>
      <c r="X8224" s="2">
        <f ca="1"/>
        <v>49.415923796543602</v>
      </c>
      <c r="AG8224" s="2">
        <f ca="1"/>
        <v>9.2334672705726151E-2</v>
      </c>
      <c r="AH8224" s="2" t="str">
        <f ca="1"/>
        <v>OK</v>
      </c>
    </row>
    <row r="8225" spans="2:34" x14ac:dyDescent="0.2">
      <c r="B8225" s="2">
        <f ca="1"/>
        <v>0.90977080677678113</v>
      </c>
      <c r="O8225" s="2">
        <f ca="1"/>
        <v>-1.0987960890009882</v>
      </c>
      <c r="X8225" s="2">
        <f ca="1"/>
        <v>53.005164403956861</v>
      </c>
      <c r="AG8225" s="2">
        <f ca="1"/>
        <v>0.83610871721843139</v>
      </c>
      <c r="AH8225" s="2" t="str">
        <f ca="1"/>
        <v>Bad</v>
      </c>
    </row>
    <row r="8226" spans="2:34" x14ac:dyDescent="0.2">
      <c r="B8226" s="2">
        <f ca="1"/>
        <v>0.58362509926893869</v>
      </c>
      <c r="O8226" s="2">
        <f ca="1"/>
        <v>1.1633253246936508</v>
      </c>
      <c r="X8226" s="2">
        <f ca="1"/>
        <v>28.010544794641884</v>
      </c>
      <c r="AG8226" s="2">
        <f ca="1"/>
        <v>0.92008774500518564</v>
      </c>
      <c r="AH8226" s="2" t="str">
        <f ca="1"/>
        <v>Bad</v>
      </c>
    </row>
    <row r="8227" spans="2:34" x14ac:dyDescent="0.2">
      <c r="B8227" s="2">
        <f ca="1"/>
        <v>0.49370996374576603</v>
      </c>
      <c r="O8227" s="2">
        <f ca="1"/>
        <v>-0.14187251542506638</v>
      </c>
      <c r="X8227" s="2">
        <f ca="1"/>
        <v>31.825723035551331</v>
      </c>
      <c r="AG8227" s="2">
        <f ca="1"/>
        <v>0.15082996325311515</v>
      </c>
      <c r="AH8227" s="2" t="str">
        <f ca="1"/>
        <v>OK</v>
      </c>
    </row>
    <row r="8228" spans="2:34" x14ac:dyDescent="0.2">
      <c r="B8228" s="2">
        <f ca="1"/>
        <v>0.86071797360864144</v>
      </c>
      <c r="O8228" s="2">
        <f ca="1"/>
        <v>-3.4845385905662161</v>
      </c>
      <c r="X8228" s="2">
        <f ca="1"/>
        <v>61.899690239696746</v>
      </c>
      <c r="AG8228" s="2">
        <f ca="1"/>
        <v>0.33549733726628483</v>
      </c>
      <c r="AH8228" s="2" t="str">
        <f ca="1"/>
        <v>OK</v>
      </c>
    </row>
    <row r="8229" spans="2:34" x14ac:dyDescent="0.2">
      <c r="B8229" s="2">
        <f ca="1"/>
        <v>0.42139289765470189</v>
      </c>
      <c r="O8229" s="2">
        <f ca="1"/>
        <v>0.49040753229136413</v>
      </c>
      <c r="X8229" s="2">
        <f ca="1"/>
        <v>37.637416039792782</v>
      </c>
      <c r="AG8229" s="2">
        <f ca="1"/>
        <v>0.8327862383947513</v>
      </c>
      <c r="AH8229" s="2" t="str">
        <f ca="1"/>
        <v>Bad</v>
      </c>
    </row>
    <row r="8230" spans="2:34" x14ac:dyDescent="0.2">
      <c r="B8230" s="2">
        <f ca="1"/>
        <v>0.36443739797126984</v>
      </c>
      <c r="O8230" s="2">
        <f ca="1"/>
        <v>0.99609766146191425</v>
      </c>
      <c r="X8230" s="2">
        <f ca="1"/>
        <v>36.566503774892894</v>
      </c>
      <c r="AG8230" s="2">
        <f ca="1"/>
        <v>8.4998313678396498E-2</v>
      </c>
      <c r="AH8230" s="2" t="str">
        <f ca="1"/>
        <v>OK</v>
      </c>
    </row>
    <row r="8231" spans="2:34" x14ac:dyDescent="0.2">
      <c r="B8231" s="2">
        <f ca="1"/>
        <v>0.37662804354988655</v>
      </c>
      <c r="O8231" s="2">
        <f ca="1"/>
        <v>-0.15616820386440577</v>
      </c>
      <c r="X8231" s="2">
        <f ca="1"/>
        <v>56.289503203245239</v>
      </c>
      <c r="AG8231" s="2">
        <f ca="1"/>
        <v>0.13189145915612444</v>
      </c>
      <c r="AH8231" s="2" t="str">
        <f ca="1"/>
        <v>OK</v>
      </c>
    </row>
    <row r="8232" spans="2:34" x14ac:dyDescent="0.2">
      <c r="B8232" s="2">
        <f ca="1"/>
        <v>0.15387501340930676</v>
      </c>
      <c r="O8232" s="2">
        <f ca="1"/>
        <v>0.87365113661139449</v>
      </c>
      <c r="X8232" s="2">
        <f ca="1"/>
        <v>53.87704068942022</v>
      </c>
      <c r="AG8232" s="2">
        <f ca="1"/>
        <v>0.50021902142391528</v>
      </c>
      <c r="AH8232" s="2" t="str">
        <f ca="1"/>
        <v>Bad</v>
      </c>
    </row>
    <row r="8233" spans="2:34" x14ac:dyDescent="0.2">
      <c r="B8233" s="2">
        <f ca="1"/>
        <v>0.83836021492386958</v>
      </c>
      <c r="O8233" s="2">
        <f ca="1"/>
        <v>-0.82477749478535101</v>
      </c>
      <c r="X8233" s="2">
        <f ca="1"/>
        <v>55.848273553236311</v>
      </c>
      <c r="AG8233" s="2">
        <f ca="1"/>
        <v>0.28918499571724987</v>
      </c>
      <c r="AH8233" s="2" t="str">
        <f ca="1"/>
        <v>OK</v>
      </c>
    </row>
    <row r="8234" spans="2:34" x14ac:dyDescent="0.2">
      <c r="B8234" s="2">
        <f ca="1"/>
        <v>0.4826281859169006</v>
      </c>
      <c r="O8234" s="2">
        <f ca="1"/>
        <v>-1.1426366055023844</v>
      </c>
      <c r="X8234" s="2">
        <f ca="1"/>
        <v>96.745490248679573</v>
      </c>
      <c r="AG8234" s="2">
        <f ca="1"/>
        <v>0.92687539599912849</v>
      </c>
      <c r="AH8234" s="2" t="str">
        <f ca="1"/>
        <v>Bad</v>
      </c>
    </row>
    <row r="8235" spans="2:34" x14ac:dyDescent="0.2">
      <c r="B8235" s="2">
        <f ca="1"/>
        <v>0.45540084124124491</v>
      </c>
      <c r="O8235" s="2">
        <f ca="1"/>
        <v>-0.37029450567791838</v>
      </c>
      <c r="X8235" s="2">
        <f ca="1"/>
        <v>25.976950999100449</v>
      </c>
      <c r="AG8235" s="2">
        <f ca="1"/>
        <v>0.85200975011499636</v>
      </c>
      <c r="AH8235" s="2" t="str">
        <f ca="1"/>
        <v>Bad</v>
      </c>
    </row>
    <row r="8236" spans="2:34" x14ac:dyDescent="0.2">
      <c r="B8236" s="2">
        <f ca="1"/>
        <v>0.71588517705780319</v>
      </c>
      <c r="O8236" s="2">
        <f ca="1"/>
        <v>0.71575028936952267</v>
      </c>
      <c r="X8236" s="2">
        <f ca="1"/>
        <v>62.690351421024772</v>
      </c>
      <c r="AG8236" s="2">
        <f ca="1"/>
        <v>0.69338006124021523</v>
      </c>
      <c r="AH8236" s="2" t="str">
        <f ca="1"/>
        <v>Bad</v>
      </c>
    </row>
    <row r="8237" spans="2:34" x14ac:dyDescent="0.2">
      <c r="B8237" s="2">
        <f ca="1"/>
        <v>0.19220259488172386</v>
      </c>
      <c r="O8237" s="2">
        <f ca="1"/>
        <v>-0.62451301050440888</v>
      </c>
      <c r="X8237" s="2">
        <f ca="1"/>
        <v>32.332142766655835</v>
      </c>
      <c r="AG8237" s="2">
        <f ca="1"/>
        <v>0.16988801327372793</v>
      </c>
      <c r="AH8237" s="2" t="str">
        <f ca="1"/>
        <v>OK</v>
      </c>
    </row>
    <row r="8238" spans="2:34" x14ac:dyDescent="0.2">
      <c r="B8238" s="2">
        <f ca="1"/>
        <v>0.32981949401550281</v>
      </c>
      <c r="O8238" s="2">
        <f ca="1"/>
        <v>-2.261841579541819</v>
      </c>
      <c r="X8238" s="2">
        <f ca="1"/>
        <v>34.381128325737137</v>
      </c>
      <c r="AG8238" s="2">
        <f ca="1"/>
        <v>0.89526403551152667</v>
      </c>
      <c r="AH8238" s="2" t="str">
        <f ca="1"/>
        <v>Bad</v>
      </c>
    </row>
    <row r="8239" spans="2:34" x14ac:dyDescent="0.2">
      <c r="B8239" s="2">
        <f ca="1"/>
        <v>0.94879650712440444</v>
      </c>
      <c r="O8239" s="2">
        <f ca="1"/>
        <v>1.0593185246381289</v>
      </c>
      <c r="X8239" s="2">
        <f ca="1"/>
        <v>26.969452634475665</v>
      </c>
      <c r="AG8239" s="2">
        <f ca="1"/>
        <v>0.43273604599025006</v>
      </c>
      <c r="AH8239" s="2" t="str">
        <f ca="1"/>
        <v>Bad</v>
      </c>
    </row>
    <row r="8240" spans="2:34" x14ac:dyDescent="0.2">
      <c r="B8240" s="2">
        <f ca="1"/>
        <v>0.39285586872197698</v>
      </c>
      <c r="O8240" s="2">
        <f ca="1"/>
        <v>1.1980824901791736</v>
      </c>
      <c r="X8240" s="2">
        <f ca="1"/>
        <v>70.762337862281072</v>
      </c>
      <c r="AG8240" s="2">
        <f ca="1"/>
        <v>0.22179994694473693</v>
      </c>
      <c r="AH8240" s="2" t="str">
        <f ca="1"/>
        <v>OK</v>
      </c>
    </row>
    <row r="8241" spans="2:34" x14ac:dyDescent="0.2">
      <c r="B8241" s="2">
        <f ca="1"/>
        <v>0.12923072180212203</v>
      </c>
      <c r="O8241" s="2">
        <f ca="1"/>
        <v>-1.5040268440501452</v>
      </c>
      <c r="X8241" s="2">
        <f ca="1"/>
        <v>41.234428280617983</v>
      </c>
      <c r="AG8241" s="2">
        <f ca="1"/>
        <v>0.8468879741440074</v>
      </c>
      <c r="AH8241" s="2" t="str">
        <f ca="1"/>
        <v>Bad</v>
      </c>
    </row>
    <row r="8242" spans="2:34" x14ac:dyDescent="0.2">
      <c r="B8242" s="2">
        <f ca="1"/>
        <v>0.53474908467980153</v>
      </c>
      <c r="O8242" s="2">
        <f ca="1"/>
        <v>0.29423891044207429</v>
      </c>
      <c r="X8242" s="2">
        <f ca="1"/>
        <v>47.644249606930899</v>
      </c>
      <c r="AG8242" s="2">
        <f ca="1"/>
        <v>0.91925426501182272</v>
      </c>
      <c r="AH8242" s="2" t="str">
        <f ca="1"/>
        <v>Bad</v>
      </c>
    </row>
    <row r="8243" spans="2:34" x14ac:dyDescent="0.2">
      <c r="B8243" s="2">
        <f ca="1"/>
        <v>0.78206060625571761</v>
      </c>
      <c r="O8243" s="2">
        <f ca="1"/>
        <v>-0.12957385931107876</v>
      </c>
      <c r="X8243" s="2">
        <f ca="1"/>
        <v>32.911656089470732</v>
      </c>
      <c r="AG8243" s="2">
        <f ca="1"/>
        <v>0.91270714751285698</v>
      </c>
      <c r="AH8243" s="2" t="str">
        <f ca="1"/>
        <v>Bad</v>
      </c>
    </row>
    <row r="8244" spans="2:34" x14ac:dyDescent="0.2">
      <c r="B8244" s="2">
        <f ca="1"/>
        <v>0.86226597503645386</v>
      </c>
      <c r="O8244" s="2">
        <f ca="1"/>
        <v>-0.61044546746919148</v>
      </c>
      <c r="X8244" s="2">
        <f ca="1"/>
        <v>62.232844839447019</v>
      </c>
      <c r="AG8244" s="2">
        <f ca="1"/>
        <v>0.81661481391488611</v>
      </c>
      <c r="AH8244" s="2" t="str">
        <f ca="1"/>
        <v>Bad</v>
      </c>
    </row>
    <row r="8245" spans="2:34" x14ac:dyDescent="0.2">
      <c r="B8245" s="2">
        <f ca="1"/>
        <v>0.89271802664418343</v>
      </c>
      <c r="O8245" s="2">
        <f ca="1"/>
        <v>0.11664006198991179</v>
      </c>
      <c r="X8245" s="2">
        <f ca="1"/>
        <v>33.737393720001833</v>
      </c>
      <c r="AG8245" s="2">
        <f ca="1"/>
        <v>0.21624088643766926</v>
      </c>
      <c r="AH8245" s="2" t="str">
        <f ca="1"/>
        <v>OK</v>
      </c>
    </row>
    <row r="8246" spans="2:34" x14ac:dyDescent="0.2">
      <c r="B8246" s="2">
        <f ca="1"/>
        <v>0.22904224042127086</v>
      </c>
      <c r="O8246" s="2">
        <f ca="1"/>
        <v>-2.0335598518129137E-2</v>
      </c>
      <c r="X8246" s="2">
        <f ca="1"/>
        <v>46.704267563344345</v>
      </c>
      <c r="AG8246" s="2">
        <f ca="1"/>
        <v>0.5406055176419049</v>
      </c>
      <c r="AH8246" s="2" t="str">
        <f ca="1"/>
        <v>Bad</v>
      </c>
    </row>
    <row r="8247" spans="2:34" x14ac:dyDescent="0.2">
      <c r="B8247" s="2">
        <f ca="1"/>
        <v>0.20424861441561548</v>
      </c>
      <c r="O8247" s="2">
        <f ca="1"/>
        <v>-8.8769379304698359E-2</v>
      </c>
      <c r="X8247" s="2">
        <f ca="1"/>
        <v>16.553975934035829</v>
      </c>
      <c r="AG8247" s="2">
        <f ca="1"/>
        <v>0.88620873936434541</v>
      </c>
      <c r="AH8247" s="2" t="str">
        <f ca="1"/>
        <v>Bad</v>
      </c>
    </row>
    <row r="8248" spans="2:34" x14ac:dyDescent="0.2">
      <c r="B8248" s="2">
        <f ca="1"/>
        <v>0.67300631521575527</v>
      </c>
      <c r="O8248" s="2">
        <f ca="1"/>
        <v>-0.13185505537164949</v>
      </c>
      <c r="X8248" s="2">
        <f ca="1"/>
        <v>91.712634275086273</v>
      </c>
      <c r="AG8248" s="2">
        <f ca="1"/>
        <v>0.96652815106021728</v>
      </c>
      <c r="AH8248" s="2" t="str">
        <f ca="1"/>
        <v>Bad</v>
      </c>
    </row>
    <row r="8249" spans="2:34" x14ac:dyDescent="0.2">
      <c r="B8249" s="2">
        <f ca="1"/>
        <v>2.3425088243145709E-2</v>
      </c>
      <c r="O8249" s="2">
        <f ca="1"/>
        <v>9.8560489298743753E-2</v>
      </c>
      <c r="X8249" s="2">
        <f ca="1"/>
        <v>53.534846303142885</v>
      </c>
      <c r="AG8249" s="2">
        <f ca="1"/>
        <v>3.2461004514047209E-2</v>
      </c>
      <c r="AH8249" s="2" t="str">
        <f ca="1"/>
        <v>Good</v>
      </c>
    </row>
    <row r="8250" spans="2:34" x14ac:dyDescent="0.2">
      <c r="B8250" s="2">
        <f ca="1"/>
        <v>0.61225857120393212</v>
      </c>
      <c r="O8250" s="2">
        <f ca="1"/>
        <v>-6.6408031756909916E-2</v>
      </c>
      <c r="X8250" s="2">
        <f ca="1"/>
        <v>57.120162639699771</v>
      </c>
      <c r="AG8250" s="2">
        <f ca="1"/>
        <v>0.43860241576192971</v>
      </c>
      <c r="AH8250" s="2" t="str">
        <f ca="1"/>
        <v>Bad</v>
      </c>
    </row>
    <row r="8251" spans="2:34" x14ac:dyDescent="0.2">
      <c r="B8251" s="2">
        <f ca="1"/>
        <v>0.6959894823507089</v>
      </c>
      <c r="O8251" s="2">
        <f ca="1"/>
        <v>-0.26347931569724653</v>
      </c>
      <c r="X8251" s="2">
        <f ca="1"/>
        <v>45.814588940980968</v>
      </c>
      <c r="AG8251" s="2">
        <f ca="1"/>
        <v>0.46054506354703362</v>
      </c>
      <c r="AH8251" s="2" t="str">
        <f ca="1"/>
        <v>Bad</v>
      </c>
    </row>
    <row r="8252" spans="2:34" x14ac:dyDescent="0.2">
      <c r="B8252" s="2">
        <f ca="1"/>
        <v>0.28547931004179183</v>
      </c>
      <c r="O8252" s="2">
        <f ca="1"/>
        <v>0.89759187643911276</v>
      </c>
      <c r="X8252" s="2">
        <f ca="1"/>
        <v>44.41654421495884</v>
      </c>
      <c r="AG8252" s="2">
        <f ca="1"/>
        <v>0.64965350101219843</v>
      </c>
      <c r="AH8252" s="2" t="str">
        <f ca="1"/>
        <v>Bad</v>
      </c>
    </row>
    <row r="8253" spans="2:34" x14ac:dyDescent="0.2">
      <c r="B8253" s="2">
        <f ca="1"/>
        <v>0.48018485741615513</v>
      </c>
      <c r="O8253" s="2">
        <f ca="1"/>
        <v>0.99950714458567613</v>
      </c>
      <c r="X8253" s="2">
        <f ca="1"/>
        <v>108.22648844016189</v>
      </c>
      <c r="AG8253" s="2">
        <f ca="1"/>
        <v>0.26868980770692619</v>
      </c>
      <c r="AH8253" s="2" t="str">
        <f ca="1"/>
        <v>OK</v>
      </c>
    </row>
    <row r="8254" spans="2:34" x14ac:dyDescent="0.2">
      <c r="B8254" s="2">
        <f ca="1"/>
        <v>0.28976073547715853</v>
      </c>
      <c r="O8254" s="2">
        <f ca="1"/>
        <v>0.52942269881288107</v>
      </c>
      <c r="X8254" s="2">
        <f ca="1"/>
        <v>55.835916377128797</v>
      </c>
      <c r="AG8254" s="2">
        <f ca="1"/>
        <v>0.46352368194521643</v>
      </c>
      <c r="AH8254" s="2" t="str">
        <f ca="1"/>
        <v>Bad</v>
      </c>
    </row>
    <row r="8255" spans="2:34" x14ac:dyDescent="0.2">
      <c r="B8255" s="2">
        <f ca="1"/>
        <v>0.74063931306267761</v>
      </c>
      <c r="O8255" s="2">
        <f ca="1"/>
        <v>-0.89102221386215097</v>
      </c>
      <c r="X8255" s="2">
        <f ca="1"/>
        <v>40.602785145979738</v>
      </c>
      <c r="AG8255" s="2">
        <f ca="1"/>
        <v>0.6638760112828801</v>
      </c>
      <c r="AH8255" s="2" t="str">
        <f ca="1"/>
        <v>Bad</v>
      </c>
    </row>
    <row r="8256" spans="2:34" x14ac:dyDescent="0.2">
      <c r="B8256" s="2">
        <f ca="1"/>
        <v>1.4052024277226849E-2</v>
      </c>
      <c r="O8256" s="2">
        <f ca="1"/>
        <v>-0.77134405340723633</v>
      </c>
      <c r="X8256" s="2">
        <f ca="1"/>
        <v>39.157795015641277</v>
      </c>
      <c r="AG8256" s="2">
        <f ca="1"/>
        <v>0.70552901985270289</v>
      </c>
      <c r="AH8256" s="2" t="str">
        <f ca="1"/>
        <v>Bad</v>
      </c>
    </row>
    <row r="8257" spans="2:34" x14ac:dyDescent="0.2">
      <c r="B8257" s="2">
        <f ca="1"/>
        <v>0.86665240564280599</v>
      </c>
      <c r="O8257" s="2">
        <f ca="1"/>
        <v>-1.5719752458087124</v>
      </c>
      <c r="X8257" s="2">
        <f ca="1"/>
        <v>60.044222488967122</v>
      </c>
      <c r="AG8257" s="2">
        <f ca="1"/>
        <v>0.60715582204531349</v>
      </c>
      <c r="AH8257" s="2" t="str">
        <f ca="1"/>
        <v>Bad</v>
      </c>
    </row>
    <row r="8258" spans="2:34" x14ac:dyDescent="0.2">
      <c r="B8258" s="2">
        <f ca="1"/>
        <v>0.42744235043649836</v>
      </c>
      <c r="O8258" s="2">
        <f ca="1"/>
        <v>-0.72695395959539955</v>
      </c>
      <c r="X8258" s="2">
        <f ca="1"/>
        <v>48.254656920338668</v>
      </c>
      <c r="AG8258" s="2">
        <f ca="1"/>
        <v>0.27214546007123186</v>
      </c>
      <c r="AH8258" s="2" t="str">
        <f ca="1"/>
        <v>OK</v>
      </c>
    </row>
    <row r="8259" spans="2:34" x14ac:dyDescent="0.2">
      <c r="B8259" s="2">
        <f ca="1"/>
        <v>0.39583842032775007</v>
      </c>
      <c r="O8259" s="2">
        <f ca="1"/>
        <v>-0.76674532082588598</v>
      </c>
      <c r="X8259" s="2">
        <f ca="1"/>
        <v>48.831708489329138</v>
      </c>
      <c r="AG8259" s="2">
        <f ca="1"/>
        <v>0.77717361727969503</v>
      </c>
      <c r="AH8259" s="2" t="str">
        <f ca="1"/>
        <v>Bad</v>
      </c>
    </row>
    <row r="8260" spans="2:34" x14ac:dyDescent="0.2">
      <c r="B8260" s="2">
        <f ca="1"/>
        <v>0.21455222110097472</v>
      </c>
      <c r="O8260" s="2">
        <f ca="1"/>
        <v>0.16345413615819773</v>
      </c>
      <c r="X8260" s="2">
        <f ca="1"/>
        <v>38.170155091553717</v>
      </c>
      <c r="AG8260" s="2">
        <f ca="1"/>
        <v>0.48309625117928778</v>
      </c>
      <c r="AH8260" s="2" t="str">
        <f ca="1"/>
        <v>Bad</v>
      </c>
    </row>
    <row r="8261" spans="2:34" x14ac:dyDescent="0.2">
      <c r="B8261" s="2">
        <f ca="1"/>
        <v>0.86227129833220251</v>
      </c>
      <c r="O8261" s="2">
        <f ca="1"/>
        <v>-1.0997161945418052</v>
      </c>
      <c r="X8261" s="2">
        <f ca="1"/>
        <v>51.395512354417001</v>
      </c>
      <c r="AG8261" s="2">
        <f ca="1"/>
        <v>0.62819893754439904</v>
      </c>
      <c r="AH8261" s="2" t="str">
        <f ca="1"/>
        <v>Bad</v>
      </c>
    </row>
    <row r="8262" spans="2:34" x14ac:dyDescent="0.2">
      <c r="B8262" s="2">
        <f ca="1"/>
        <v>0.28626916857962281</v>
      </c>
      <c r="O8262" s="2">
        <f ca="1"/>
        <v>-6.1800651749190402E-2</v>
      </c>
      <c r="X8262" s="2">
        <f ca="1"/>
        <v>37.676212419890916</v>
      </c>
      <c r="AG8262" s="2">
        <f ca="1"/>
        <v>9.5689765102533464E-2</v>
      </c>
      <c r="AH8262" s="2" t="str">
        <f ca="1"/>
        <v>OK</v>
      </c>
    </row>
    <row r="8263" spans="2:34" x14ac:dyDescent="0.2">
      <c r="B8263" s="2">
        <f ca="1"/>
        <v>0.34071090245874092</v>
      </c>
      <c r="O8263" s="2">
        <f ca="1"/>
        <v>-0.17342074478701339</v>
      </c>
      <c r="X8263" s="2">
        <f ca="1"/>
        <v>62.344197796478184</v>
      </c>
      <c r="AG8263" s="2">
        <f ca="1"/>
        <v>0.41849959757530386</v>
      </c>
      <c r="AH8263" s="2" t="str">
        <f ca="1"/>
        <v>Bad</v>
      </c>
    </row>
    <row r="8264" spans="2:34" x14ac:dyDescent="0.2">
      <c r="B8264" s="2">
        <f ca="1"/>
        <v>0.73200671651957339</v>
      </c>
      <c r="O8264" s="2">
        <f ca="1"/>
        <v>-0.25420529092158817</v>
      </c>
      <c r="X8264" s="2">
        <f ca="1"/>
        <v>32.139246061918627</v>
      </c>
      <c r="AG8264" s="2">
        <f ca="1"/>
        <v>0.83117469573584191</v>
      </c>
      <c r="AH8264" s="2" t="str">
        <f ca="1"/>
        <v>Bad</v>
      </c>
    </row>
    <row r="8265" spans="2:34" x14ac:dyDescent="0.2">
      <c r="B8265" s="2">
        <f ca="1"/>
        <v>0.83446150498269089</v>
      </c>
      <c r="O8265" s="2">
        <f ca="1"/>
        <v>-0.57278232491721792</v>
      </c>
      <c r="X8265" s="2">
        <f ca="1"/>
        <v>60.69896740689704</v>
      </c>
      <c r="AG8265" s="2">
        <f ca="1"/>
        <v>0.34712954600130086</v>
      </c>
      <c r="AH8265" s="2" t="str">
        <f ca="1"/>
        <v>OK</v>
      </c>
    </row>
    <row r="8266" spans="2:34" x14ac:dyDescent="0.2">
      <c r="B8266" s="2">
        <f ca="1"/>
        <v>0.52330024836388467</v>
      </c>
      <c r="O8266" s="2">
        <f ca="1"/>
        <v>-0.99862705864441736</v>
      </c>
      <c r="X8266" s="2">
        <f ca="1"/>
        <v>32.63321392041297</v>
      </c>
      <c r="AG8266" s="2">
        <f ca="1"/>
        <v>2.5981150408386444E-2</v>
      </c>
      <c r="AH8266" s="2" t="str">
        <f ca="1"/>
        <v>Good</v>
      </c>
    </row>
    <row r="8267" spans="2:34" x14ac:dyDescent="0.2">
      <c r="B8267" s="2">
        <f ca="1"/>
        <v>0.26106491075589311</v>
      </c>
      <c r="O8267" s="2">
        <f ca="1"/>
        <v>-0.11599139791918202</v>
      </c>
      <c r="X8267" s="2">
        <f ca="1"/>
        <v>29.419078904657333</v>
      </c>
      <c r="AG8267" s="2">
        <f ca="1"/>
        <v>0.14854491157905825</v>
      </c>
      <c r="AH8267" s="2" t="str">
        <f ca="1"/>
        <v>OK</v>
      </c>
    </row>
    <row r="8268" spans="2:34" x14ac:dyDescent="0.2">
      <c r="B8268" s="2">
        <f ca="1"/>
        <v>0.71325545089429165</v>
      </c>
      <c r="O8268" s="2">
        <f ca="1"/>
        <v>0.26682797073635334</v>
      </c>
      <c r="X8268" s="2">
        <f ca="1"/>
        <v>55.185228373969146</v>
      </c>
      <c r="AG8268" s="2">
        <f ca="1"/>
        <v>0.29352629863242585</v>
      </c>
      <c r="AH8268" s="2" t="str">
        <f ca="1"/>
        <v>OK</v>
      </c>
    </row>
    <row r="8269" spans="2:34" x14ac:dyDescent="0.2">
      <c r="B8269" s="2">
        <f ca="1"/>
        <v>0.26227741762686141</v>
      </c>
      <c r="O8269" s="2">
        <f ca="1"/>
        <v>-0.97302606066604902</v>
      </c>
      <c r="X8269" s="2">
        <f ca="1"/>
        <v>64.219843441203679</v>
      </c>
      <c r="AG8269" s="2">
        <f ca="1"/>
        <v>0.97751608472904272</v>
      </c>
      <c r="AH8269" s="2" t="str">
        <f ca="1"/>
        <v>Bad</v>
      </c>
    </row>
    <row r="8270" spans="2:34" x14ac:dyDescent="0.2">
      <c r="B8270" s="2">
        <f ca="1"/>
        <v>0.32419471457471793</v>
      </c>
      <c r="O8270" s="2">
        <f ca="1"/>
        <v>1.2193139707152898</v>
      </c>
      <c r="X8270" s="2">
        <f ca="1"/>
        <v>53.761245269680956</v>
      </c>
      <c r="AG8270" s="2">
        <f ca="1"/>
        <v>0.62918901065800226</v>
      </c>
      <c r="AH8270" s="2" t="str">
        <f ca="1"/>
        <v>Bad</v>
      </c>
    </row>
    <row r="8271" spans="2:34" x14ac:dyDescent="0.2">
      <c r="B8271" s="2">
        <f ca="1"/>
        <v>9.4323220503834015E-2</v>
      </c>
      <c r="O8271" s="2">
        <f ca="1"/>
        <v>-0.26573574657806859</v>
      </c>
      <c r="X8271" s="2">
        <f ca="1"/>
        <v>47.720447414452643</v>
      </c>
      <c r="AG8271" s="2">
        <f ca="1"/>
        <v>8.0336939724436007E-2</v>
      </c>
      <c r="AH8271" s="2" t="str">
        <f ca="1"/>
        <v>OK</v>
      </c>
    </row>
    <row r="8272" spans="2:34" x14ac:dyDescent="0.2">
      <c r="B8272" s="2">
        <f ca="1"/>
        <v>0.26333747574307309</v>
      </c>
      <c r="O8272" s="2">
        <f ca="1"/>
        <v>-0.15956007757127469</v>
      </c>
      <c r="X8272" s="2">
        <f ca="1"/>
        <v>26.784739503271268</v>
      </c>
      <c r="AG8272" s="2">
        <f ca="1"/>
        <v>0.8638993885425974</v>
      </c>
      <c r="AH8272" s="2" t="str">
        <f ca="1"/>
        <v>Bad</v>
      </c>
    </row>
    <row r="8273" spans="2:34" x14ac:dyDescent="0.2">
      <c r="B8273" s="2">
        <f ca="1"/>
        <v>0.96616914020151579</v>
      </c>
      <c r="O8273" s="2">
        <f ca="1"/>
        <v>0.10013581153280697</v>
      </c>
      <c r="X8273" s="2">
        <f ca="1"/>
        <v>33.992011887662933</v>
      </c>
      <c r="AG8273" s="2">
        <f ca="1"/>
        <v>0.13836469855888822</v>
      </c>
      <c r="AH8273" s="2" t="str">
        <f ca="1"/>
        <v>OK</v>
      </c>
    </row>
    <row r="8274" spans="2:34" x14ac:dyDescent="0.2">
      <c r="B8274" s="2">
        <f ca="1"/>
        <v>8.6308891486793549E-2</v>
      </c>
      <c r="O8274" s="2">
        <f ca="1"/>
        <v>0.42511346303440106</v>
      </c>
      <c r="X8274" s="2">
        <f ca="1"/>
        <v>39.546311917188433</v>
      </c>
      <c r="AG8274" s="2">
        <f ca="1"/>
        <v>0.15208961007566191</v>
      </c>
      <c r="AH8274" s="2" t="str">
        <f ca="1"/>
        <v>OK</v>
      </c>
    </row>
    <row r="8275" spans="2:34" x14ac:dyDescent="0.2">
      <c r="B8275" s="2">
        <f ca="1"/>
        <v>0.1393835352793904</v>
      </c>
      <c r="O8275" s="2">
        <f ca="1"/>
        <v>2.0859550674863838</v>
      </c>
      <c r="X8275" s="2">
        <f ca="1"/>
        <v>48.313386841789175</v>
      </c>
      <c r="AG8275" s="2">
        <f ca="1"/>
        <v>0.47388259344012584</v>
      </c>
      <c r="AH8275" s="2" t="str">
        <f ca="1"/>
        <v>Bad</v>
      </c>
    </row>
    <row r="8276" spans="2:34" x14ac:dyDescent="0.2">
      <c r="B8276" s="2">
        <f ca="1"/>
        <v>0.965092850356011</v>
      </c>
      <c r="O8276" s="2">
        <f ca="1"/>
        <v>0.20733608150540622</v>
      </c>
      <c r="X8276" s="2">
        <f ca="1"/>
        <v>30.327390206948841</v>
      </c>
      <c r="AG8276" s="2">
        <f ca="1"/>
        <v>0.52412628287379381</v>
      </c>
      <c r="AH8276" s="2" t="str">
        <f ca="1"/>
        <v>Bad</v>
      </c>
    </row>
    <row r="8277" spans="2:34" x14ac:dyDescent="0.2">
      <c r="B8277" s="2">
        <f ca="1"/>
        <v>0.22938506185955121</v>
      </c>
      <c r="O8277" s="2">
        <f ca="1"/>
        <v>1.1087902025356939</v>
      </c>
      <c r="X8277" s="2">
        <f ca="1"/>
        <v>49.220135946010672</v>
      </c>
      <c r="AG8277" s="2">
        <f ca="1"/>
        <v>9.958324995165202E-2</v>
      </c>
      <c r="AH8277" s="2" t="str">
        <f ca="1"/>
        <v>OK</v>
      </c>
    </row>
    <row r="8278" spans="2:34" x14ac:dyDescent="0.2">
      <c r="B8278" s="2">
        <f ca="1"/>
        <v>0.32689957528342717</v>
      </c>
      <c r="O8278" s="2">
        <f ca="1"/>
        <v>-0.98655232021446038</v>
      </c>
      <c r="X8278" s="2">
        <f ca="1"/>
        <v>43.88984301839681</v>
      </c>
      <c r="AG8278" s="2">
        <f ca="1"/>
        <v>0.6732765409577437</v>
      </c>
      <c r="AH8278" s="2" t="str">
        <f ca="1"/>
        <v>Bad</v>
      </c>
    </row>
    <row r="8279" spans="2:34" x14ac:dyDescent="0.2">
      <c r="B8279" s="2">
        <f ca="1"/>
        <v>0.84983986024455405</v>
      </c>
      <c r="O8279" s="2">
        <f ca="1"/>
        <v>0.17432983671821095</v>
      </c>
      <c r="X8279" s="2">
        <f ca="1"/>
        <v>34.364718792597543</v>
      </c>
      <c r="AG8279" s="2">
        <f ca="1"/>
        <v>0.46564653126380628</v>
      </c>
      <c r="AH8279" s="2" t="str">
        <f ca="1"/>
        <v>Bad</v>
      </c>
    </row>
    <row r="8280" spans="2:34" x14ac:dyDescent="0.2">
      <c r="B8280" s="2">
        <f ca="1"/>
        <v>0.22518989362073372</v>
      </c>
      <c r="O8280" s="2">
        <f ca="1"/>
        <v>-0.60666506377375551</v>
      </c>
      <c r="X8280" s="2">
        <f ca="1"/>
        <v>35.47312722950619</v>
      </c>
      <c r="AG8280" s="2">
        <f ca="1"/>
        <v>0.21994354683197481</v>
      </c>
      <c r="AH8280" s="2" t="str">
        <f ca="1"/>
        <v>OK</v>
      </c>
    </row>
    <row r="8281" spans="2:34" x14ac:dyDescent="0.2">
      <c r="B8281" s="2">
        <f ca="1"/>
        <v>0.65433696429920607</v>
      </c>
      <c r="O8281" s="2">
        <f ca="1"/>
        <v>-0.7780536984331331</v>
      </c>
      <c r="X8281" s="2">
        <f ca="1"/>
        <v>46.199327776485916</v>
      </c>
      <c r="AG8281" s="2">
        <f ca="1"/>
        <v>0.28377307911234473</v>
      </c>
      <c r="AH8281" s="2" t="str">
        <f ca="1"/>
        <v>OK</v>
      </c>
    </row>
    <row r="8282" spans="2:34" x14ac:dyDescent="0.2">
      <c r="B8282" s="2">
        <f ca="1"/>
        <v>0.53939850948038304</v>
      </c>
      <c r="O8282" s="2">
        <f ca="1"/>
        <v>1.2331253916019442</v>
      </c>
      <c r="X8282" s="2">
        <f ca="1"/>
        <v>65.583487684275426</v>
      </c>
      <c r="AG8282" s="2">
        <f ca="1"/>
        <v>0.26301110358210855</v>
      </c>
      <c r="AH8282" s="2" t="str">
        <f ca="1"/>
        <v>OK</v>
      </c>
    </row>
    <row r="8283" spans="2:34" x14ac:dyDescent="0.2">
      <c r="B8283" s="2">
        <f ca="1"/>
        <v>0.5677536239487162</v>
      </c>
      <c r="O8283" s="2">
        <f ca="1"/>
        <v>0.67956049822575026</v>
      </c>
      <c r="X8283" s="2">
        <f ca="1"/>
        <v>79.548343492118136</v>
      </c>
      <c r="AG8283" s="2">
        <f ca="1"/>
        <v>0.51880238333173812</v>
      </c>
      <c r="AH8283" s="2" t="str">
        <f ca="1"/>
        <v>Bad</v>
      </c>
    </row>
    <row r="8284" spans="2:34" x14ac:dyDescent="0.2">
      <c r="B8284" s="2">
        <f ca="1"/>
        <v>5.722156720554028E-2</v>
      </c>
      <c r="O8284" s="2">
        <f ca="1"/>
        <v>-1.8445032332591149E-2</v>
      </c>
      <c r="X8284" s="2">
        <f ca="1"/>
        <v>31.453280749913066</v>
      </c>
      <c r="AG8284" s="2">
        <f ca="1"/>
        <v>0.23200077131598595</v>
      </c>
      <c r="AH8284" s="2" t="str">
        <f ca="1"/>
        <v>OK</v>
      </c>
    </row>
    <row r="8285" spans="2:34" x14ac:dyDescent="0.2">
      <c r="B8285" s="2">
        <f ca="1"/>
        <v>6.6825741353601309E-2</v>
      </c>
      <c r="O8285" s="2">
        <f ca="1"/>
        <v>-0.17500832364484581</v>
      </c>
      <c r="X8285" s="2">
        <f ca="1"/>
        <v>53.064266377472869</v>
      </c>
      <c r="AG8285" s="2">
        <f ca="1"/>
        <v>0.8347201944968925</v>
      </c>
      <c r="AH8285" s="2" t="str">
        <f ca="1"/>
        <v>Bad</v>
      </c>
    </row>
    <row r="8286" spans="2:34" x14ac:dyDescent="0.2">
      <c r="B8286" s="2">
        <f ca="1"/>
        <v>0.53261404304235893</v>
      </c>
      <c r="O8286" s="2">
        <f ca="1"/>
        <v>-0.92795909395858356</v>
      </c>
      <c r="X8286" s="2">
        <f ca="1"/>
        <v>46.3615925281009</v>
      </c>
      <c r="AG8286" s="2">
        <f ca="1"/>
        <v>0.14311181595420064</v>
      </c>
      <c r="AH8286" s="2" t="str">
        <f ca="1"/>
        <v>OK</v>
      </c>
    </row>
    <row r="8287" spans="2:34" x14ac:dyDescent="0.2">
      <c r="B8287" s="2">
        <f ca="1"/>
        <v>2.5908113599146354E-2</v>
      </c>
      <c r="O8287" s="2">
        <f ca="1"/>
        <v>0.38165798004230572</v>
      </c>
      <c r="X8287" s="2">
        <f ca="1"/>
        <v>27.837994119724957</v>
      </c>
      <c r="AG8287" s="2">
        <f ca="1"/>
        <v>0.47143525764022387</v>
      </c>
      <c r="AH8287" s="2" t="str">
        <f ca="1"/>
        <v>Bad</v>
      </c>
    </row>
    <row r="8288" spans="2:34" x14ac:dyDescent="0.2">
      <c r="B8288" s="2">
        <f ca="1"/>
        <v>0.76920173556598215</v>
      </c>
      <c r="O8288" s="2">
        <f ca="1"/>
        <v>0.15692587425203119</v>
      </c>
      <c r="X8288" s="2">
        <f ca="1"/>
        <v>52.568149904330468</v>
      </c>
      <c r="AG8288" s="2">
        <f ca="1"/>
        <v>0.75143285559865136</v>
      </c>
      <c r="AH8288" s="2" t="str">
        <f ca="1"/>
        <v>Bad</v>
      </c>
    </row>
    <row r="8289" spans="2:34" x14ac:dyDescent="0.2">
      <c r="B8289" s="2">
        <f ca="1"/>
        <v>0.57790364753828483</v>
      </c>
      <c r="O8289" s="2">
        <f ca="1"/>
        <v>1.2402003228304841</v>
      </c>
      <c r="X8289" s="2">
        <f ca="1"/>
        <v>71.208356425029706</v>
      </c>
      <c r="AG8289" s="2">
        <f ca="1"/>
        <v>0.855128547325122</v>
      </c>
      <c r="AH8289" s="2" t="str">
        <f ca="1"/>
        <v>Bad</v>
      </c>
    </row>
    <row r="8290" spans="2:34" x14ac:dyDescent="0.2">
      <c r="B8290" s="2">
        <f ca="1"/>
        <v>0.76007274127500257</v>
      </c>
      <c r="O8290" s="2">
        <f ca="1"/>
        <v>-0.41922714140157175</v>
      </c>
      <c r="X8290" s="2">
        <f ca="1"/>
        <v>90.567348581311876</v>
      </c>
      <c r="AG8290" s="2">
        <f ca="1"/>
        <v>0.58642978818319924</v>
      </c>
      <c r="AH8290" s="2" t="str">
        <f ca="1"/>
        <v>Bad</v>
      </c>
    </row>
    <row r="8291" spans="2:34" x14ac:dyDescent="0.2">
      <c r="B8291" s="2">
        <f ca="1"/>
        <v>0.23064673448897888</v>
      </c>
      <c r="O8291" s="2">
        <f ca="1"/>
        <v>-1.4235938274772384</v>
      </c>
      <c r="X8291" s="2">
        <f ca="1"/>
        <v>23.063813016238342</v>
      </c>
      <c r="AG8291" s="2">
        <f ca="1"/>
        <v>0.65384883630581236</v>
      </c>
      <c r="AH8291" s="2" t="str">
        <f ca="1"/>
        <v>Bad</v>
      </c>
    </row>
    <row r="8292" spans="2:34" x14ac:dyDescent="0.2">
      <c r="B8292" s="2">
        <f ca="1"/>
        <v>0.11126292342530175</v>
      </c>
      <c r="O8292" s="2">
        <f ca="1"/>
        <v>3.945865214691642E-2</v>
      </c>
      <c r="X8292" s="2">
        <f ca="1"/>
        <v>44.171445781978036</v>
      </c>
      <c r="AG8292" s="2">
        <f ca="1"/>
        <v>0.19765711594365487</v>
      </c>
      <c r="AH8292" s="2" t="str">
        <f ca="1"/>
        <v>OK</v>
      </c>
    </row>
    <row r="8293" spans="2:34" x14ac:dyDescent="0.2">
      <c r="B8293" s="2">
        <f ca="1"/>
        <v>0.29327116548676457</v>
      </c>
      <c r="O8293" s="2">
        <f ca="1"/>
        <v>0.47504936833895001</v>
      </c>
      <c r="X8293" s="2">
        <f ca="1"/>
        <v>47.59796759296102</v>
      </c>
      <c r="AG8293" s="2">
        <f ca="1"/>
        <v>0.35387487944375118</v>
      </c>
      <c r="AH8293" s="2" t="str">
        <f ca="1"/>
        <v>OK</v>
      </c>
    </row>
    <row r="8294" spans="2:34" x14ac:dyDescent="0.2">
      <c r="B8294" s="2">
        <f ca="1"/>
        <v>0.21342335217208297</v>
      </c>
      <c r="O8294" s="2">
        <f ca="1"/>
        <v>-0.54171425693123332</v>
      </c>
      <c r="X8294" s="2">
        <f ca="1"/>
        <v>47.334051716852343</v>
      </c>
      <c r="AG8294" s="2">
        <f ca="1"/>
        <v>0.20908307515150537</v>
      </c>
      <c r="AH8294" s="2" t="str">
        <f ca="1"/>
        <v>OK</v>
      </c>
    </row>
    <row r="8295" spans="2:34" x14ac:dyDescent="0.2">
      <c r="B8295" s="2">
        <f ca="1"/>
        <v>0.93617309744701904</v>
      </c>
      <c r="O8295" s="2">
        <f ca="1"/>
        <v>0.31931639122431132</v>
      </c>
      <c r="X8295" s="2">
        <f ca="1"/>
        <v>76.312365788610819</v>
      </c>
      <c r="AG8295" s="2">
        <f ca="1"/>
        <v>0.59514067383928371</v>
      </c>
      <c r="AH8295" s="2" t="str">
        <f ca="1"/>
        <v>Bad</v>
      </c>
    </row>
    <row r="8296" spans="2:34" x14ac:dyDescent="0.2">
      <c r="B8296" s="2">
        <f ca="1"/>
        <v>0.90540513634265651</v>
      </c>
      <c r="O8296" s="2">
        <f ca="1"/>
        <v>-0.40695756865668486</v>
      </c>
      <c r="X8296" s="2">
        <f ca="1"/>
        <v>48.302519187447224</v>
      </c>
      <c r="AG8296" s="2">
        <f ca="1"/>
        <v>0.54172661441197656</v>
      </c>
      <c r="AH8296" s="2" t="str">
        <f ca="1"/>
        <v>Bad</v>
      </c>
    </row>
    <row r="8297" spans="2:34" x14ac:dyDescent="0.2">
      <c r="B8297" s="2">
        <f ca="1"/>
        <v>0.46007043255463409</v>
      </c>
      <c r="O8297" s="2">
        <f ca="1"/>
        <v>-0.42917717560350654</v>
      </c>
      <c r="X8297" s="2">
        <f ca="1"/>
        <v>61.743275234599864</v>
      </c>
      <c r="AG8297" s="2">
        <f ca="1"/>
        <v>0.62785574175706316</v>
      </c>
      <c r="AH8297" s="2" t="str">
        <f ca="1"/>
        <v>Bad</v>
      </c>
    </row>
    <row r="8298" spans="2:34" x14ac:dyDescent="0.2">
      <c r="B8298" s="2">
        <f ca="1"/>
        <v>0.98917627867773517</v>
      </c>
      <c r="O8298" s="2">
        <f ca="1"/>
        <v>1.04486666760553</v>
      </c>
      <c r="X8298" s="2">
        <f ca="1"/>
        <v>58.462433612910004</v>
      </c>
      <c r="AG8298" s="2">
        <f ca="1"/>
        <v>0.67163940482192031</v>
      </c>
      <c r="AH8298" s="2" t="str">
        <f ca="1"/>
        <v>Bad</v>
      </c>
    </row>
    <row r="8299" spans="2:34" x14ac:dyDescent="0.2">
      <c r="B8299" s="2">
        <f ca="1"/>
        <v>0.23036327965174941</v>
      </c>
      <c r="O8299" s="2">
        <f ca="1"/>
        <v>-0.90089882949176003</v>
      </c>
      <c r="X8299" s="2">
        <f ca="1"/>
        <v>41.540599065290287</v>
      </c>
      <c r="AG8299" s="2">
        <f ca="1"/>
        <v>0.37238364599021923</v>
      </c>
      <c r="AH8299" s="2" t="str">
        <f ca="1"/>
        <v>OK</v>
      </c>
    </row>
    <row r="8300" spans="2:34" x14ac:dyDescent="0.2">
      <c r="B8300" s="2">
        <f ca="1"/>
        <v>0.38020992674961307</v>
      </c>
      <c r="O8300" s="2">
        <f ca="1"/>
        <v>0.90431657413081312</v>
      </c>
      <c r="X8300" s="2">
        <f ca="1"/>
        <v>56.226235414071859</v>
      </c>
      <c r="AG8300" s="2">
        <f ca="1"/>
        <v>0.32277802090358287</v>
      </c>
      <c r="AH8300" s="2" t="str">
        <f ca="1"/>
        <v>OK</v>
      </c>
    </row>
    <row r="8301" spans="2:34" x14ac:dyDescent="0.2">
      <c r="B8301" s="2">
        <f ca="1"/>
        <v>0.37128397659622836</v>
      </c>
      <c r="O8301" s="2">
        <f ca="1"/>
        <v>-0.65752357212897428</v>
      </c>
      <c r="X8301" s="2">
        <f ca="1"/>
        <v>79.423348684087188</v>
      </c>
      <c r="AG8301" s="2">
        <f ca="1"/>
        <v>0.24386405693048618</v>
      </c>
      <c r="AH8301" s="2" t="str">
        <f ca="1"/>
        <v>OK</v>
      </c>
    </row>
    <row r="8302" spans="2:34" x14ac:dyDescent="0.2">
      <c r="B8302" s="2">
        <f ca="1"/>
        <v>6.435430490395122E-2</v>
      </c>
      <c r="O8302" s="2">
        <f ca="1"/>
        <v>0.76421466763581558</v>
      </c>
      <c r="X8302" s="2">
        <f ca="1"/>
        <v>39.736990646941457</v>
      </c>
      <c r="AG8302" s="2">
        <f ca="1"/>
        <v>6.3597788476668971E-2</v>
      </c>
      <c r="AH8302" s="2" t="str">
        <f ca="1"/>
        <v>OK</v>
      </c>
    </row>
    <row r="8303" spans="2:34" x14ac:dyDescent="0.2">
      <c r="B8303" s="2">
        <f ca="1"/>
        <v>0.24480410963579202</v>
      </c>
      <c r="O8303" s="2">
        <f ca="1"/>
        <v>-0.87418623144531726</v>
      </c>
      <c r="X8303" s="2">
        <f ca="1"/>
        <v>54.42901762464367</v>
      </c>
      <c r="AG8303" s="2">
        <f ca="1"/>
        <v>0.35339125979091857</v>
      </c>
      <c r="AH8303" s="2" t="str">
        <f ca="1"/>
        <v>OK</v>
      </c>
    </row>
    <row r="8304" spans="2:34" x14ac:dyDescent="0.2">
      <c r="B8304" s="2">
        <f ca="1"/>
        <v>0.67663037855984842</v>
      </c>
      <c r="O8304" s="2">
        <f ca="1"/>
        <v>-1.5641024797939944</v>
      </c>
      <c r="X8304" s="2">
        <f ca="1"/>
        <v>58.387080160925606</v>
      </c>
      <c r="AG8304" s="2">
        <f ca="1"/>
        <v>0.89291029899958407</v>
      </c>
      <c r="AH8304" s="2" t="str">
        <f ca="1"/>
        <v>Bad</v>
      </c>
    </row>
    <row r="8305" spans="2:34" x14ac:dyDescent="0.2">
      <c r="B8305" s="2">
        <f ca="1"/>
        <v>0.63441140670653762</v>
      </c>
      <c r="O8305" s="2">
        <f ca="1"/>
        <v>-0.86931821533547682</v>
      </c>
      <c r="X8305" s="2">
        <f ca="1"/>
        <v>20.081825842637176</v>
      </c>
      <c r="AG8305" s="2">
        <f ca="1"/>
        <v>0.75672605505366608</v>
      </c>
      <c r="AH8305" s="2" t="str">
        <f ca="1"/>
        <v>Bad</v>
      </c>
    </row>
    <row r="8306" spans="2:34" x14ac:dyDescent="0.2">
      <c r="B8306" s="2">
        <f ca="1"/>
        <v>0.90434640456218252</v>
      </c>
      <c r="O8306" s="2">
        <f ca="1"/>
        <v>0.3395273548819413</v>
      </c>
      <c r="X8306" s="2">
        <f ca="1"/>
        <v>70.502292498371574</v>
      </c>
      <c r="AG8306" s="2">
        <f ca="1"/>
        <v>0.59906827062426715</v>
      </c>
      <c r="AH8306" s="2" t="str">
        <f ca="1"/>
        <v>Bad</v>
      </c>
    </row>
    <row r="8307" spans="2:34" x14ac:dyDescent="0.2">
      <c r="B8307" s="2">
        <f ca="1"/>
        <v>0.74347531582234527</v>
      </c>
      <c r="O8307" s="2">
        <f ca="1"/>
        <v>2.2637509410310268</v>
      </c>
      <c r="X8307" s="2">
        <f ca="1"/>
        <v>39.181966132916564</v>
      </c>
      <c r="AG8307" s="2">
        <f ca="1"/>
        <v>0.37470637292992626</v>
      </c>
      <c r="AH8307" s="2" t="str">
        <f ca="1"/>
        <v>OK</v>
      </c>
    </row>
    <row r="8308" spans="2:34" x14ac:dyDescent="0.2">
      <c r="B8308" s="2">
        <f ca="1"/>
        <v>0.54562718870660532</v>
      </c>
      <c r="O8308" s="2">
        <f ca="1"/>
        <v>0.27309297941472199</v>
      </c>
      <c r="X8308" s="2">
        <f ca="1"/>
        <v>58.9337081867629</v>
      </c>
      <c r="AG8308" s="2">
        <f ca="1"/>
        <v>0.22310859229600277</v>
      </c>
      <c r="AH8308" s="2" t="str">
        <f ca="1"/>
        <v>OK</v>
      </c>
    </row>
    <row r="8309" spans="2:34" x14ac:dyDescent="0.2">
      <c r="B8309" s="2">
        <f ca="1"/>
        <v>0.92930286453477118</v>
      </c>
      <c r="O8309" s="2">
        <f ca="1"/>
        <v>-0.9756384236633997</v>
      </c>
      <c r="X8309" s="2">
        <f ca="1"/>
        <v>39.94654137200186</v>
      </c>
      <c r="AG8309" s="2">
        <f ca="1"/>
        <v>0.19789938082490677</v>
      </c>
      <c r="AH8309" s="2" t="str">
        <f ca="1"/>
        <v>OK</v>
      </c>
    </row>
    <row r="8310" spans="2:34" x14ac:dyDescent="0.2">
      <c r="B8310" s="2">
        <f ca="1"/>
        <v>0.30771062021301554</v>
      </c>
      <c r="O8310" s="2">
        <f ca="1"/>
        <v>-0.55406145137442875</v>
      </c>
      <c r="X8310" s="2">
        <f ca="1"/>
        <v>30.061020844705993</v>
      </c>
      <c r="AG8310" s="2">
        <f ca="1"/>
        <v>0.81435338382676359</v>
      </c>
      <c r="AH8310" s="2" t="str">
        <f ca="1"/>
        <v>Bad</v>
      </c>
    </row>
    <row r="8311" spans="2:34" x14ac:dyDescent="0.2">
      <c r="B8311" s="2">
        <f ca="1"/>
        <v>0.69020120728731094</v>
      </c>
      <c r="O8311" s="2">
        <f ca="1"/>
        <v>0.67526961461103785</v>
      </c>
      <c r="X8311" s="2">
        <f ca="1"/>
        <v>35.267164160943089</v>
      </c>
      <c r="AG8311" s="2">
        <f ca="1"/>
        <v>0.52801900946755276</v>
      </c>
      <c r="AH8311" s="2" t="str">
        <f ca="1"/>
        <v>Bad</v>
      </c>
    </row>
    <row r="8312" spans="2:34" x14ac:dyDescent="0.2">
      <c r="B8312" s="2">
        <f ca="1"/>
        <v>0.35601290674556552</v>
      </c>
      <c r="O8312" s="2">
        <f ca="1"/>
        <v>1.6905802679437241</v>
      </c>
      <c r="X8312" s="2">
        <f ca="1"/>
        <v>15.832181294283984</v>
      </c>
      <c r="AG8312" s="2">
        <f ca="1"/>
        <v>0.19907343398513122</v>
      </c>
      <c r="AH8312" s="2" t="str">
        <f ca="1"/>
        <v>OK</v>
      </c>
    </row>
    <row r="8313" spans="2:34" x14ac:dyDescent="0.2">
      <c r="B8313" s="2">
        <f ca="1"/>
        <v>0.26583092921811091</v>
      </c>
      <c r="O8313" s="2">
        <f ca="1"/>
        <v>-1.6057657449094094</v>
      </c>
      <c r="X8313" s="2">
        <f ca="1"/>
        <v>50.229138814930785</v>
      </c>
      <c r="AG8313" s="2">
        <f ca="1"/>
        <v>0.74368422325510131</v>
      </c>
      <c r="AH8313" s="2" t="str">
        <f ca="1"/>
        <v>Bad</v>
      </c>
    </row>
    <row r="8314" spans="2:34" x14ac:dyDescent="0.2">
      <c r="B8314" s="2">
        <f ca="1"/>
        <v>0.14814504775296844</v>
      </c>
      <c r="O8314" s="2">
        <f ca="1"/>
        <v>-0.94904226337664321</v>
      </c>
      <c r="X8314" s="2">
        <f ca="1"/>
        <v>30.823339493052245</v>
      </c>
      <c r="AG8314" s="2">
        <f ca="1"/>
        <v>0.69084711516006414</v>
      </c>
      <c r="AH8314" s="2" t="str">
        <f ca="1"/>
        <v>Bad</v>
      </c>
    </row>
    <row r="8315" spans="2:34" x14ac:dyDescent="0.2">
      <c r="B8315" s="2">
        <f ca="1"/>
        <v>0.78568845338064652</v>
      </c>
      <c r="O8315" s="2">
        <f ca="1"/>
        <v>-0.25273861323215357</v>
      </c>
      <c r="X8315" s="2">
        <f ca="1"/>
        <v>35.408262906753471</v>
      </c>
      <c r="AG8315" s="2">
        <f ca="1"/>
        <v>0.50058324255868847</v>
      </c>
      <c r="AH8315" s="2" t="str">
        <f ca="1"/>
        <v>Bad</v>
      </c>
    </row>
    <row r="8316" spans="2:34" x14ac:dyDescent="0.2">
      <c r="B8316" s="2">
        <f ca="1"/>
        <v>0.10873974061809277</v>
      </c>
      <c r="O8316" s="2">
        <f ca="1"/>
        <v>-0.90884998087240598</v>
      </c>
      <c r="X8316" s="2">
        <f ca="1"/>
        <v>41.060569070082344</v>
      </c>
      <c r="AG8316" s="2">
        <f ca="1"/>
        <v>0.63615020482405593</v>
      </c>
      <c r="AH8316" s="2" t="str">
        <f ca="1"/>
        <v>Bad</v>
      </c>
    </row>
    <row r="8317" spans="2:34" x14ac:dyDescent="0.2">
      <c r="B8317" s="2">
        <f ca="1"/>
        <v>0.56157032504960513</v>
      </c>
      <c r="O8317" s="2">
        <f ca="1"/>
        <v>-0.808631013957398</v>
      </c>
      <c r="X8317" s="2">
        <f ca="1"/>
        <v>70.044032791807595</v>
      </c>
      <c r="AG8317" s="2">
        <f ca="1"/>
        <v>0.86455074180936031</v>
      </c>
      <c r="AH8317" s="2" t="str">
        <f ca="1"/>
        <v>Bad</v>
      </c>
    </row>
    <row r="8318" spans="2:34" x14ac:dyDescent="0.2">
      <c r="B8318" s="2">
        <f ca="1"/>
        <v>3.9307214793737444E-2</v>
      </c>
      <c r="O8318" s="2">
        <f ca="1"/>
        <v>0.13846632976191095</v>
      </c>
      <c r="X8318" s="2">
        <f ca="1"/>
        <v>28.127442553760073</v>
      </c>
      <c r="AG8318" s="2">
        <f ca="1"/>
        <v>0.18700461742492136</v>
      </c>
      <c r="AH8318" s="2" t="str">
        <f ca="1"/>
        <v>OK</v>
      </c>
    </row>
    <row r="8319" spans="2:34" x14ac:dyDescent="0.2">
      <c r="B8319" s="2">
        <f ca="1"/>
        <v>0.88871598539463004</v>
      </c>
      <c r="O8319" s="2">
        <f ca="1"/>
        <v>0.73374199784853256</v>
      </c>
      <c r="X8319" s="2">
        <f ca="1"/>
        <v>51.342880043980763</v>
      </c>
      <c r="AG8319" s="2">
        <f ca="1"/>
        <v>0.24424269571407087</v>
      </c>
      <c r="AH8319" s="2" t="str">
        <f ca="1"/>
        <v>OK</v>
      </c>
    </row>
    <row r="8320" spans="2:34" x14ac:dyDescent="0.2">
      <c r="B8320" s="2">
        <f ca="1"/>
        <v>0.18543867220123067</v>
      </c>
      <c r="O8320" s="2">
        <f ca="1"/>
        <v>9.053944261423091E-3</v>
      </c>
      <c r="X8320" s="2">
        <f ca="1"/>
        <v>31.357230431542881</v>
      </c>
      <c r="AG8320" s="2">
        <f ca="1"/>
        <v>0.96669436680012621</v>
      </c>
      <c r="AH8320" s="2" t="str">
        <f ca="1"/>
        <v>Bad</v>
      </c>
    </row>
    <row r="8321" spans="2:34" x14ac:dyDescent="0.2">
      <c r="B8321" s="2">
        <f ca="1"/>
        <v>0.99812632685387759</v>
      </c>
      <c r="O8321" s="2">
        <f ca="1"/>
        <v>-0.29219015767377204</v>
      </c>
      <c r="X8321" s="2">
        <f ca="1"/>
        <v>48.341667820984028</v>
      </c>
      <c r="AG8321" s="2">
        <f ca="1"/>
        <v>0.568960789660099</v>
      </c>
      <c r="AH8321" s="2" t="str">
        <f ca="1"/>
        <v>Bad</v>
      </c>
    </row>
    <row r="8322" spans="2:34" x14ac:dyDescent="0.2">
      <c r="B8322" s="2">
        <f ca="1"/>
        <v>0.47429311106549488</v>
      </c>
      <c r="O8322" s="2">
        <f ca="1"/>
        <v>0.68707412976848592</v>
      </c>
      <c r="X8322" s="2">
        <f ca="1"/>
        <v>39.306683582539726</v>
      </c>
      <c r="AG8322" s="2">
        <f ca="1"/>
        <v>0.19807162103678255</v>
      </c>
      <c r="AH8322" s="2" t="str">
        <f ca="1"/>
        <v>OK</v>
      </c>
    </row>
    <row r="8323" spans="2:34" x14ac:dyDescent="0.2">
      <c r="B8323" s="2">
        <f ca="1"/>
        <v>0.27091271976533693</v>
      </c>
      <c r="O8323" s="2">
        <f ca="1"/>
        <v>-0.88904468585369412</v>
      </c>
      <c r="X8323" s="2">
        <f ca="1"/>
        <v>35.258816288342572</v>
      </c>
      <c r="AG8323" s="2">
        <f ca="1"/>
        <v>0.14784167554410521</v>
      </c>
      <c r="AH8323" s="2" t="str">
        <f ca="1"/>
        <v>OK</v>
      </c>
    </row>
    <row r="8324" spans="2:34" x14ac:dyDescent="0.2">
      <c r="B8324" s="2">
        <f ca="1"/>
        <v>0.42122288819124964</v>
      </c>
      <c r="O8324" s="2">
        <f ca="1"/>
        <v>1.7799844223827763</v>
      </c>
      <c r="X8324" s="2">
        <f ca="1"/>
        <v>48.001330288315756</v>
      </c>
      <c r="AG8324" s="2">
        <f ca="1"/>
        <v>0.84552823178419212</v>
      </c>
      <c r="AH8324" s="2" t="str">
        <f ca="1"/>
        <v>Bad</v>
      </c>
    </row>
    <row r="8325" spans="2:34" x14ac:dyDescent="0.2">
      <c r="B8325" s="2">
        <f ca="1"/>
        <v>0.22381652815766073</v>
      </c>
      <c r="O8325" s="2">
        <f ca="1"/>
        <v>-0.50032212742967974</v>
      </c>
      <c r="X8325" s="2">
        <f ca="1"/>
        <v>58.0448949386018</v>
      </c>
      <c r="AG8325" s="2">
        <f ca="1"/>
        <v>0.1743115120757015</v>
      </c>
      <c r="AH8325" s="2" t="str">
        <f ca="1"/>
        <v>OK</v>
      </c>
    </row>
    <row r="8326" spans="2:34" x14ac:dyDescent="0.2">
      <c r="B8326" s="2">
        <f ca="1"/>
        <v>0.10822555312453264</v>
      </c>
      <c r="O8326" s="2">
        <f ca="1"/>
        <v>1.1896021505842262</v>
      </c>
      <c r="X8326" s="2">
        <f ca="1"/>
        <v>29.997329617588335</v>
      </c>
      <c r="AG8326" s="2">
        <f ca="1"/>
        <v>0.70176076394524634</v>
      </c>
      <c r="AH8326" s="2" t="str">
        <f ca="1"/>
        <v>Bad</v>
      </c>
    </row>
    <row r="8327" spans="2:34" x14ac:dyDescent="0.2">
      <c r="B8327" s="2">
        <f ca="1"/>
        <v>0.69896384379482757</v>
      </c>
      <c r="O8327" s="2">
        <f ca="1"/>
        <v>-1.5037828018775332</v>
      </c>
      <c r="X8327" s="2">
        <f ca="1"/>
        <v>36.138932606177065</v>
      </c>
      <c r="AG8327" s="2">
        <f ca="1"/>
        <v>0.82757228308321129</v>
      </c>
      <c r="AH8327" s="2" t="str">
        <f ca="1"/>
        <v>Bad</v>
      </c>
    </row>
    <row r="8328" spans="2:34" x14ac:dyDescent="0.2">
      <c r="B8328" s="2">
        <f ca="1"/>
        <v>0.24842662483898503</v>
      </c>
      <c r="O8328" s="2">
        <f ca="1"/>
        <v>-1.4451803820061591</v>
      </c>
      <c r="X8328" s="2">
        <f ca="1"/>
        <v>44.171082894677262</v>
      </c>
      <c r="AG8328" s="2">
        <f ca="1"/>
        <v>0.84978399387984727</v>
      </c>
      <c r="AH8328" s="2" t="str">
        <f ca="1"/>
        <v>Bad</v>
      </c>
    </row>
    <row r="8329" spans="2:34" x14ac:dyDescent="0.2">
      <c r="B8329" s="2">
        <f ca="1"/>
        <v>0.80310645762092814</v>
      </c>
      <c r="O8329" s="2">
        <f ca="1"/>
        <v>-1.3036438345443038</v>
      </c>
      <c r="X8329" s="2">
        <f ca="1"/>
        <v>47.550191719470178</v>
      </c>
      <c r="AG8329" s="2">
        <f ca="1"/>
        <v>0.30882427287087233</v>
      </c>
      <c r="AH8329" s="2" t="str">
        <f ca="1"/>
        <v>OK</v>
      </c>
    </row>
    <row r="8330" spans="2:34" x14ac:dyDescent="0.2">
      <c r="B8330" s="2">
        <f ca="1"/>
        <v>0.31350863272269658</v>
      </c>
      <c r="O8330" s="2">
        <f ca="1"/>
        <v>-0.72701433803984084</v>
      </c>
      <c r="X8330" s="2">
        <f ca="1"/>
        <v>32.384925373118627</v>
      </c>
      <c r="AG8330" s="2">
        <f ca="1"/>
        <v>0.22422723243389409</v>
      </c>
      <c r="AH8330" s="2" t="str">
        <f ca="1"/>
        <v>OK</v>
      </c>
    </row>
    <row r="8331" spans="2:34" x14ac:dyDescent="0.2">
      <c r="B8331" s="2">
        <f ca="1"/>
        <v>0.98310087037005855</v>
      </c>
      <c r="O8331" s="2">
        <f ca="1"/>
        <v>-1.3595207237220313</v>
      </c>
      <c r="X8331" s="2">
        <f ca="1"/>
        <v>30.752595695595694</v>
      </c>
      <c r="AG8331" s="2">
        <f ca="1"/>
        <v>0.42342860909135505</v>
      </c>
      <c r="AH8331" s="2" t="str">
        <f ca="1"/>
        <v>Bad</v>
      </c>
    </row>
    <row r="8332" spans="2:34" x14ac:dyDescent="0.2">
      <c r="B8332" s="2">
        <f ca="1"/>
        <v>0.51040148436265675</v>
      </c>
      <c r="O8332" s="2">
        <f ca="1"/>
        <v>-1.4464026474317579</v>
      </c>
      <c r="X8332" s="2">
        <f ca="1"/>
        <v>57.356140929595504</v>
      </c>
      <c r="AG8332" s="2">
        <f ca="1"/>
        <v>7.7844079634882046E-2</v>
      </c>
      <c r="AH8332" s="2" t="str">
        <f ca="1"/>
        <v>OK</v>
      </c>
    </row>
    <row r="8333" spans="2:34" x14ac:dyDescent="0.2">
      <c r="B8333" s="2">
        <f ca="1"/>
        <v>4.8864435377577564E-2</v>
      </c>
      <c r="O8333" s="2">
        <f ca="1"/>
        <v>-1.4827399700754709</v>
      </c>
      <c r="X8333" s="2">
        <f ca="1"/>
        <v>36.376757278614214</v>
      </c>
      <c r="AG8333" s="2">
        <f ca="1"/>
        <v>0.40917343596531586</v>
      </c>
      <c r="AH8333" s="2" t="str">
        <f ca="1"/>
        <v>Bad</v>
      </c>
    </row>
    <row r="8334" spans="2:34" x14ac:dyDescent="0.2">
      <c r="B8334" s="2">
        <f ca="1"/>
        <v>0.36128485508134944</v>
      </c>
      <c r="O8334" s="2">
        <f ca="1"/>
        <v>0.19870472431042696</v>
      </c>
      <c r="X8334" s="2">
        <f ca="1"/>
        <v>58.559365448819349</v>
      </c>
      <c r="AG8334" s="2">
        <f ca="1"/>
        <v>0.3064569786818605</v>
      </c>
      <c r="AH8334" s="2" t="str">
        <f ca="1"/>
        <v>OK</v>
      </c>
    </row>
    <row r="8335" spans="2:34" x14ac:dyDescent="0.2">
      <c r="B8335" s="2">
        <f ca="1"/>
        <v>0.29126548783797346</v>
      </c>
      <c r="O8335" s="2">
        <f ca="1"/>
        <v>-0.90065233632021002</v>
      </c>
      <c r="X8335" s="2">
        <f ca="1"/>
        <v>82.841713133808582</v>
      </c>
      <c r="AG8335" s="2">
        <f ca="1"/>
        <v>0.23933246157301724</v>
      </c>
      <c r="AH8335" s="2" t="str">
        <f ca="1"/>
        <v>OK</v>
      </c>
    </row>
    <row r="8336" spans="2:34" x14ac:dyDescent="0.2">
      <c r="B8336" s="2">
        <f ca="1"/>
        <v>0.86148342460533822</v>
      </c>
      <c r="O8336" s="2">
        <f ca="1"/>
        <v>0.20964279070298611</v>
      </c>
      <c r="X8336" s="2">
        <f ca="1"/>
        <v>32.043611287176454</v>
      </c>
      <c r="AG8336" s="2">
        <f ca="1"/>
        <v>0.31485613562972881</v>
      </c>
      <c r="AH8336" s="2" t="str">
        <f ca="1"/>
        <v>OK</v>
      </c>
    </row>
    <row r="8337" spans="2:34" x14ac:dyDescent="0.2">
      <c r="B8337" s="2">
        <f ca="1"/>
        <v>0.26907138644963102</v>
      </c>
      <c r="O8337" s="2">
        <f ca="1"/>
        <v>-1.5085738671587572</v>
      </c>
      <c r="X8337" s="2">
        <f ca="1"/>
        <v>56.352296281878928</v>
      </c>
      <c r="AG8337" s="2">
        <f ca="1"/>
        <v>0.992695942888141</v>
      </c>
      <c r="AH8337" s="2" t="str">
        <f ca="1"/>
        <v>Bad</v>
      </c>
    </row>
    <row r="8338" spans="2:34" x14ac:dyDescent="0.2">
      <c r="B8338" s="2">
        <f ca="1"/>
        <v>0.3359440096817714</v>
      </c>
      <c r="O8338" s="2">
        <f ca="1"/>
        <v>-0.25874665761405014</v>
      </c>
      <c r="X8338" s="2">
        <f ca="1"/>
        <v>68.300358046937532</v>
      </c>
      <c r="AG8338" s="2">
        <f ca="1"/>
        <v>0.34442249452881835</v>
      </c>
      <c r="AH8338" s="2" t="str">
        <f ca="1"/>
        <v>OK</v>
      </c>
    </row>
    <row r="8339" spans="2:34" x14ac:dyDescent="0.2">
      <c r="B8339" s="2">
        <f ca="1"/>
        <v>0.42538224277887737</v>
      </c>
      <c r="O8339" s="2">
        <f ca="1"/>
        <v>-1.0492732462071377</v>
      </c>
      <c r="X8339" s="2">
        <f ca="1"/>
        <v>34.594217933635548</v>
      </c>
      <c r="AG8339" s="2">
        <f ca="1"/>
        <v>0.69013990679632475</v>
      </c>
      <c r="AH8339" s="2" t="str">
        <f ca="1"/>
        <v>Bad</v>
      </c>
    </row>
    <row r="8340" spans="2:34" x14ac:dyDescent="0.2">
      <c r="B8340" s="2">
        <f ca="1"/>
        <v>0.9751680225158994</v>
      </c>
      <c r="O8340" s="2">
        <f ca="1"/>
        <v>-0.26487362886644095</v>
      </c>
      <c r="X8340" s="2">
        <f ca="1"/>
        <v>60.682081512065842</v>
      </c>
      <c r="AG8340" s="2">
        <f ca="1"/>
        <v>0.57244405795944231</v>
      </c>
      <c r="AH8340" s="2" t="str">
        <f ca="1"/>
        <v>Bad</v>
      </c>
    </row>
    <row r="8341" spans="2:34" x14ac:dyDescent="0.2">
      <c r="B8341" s="2">
        <f ca="1"/>
        <v>0.86830121321340292</v>
      </c>
      <c r="O8341" s="2">
        <f ca="1"/>
        <v>1.1220593510994235</v>
      </c>
      <c r="X8341" s="2">
        <f ca="1"/>
        <v>53.184521236290685</v>
      </c>
      <c r="AG8341" s="2">
        <f ca="1"/>
        <v>0.44720438019555497</v>
      </c>
      <c r="AH8341" s="2" t="str">
        <f ca="1"/>
        <v>Bad</v>
      </c>
    </row>
    <row r="8342" spans="2:34" x14ac:dyDescent="0.2">
      <c r="B8342" s="2">
        <f ca="1"/>
        <v>0.46980795474655723</v>
      </c>
      <c r="O8342" s="2">
        <f ca="1"/>
        <v>-0.20854835133006358</v>
      </c>
      <c r="X8342" s="2">
        <f ca="1"/>
        <v>54.357017774148503</v>
      </c>
      <c r="AG8342" s="2">
        <f ca="1"/>
        <v>0.87533378046954868</v>
      </c>
      <c r="AH8342" s="2" t="str">
        <f ca="1"/>
        <v>Bad</v>
      </c>
    </row>
    <row r="8343" spans="2:34" x14ac:dyDescent="0.2">
      <c r="B8343" s="2">
        <f ca="1"/>
        <v>0.85203721890989703</v>
      </c>
      <c r="O8343" s="2">
        <f ca="1"/>
        <v>9.2567814596485706E-2</v>
      </c>
      <c r="X8343" s="2">
        <f ca="1"/>
        <v>55.769170402048729</v>
      </c>
      <c r="AG8343" s="2">
        <f ca="1"/>
        <v>0.89161762662395083</v>
      </c>
      <c r="AH8343" s="2" t="str">
        <f ca="1"/>
        <v>Bad</v>
      </c>
    </row>
    <row r="8344" spans="2:34" x14ac:dyDescent="0.2">
      <c r="B8344" s="2">
        <f ca="1"/>
        <v>0.51892220083385721</v>
      </c>
      <c r="O8344" s="2">
        <f ca="1"/>
        <v>0.37874518746173613</v>
      </c>
      <c r="X8344" s="2">
        <f ca="1"/>
        <v>42.795234320481761</v>
      </c>
      <c r="AG8344" s="2">
        <f ca="1"/>
        <v>5.9047622975632041E-3</v>
      </c>
      <c r="AH8344" s="2" t="str">
        <f ca="1"/>
        <v>Good</v>
      </c>
    </row>
    <row r="8345" spans="2:34" x14ac:dyDescent="0.2">
      <c r="B8345" s="2">
        <f ca="1"/>
        <v>0.34694493470438825</v>
      </c>
      <c r="O8345" s="2">
        <f ca="1"/>
        <v>-1.0652706773160121</v>
      </c>
      <c r="X8345" s="2">
        <f ca="1"/>
        <v>54.963679433085815</v>
      </c>
      <c r="AG8345" s="2">
        <f ca="1"/>
        <v>0.60592582081320479</v>
      </c>
      <c r="AH8345" s="2" t="str">
        <f ca="1"/>
        <v>Bad</v>
      </c>
    </row>
    <row r="8346" spans="2:34" x14ac:dyDescent="0.2">
      <c r="B8346" s="2">
        <f ca="1"/>
        <v>0.94557113213836286</v>
      </c>
      <c r="O8346" s="2">
        <f ca="1"/>
        <v>0.27003915680790569</v>
      </c>
      <c r="X8346" s="2">
        <f ca="1"/>
        <v>38.747878261202743</v>
      </c>
      <c r="AG8346" s="2">
        <f ca="1"/>
        <v>0.8117433439035926</v>
      </c>
      <c r="AH8346" s="2" t="str">
        <f ca="1"/>
        <v>Bad</v>
      </c>
    </row>
    <row r="8347" spans="2:34" x14ac:dyDescent="0.2">
      <c r="B8347" s="2">
        <f ca="1"/>
        <v>3.6508787218102912E-2</v>
      </c>
      <c r="O8347" s="2">
        <f ca="1"/>
        <v>-0.6604243015973108</v>
      </c>
      <c r="X8347" s="2">
        <f ca="1"/>
        <v>28.507222209225279</v>
      </c>
      <c r="AG8347" s="2">
        <f ca="1"/>
        <v>0.76540515424459299</v>
      </c>
      <c r="AH8347" s="2" t="str">
        <f ca="1"/>
        <v>Bad</v>
      </c>
    </row>
    <row r="8348" spans="2:34" x14ac:dyDescent="0.2">
      <c r="B8348" s="2">
        <f ca="1"/>
        <v>0.52001159412438924</v>
      </c>
      <c r="O8348" s="2">
        <f ca="1"/>
        <v>-1.3462466213583841</v>
      </c>
      <c r="X8348" s="2">
        <f ca="1"/>
        <v>33.43819727177236</v>
      </c>
      <c r="AG8348" s="2">
        <f ca="1"/>
        <v>0.10108989070809793</v>
      </c>
      <c r="AH8348" s="2" t="str">
        <f ca="1"/>
        <v>OK</v>
      </c>
    </row>
    <row r="8349" spans="2:34" x14ac:dyDescent="0.2">
      <c r="B8349" s="2">
        <f ca="1"/>
        <v>0.63109606456294221</v>
      </c>
      <c r="O8349" s="2">
        <f ca="1"/>
        <v>2.5999776676862147</v>
      </c>
      <c r="X8349" s="2">
        <f ca="1"/>
        <v>57.509191377734766</v>
      </c>
      <c r="AG8349" s="2">
        <f ca="1"/>
        <v>0.29494869175026084</v>
      </c>
      <c r="AH8349" s="2" t="str">
        <f ca="1"/>
        <v>OK</v>
      </c>
    </row>
    <row r="8350" spans="2:34" x14ac:dyDescent="0.2">
      <c r="B8350" s="2">
        <f ca="1"/>
        <v>0.90272836298204084</v>
      </c>
      <c r="O8350" s="2">
        <f ca="1"/>
        <v>-0.85848778327240016</v>
      </c>
      <c r="X8350" s="2">
        <f ca="1"/>
        <v>45.808010193045831</v>
      </c>
      <c r="AG8350" s="2">
        <f ca="1"/>
        <v>0.22798647584450316</v>
      </c>
      <c r="AH8350" s="2" t="str">
        <f ca="1"/>
        <v>OK</v>
      </c>
    </row>
    <row r="8351" spans="2:34" x14ac:dyDescent="0.2">
      <c r="B8351" s="2">
        <f ca="1"/>
        <v>0.34185906327022964</v>
      </c>
      <c r="O8351" s="2">
        <f ca="1"/>
        <v>0.11474482310665303</v>
      </c>
      <c r="X8351" s="2">
        <f ca="1"/>
        <v>33.011797181610618</v>
      </c>
      <c r="AG8351" s="2">
        <f ca="1"/>
        <v>8.5918555060265023E-2</v>
      </c>
      <c r="AH8351" s="2" t="str">
        <f ca="1"/>
        <v>OK</v>
      </c>
    </row>
    <row r="8352" spans="2:34" x14ac:dyDescent="0.2">
      <c r="B8352" s="2">
        <f ca="1"/>
        <v>0.30119658369451141</v>
      </c>
      <c r="O8352" s="2">
        <f ca="1"/>
        <v>2.2385100552727097</v>
      </c>
      <c r="X8352" s="2">
        <f ca="1"/>
        <v>27.531868149987019</v>
      </c>
      <c r="AG8352" s="2">
        <f ca="1"/>
        <v>0.42484025795382574</v>
      </c>
      <c r="AH8352" s="2" t="str">
        <f ca="1"/>
        <v>Bad</v>
      </c>
    </row>
    <row r="8353" spans="2:34" x14ac:dyDescent="0.2">
      <c r="B8353" s="2">
        <f ca="1"/>
        <v>0.9238205677103446</v>
      </c>
      <c r="O8353" s="2">
        <f ca="1"/>
        <v>1.498305885870086</v>
      </c>
      <c r="X8353" s="2">
        <f ca="1"/>
        <v>36.115426984301443</v>
      </c>
      <c r="AG8353" s="2">
        <f ca="1"/>
        <v>0.85079692587140365</v>
      </c>
      <c r="AH8353" s="2" t="str">
        <f ca="1"/>
        <v>Bad</v>
      </c>
    </row>
    <row r="8354" spans="2:34" x14ac:dyDescent="0.2">
      <c r="B8354" s="2">
        <f ca="1"/>
        <v>0.53235024051806779</v>
      </c>
      <c r="O8354" s="2">
        <f ca="1"/>
        <v>0.21113379958124576</v>
      </c>
      <c r="X8354" s="2">
        <f ca="1"/>
        <v>67.988375671501387</v>
      </c>
      <c r="AG8354" s="2">
        <f ca="1"/>
        <v>0.7133246617907183</v>
      </c>
      <c r="AH8354" s="2" t="str">
        <f ca="1"/>
        <v>Bad</v>
      </c>
    </row>
    <row r="8355" spans="2:34" x14ac:dyDescent="0.2">
      <c r="B8355" s="2">
        <f ca="1"/>
        <v>3.9889051053454638E-2</v>
      </c>
      <c r="O8355" s="2">
        <f ca="1"/>
        <v>0.87861606305721773</v>
      </c>
      <c r="X8355" s="2">
        <f ca="1"/>
        <v>61.811401840562638</v>
      </c>
      <c r="AG8355" s="2">
        <f ca="1"/>
        <v>0.59392683143806035</v>
      </c>
      <c r="AH8355" s="2" t="str">
        <f ca="1"/>
        <v>Bad</v>
      </c>
    </row>
    <row r="8356" spans="2:34" x14ac:dyDescent="0.2">
      <c r="B8356" s="2">
        <f ca="1"/>
        <v>0.98517693097544501</v>
      </c>
      <c r="O8356" s="2">
        <f ca="1"/>
        <v>0.20633567583022139</v>
      </c>
      <c r="X8356" s="2">
        <f ca="1"/>
        <v>68.512799714002043</v>
      </c>
      <c r="AG8356" s="2">
        <f ca="1"/>
        <v>0.45240766474211025</v>
      </c>
      <c r="AH8356" s="2" t="str">
        <f ca="1"/>
        <v>Bad</v>
      </c>
    </row>
    <row r="8357" spans="2:34" x14ac:dyDescent="0.2">
      <c r="B8357" s="2">
        <f ca="1"/>
        <v>4.7088647377306891E-2</v>
      </c>
      <c r="O8357" s="2">
        <f ca="1"/>
        <v>-1.0962002074202568</v>
      </c>
      <c r="X8357" s="2">
        <f ca="1"/>
        <v>49.714303778406077</v>
      </c>
      <c r="AG8357" s="2">
        <f ca="1"/>
        <v>0.94374191355090509</v>
      </c>
      <c r="AH8357" s="2" t="str">
        <f ca="1"/>
        <v>Bad</v>
      </c>
    </row>
    <row r="8358" spans="2:34" x14ac:dyDescent="0.2">
      <c r="B8358" s="2">
        <f ca="1"/>
        <v>0.10526646955647867</v>
      </c>
      <c r="O8358" s="2">
        <f ca="1"/>
        <v>0.85479776246677341</v>
      </c>
      <c r="X8358" s="2">
        <f ca="1"/>
        <v>58.761413073152355</v>
      </c>
      <c r="AG8358" s="2">
        <f ca="1"/>
        <v>4.3070677182875716E-2</v>
      </c>
      <c r="AH8358" s="2" t="str">
        <f ca="1"/>
        <v>Good</v>
      </c>
    </row>
    <row r="8359" spans="2:34" x14ac:dyDescent="0.2">
      <c r="B8359" s="2">
        <f ca="1"/>
        <v>0.85018054102393359</v>
      </c>
      <c r="O8359" s="2">
        <f ca="1"/>
        <v>1.3907140605938846</v>
      </c>
      <c r="X8359" s="2">
        <f ca="1"/>
        <v>47.335453786574924</v>
      </c>
      <c r="AG8359" s="2">
        <f ca="1"/>
        <v>0.83845342524179234</v>
      </c>
      <c r="AH8359" s="2" t="str">
        <f ca="1"/>
        <v>Bad</v>
      </c>
    </row>
    <row r="8360" spans="2:34" x14ac:dyDescent="0.2">
      <c r="B8360" s="2">
        <f ca="1"/>
        <v>0.80245645058225112</v>
      </c>
      <c r="O8360" s="2">
        <f ca="1"/>
        <v>-1.2666074326753378</v>
      </c>
      <c r="X8360" s="2">
        <f ca="1"/>
        <v>78.963003529808333</v>
      </c>
      <c r="AG8360" s="2">
        <f ca="1"/>
        <v>0.26967118859116423</v>
      </c>
      <c r="AH8360" s="2" t="str">
        <f ca="1"/>
        <v>OK</v>
      </c>
    </row>
    <row r="8361" spans="2:34" x14ac:dyDescent="0.2">
      <c r="B8361" s="2">
        <f ca="1"/>
        <v>0.45799898377948556</v>
      </c>
      <c r="O8361" s="2">
        <f ca="1"/>
        <v>1.5476178199406398</v>
      </c>
      <c r="X8361" s="2">
        <f ca="1"/>
        <v>61.359251852489002</v>
      </c>
      <c r="AG8361" s="2">
        <f ca="1"/>
        <v>0.19391329717397188</v>
      </c>
      <c r="AH8361" s="2" t="str">
        <f ca="1"/>
        <v>OK</v>
      </c>
    </row>
    <row r="8362" spans="2:34" x14ac:dyDescent="0.2">
      <c r="B8362" s="2">
        <f ca="1"/>
        <v>0.1249898219200134</v>
      </c>
      <c r="O8362" s="2">
        <f ca="1"/>
        <v>0.57766103692773763</v>
      </c>
      <c r="X8362" s="2">
        <f ca="1"/>
        <v>51.861683704375039</v>
      </c>
      <c r="AG8362" s="2">
        <f ca="1"/>
        <v>0.41620508440096771</v>
      </c>
      <c r="AH8362" s="2" t="str">
        <f ca="1"/>
        <v>Bad</v>
      </c>
    </row>
    <row r="8363" spans="2:34" x14ac:dyDescent="0.2">
      <c r="B8363" s="2">
        <f ca="1"/>
        <v>0.91440945303397747</v>
      </c>
      <c r="O8363" s="2">
        <f ca="1"/>
        <v>0.27403068216913062</v>
      </c>
      <c r="X8363" s="2">
        <f ca="1"/>
        <v>56.753799953942618</v>
      </c>
      <c r="AG8363" s="2">
        <f ca="1"/>
        <v>0.48840911854524793</v>
      </c>
      <c r="AH8363" s="2" t="str">
        <f ca="1"/>
        <v>Bad</v>
      </c>
    </row>
    <row r="8364" spans="2:34" x14ac:dyDescent="0.2">
      <c r="B8364" s="2">
        <f ca="1"/>
        <v>0.27859131521255032</v>
      </c>
      <c r="O8364" s="2">
        <f ca="1"/>
        <v>-0.97152361106271301</v>
      </c>
      <c r="X8364" s="2">
        <f ca="1"/>
        <v>38.135635546899387</v>
      </c>
      <c r="AG8364" s="2">
        <f ca="1"/>
        <v>0.1872576543110831</v>
      </c>
      <c r="AH8364" s="2" t="str">
        <f ca="1"/>
        <v>OK</v>
      </c>
    </row>
    <row r="8365" spans="2:34" x14ac:dyDescent="0.2">
      <c r="B8365" s="2">
        <f ca="1"/>
        <v>8.7603316551215782E-2</v>
      </c>
      <c r="O8365" s="2">
        <f ca="1"/>
        <v>-0.46458168359461433</v>
      </c>
      <c r="X8365" s="2">
        <f ca="1"/>
        <v>58.010454508950275</v>
      </c>
      <c r="AG8365" s="2">
        <f ca="1"/>
        <v>0.41247012334810385</v>
      </c>
      <c r="AH8365" s="2" t="str">
        <f ca="1"/>
        <v>Bad</v>
      </c>
    </row>
    <row r="8366" spans="2:34" x14ac:dyDescent="0.2">
      <c r="B8366" s="2">
        <f ca="1"/>
        <v>0.43476976270403722</v>
      </c>
      <c r="O8366" s="2">
        <f ca="1"/>
        <v>-0.34098422242508808</v>
      </c>
      <c r="X8366" s="2">
        <f ca="1"/>
        <v>30.809025206141577</v>
      </c>
      <c r="AG8366" s="2">
        <f ca="1"/>
        <v>0.69652175628132951</v>
      </c>
      <c r="AH8366" s="2" t="str">
        <f ca="1"/>
        <v>Bad</v>
      </c>
    </row>
    <row r="8367" spans="2:34" x14ac:dyDescent="0.2">
      <c r="B8367" s="2">
        <f ca="1"/>
        <v>0.86530429806473674</v>
      </c>
      <c r="O8367" s="2">
        <f ca="1"/>
        <v>-0.58316571634690095</v>
      </c>
      <c r="X8367" s="2">
        <f ca="1"/>
        <v>114.32430506253675</v>
      </c>
      <c r="AG8367" s="2">
        <f ca="1"/>
        <v>0.16831659978270275</v>
      </c>
      <c r="AH8367" s="2" t="str">
        <f ca="1"/>
        <v>OK</v>
      </c>
    </row>
    <row r="8368" spans="2:34" x14ac:dyDescent="0.2">
      <c r="B8368" s="2">
        <f ca="1"/>
        <v>0.22978108193119828</v>
      </c>
      <c r="O8368" s="2">
        <f ca="1"/>
        <v>-0.50684563162835594</v>
      </c>
      <c r="X8368" s="2">
        <f ca="1"/>
        <v>27.543223584108105</v>
      </c>
      <c r="AG8368" s="2">
        <f ca="1"/>
        <v>0.76591060601783911</v>
      </c>
      <c r="AH8368" s="2" t="str">
        <f ca="1"/>
        <v>Bad</v>
      </c>
    </row>
    <row r="8369" spans="2:34" x14ac:dyDescent="0.2">
      <c r="B8369" s="2">
        <f ca="1"/>
        <v>0.62041197311969176</v>
      </c>
      <c r="O8369" s="2">
        <f ca="1"/>
        <v>-0.43661976435372341</v>
      </c>
      <c r="X8369" s="2">
        <f ca="1"/>
        <v>36.155117087630998</v>
      </c>
      <c r="AG8369" s="2">
        <f ca="1"/>
        <v>0.86557866063735811</v>
      </c>
      <c r="AH8369" s="2" t="str">
        <f ca="1"/>
        <v>Bad</v>
      </c>
    </row>
    <row r="8370" spans="2:34" x14ac:dyDescent="0.2">
      <c r="B8370" s="2">
        <f ca="1"/>
        <v>0.20987438485729304</v>
      </c>
      <c r="O8370" s="2">
        <f ca="1"/>
        <v>3.9165838281186124E-2</v>
      </c>
      <c r="X8370" s="2">
        <f ca="1"/>
        <v>38.692809472037723</v>
      </c>
      <c r="AG8370" s="2">
        <f ca="1"/>
        <v>0.587888795797606</v>
      </c>
      <c r="AH8370" s="2" t="str">
        <f ca="1"/>
        <v>Bad</v>
      </c>
    </row>
    <row r="8371" spans="2:34" x14ac:dyDescent="0.2">
      <c r="B8371" s="2">
        <f ca="1"/>
        <v>0.90783776159296337</v>
      </c>
      <c r="O8371" s="2">
        <f ca="1"/>
        <v>0.87401987803754888</v>
      </c>
      <c r="X8371" s="2">
        <f ca="1"/>
        <v>29.131688203636443</v>
      </c>
      <c r="AG8371" s="2">
        <f ca="1"/>
        <v>0.35116316752450261</v>
      </c>
      <c r="AH8371" s="2" t="str">
        <f ca="1"/>
        <v>OK</v>
      </c>
    </row>
    <row r="8372" spans="2:34" x14ac:dyDescent="0.2">
      <c r="B8372" s="2">
        <f ca="1"/>
        <v>0.79753628569599022</v>
      </c>
      <c r="O8372" s="2">
        <f ca="1"/>
        <v>1.0470453997652049</v>
      </c>
      <c r="X8372" s="2">
        <f ca="1"/>
        <v>60.134885222879305</v>
      </c>
      <c r="AG8372" s="2">
        <f ca="1"/>
        <v>0.57929590985898893</v>
      </c>
      <c r="AH8372" s="2" t="str">
        <f ca="1"/>
        <v>Bad</v>
      </c>
    </row>
    <row r="8373" spans="2:34" x14ac:dyDescent="0.2">
      <c r="B8373" s="2">
        <f ca="1"/>
        <v>3.3303482715010047E-2</v>
      </c>
      <c r="O8373" s="2">
        <f ca="1"/>
        <v>-0.88242659354926578</v>
      </c>
      <c r="X8373" s="2">
        <f ca="1"/>
        <v>58.87567580586164</v>
      </c>
      <c r="AG8373" s="2">
        <f ca="1"/>
        <v>0.87434409602419749</v>
      </c>
      <c r="AH8373" s="2" t="str">
        <f ca="1"/>
        <v>Bad</v>
      </c>
    </row>
    <row r="8374" spans="2:34" x14ac:dyDescent="0.2">
      <c r="B8374" s="2">
        <f ca="1"/>
        <v>0.75720601860484105</v>
      </c>
      <c r="O8374" s="2">
        <f ca="1"/>
        <v>0.32085406781810677</v>
      </c>
      <c r="X8374" s="2">
        <f ca="1"/>
        <v>34.278586361207545</v>
      </c>
      <c r="AG8374" s="2">
        <f ca="1"/>
        <v>0.53621108676871487</v>
      </c>
      <c r="AH8374" s="2" t="str">
        <f ca="1"/>
        <v>Bad</v>
      </c>
    </row>
    <row r="8375" spans="2:34" x14ac:dyDescent="0.2">
      <c r="B8375" s="2">
        <f ca="1"/>
        <v>0.22673976806746898</v>
      </c>
      <c r="O8375" s="2">
        <f ca="1"/>
        <v>-0.33233792543078883</v>
      </c>
      <c r="X8375" s="2">
        <f ca="1"/>
        <v>38.067173495720638</v>
      </c>
      <c r="AG8375" s="2">
        <f ca="1"/>
        <v>0.67541071977671008</v>
      </c>
      <c r="AH8375" s="2" t="str">
        <f ca="1"/>
        <v>Bad</v>
      </c>
    </row>
    <row r="8376" spans="2:34" x14ac:dyDescent="0.2">
      <c r="B8376" s="2">
        <f ca="1"/>
        <v>0.80879704544992159</v>
      </c>
      <c r="O8376" s="2">
        <f ca="1"/>
        <v>-0.73248682537289156</v>
      </c>
      <c r="X8376" s="2">
        <f ca="1"/>
        <v>33.850130982498939</v>
      </c>
      <c r="AG8376" s="2">
        <f ca="1"/>
        <v>0.93418643783295963</v>
      </c>
      <c r="AH8376" s="2" t="str">
        <f ca="1"/>
        <v>Bad</v>
      </c>
    </row>
    <row r="8377" spans="2:34" x14ac:dyDescent="0.2">
      <c r="B8377" s="2">
        <f ca="1"/>
        <v>0.1909124815484109</v>
      </c>
      <c r="O8377" s="2">
        <f ca="1"/>
        <v>-0.48850266614196836</v>
      </c>
      <c r="X8377" s="2">
        <f ca="1"/>
        <v>32.029062887799135</v>
      </c>
      <c r="AG8377" s="2">
        <f ca="1"/>
        <v>0.18223583267370214</v>
      </c>
      <c r="AH8377" s="2" t="str">
        <f ca="1"/>
        <v>OK</v>
      </c>
    </row>
    <row r="8378" spans="2:34" x14ac:dyDescent="0.2">
      <c r="B8378" s="2">
        <f ca="1"/>
        <v>0.99922916147503704</v>
      </c>
      <c r="O8378" s="2">
        <f ca="1"/>
        <v>-4.1161405959364149E-2</v>
      </c>
      <c r="X8378" s="2">
        <f ca="1"/>
        <v>58.549924553970129</v>
      </c>
      <c r="AG8378" s="2">
        <f ca="1"/>
        <v>0.97180265242957553</v>
      </c>
      <c r="AH8378" s="2" t="str">
        <f ca="1"/>
        <v>Bad</v>
      </c>
    </row>
    <row r="8379" spans="2:34" x14ac:dyDescent="0.2">
      <c r="B8379" s="2">
        <f ca="1"/>
        <v>0.15807300375047073</v>
      </c>
      <c r="O8379" s="2">
        <f ca="1"/>
        <v>-0.43006658397072117</v>
      </c>
      <c r="X8379" s="2">
        <f ca="1"/>
        <v>43.971504275329103</v>
      </c>
      <c r="AG8379" s="2">
        <f ca="1"/>
        <v>0.12939330709732966</v>
      </c>
      <c r="AH8379" s="2" t="str">
        <f ca="1"/>
        <v>OK</v>
      </c>
    </row>
    <row r="8380" spans="2:34" x14ac:dyDescent="0.2">
      <c r="B8380" s="2">
        <f ca="1"/>
        <v>0.26576966493310716</v>
      </c>
      <c r="O8380" s="2">
        <f ca="1"/>
        <v>-0.19102655168691018</v>
      </c>
      <c r="X8380" s="2">
        <f ca="1"/>
        <v>29.394773017311742</v>
      </c>
      <c r="AG8380" s="2">
        <f ca="1"/>
        <v>0.15775910061794662</v>
      </c>
      <c r="AH8380" s="2" t="str">
        <f ca="1"/>
        <v>OK</v>
      </c>
    </row>
    <row r="8381" spans="2:34" x14ac:dyDescent="0.2">
      <c r="B8381" s="2">
        <f ca="1"/>
        <v>0.75708530262140772</v>
      </c>
      <c r="O8381" s="2">
        <f ca="1"/>
        <v>-1.6603106870869424</v>
      </c>
      <c r="X8381" s="2">
        <f ca="1"/>
        <v>33.895647193617357</v>
      </c>
      <c r="AG8381" s="2">
        <f ca="1"/>
        <v>0.9989356897018824</v>
      </c>
      <c r="AH8381" s="2" t="str">
        <f ca="1"/>
        <v>Bad</v>
      </c>
    </row>
    <row r="8382" spans="2:34" x14ac:dyDescent="0.2">
      <c r="B8382" s="2">
        <f ca="1"/>
        <v>0.41565418952508315</v>
      </c>
      <c r="O8382" s="2">
        <f ca="1"/>
        <v>-0.32711123674344406</v>
      </c>
      <c r="X8382" s="2">
        <f ca="1"/>
        <v>33.789860627549068</v>
      </c>
      <c r="AG8382" s="2">
        <f ca="1"/>
        <v>0.35525257502201191</v>
      </c>
      <c r="AH8382" s="2" t="str">
        <f ca="1"/>
        <v>OK</v>
      </c>
    </row>
    <row r="8383" spans="2:34" x14ac:dyDescent="0.2">
      <c r="B8383" s="2">
        <f ca="1"/>
        <v>0.40552789758370023</v>
      </c>
      <c r="O8383" s="2">
        <f ca="1"/>
        <v>0.88987540601842985</v>
      </c>
      <c r="X8383" s="2">
        <f ca="1"/>
        <v>72.618477306164607</v>
      </c>
      <c r="AG8383" s="2">
        <f ca="1"/>
        <v>0.45858937369999953</v>
      </c>
      <c r="AH8383" s="2" t="str">
        <f ca="1"/>
        <v>Bad</v>
      </c>
    </row>
    <row r="8384" spans="2:34" x14ac:dyDescent="0.2">
      <c r="B8384" s="2">
        <f ca="1"/>
        <v>8.008218121913302E-2</v>
      </c>
      <c r="O8384" s="2">
        <f ca="1"/>
        <v>-0.50323077588611831</v>
      </c>
      <c r="X8384" s="2">
        <f ca="1"/>
        <v>30.067396785426645</v>
      </c>
      <c r="AG8384" s="2">
        <f ca="1"/>
        <v>0.37924835230359588</v>
      </c>
      <c r="AH8384" s="2" t="str">
        <f ca="1"/>
        <v>OK</v>
      </c>
    </row>
    <row r="8385" spans="2:34" x14ac:dyDescent="0.2">
      <c r="B8385" s="2">
        <f ca="1"/>
        <v>0.70674287374623246</v>
      </c>
      <c r="O8385" s="2">
        <f ca="1"/>
        <v>5.8220361295025008E-3</v>
      </c>
      <c r="X8385" s="2">
        <f ca="1"/>
        <v>42.994575593697405</v>
      </c>
      <c r="AG8385" s="2">
        <f ca="1"/>
        <v>0.80403970130044389</v>
      </c>
      <c r="AH8385" s="2" t="str">
        <f ca="1"/>
        <v>Bad</v>
      </c>
    </row>
    <row r="8386" spans="2:34" x14ac:dyDescent="0.2">
      <c r="B8386" s="2">
        <f ca="1"/>
        <v>0.90229620934719623</v>
      </c>
      <c r="O8386" s="2">
        <f ca="1"/>
        <v>-2.052291772897517</v>
      </c>
      <c r="X8386" s="2">
        <f ca="1"/>
        <v>62.56717055914833</v>
      </c>
      <c r="AG8386" s="2">
        <f ca="1"/>
        <v>0.18988209222142749</v>
      </c>
      <c r="AH8386" s="2" t="str">
        <f ca="1"/>
        <v>OK</v>
      </c>
    </row>
    <row r="8387" spans="2:34" x14ac:dyDescent="0.2">
      <c r="B8387" s="2">
        <f ca="1"/>
        <v>0.95628140862336819</v>
      </c>
      <c r="O8387" s="2">
        <f ca="1"/>
        <v>0.1239215195683049</v>
      </c>
      <c r="X8387" s="2">
        <f ca="1"/>
        <v>38.807590582772143</v>
      </c>
      <c r="AG8387" s="2">
        <f ca="1"/>
        <v>0.25145824269635852</v>
      </c>
      <c r="AH8387" s="2" t="str">
        <f ca="1"/>
        <v>OK</v>
      </c>
    </row>
    <row r="8388" spans="2:34" x14ac:dyDescent="0.2">
      <c r="B8388" s="2">
        <f ca="1"/>
        <v>0.76274442292742983</v>
      </c>
      <c r="O8388" s="2">
        <f ca="1"/>
        <v>0.25954984198144948</v>
      </c>
      <c r="X8388" s="2">
        <f ca="1"/>
        <v>77.101074515396803</v>
      </c>
      <c r="AG8388" s="2">
        <f ca="1"/>
        <v>0.944094641509446</v>
      </c>
      <c r="AH8388" s="2" t="str">
        <f ca="1"/>
        <v>Bad</v>
      </c>
    </row>
    <row r="8389" spans="2:34" x14ac:dyDescent="0.2">
      <c r="B8389" s="2">
        <f ca="1"/>
        <v>0.61098356821673039</v>
      </c>
      <c r="O8389" s="2">
        <f ca="1"/>
        <v>-6.4170577783965427E-2</v>
      </c>
      <c r="X8389" s="2">
        <f ca="1"/>
        <v>59.23770600154954</v>
      </c>
      <c r="AG8389" s="2">
        <f ca="1"/>
        <v>2.9742293950232312E-2</v>
      </c>
      <c r="AH8389" s="2" t="str">
        <f ca="1"/>
        <v>Good</v>
      </c>
    </row>
    <row r="8390" spans="2:34" x14ac:dyDescent="0.2">
      <c r="B8390" s="2">
        <f ca="1"/>
        <v>0.85764856460986327</v>
      </c>
      <c r="O8390" s="2">
        <f ca="1"/>
        <v>-5.7083054504551319E-2</v>
      </c>
      <c r="X8390" s="2">
        <f ca="1"/>
        <v>48.830974575537226</v>
      </c>
      <c r="AG8390" s="2">
        <f ca="1"/>
        <v>0.77131703127315743</v>
      </c>
      <c r="AH8390" s="2" t="str">
        <f ca="1"/>
        <v>Bad</v>
      </c>
    </row>
    <row r="8391" spans="2:34" x14ac:dyDescent="0.2">
      <c r="B8391" s="2">
        <f ca="1"/>
        <v>0.25611915644402661</v>
      </c>
      <c r="O8391" s="2">
        <f ca="1"/>
        <v>1.0983127492379237</v>
      </c>
      <c r="X8391" s="2">
        <f ca="1"/>
        <v>66.865542148562795</v>
      </c>
      <c r="AG8391" s="2">
        <f ca="1"/>
        <v>9.1597455678007478E-3</v>
      </c>
      <c r="AH8391" s="2" t="str">
        <f ca="1"/>
        <v>Good</v>
      </c>
    </row>
    <row r="8392" spans="2:34" x14ac:dyDescent="0.2">
      <c r="B8392" s="2">
        <f ca="1"/>
        <v>0.63667733724292108</v>
      </c>
      <c r="O8392" s="2">
        <f ca="1"/>
        <v>0.73528222834864265</v>
      </c>
      <c r="X8392" s="2">
        <f ca="1"/>
        <v>52.352422430016091</v>
      </c>
      <c r="AG8392" s="2">
        <f ca="1"/>
        <v>0.19730386775099351</v>
      </c>
      <c r="AH8392" s="2" t="str">
        <f ca="1"/>
        <v>OK</v>
      </c>
    </row>
    <row r="8393" spans="2:34" x14ac:dyDescent="0.2">
      <c r="B8393" s="2">
        <f ca="1"/>
        <v>0.99306421767142417</v>
      </c>
      <c r="O8393" s="2">
        <f ca="1"/>
        <v>0.80319824065273882</v>
      </c>
      <c r="X8393" s="2">
        <f ca="1"/>
        <v>30.346172973853577</v>
      </c>
      <c r="AG8393" s="2">
        <f ca="1"/>
        <v>0.3652104545467636</v>
      </c>
      <c r="AH8393" s="2" t="str">
        <f ca="1"/>
        <v>OK</v>
      </c>
    </row>
    <row r="8394" spans="2:34" x14ac:dyDescent="0.2">
      <c r="B8394" s="2">
        <f ca="1"/>
        <v>0.16427298297673398</v>
      </c>
      <c r="O8394" s="2">
        <f ca="1"/>
        <v>1.0168980397887215</v>
      </c>
      <c r="X8394" s="2">
        <f ca="1"/>
        <v>60.732676257503059</v>
      </c>
      <c r="AG8394" s="2">
        <f ca="1"/>
        <v>0.65961975490622171</v>
      </c>
      <c r="AH8394" s="2" t="str">
        <f ca="1"/>
        <v>Bad</v>
      </c>
    </row>
    <row r="8395" spans="2:34" x14ac:dyDescent="0.2">
      <c r="B8395" s="2">
        <f ca="1"/>
        <v>0.24625857364044901</v>
      </c>
      <c r="O8395" s="2">
        <f ca="1"/>
        <v>0.7813976690653498</v>
      </c>
      <c r="X8395" s="2">
        <f ca="1"/>
        <v>46.76534844452086</v>
      </c>
      <c r="AG8395" s="2">
        <f ca="1"/>
        <v>5.7119175493782093E-2</v>
      </c>
      <c r="AH8395" s="2" t="str">
        <f ca="1"/>
        <v>OK</v>
      </c>
    </row>
    <row r="8396" spans="2:34" x14ac:dyDescent="0.2">
      <c r="B8396" s="2">
        <f ca="1"/>
        <v>0.9791372133140297</v>
      </c>
      <c r="O8396" s="2">
        <f ca="1"/>
        <v>1.1782721761605648E-2</v>
      </c>
      <c r="X8396" s="2">
        <f ca="1"/>
        <v>78.494187031052562</v>
      </c>
      <c r="AG8396" s="2">
        <f ca="1"/>
        <v>0.83015016204864911</v>
      </c>
      <c r="AH8396" s="2" t="str">
        <f ca="1"/>
        <v>Bad</v>
      </c>
    </row>
    <row r="8397" spans="2:34" x14ac:dyDescent="0.2">
      <c r="B8397" s="2">
        <f ca="1"/>
        <v>0.18608218643481655</v>
      </c>
      <c r="O8397" s="2">
        <f ca="1"/>
        <v>0.22167685652673777</v>
      </c>
      <c r="X8397" s="2">
        <f ca="1"/>
        <v>42.85990240339305</v>
      </c>
      <c r="AG8397" s="2">
        <f ca="1"/>
        <v>0.84363313766692283</v>
      </c>
      <c r="AH8397" s="2" t="str">
        <f ca="1"/>
        <v>Bad</v>
      </c>
    </row>
    <row r="8398" spans="2:34" x14ac:dyDescent="0.2">
      <c r="B8398" s="2">
        <f ca="1"/>
        <v>0.35389872567117275</v>
      </c>
      <c r="O8398" s="2">
        <f ca="1"/>
        <v>-1.7490102778453767</v>
      </c>
      <c r="X8398" s="2">
        <f ca="1"/>
        <v>43.578728528627295</v>
      </c>
      <c r="AG8398" s="2">
        <f ca="1"/>
        <v>9.3933011050141291E-2</v>
      </c>
      <c r="AH8398" s="2" t="str">
        <f ca="1"/>
        <v>OK</v>
      </c>
    </row>
    <row r="8399" spans="2:34" x14ac:dyDescent="0.2">
      <c r="B8399" s="2">
        <f ca="1"/>
        <v>5.5756959614565504E-2</v>
      </c>
      <c r="O8399" s="2">
        <f ca="1"/>
        <v>-0.20927380831485506</v>
      </c>
      <c r="X8399" s="2">
        <f ca="1"/>
        <v>58.15483933135161</v>
      </c>
      <c r="AG8399" s="2">
        <f ca="1"/>
        <v>0.38011614466109633</v>
      </c>
      <c r="AH8399" s="2" t="str">
        <f ca="1"/>
        <v>OK</v>
      </c>
    </row>
    <row r="8400" spans="2:34" x14ac:dyDescent="0.2">
      <c r="B8400" s="2">
        <f ca="1"/>
        <v>0.67747773704783865</v>
      </c>
      <c r="O8400" s="2">
        <f ca="1"/>
        <v>-0.81276106168766316</v>
      </c>
      <c r="X8400" s="2">
        <f ca="1"/>
        <v>62.470457387916355</v>
      </c>
      <c r="AG8400" s="2">
        <f ca="1"/>
        <v>0.10709333971102297</v>
      </c>
      <c r="AH8400" s="2" t="str">
        <f ca="1"/>
        <v>OK</v>
      </c>
    </row>
    <row r="8401" spans="2:34" x14ac:dyDescent="0.2">
      <c r="B8401" s="2">
        <f ca="1"/>
        <v>0.1086792251687887</v>
      </c>
      <c r="O8401" s="2">
        <f ca="1"/>
        <v>-1.6562918709435015</v>
      </c>
      <c r="X8401" s="2">
        <f ca="1"/>
        <v>75.967638501213244</v>
      </c>
      <c r="AG8401" s="2">
        <f ca="1"/>
        <v>0.22874602036371527</v>
      </c>
      <c r="AH8401" s="2" t="str">
        <f ca="1"/>
        <v>OK</v>
      </c>
    </row>
    <row r="8402" spans="2:34" x14ac:dyDescent="0.2">
      <c r="B8402" s="2">
        <f ca="1"/>
        <v>0.80292137384485462</v>
      </c>
      <c r="O8402" s="2">
        <f ca="1"/>
        <v>-0.56828806664065523</v>
      </c>
      <c r="X8402" s="2">
        <f ca="1"/>
        <v>52.026146339945385</v>
      </c>
      <c r="AG8402" s="2">
        <f ca="1"/>
        <v>5.6539576170204553E-2</v>
      </c>
      <c r="AH8402" s="2" t="str">
        <f ca="1"/>
        <v>OK</v>
      </c>
    </row>
    <row r="8403" spans="2:34" x14ac:dyDescent="0.2">
      <c r="B8403" s="2">
        <f ca="1"/>
        <v>3.3838400108758382E-2</v>
      </c>
      <c r="O8403" s="2">
        <f ca="1"/>
        <v>-1.1315922341102564</v>
      </c>
      <c r="X8403" s="2">
        <f ca="1"/>
        <v>32.635636904644777</v>
      </c>
      <c r="AG8403" s="2">
        <f ca="1"/>
        <v>0.28787693359678257</v>
      </c>
      <c r="AH8403" s="2" t="str">
        <f ca="1"/>
        <v>OK</v>
      </c>
    </row>
    <row r="8404" spans="2:34" x14ac:dyDescent="0.2">
      <c r="B8404" s="2">
        <f ca="1"/>
        <v>0.79589733124007123</v>
      </c>
      <c r="O8404" s="2">
        <f ca="1"/>
        <v>-7.8742302688171686E-2</v>
      </c>
      <c r="X8404" s="2">
        <f ca="1"/>
        <v>36.352987976715305</v>
      </c>
      <c r="AG8404" s="2">
        <f ca="1"/>
        <v>0.60496457790375469</v>
      </c>
      <c r="AH8404" s="2" t="str">
        <f ca="1"/>
        <v>Bad</v>
      </c>
    </row>
    <row r="8405" spans="2:34" x14ac:dyDescent="0.2">
      <c r="B8405" s="2">
        <f ca="1"/>
        <v>0.72339490538564744</v>
      </c>
      <c r="O8405" s="2">
        <f ca="1"/>
        <v>-0.24315561838082209</v>
      </c>
      <c r="X8405" s="2">
        <f ca="1"/>
        <v>38.065903950318813</v>
      </c>
      <c r="AG8405" s="2">
        <f ca="1"/>
        <v>0.44046060726906733</v>
      </c>
      <c r="AH8405" s="2" t="str">
        <f ca="1"/>
        <v>Bad</v>
      </c>
    </row>
    <row r="8406" spans="2:34" x14ac:dyDescent="0.2">
      <c r="B8406" s="2">
        <f ca="1"/>
        <v>0.46005004106803526</v>
      </c>
      <c r="O8406" s="2">
        <f ca="1"/>
        <v>-0.24524013140853551</v>
      </c>
      <c r="X8406" s="2">
        <f ca="1"/>
        <v>49.824179359023979</v>
      </c>
      <c r="AG8406" s="2">
        <f ca="1"/>
        <v>0.36279734842271094</v>
      </c>
      <c r="AH8406" s="2" t="str">
        <f ca="1"/>
        <v>OK</v>
      </c>
    </row>
    <row r="8407" spans="2:34" x14ac:dyDescent="0.2">
      <c r="B8407" s="2">
        <f ca="1"/>
        <v>0.49011391395605197</v>
      </c>
      <c r="O8407" s="2">
        <f ca="1"/>
        <v>-0.46759818138509435</v>
      </c>
      <c r="X8407" s="2">
        <f ca="1"/>
        <v>54.272263687626207</v>
      </c>
      <c r="AG8407" s="2">
        <f ca="1"/>
        <v>0.85846992777134679</v>
      </c>
      <c r="AH8407" s="2" t="str">
        <f ca="1"/>
        <v>Bad</v>
      </c>
    </row>
    <row r="8408" spans="2:34" x14ac:dyDescent="0.2">
      <c r="B8408" s="2">
        <f ca="1"/>
        <v>0.56239366496829524</v>
      </c>
      <c r="O8408" s="2">
        <f ca="1"/>
        <v>-2.0009491849173577</v>
      </c>
      <c r="X8408" s="2">
        <f ca="1"/>
        <v>25.348732774571822</v>
      </c>
      <c r="AG8408" s="2">
        <f ca="1"/>
        <v>0.56360770951974204</v>
      </c>
      <c r="AH8408" s="2" t="str">
        <f ca="1"/>
        <v>Bad</v>
      </c>
    </row>
    <row r="8409" spans="2:34" x14ac:dyDescent="0.2">
      <c r="B8409" s="2">
        <f ca="1"/>
        <v>4.1251212073649679E-3</v>
      </c>
      <c r="O8409" s="2">
        <f ca="1"/>
        <v>-1.4339553369390992</v>
      </c>
      <c r="X8409" s="2">
        <f ca="1"/>
        <v>37.42487072404618</v>
      </c>
      <c r="AG8409" s="2">
        <f ca="1"/>
        <v>8.4608275632098495E-2</v>
      </c>
      <c r="AH8409" s="2" t="str">
        <f ca="1"/>
        <v>OK</v>
      </c>
    </row>
    <row r="8410" spans="2:34" x14ac:dyDescent="0.2">
      <c r="B8410" s="2">
        <f ca="1"/>
        <v>0.73881397716995711</v>
      </c>
      <c r="O8410" s="2">
        <f ca="1"/>
        <v>-0.20382701674285139</v>
      </c>
      <c r="X8410" s="2">
        <f ca="1"/>
        <v>39.145955411185398</v>
      </c>
      <c r="AG8410" s="2">
        <f ca="1"/>
        <v>0.87453801090320749</v>
      </c>
      <c r="AH8410" s="2" t="str">
        <f ca="1"/>
        <v>Bad</v>
      </c>
    </row>
    <row r="8411" spans="2:34" x14ac:dyDescent="0.2">
      <c r="B8411" s="2">
        <f ca="1"/>
        <v>0.48555589772655128</v>
      </c>
      <c r="O8411" s="2">
        <f ca="1"/>
        <v>0.49092130089493646</v>
      </c>
      <c r="X8411" s="2">
        <f ca="1"/>
        <v>48.023322154250039</v>
      </c>
      <c r="AG8411" s="2">
        <f ca="1"/>
        <v>0.58127091632236172</v>
      </c>
      <c r="AH8411" s="2" t="str">
        <f ca="1"/>
        <v>Bad</v>
      </c>
    </row>
    <row r="8412" spans="2:34" x14ac:dyDescent="0.2">
      <c r="B8412" s="2">
        <f ca="1"/>
        <v>0.97330560688381751</v>
      </c>
      <c r="O8412" s="2">
        <f ca="1"/>
        <v>-0.13403989889972601</v>
      </c>
      <c r="X8412" s="2">
        <f ca="1"/>
        <v>46.974104346730243</v>
      </c>
      <c r="AG8412" s="2">
        <f ca="1"/>
        <v>0.64184712958836987</v>
      </c>
      <c r="AH8412" s="2" t="str">
        <f ca="1"/>
        <v>Bad</v>
      </c>
    </row>
    <row r="8413" spans="2:34" x14ac:dyDescent="0.2">
      <c r="B8413" s="2">
        <f ca="1"/>
        <v>0.71474795819157455</v>
      </c>
      <c r="O8413" s="2">
        <f ca="1"/>
        <v>-1.5659490513172298</v>
      </c>
      <c r="X8413" s="2">
        <f ca="1"/>
        <v>32.673997151746605</v>
      </c>
      <c r="AG8413" s="2">
        <f ca="1"/>
        <v>0.59965461745058302</v>
      </c>
      <c r="AH8413" s="2" t="str">
        <f ca="1"/>
        <v>Bad</v>
      </c>
    </row>
    <row r="8414" spans="2:34" x14ac:dyDescent="0.2">
      <c r="B8414" s="2">
        <f ca="1"/>
        <v>0.42463441689291748</v>
      </c>
      <c r="O8414" s="2">
        <f ca="1"/>
        <v>-1.4042289845736062</v>
      </c>
      <c r="X8414" s="2">
        <f ca="1"/>
        <v>68.423387732030221</v>
      </c>
      <c r="AG8414" s="2">
        <f ca="1"/>
        <v>0.58237290936746211</v>
      </c>
      <c r="AH8414" s="2" t="str">
        <f ca="1"/>
        <v>Bad</v>
      </c>
    </row>
    <row r="8415" spans="2:34" x14ac:dyDescent="0.2">
      <c r="B8415" s="2">
        <f ca="1"/>
        <v>0.83328375044045866</v>
      </c>
      <c r="O8415" s="2">
        <f ca="1"/>
        <v>2.337410349833803</v>
      </c>
      <c r="X8415" s="2">
        <f ca="1"/>
        <v>31.743578052907743</v>
      </c>
      <c r="AG8415" s="2">
        <f ca="1"/>
        <v>0.34074246805520758</v>
      </c>
      <c r="AH8415" s="2" t="str">
        <f ca="1"/>
        <v>OK</v>
      </c>
    </row>
    <row r="8416" spans="2:34" x14ac:dyDescent="0.2">
      <c r="B8416" s="2">
        <f ca="1"/>
        <v>0.85200920187813356</v>
      </c>
      <c r="O8416" s="2">
        <f ca="1"/>
        <v>0.63195654077785446</v>
      </c>
      <c r="X8416" s="2">
        <f ca="1"/>
        <v>59.937878966617745</v>
      </c>
      <c r="AG8416" s="2">
        <f ca="1"/>
        <v>6.3227294584501603E-2</v>
      </c>
      <c r="AH8416" s="2" t="str">
        <f ca="1"/>
        <v>OK</v>
      </c>
    </row>
    <row r="8417" spans="2:34" x14ac:dyDescent="0.2">
      <c r="B8417" s="2">
        <f ca="1"/>
        <v>0.15261093790197955</v>
      </c>
      <c r="O8417" s="2">
        <f ca="1"/>
        <v>1.4044338220145045</v>
      </c>
      <c r="X8417" s="2">
        <f ca="1"/>
        <v>36.468469646679893</v>
      </c>
      <c r="AG8417" s="2">
        <f ca="1"/>
        <v>0.80927799577427773</v>
      </c>
      <c r="AH8417" s="2" t="str">
        <f ca="1"/>
        <v>Bad</v>
      </c>
    </row>
    <row r="8418" spans="2:34" x14ac:dyDescent="0.2">
      <c r="B8418" s="2">
        <f ca="1"/>
        <v>0.11159225237970372</v>
      </c>
      <c r="O8418" s="2">
        <f ca="1"/>
        <v>-0.42335249231107996</v>
      </c>
      <c r="X8418" s="2">
        <f ca="1"/>
        <v>43.61395275864291</v>
      </c>
      <c r="AG8418" s="2">
        <f ca="1"/>
        <v>0.14864384319717927</v>
      </c>
      <c r="AH8418" s="2" t="str">
        <f ca="1"/>
        <v>OK</v>
      </c>
    </row>
    <row r="8419" spans="2:34" x14ac:dyDescent="0.2">
      <c r="B8419" s="2">
        <f ca="1"/>
        <v>0.73235745476642422</v>
      </c>
      <c r="O8419" s="2">
        <f ca="1"/>
        <v>-0.78923429700545988</v>
      </c>
      <c r="X8419" s="2">
        <f ca="1"/>
        <v>47.337422161356351</v>
      </c>
      <c r="AG8419" s="2">
        <f ca="1"/>
        <v>0.37423722012172456</v>
      </c>
      <c r="AH8419" s="2" t="str">
        <f ca="1"/>
        <v>OK</v>
      </c>
    </row>
    <row r="8420" spans="2:34" x14ac:dyDescent="0.2">
      <c r="B8420" s="2">
        <f ca="1"/>
        <v>0.61530121233579504</v>
      </c>
      <c r="O8420" s="2">
        <f ca="1"/>
        <v>1.5676689366130978</v>
      </c>
      <c r="X8420" s="2">
        <f ca="1"/>
        <v>28.169240585242633</v>
      </c>
      <c r="AG8420" s="2">
        <f ca="1"/>
        <v>0.12660866170114105</v>
      </c>
      <c r="AH8420" s="2" t="str">
        <f ca="1"/>
        <v>OK</v>
      </c>
    </row>
    <row r="8421" spans="2:34" x14ac:dyDescent="0.2">
      <c r="B8421" s="2">
        <f ca="1"/>
        <v>0.9655061605351476</v>
      </c>
      <c r="O8421" s="2">
        <f ca="1"/>
        <v>0.8987375659548561</v>
      </c>
      <c r="X8421" s="2">
        <f ca="1"/>
        <v>65.861539140781233</v>
      </c>
      <c r="AG8421" s="2">
        <f ca="1"/>
        <v>0.1866717707750758</v>
      </c>
      <c r="AH8421" s="2" t="str">
        <f ca="1"/>
        <v>OK</v>
      </c>
    </row>
    <row r="8422" spans="2:34" x14ac:dyDescent="0.2">
      <c r="B8422" s="2">
        <f ca="1"/>
        <v>0.27233422205546409</v>
      </c>
      <c r="O8422" s="2">
        <f ca="1"/>
        <v>0.35402024801552306</v>
      </c>
      <c r="X8422" s="2">
        <f ca="1"/>
        <v>47.294210600542741</v>
      </c>
      <c r="AG8422" s="2">
        <f ca="1"/>
        <v>0.5955145397312418</v>
      </c>
      <c r="AH8422" s="2" t="str">
        <f ca="1"/>
        <v>Bad</v>
      </c>
    </row>
    <row r="8423" spans="2:34" x14ac:dyDescent="0.2">
      <c r="B8423" s="2">
        <f ca="1"/>
        <v>0.45102302898995261</v>
      </c>
      <c r="O8423" s="2">
        <f ca="1"/>
        <v>0.73412328562509399</v>
      </c>
      <c r="X8423" s="2">
        <f ca="1"/>
        <v>49.868549935538731</v>
      </c>
      <c r="AG8423" s="2">
        <f ca="1"/>
        <v>0.99494496982426517</v>
      </c>
      <c r="AH8423" s="2" t="str">
        <f ca="1"/>
        <v>Bad</v>
      </c>
    </row>
    <row r="8424" spans="2:34" x14ac:dyDescent="0.2">
      <c r="B8424" s="2">
        <f ca="1"/>
        <v>0.99681542815972279</v>
      </c>
      <c r="O8424" s="2">
        <f ca="1"/>
        <v>0.41081525594937246</v>
      </c>
      <c r="X8424" s="2">
        <f ca="1"/>
        <v>58.009645771676979</v>
      </c>
      <c r="AG8424" s="2">
        <f ca="1"/>
        <v>0.7087688741688567</v>
      </c>
      <c r="AH8424" s="2" t="str">
        <f ca="1"/>
        <v>Bad</v>
      </c>
    </row>
    <row r="8425" spans="2:34" x14ac:dyDescent="0.2">
      <c r="B8425" s="2">
        <f ca="1"/>
        <v>0.99988482685167135</v>
      </c>
      <c r="O8425" s="2">
        <f ca="1"/>
        <v>0.83090245394865914</v>
      </c>
      <c r="X8425" s="2">
        <f ca="1"/>
        <v>24.416720697483861</v>
      </c>
      <c r="AG8425" s="2">
        <f ca="1"/>
        <v>0.43121733783304483</v>
      </c>
      <c r="AH8425" s="2" t="str">
        <f ca="1"/>
        <v>Bad</v>
      </c>
    </row>
    <row r="8426" spans="2:34" x14ac:dyDescent="0.2">
      <c r="B8426" s="2">
        <f ca="1"/>
        <v>0.42443966576931569</v>
      </c>
      <c r="O8426" s="2">
        <f ca="1"/>
        <v>-0.90598140138013894</v>
      </c>
      <c r="X8426" s="2">
        <f ca="1"/>
        <v>38.179008790981392</v>
      </c>
      <c r="AG8426" s="2">
        <f ca="1"/>
        <v>0.84575994433478385</v>
      </c>
      <c r="AH8426" s="2" t="str">
        <f ca="1"/>
        <v>Bad</v>
      </c>
    </row>
    <row r="8427" spans="2:34" x14ac:dyDescent="0.2">
      <c r="B8427" s="2">
        <f ca="1"/>
        <v>4.4217236035669183E-2</v>
      </c>
      <c r="O8427" s="2">
        <f ca="1"/>
        <v>0.96726868931548449</v>
      </c>
      <c r="X8427" s="2">
        <f ca="1"/>
        <v>38.78619466424103</v>
      </c>
      <c r="AG8427" s="2">
        <f ca="1"/>
        <v>0.95961166153455135</v>
      </c>
      <c r="AH8427" s="2" t="str">
        <f ca="1"/>
        <v>Bad</v>
      </c>
    </row>
    <row r="8428" spans="2:34" x14ac:dyDescent="0.2">
      <c r="B8428" s="2">
        <f ca="1"/>
        <v>0.54807367984189259</v>
      </c>
      <c r="O8428" s="2">
        <f ca="1"/>
        <v>-2.8518654081939605</v>
      </c>
      <c r="X8428" s="2">
        <f ca="1"/>
        <v>40.882426410833773</v>
      </c>
      <c r="AG8428" s="2">
        <f ca="1"/>
        <v>0.67118427541635861</v>
      </c>
      <c r="AH8428" s="2" t="str">
        <f ca="1"/>
        <v>Bad</v>
      </c>
    </row>
    <row r="8429" spans="2:34" x14ac:dyDescent="0.2">
      <c r="B8429" s="2">
        <f ca="1"/>
        <v>0.99965298203971287</v>
      </c>
      <c r="O8429" s="2">
        <f ca="1"/>
        <v>0.17833916935648167</v>
      </c>
      <c r="X8429" s="2">
        <f ca="1"/>
        <v>60.739124755724781</v>
      </c>
      <c r="AG8429" s="2">
        <f ca="1"/>
        <v>0.85282832220265847</v>
      </c>
      <c r="AH8429" s="2" t="str">
        <f ca="1"/>
        <v>Bad</v>
      </c>
    </row>
    <row r="8430" spans="2:34" x14ac:dyDescent="0.2">
      <c r="B8430" s="2">
        <f ca="1"/>
        <v>0.52985918064797377</v>
      </c>
      <c r="O8430" s="2">
        <f ca="1"/>
        <v>-0.94188574757508225</v>
      </c>
      <c r="X8430" s="2">
        <f ca="1"/>
        <v>56.641879324425844</v>
      </c>
      <c r="AG8430" s="2">
        <f ca="1"/>
        <v>0.9879490226566805</v>
      </c>
      <c r="AH8430" s="2" t="str">
        <f ca="1"/>
        <v>Bad</v>
      </c>
    </row>
    <row r="8431" spans="2:34" x14ac:dyDescent="0.2">
      <c r="B8431" s="2">
        <f ca="1"/>
        <v>0.56952704667563703</v>
      </c>
      <c r="O8431" s="2">
        <f ca="1"/>
        <v>0.12001013193984338</v>
      </c>
      <c r="X8431" s="2">
        <f ca="1"/>
        <v>43.764039380488327</v>
      </c>
      <c r="AG8431" s="2">
        <f ca="1"/>
        <v>0.97561536478876576</v>
      </c>
      <c r="AH8431" s="2" t="str">
        <f ca="1"/>
        <v>Bad</v>
      </c>
    </row>
    <row r="8432" spans="2:34" x14ac:dyDescent="0.2">
      <c r="B8432" s="2">
        <f ca="1"/>
        <v>0.90930333164548838</v>
      </c>
      <c r="O8432" s="2">
        <f ca="1"/>
        <v>-1.8922942798427544</v>
      </c>
      <c r="X8432" s="2">
        <f ca="1"/>
        <v>56.488471556548504</v>
      </c>
      <c r="AG8432" s="2">
        <f ca="1"/>
        <v>0.27617426803484824</v>
      </c>
      <c r="AH8432" s="2" t="str">
        <f ca="1"/>
        <v>OK</v>
      </c>
    </row>
    <row r="8433" spans="2:34" x14ac:dyDescent="0.2">
      <c r="B8433" s="2">
        <f ca="1"/>
        <v>8.4185351337139336E-2</v>
      </c>
      <c r="O8433" s="2">
        <f ca="1"/>
        <v>0.89657329538891117</v>
      </c>
      <c r="X8433" s="2">
        <f ca="1"/>
        <v>44.457007906554665</v>
      </c>
      <c r="AG8433" s="2">
        <f ca="1"/>
        <v>0.10793161336368473</v>
      </c>
      <c r="AH8433" s="2" t="str">
        <f ca="1"/>
        <v>OK</v>
      </c>
    </row>
    <row r="8434" spans="2:34" x14ac:dyDescent="0.2">
      <c r="B8434" s="2">
        <f ca="1"/>
        <v>0.49848774089997749</v>
      </c>
      <c r="O8434" s="2">
        <f ca="1"/>
        <v>-3.5327944701743421</v>
      </c>
      <c r="X8434" s="2">
        <f ca="1"/>
        <v>56.398007330702242</v>
      </c>
      <c r="AG8434" s="2">
        <f ca="1"/>
        <v>0.98467576092064135</v>
      </c>
      <c r="AH8434" s="2" t="str">
        <f ca="1"/>
        <v>Bad</v>
      </c>
    </row>
    <row r="8435" spans="2:34" x14ac:dyDescent="0.2">
      <c r="B8435" s="2">
        <f ca="1"/>
        <v>0.66636546226910887</v>
      </c>
      <c r="O8435" s="2">
        <f ca="1"/>
        <v>-0.27162584666544826</v>
      </c>
      <c r="X8435" s="2">
        <f ca="1"/>
        <v>73.16600493520113</v>
      </c>
      <c r="AG8435" s="2">
        <f ca="1"/>
        <v>0.40251755411672718</v>
      </c>
      <c r="AH8435" s="2" t="str">
        <f ca="1"/>
        <v>Bad</v>
      </c>
    </row>
    <row r="8436" spans="2:34" x14ac:dyDescent="0.2">
      <c r="B8436" s="2">
        <f ca="1"/>
        <v>0.85576351088527325</v>
      </c>
      <c r="O8436" s="2">
        <f ca="1"/>
        <v>0.85306502383216765</v>
      </c>
      <c r="X8436" s="2">
        <f ca="1"/>
        <v>27.115335013906545</v>
      </c>
      <c r="AG8436" s="2">
        <f ca="1"/>
        <v>0.80875825812414903</v>
      </c>
      <c r="AH8436" s="2" t="str">
        <f ca="1"/>
        <v>Bad</v>
      </c>
    </row>
    <row r="8437" spans="2:34" x14ac:dyDescent="0.2">
      <c r="B8437" s="2">
        <f ca="1"/>
        <v>0.36198939347726444</v>
      </c>
      <c r="O8437" s="2">
        <f ca="1"/>
        <v>-0.62216103769541764</v>
      </c>
      <c r="X8437" s="2">
        <f ca="1"/>
        <v>38.697528229375209</v>
      </c>
      <c r="AG8437" s="2">
        <f ca="1"/>
        <v>0.11835464668812667</v>
      </c>
      <c r="AH8437" s="2" t="str">
        <f ca="1"/>
        <v>OK</v>
      </c>
    </row>
    <row r="8438" spans="2:34" x14ac:dyDescent="0.2">
      <c r="B8438" s="2">
        <f ca="1"/>
        <v>0.35779086107432345</v>
      </c>
      <c r="O8438" s="2">
        <f ca="1"/>
        <v>-8.1745590251706635E-2</v>
      </c>
      <c r="X8438" s="2">
        <f ca="1"/>
        <v>68.512789748057401</v>
      </c>
      <c r="AG8438" s="2">
        <f ca="1"/>
        <v>0.92180241732756163</v>
      </c>
      <c r="AH8438" s="2" t="str">
        <f ca="1"/>
        <v>Bad</v>
      </c>
    </row>
    <row r="8439" spans="2:34" x14ac:dyDescent="0.2">
      <c r="B8439" s="2">
        <f ca="1"/>
        <v>0.4738171722033222</v>
      </c>
      <c r="O8439" s="2">
        <f ca="1"/>
        <v>-1.2649149434458442</v>
      </c>
      <c r="X8439" s="2">
        <f ca="1"/>
        <v>44.387037203579176</v>
      </c>
      <c r="AG8439" s="2">
        <f ca="1"/>
        <v>0.44713892235723707</v>
      </c>
      <c r="AH8439" s="2" t="str">
        <f ca="1"/>
        <v>Bad</v>
      </c>
    </row>
    <row r="8440" spans="2:34" x14ac:dyDescent="0.2">
      <c r="B8440" s="2">
        <f ca="1"/>
        <v>0.67271030887902317</v>
      </c>
      <c r="O8440" s="2">
        <f ca="1"/>
        <v>-0.88802221544690985</v>
      </c>
      <c r="X8440" s="2">
        <f ca="1"/>
        <v>77.277401505664272</v>
      </c>
      <c r="AG8440" s="2">
        <f ca="1"/>
        <v>0.98423411253382431</v>
      </c>
      <c r="AH8440" s="2" t="str">
        <f ca="1"/>
        <v>Bad</v>
      </c>
    </row>
    <row r="8441" spans="2:34" x14ac:dyDescent="0.2">
      <c r="B8441" s="2">
        <f ca="1"/>
        <v>0.27744171823324093</v>
      </c>
      <c r="O8441" s="2">
        <f ca="1"/>
        <v>-0.569890796927365</v>
      </c>
      <c r="X8441" s="2">
        <f ca="1"/>
        <v>37.097995957085587</v>
      </c>
      <c r="AG8441" s="2">
        <f ca="1"/>
        <v>0.93810136087293938</v>
      </c>
      <c r="AH8441" s="2" t="str">
        <f ca="1"/>
        <v>Bad</v>
      </c>
    </row>
    <row r="8442" spans="2:34" x14ac:dyDescent="0.2">
      <c r="B8442" s="2">
        <f ca="1"/>
        <v>0.70691501961623748</v>
      </c>
      <c r="O8442" s="2">
        <f ca="1"/>
        <v>1.4105721548589396</v>
      </c>
      <c r="X8442" s="2">
        <f ca="1"/>
        <v>34.968777680994982</v>
      </c>
      <c r="AG8442" s="2">
        <f ca="1"/>
        <v>6.6546611455238214E-3</v>
      </c>
      <c r="AH8442" s="2" t="str">
        <f ca="1"/>
        <v>Good</v>
      </c>
    </row>
    <row r="8443" spans="2:34" x14ac:dyDescent="0.2">
      <c r="B8443" s="2">
        <f ca="1"/>
        <v>0.38364060957792301</v>
      </c>
      <c r="O8443" s="2">
        <f ca="1"/>
        <v>0.58397103643559622</v>
      </c>
      <c r="X8443" s="2">
        <f ca="1"/>
        <v>35.261956358331481</v>
      </c>
      <c r="AG8443" s="2">
        <f ca="1"/>
        <v>0.12195699899775136</v>
      </c>
      <c r="AH8443" s="2" t="str">
        <f ca="1"/>
        <v>OK</v>
      </c>
    </row>
    <row r="8444" spans="2:34" x14ac:dyDescent="0.2">
      <c r="B8444" s="2">
        <f ca="1"/>
        <v>0.41622574685392832</v>
      </c>
      <c r="O8444" s="2">
        <f ca="1"/>
        <v>-6.4120810923253099E-2</v>
      </c>
      <c r="X8444" s="2">
        <f ca="1"/>
        <v>46.25166056159695</v>
      </c>
      <c r="AG8444" s="2">
        <f ca="1"/>
        <v>2.3760403331589686E-2</v>
      </c>
      <c r="AH8444" s="2" t="str">
        <f ca="1"/>
        <v>Good</v>
      </c>
    </row>
    <row r="8445" spans="2:34" x14ac:dyDescent="0.2">
      <c r="B8445" s="2">
        <f ca="1"/>
        <v>0.97893155110464947</v>
      </c>
      <c r="O8445" s="2">
        <f ca="1"/>
        <v>-0.14899307028480174</v>
      </c>
      <c r="X8445" s="2">
        <f ca="1"/>
        <v>33.210196087486693</v>
      </c>
      <c r="AG8445" s="2">
        <f ca="1"/>
        <v>0.57569308487702386</v>
      </c>
      <c r="AH8445" s="2" t="str">
        <f ca="1"/>
        <v>Bad</v>
      </c>
    </row>
    <row r="8446" spans="2:34" x14ac:dyDescent="0.2">
      <c r="B8446" s="2">
        <f ca="1"/>
        <v>0.78839264152685562</v>
      </c>
      <c r="O8446" s="2">
        <f ca="1"/>
        <v>-2.2175626946171598</v>
      </c>
      <c r="X8446" s="2">
        <f ca="1"/>
        <v>19.793831781180966</v>
      </c>
      <c r="AG8446" s="2">
        <f ca="1"/>
        <v>0.4820180839749677</v>
      </c>
      <c r="AH8446" s="2" t="str">
        <f ca="1"/>
        <v>Bad</v>
      </c>
    </row>
    <row r="8447" spans="2:34" x14ac:dyDescent="0.2">
      <c r="B8447" s="2">
        <f ca="1"/>
        <v>0.22613944280732223</v>
      </c>
      <c r="O8447" s="2">
        <f ca="1"/>
        <v>-0.6894926899438889</v>
      </c>
      <c r="X8447" s="2">
        <f ca="1"/>
        <v>72.96450132814752</v>
      </c>
      <c r="AG8447" s="2">
        <f ca="1"/>
        <v>0.8226818261184119</v>
      </c>
      <c r="AH8447" s="2" t="str">
        <f ca="1"/>
        <v>Bad</v>
      </c>
    </row>
    <row r="8448" spans="2:34" x14ac:dyDescent="0.2">
      <c r="B8448" s="2">
        <f ca="1"/>
        <v>0.88257472704758189</v>
      </c>
      <c r="O8448" s="2">
        <f ca="1"/>
        <v>-0.69297755091468505</v>
      </c>
      <c r="X8448" s="2">
        <f ca="1"/>
        <v>53.94771113112018</v>
      </c>
      <c r="AG8448" s="2">
        <f ca="1"/>
        <v>0.4898245457267052</v>
      </c>
      <c r="AH8448" s="2" t="str">
        <f ca="1"/>
        <v>Bad</v>
      </c>
    </row>
    <row r="8449" spans="2:34" x14ac:dyDescent="0.2">
      <c r="B8449" s="2">
        <f ca="1"/>
        <v>0.45020538559879131</v>
      </c>
      <c r="O8449" s="2">
        <f ca="1"/>
        <v>-0.72332122329642479</v>
      </c>
      <c r="X8449" s="2">
        <f ca="1"/>
        <v>62.043961796944245</v>
      </c>
      <c r="AG8449" s="2">
        <f ca="1"/>
        <v>0.79775431884818571</v>
      </c>
      <c r="AH8449" s="2" t="str">
        <f ca="1"/>
        <v>Bad</v>
      </c>
    </row>
    <row r="8450" spans="2:34" x14ac:dyDescent="0.2">
      <c r="B8450" s="2">
        <f ca="1"/>
        <v>0.66643410854961749</v>
      </c>
      <c r="O8450" s="2">
        <f ca="1"/>
        <v>1.387896053067549</v>
      </c>
      <c r="X8450" s="2">
        <f ca="1"/>
        <v>48.78400362430861</v>
      </c>
      <c r="AG8450" s="2">
        <f ca="1"/>
        <v>0.85677315103737328</v>
      </c>
      <c r="AH8450" s="2" t="str">
        <f ca="1"/>
        <v>Bad</v>
      </c>
    </row>
    <row r="8451" spans="2:34" x14ac:dyDescent="0.2">
      <c r="B8451" s="2">
        <f ca="1"/>
        <v>0.49878827529616387</v>
      </c>
      <c r="O8451" s="2">
        <f ca="1"/>
        <v>-1.6038224313817846</v>
      </c>
      <c r="X8451" s="2">
        <f ca="1"/>
        <v>46.780826301254869</v>
      </c>
      <c r="AG8451" s="2">
        <f ca="1"/>
        <v>0.3277730862713657</v>
      </c>
      <c r="AH8451" s="2" t="str">
        <f ca="1"/>
        <v>OK</v>
      </c>
    </row>
    <row r="8452" spans="2:34" x14ac:dyDescent="0.2">
      <c r="B8452" s="2">
        <f ca="1"/>
        <v>0.53697136851073135</v>
      </c>
      <c r="O8452" s="2">
        <f ca="1"/>
        <v>0.3281592613754401</v>
      </c>
      <c r="X8452" s="2">
        <f ca="1"/>
        <v>27.594275933801814</v>
      </c>
      <c r="AG8452" s="2">
        <f ca="1"/>
        <v>0.95356590062609392</v>
      </c>
      <c r="AH8452" s="2" t="str">
        <f ca="1"/>
        <v>Bad</v>
      </c>
    </row>
    <row r="8453" spans="2:34" x14ac:dyDescent="0.2">
      <c r="B8453" s="2">
        <f ca="1"/>
        <v>0.54827830136469013</v>
      </c>
      <c r="O8453" s="2">
        <f ca="1"/>
        <v>1.3530860538363114</v>
      </c>
      <c r="X8453" s="2">
        <f ca="1"/>
        <v>30.919809621806603</v>
      </c>
      <c r="AG8453" s="2">
        <f ca="1"/>
        <v>7.8203546837718907E-2</v>
      </c>
      <c r="AH8453" s="2" t="str">
        <f ca="1"/>
        <v>OK</v>
      </c>
    </row>
    <row r="8454" spans="2:34" x14ac:dyDescent="0.2">
      <c r="B8454" s="2">
        <f ca="1"/>
        <v>0.80145662217416813</v>
      </c>
      <c r="O8454" s="2">
        <f ca="1"/>
        <v>0.17068660100184249</v>
      </c>
      <c r="X8454" s="2">
        <f ca="1"/>
        <v>75.047688037245649</v>
      </c>
      <c r="AG8454" s="2">
        <f ca="1"/>
        <v>0.44303774654559702</v>
      </c>
      <c r="AH8454" s="2" t="str">
        <f ca="1"/>
        <v>Bad</v>
      </c>
    </row>
    <row r="8455" spans="2:34" x14ac:dyDescent="0.2">
      <c r="B8455" s="2">
        <f ca="1"/>
        <v>0.52049787996323071</v>
      </c>
      <c r="O8455" s="2">
        <f ca="1"/>
        <v>8.3463809136495537E-2</v>
      </c>
      <c r="X8455" s="2">
        <f ca="1"/>
        <v>40.997427601846034</v>
      </c>
      <c r="AG8455" s="2">
        <f ca="1"/>
        <v>0.67464929430622034</v>
      </c>
      <c r="AH8455" s="2" t="str">
        <f ca="1"/>
        <v>Bad</v>
      </c>
    </row>
    <row r="8456" spans="2:34" x14ac:dyDescent="0.2">
      <c r="B8456" s="2">
        <f ca="1"/>
        <v>0.72444141812102725</v>
      </c>
      <c r="O8456" s="2">
        <f ca="1"/>
        <v>-1.1989699682893751</v>
      </c>
      <c r="X8456" s="2">
        <f ca="1"/>
        <v>45.294254036122339</v>
      </c>
      <c r="AG8456" s="2">
        <f ca="1"/>
        <v>0.85332734996179349</v>
      </c>
      <c r="AH8456" s="2" t="str">
        <f ca="1"/>
        <v>Bad</v>
      </c>
    </row>
    <row r="8457" spans="2:34" x14ac:dyDescent="0.2">
      <c r="B8457" s="2">
        <f ca="1"/>
        <v>0.48424384471467308</v>
      </c>
      <c r="O8457" s="2">
        <f ca="1"/>
        <v>-1.5450936987081361E-2</v>
      </c>
      <c r="X8457" s="2">
        <f ca="1"/>
        <v>57.679514951774628</v>
      </c>
      <c r="AG8457" s="2">
        <f ca="1"/>
        <v>0.49248835168172267</v>
      </c>
      <c r="AH8457" s="2" t="str">
        <f ca="1"/>
        <v>Bad</v>
      </c>
    </row>
    <row r="8458" spans="2:34" x14ac:dyDescent="0.2">
      <c r="B8458" s="2">
        <f ca="1"/>
        <v>0.4075527109796353</v>
      </c>
      <c r="O8458" s="2">
        <f ca="1"/>
        <v>0.75863172113650246</v>
      </c>
      <c r="X8458" s="2">
        <f ca="1"/>
        <v>46.411061500972977</v>
      </c>
      <c r="AG8458" s="2">
        <f ca="1"/>
        <v>0.1748790418658055</v>
      </c>
      <c r="AH8458" s="2" t="str">
        <f ca="1"/>
        <v>OK</v>
      </c>
    </row>
    <row r="8459" spans="2:34" x14ac:dyDescent="0.2">
      <c r="B8459" s="2">
        <f ca="1"/>
        <v>0.14601393011789443</v>
      </c>
      <c r="O8459" s="2">
        <f ca="1"/>
        <v>0.70859240218618924</v>
      </c>
      <c r="X8459" s="2">
        <f ca="1"/>
        <v>40.334553881352548</v>
      </c>
      <c r="AG8459" s="2">
        <f ca="1"/>
        <v>0.55941622902915578</v>
      </c>
      <c r="AH8459" s="2" t="str">
        <f ca="1"/>
        <v>Bad</v>
      </c>
    </row>
    <row r="8460" spans="2:34" x14ac:dyDescent="0.2">
      <c r="B8460" s="2">
        <f ca="1"/>
        <v>0.46956676098393557</v>
      </c>
      <c r="O8460" s="2">
        <f ca="1"/>
        <v>0.21957934784235736</v>
      </c>
      <c r="X8460" s="2">
        <f ca="1"/>
        <v>84.069004545990325</v>
      </c>
      <c r="AG8460" s="2">
        <f ca="1"/>
        <v>0.5347225815327763</v>
      </c>
      <c r="AH8460" s="2" t="str">
        <f ca="1"/>
        <v>Bad</v>
      </c>
    </row>
    <row r="8461" spans="2:34" x14ac:dyDescent="0.2">
      <c r="B8461" s="2">
        <f ca="1"/>
        <v>0.40089417397296701</v>
      </c>
      <c r="O8461" s="2">
        <f ca="1"/>
        <v>0.17754345593211504</v>
      </c>
      <c r="X8461" s="2">
        <f ca="1"/>
        <v>50.838153286066401</v>
      </c>
      <c r="AG8461" s="2">
        <f ca="1"/>
        <v>0.19938291105310091</v>
      </c>
      <c r="AH8461" s="2" t="str">
        <f ca="1"/>
        <v>OK</v>
      </c>
    </row>
    <row r="8462" spans="2:34" x14ac:dyDescent="0.2">
      <c r="B8462" s="2">
        <f ca="1"/>
        <v>4.2535364530679853E-2</v>
      </c>
      <c r="O8462" s="2">
        <f ca="1"/>
        <v>-1.140888067091149</v>
      </c>
      <c r="X8462" s="2">
        <f ca="1"/>
        <v>34.174116370221576</v>
      </c>
      <c r="AG8462" s="2">
        <f ca="1"/>
        <v>0.39997139734427578</v>
      </c>
      <c r="AH8462" s="2" t="str">
        <f ca="1"/>
        <v>OK</v>
      </c>
    </row>
    <row r="8463" spans="2:34" x14ac:dyDescent="0.2">
      <c r="B8463" s="2">
        <f ca="1"/>
        <v>0.64341308614555581</v>
      </c>
      <c r="O8463" s="2">
        <f ca="1"/>
        <v>1.3816632734037735</v>
      </c>
      <c r="X8463" s="2">
        <f ca="1"/>
        <v>53.071128548868927</v>
      </c>
      <c r="AG8463" s="2">
        <f ca="1"/>
        <v>0.61582878410967012</v>
      </c>
      <c r="AH8463" s="2" t="str">
        <f ca="1"/>
        <v>Bad</v>
      </c>
    </row>
    <row r="8464" spans="2:34" x14ac:dyDescent="0.2">
      <c r="B8464" s="2">
        <f ca="1"/>
        <v>6.4098467970571393E-2</v>
      </c>
      <c r="O8464" s="2">
        <f ca="1"/>
        <v>0.39445226581343873</v>
      </c>
      <c r="X8464" s="2">
        <f ca="1"/>
        <v>60.239796021405752</v>
      </c>
      <c r="AG8464" s="2">
        <f ca="1"/>
        <v>0.41543239974509083</v>
      </c>
      <c r="AH8464" s="2" t="str">
        <f ca="1"/>
        <v>Bad</v>
      </c>
    </row>
    <row r="8465" spans="2:34" x14ac:dyDescent="0.2">
      <c r="B8465" s="2">
        <f ca="1"/>
        <v>0.14965297955052947</v>
      </c>
      <c r="O8465" s="2">
        <f ca="1"/>
        <v>1.860778872512227</v>
      </c>
      <c r="X8465" s="2">
        <f ca="1"/>
        <v>32.854142689815113</v>
      </c>
      <c r="AG8465" s="2">
        <f ca="1"/>
        <v>0.66144866044513906</v>
      </c>
      <c r="AH8465" s="2" t="str">
        <f ca="1"/>
        <v>Bad</v>
      </c>
    </row>
    <row r="8466" spans="2:34" x14ac:dyDescent="0.2">
      <c r="B8466" s="2">
        <f ca="1"/>
        <v>0.37600601985710624</v>
      </c>
      <c r="O8466" s="2">
        <f ca="1"/>
        <v>1.2813569470218782</v>
      </c>
      <c r="X8466" s="2">
        <f ca="1"/>
        <v>70.301348986552654</v>
      </c>
      <c r="AG8466" s="2">
        <f ca="1"/>
        <v>0.56710829600214274</v>
      </c>
      <c r="AH8466" s="2" t="str">
        <f ca="1"/>
        <v>Bad</v>
      </c>
    </row>
    <row r="8467" spans="2:34" x14ac:dyDescent="0.2">
      <c r="B8467" s="2">
        <f ca="1"/>
        <v>0.97975765575277651</v>
      </c>
      <c r="O8467" s="2">
        <f ca="1"/>
        <v>-0.82314611442212282</v>
      </c>
      <c r="X8467" s="2">
        <f ca="1"/>
        <v>52.331061467923973</v>
      </c>
      <c r="AG8467" s="2">
        <f ca="1"/>
        <v>0.64829610770550183</v>
      </c>
      <c r="AH8467" s="2" t="str">
        <f ca="1"/>
        <v>Bad</v>
      </c>
    </row>
    <row r="8468" spans="2:34" x14ac:dyDescent="0.2">
      <c r="B8468" s="2">
        <f ca="1"/>
        <v>0.79898797013284284</v>
      </c>
      <c r="O8468" s="2">
        <f ca="1"/>
        <v>-0.69870047235381627</v>
      </c>
      <c r="X8468" s="2">
        <f ca="1"/>
        <v>56.52603256729536</v>
      </c>
      <c r="AG8468" s="2">
        <f ca="1"/>
        <v>0.83271072170228311</v>
      </c>
      <c r="AH8468" s="2" t="str">
        <f ca="1"/>
        <v>Bad</v>
      </c>
    </row>
    <row r="8469" spans="2:34" x14ac:dyDescent="0.2">
      <c r="B8469" s="2">
        <f ca="1"/>
        <v>0.87691559016748388</v>
      </c>
      <c r="O8469" s="2">
        <f ca="1"/>
        <v>-1.3667926126698193</v>
      </c>
      <c r="X8469" s="2">
        <f ca="1"/>
        <v>41.587430701018761</v>
      </c>
      <c r="AG8469" s="2">
        <f ca="1"/>
        <v>0.63572552160869478</v>
      </c>
      <c r="AH8469" s="2" t="str">
        <f ca="1"/>
        <v>Bad</v>
      </c>
    </row>
    <row r="8470" spans="2:34" x14ac:dyDescent="0.2">
      <c r="B8470" s="2">
        <f ca="1"/>
        <v>0.44881869753765513</v>
      </c>
      <c r="O8470" s="2">
        <f ca="1"/>
        <v>1.2119596009673002</v>
      </c>
      <c r="X8470" s="2">
        <f ca="1"/>
        <v>51.631667225302174</v>
      </c>
      <c r="AG8470" s="2">
        <f ca="1"/>
        <v>0.33518002525659019</v>
      </c>
      <c r="AH8470" s="2" t="str">
        <f ca="1"/>
        <v>OK</v>
      </c>
    </row>
    <row r="8471" spans="2:34" x14ac:dyDescent="0.2">
      <c r="B8471" s="2">
        <f ca="1"/>
        <v>0.1035526694860005</v>
      </c>
      <c r="O8471" s="2">
        <f ca="1"/>
        <v>-0.39218986014897206</v>
      </c>
      <c r="X8471" s="2">
        <f ca="1"/>
        <v>60.099969395709479</v>
      </c>
      <c r="AG8471" s="2">
        <f ca="1"/>
        <v>0.24561912903151795</v>
      </c>
      <c r="AH8471" s="2" t="str">
        <f ca="1"/>
        <v>OK</v>
      </c>
    </row>
    <row r="8472" spans="2:34" x14ac:dyDescent="0.2">
      <c r="B8472" s="2">
        <f ca="1"/>
        <v>0.94064797663469513</v>
      </c>
      <c r="O8472" s="2">
        <f ca="1"/>
        <v>-0.70338588682704339</v>
      </c>
      <c r="X8472" s="2">
        <f ca="1"/>
        <v>38.100052204461008</v>
      </c>
      <c r="AG8472" s="2">
        <f ca="1"/>
        <v>0.10555817562126735</v>
      </c>
      <c r="AH8472" s="2" t="str">
        <f ca="1"/>
        <v>OK</v>
      </c>
    </row>
    <row r="8473" spans="2:34" x14ac:dyDescent="0.2">
      <c r="B8473" s="2">
        <f ca="1"/>
        <v>7.2877265166629845E-2</v>
      </c>
      <c r="O8473" s="2">
        <f ca="1"/>
        <v>-6.8954813121335626E-2</v>
      </c>
      <c r="X8473" s="2">
        <f ca="1"/>
        <v>34.679597991653225</v>
      </c>
      <c r="AG8473" s="2">
        <f ca="1"/>
        <v>0.27871853815793934</v>
      </c>
      <c r="AH8473" s="2" t="str">
        <f ca="1"/>
        <v>OK</v>
      </c>
    </row>
    <row r="8474" spans="2:34" x14ac:dyDescent="0.2">
      <c r="B8474" s="2">
        <f ca="1"/>
        <v>0.85009538490960623</v>
      </c>
      <c r="O8474" s="2">
        <f ca="1"/>
        <v>1.0816368936183531</v>
      </c>
      <c r="X8474" s="2">
        <f ca="1"/>
        <v>25.22544663914173</v>
      </c>
      <c r="AG8474" s="2">
        <f ca="1"/>
        <v>0.46197342776056494</v>
      </c>
      <c r="AH8474" s="2" t="str">
        <f ca="1"/>
        <v>Bad</v>
      </c>
    </row>
    <row r="8475" spans="2:34" x14ac:dyDescent="0.2">
      <c r="B8475" s="2">
        <f ca="1"/>
        <v>0.88591802702165556</v>
      </c>
      <c r="O8475" s="2">
        <f ca="1"/>
        <v>0.23511291396122919</v>
      </c>
      <c r="X8475" s="2">
        <f ca="1"/>
        <v>42.629114859462305</v>
      </c>
      <c r="AG8475" s="2">
        <f ca="1"/>
        <v>0.85521469735372202</v>
      </c>
      <c r="AH8475" s="2" t="str">
        <f ca="1"/>
        <v>Bad</v>
      </c>
    </row>
    <row r="8476" spans="2:34" x14ac:dyDescent="0.2">
      <c r="B8476" s="2">
        <f ca="1"/>
        <v>0.86335431779238969</v>
      </c>
      <c r="O8476" s="2">
        <f ca="1"/>
        <v>-0.12419786890032065</v>
      </c>
      <c r="X8476" s="2">
        <f ca="1"/>
        <v>48.366327581713193</v>
      </c>
      <c r="AG8476" s="2">
        <f ca="1"/>
        <v>0.43401669155841671</v>
      </c>
      <c r="AH8476" s="2" t="str">
        <f ca="1"/>
        <v>Bad</v>
      </c>
    </row>
    <row r="8477" spans="2:34" x14ac:dyDescent="0.2">
      <c r="B8477" s="2">
        <f ca="1"/>
        <v>0.20112093994719427</v>
      </c>
      <c r="O8477" s="2">
        <f ca="1"/>
        <v>0.2274716252013837</v>
      </c>
      <c r="X8477" s="2">
        <f ca="1"/>
        <v>55.530100521442009</v>
      </c>
      <c r="AG8477" s="2">
        <f ca="1"/>
        <v>0.17264570000836899</v>
      </c>
      <c r="AH8477" s="2" t="str">
        <f ca="1"/>
        <v>OK</v>
      </c>
    </row>
    <row r="8478" spans="2:34" x14ac:dyDescent="0.2">
      <c r="B8478" s="2">
        <f ca="1"/>
        <v>0.75069419158211081</v>
      </c>
      <c r="O8478" s="2">
        <f ca="1"/>
        <v>1.8511194151797019</v>
      </c>
      <c r="X8478" s="2">
        <f ca="1"/>
        <v>54.755582962291768</v>
      </c>
      <c r="AG8478" s="2">
        <f ca="1"/>
        <v>0.77687812202518702</v>
      </c>
      <c r="AH8478" s="2" t="str">
        <f ca="1"/>
        <v>Bad</v>
      </c>
    </row>
    <row r="8479" spans="2:34" x14ac:dyDescent="0.2">
      <c r="B8479" s="2">
        <f ca="1"/>
        <v>0.2917343077657939</v>
      </c>
      <c r="O8479" s="2">
        <f ca="1"/>
        <v>0.12316140420721465</v>
      </c>
      <c r="X8479" s="2">
        <f ca="1"/>
        <v>48.15036245206224</v>
      </c>
      <c r="AG8479" s="2">
        <f ca="1"/>
        <v>0.10475507415107432</v>
      </c>
      <c r="AH8479" s="2" t="str">
        <f ca="1"/>
        <v>OK</v>
      </c>
    </row>
    <row r="8480" spans="2:34" x14ac:dyDescent="0.2">
      <c r="B8480" s="2">
        <f ca="1"/>
        <v>0.42939901596838337</v>
      </c>
      <c r="O8480" s="2">
        <f ca="1"/>
        <v>2.880323083509142</v>
      </c>
      <c r="X8480" s="2">
        <f ca="1"/>
        <v>63.441420622351352</v>
      </c>
      <c r="AG8480" s="2">
        <f ca="1"/>
        <v>0.86379935174829114</v>
      </c>
      <c r="AH8480" s="2" t="str">
        <f ca="1"/>
        <v>Bad</v>
      </c>
    </row>
    <row r="8481" spans="2:34" x14ac:dyDescent="0.2">
      <c r="B8481" s="2">
        <f ca="1"/>
        <v>0.24173152427829736</v>
      </c>
      <c r="O8481" s="2">
        <f ca="1"/>
        <v>-0.74689425714506019</v>
      </c>
      <c r="X8481" s="2">
        <f ca="1"/>
        <v>72.047698098377509</v>
      </c>
      <c r="AG8481" s="2">
        <f ca="1"/>
        <v>0.47419710516535885</v>
      </c>
      <c r="AH8481" s="2" t="str">
        <f ca="1"/>
        <v>Bad</v>
      </c>
    </row>
    <row r="8482" spans="2:34" x14ac:dyDescent="0.2">
      <c r="B8482" s="2">
        <f ca="1"/>
        <v>0.31025306068829583</v>
      </c>
      <c r="O8482" s="2">
        <f ca="1"/>
        <v>-0.52048244532372268</v>
      </c>
      <c r="X8482" s="2">
        <f ca="1"/>
        <v>87.954653906759177</v>
      </c>
      <c r="AG8482" s="2">
        <f ca="1"/>
        <v>0.60858864056563933</v>
      </c>
      <c r="AH8482" s="2" t="str">
        <f ca="1"/>
        <v>Bad</v>
      </c>
    </row>
    <row r="8483" spans="2:34" x14ac:dyDescent="0.2">
      <c r="B8483" s="2">
        <f ca="1"/>
        <v>0.80012589859231209</v>
      </c>
      <c r="O8483" s="2">
        <f ca="1"/>
        <v>-0.66057880142711312</v>
      </c>
      <c r="X8483" s="2">
        <f ca="1"/>
        <v>40.706026381594114</v>
      </c>
      <c r="AG8483" s="2">
        <f ca="1"/>
        <v>0.26921244755312479</v>
      </c>
      <c r="AH8483" s="2" t="str">
        <f ca="1"/>
        <v>OK</v>
      </c>
    </row>
    <row r="8484" spans="2:34" x14ac:dyDescent="0.2">
      <c r="B8484" s="2">
        <f ca="1"/>
        <v>0.48594683538588512</v>
      </c>
      <c r="O8484" s="2">
        <f ca="1"/>
        <v>0.79848641633735129</v>
      </c>
      <c r="X8484" s="2">
        <f ca="1"/>
        <v>50.062201671004765</v>
      </c>
      <c r="AG8484" s="2">
        <f ca="1"/>
        <v>0.69167194452170677</v>
      </c>
      <c r="AH8484" s="2" t="str">
        <f ca="1"/>
        <v>Bad</v>
      </c>
    </row>
    <row r="8485" spans="2:34" x14ac:dyDescent="0.2">
      <c r="B8485" s="2">
        <f ca="1"/>
        <v>6.063793205436685E-2</v>
      </c>
      <c r="O8485" s="2">
        <f ca="1"/>
        <v>0.81960977748221242</v>
      </c>
      <c r="X8485" s="2">
        <f ca="1"/>
        <v>31.520592899506752</v>
      </c>
      <c r="AG8485" s="2">
        <f ca="1"/>
        <v>7.7954801737109669E-2</v>
      </c>
      <c r="AH8485" s="2" t="str">
        <f ca="1"/>
        <v>OK</v>
      </c>
    </row>
    <row r="8486" spans="2:34" x14ac:dyDescent="0.2">
      <c r="B8486" s="2">
        <f ca="1"/>
        <v>0.80751354018550292</v>
      </c>
      <c r="O8486" s="2">
        <f ca="1"/>
        <v>1.4478360948306095</v>
      </c>
      <c r="X8486" s="2">
        <f ca="1"/>
        <v>63.579855890702405</v>
      </c>
      <c r="AG8486" s="2">
        <f ca="1"/>
        <v>0.20103639807664675</v>
      </c>
      <c r="AH8486" s="2" t="str">
        <f ca="1"/>
        <v>OK</v>
      </c>
    </row>
    <row r="8487" spans="2:34" x14ac:dyDescent="0.2">
      <c r="B8487" s="2">
        <f ca="1"/>
        <v>0.21824433994011061</v>
      </c>
      <c r="O8487" s="2">
        <f ca="1"/>
        <v>-0.67212632902721925</v>
      </c>
      <c r="X8487" s="2">
        <f ca="1"/>
        <v>27.563250968583976</v>
      </c>
      <c r="AG8487" s="2">
        <f ca="1"/>
        <v>0.38160880940559538</v>
      </c>
      <c r="AH8487" s="2" t="str">
        <f ca="1"/>
        <v>OK</v>
      </c>
    </row>
    <row r="8488" spans="2:34" x14ac:dyDescent="0.2">
      <c r="B8488" s="2">
        <f ca="1"/>
        <v>0.92568289449224661</v>
      </c>
      <c r="O8488" s="2">
        <f ca="1"/>
        <v>-0.39900857225321013</v>
      </c>
      <c r="X8488" s="2">
        <f ca="1"/>
        <v>100.43395836228063</v>
      </c>
      <c r="AG8488" s="2">
        <f ca="1"/>
        <v>0.34450954580540394</v>
      </c>
      <c r="AH8488" s="2" t="str">
        <f ca="1"/>
        <v>OK</v>
      </c>
    </row>
    <row r="8489" spans="2:34" x14ac:dyDescent="0.2">
      <c r="B8489" s="2">
        <f ca="1"/>
        <v>0.42167661570169601</v>
      </c>
      <c r="O8489" s="2">
        <f ca="1"/>
        <v>-1.1235050061611764</v>
      </c>
      <c r="X8489" s="2">
        <f ca="1"/>
        <v>23.87828901068162</v>
      </c>
      <c r="AG8489" s="2">
        <f ca="1"/>
        <v>0.5415520740996087</v>
      </c>
      <c r="AH8489" s="2" t="str">
        <f ca="1"/>
        <v>Bad</v>
      </c>
    </row>
    <row r="8490" spans="2:34" x14ac:dyDescent="0.2">
      <c r="B8490" s="2">
        <f ca="1"/>
        <v>0.43894917826693503</v>
      </c>
      <c r="O8490" s="2">
        <f ca="1"/>
        <v>0.52172163044955244</v>
      </c>
      <c r="X8490" s="2">
        <f ca="1"/>
        <v>33.073986398206763</v>
      </c>
      <c r="AG8490" s="2">
        <f ca="1"/>
        <v>0.64525164117473999</v>
      </c>
      <c r="AH8490" s="2" t="str">
        <f ca="1"/>
        <v>Bad</v>
      </c>
    </row>
    <row r="8491" spans="2:34" x14ac:dyDescent="0.2">
      <c r="B8491" s="2">
        <f ca="1"/>
        <v>0.37654714420387703</v>
      </c>
      <c r="O8491" s="2">
        <f ca="1"/>
        <v>-0.54133041033134821</v>
      </c>
      <c r="X8491" s="2">
        <f ca="1"/>
        <v>70.958527237004446</v>
      </c>
      <c r="AG8491" s="2">
        <f ca="1"/>
        <v>0.61299859937174772</v>
      </c>
      <c r="AH8491" s="2" t="str">
        <f ca="1"/>
        <v>Bad</v>
      </c>
    </row>
    <row r="8492" spans="2:34" x14ac:dyDescent="0.2">
      <c r="B8492" s="2">
        <f ca="1"/>
        <v>0.98278765820374026</v>
      </c>
      <c r="O8492" s="2">
        <f ca="1"/>
        <v>-0.90541163050016193</v>
      </c>
      <c r="X8492" s="2">
        <f ca="1"/>
        <v>89.286374970772357</v>
      </c>
      <c r="AG8492" s="2">
        <f ca="1"/>
        <v>0.50165261185953658</v>
      </c>
      <c r="AH8492" s="2" t="str">
        <f ca="1"/>
        <v>Bad</v>
      </c>
    </row>
    <row r="8493" spans="2:34" x14ac:dyDescent="0.2">
      <c r="B8493" s="2">
        <f ca="1"/>
        <v>0.12836378393858183</v>
      </c>
      <c r="O8493" s="2">
        <f ca="1"/>
        <v>-1.3896953665116303</v>
      </c>
      <c r="X8493" s="2">
        <f ca="1"/>
        <v>24.559659666278073</v>
      </c>
      <c r="AG8493" s="2">
        <f ca="1"/>
        <v>0.53651245216101651</v>
      </c>
      <c r="AH8493" s="2" t="str">
        <f ca="1"/>
        <v>Bad</v>
      </c>
    </row>
    <row r="8494" spans="2:34" x14ac:dyDescent="0.2">
      <c r="B8494" s="2">
        <f ca="1"/>
        <v>0.3051399129217236</v>
      </c>
      <c r="O8494" s="2">
        <f ca="1"/>
        <v>-0.64926577025583476</v>
      </c>
      <c r="X8494" s="2">
        <f ca="1"/>
        <v>30.22755700652425</v>
      </c>
      <c r="AG8494" s="2">
        <f ca="1"/>
        <v>3.3853010719845145E-2</v>
      </c>
      <c r="AH8494" s="2" t="str">
        <f ca="1"/>
        <v>Good</v>
      </c>
    </row>
    <row r="8495" spans="2:34" x14ac:dyDescent="0.2">
      <c r="B8495" s="2">
        <f ca="1"/>
        <v>0.21988224291393155</v>
      </c>
      <c r="O8495" s="2">
        <f ca="1"/>
        <v>1.3749039749334986</v>
      </c>
      <c r="X8495" s="2">
        <f ca="1"/>
        <v>58.116244550461744</v>
      </c>
      <c r="AG8495" s="2">
        <f ca="1"/>
        <v>0.53660646008658919</v>
      </c>
      <c r="AH8495" s="2" t="str">
        <f ca="1"/>
        <v>Bad</v>
      </c>
    </row>
    <row r="8496" spans="2:34" x14ac:dyDescent="0.2">
      <c r="B8496" s="2">
        <f ca="1"/>
        <v>0.20186236238226507</v>
      </c>
      <c r="O8496" s="2">
        <f ca="1"/>
        <v>-0.30908087544656576</v>
      </c>
      <c r="X8496" s="2">
        <f ca="1"/>
        <v>49.784031549934049</v>
      </c>
      <c r="AG8496" s="2">
        <f ca="1"/>
        <v>0.61620509848466387</v>
      </c>
      <c r="AH8496" s="2" t="str">
        <f ca="1"/>
        <v>Bad</v>
      </c>
    </row>
    <row r="8497" spans="2:34" x14ac:dyDescent="0.2">
      <c r="B8497" s="2">
        <f ca="1"/>
        <v>0.53160677182940486</v>
      </c>
      <c r="O8497" s="2">
        <f ca="1"/>
        <v>-0.26622206909859053</v>
      </c>
      <c r="X8497" s="2">
        <f ca="1"/>
        <v>59.886858779831719</v>
      </c>
      <c r="AG8497" s="2">
        <f ca="1"/>
        <v>0.61831650831070273</v>
      </c>
      <c r="AH8497" s="2" t="str">
        <f ca="1"/>
        <v>Bad</v>
      </c>
    </row>
    <row r="8498" spans="2:34" x14ac:dyDescent="0.2">
      <c r="B8498" s="2">
        <f ca="1"/>
        <v>8.4102278092862193E-2</v>
      </c>
      <c r="O8498" s="2">
        <f ca="1"/>
        <v>-2.4991929928661736</v>
      </c>
      <c r="X8498" s="2">
        <f ca="1"/>
        <v>38.46894754817675</v>
      </c>
      <c r="AG8498" s="2">
        <f ca="1"/>
        <v>0.8493692697942552</v>
      </c>
      <c r="AH8498" s="2" t="str">
        <f ca="1"/>
        <v>Bad</v>
      </c>
    </row>
    <row r="8499" spans="2:34" x14ac:dyDescent="0.2">
      <c r="B8499" s="2">
        <f ca="1"/>
        <v>0.89684319196381024</v>
      </c>
      <c r="O8499" s="2">
        <f ca="1"/>
        <v>0.63990591584815748</v>
      </c>
      <c r="X8499" s="2">
        <f ca="1"/>
        <v>64.086452182179357</v>
      </c>
      <c r="AG8499" s="2">
        <f ca="1"/>
        <v>0.99024651893620108</v>
      </c>
      <c r="AH8499" s="2" t="str">
        <f ca="1"/>
        <v>Bad</v>
      </c>
    </row>
    <row r="8500" spans="2:34" x14ac:dyDescent="0.2">
      <c r="B8500" s="2">
        <f ca="1"/>
        <v>0.19617209430716342</v>
      </c>
      <c r="O8500" s="2">
        <f ca="1"/>
        <v>-1.5948415934886888</v>
      </c>
      <c r="X8500" s="2">
        <f ca="1"/>
        <v>44.492689692063713</v>
      </c>
      <c r="AG8500" s="2">
        <f ca="1"/>
        <v>0.64527230188509477</v>
      </c>
      <c r="AH8500" s="2" t="str">
        <f ca="1"/>
        <v>Bad</v>
      </c>
    </row>
    <row r="8501" spans="2:34" x14ac:dyDescent="0.2">
      <c r="B8501" s="2">
        <f ca="1"/>
        <v>0.70116523837547562</v>
      </c>
      <c r="O8501" s="2">
        <f ca="1"/>
        <v>0.5697447971002918</v>
      </c>
      <c r="X8501" s="2">
        <f ca="1"/>
        <v>43.490384031223421</v>
      </c>
      <c r="AG8501" s="2">
        <f ca="1"/>
        <v>0.70090906296588096</v>
      </c>
      <c r="AH8501" s="2" t="str">
        <f ca="1"/>
        <v>Bad</v>
      </c>
    </row>
    <row r="8502" spans="2:34" x14ac:dyDescent="0.2">
      <c r="B8502" s="2">
        <f ca="1"/>
        <v>0.11834173565590755</v>
      </c>
      <c r="O8502" s="2">
        <f ca="1"/>
        <v>-2.5158226068419625</v>
      </c>
      <c r="X8502" s="2">
        <f ca="1"/>
        <v>50.142103231314309</v>
      </c>
      <c r="AG8502" s="2">
        <f ca="1"/>
        <v>0.36518502222555083</v>
      </c>
      <c r="AH8502" s="2" t="str">
        <f ca="1"/>
        <v>OK</v>
      </c>
    </row>
    <row r="8503" spans="2:34" x14ac:dyDescent="0.2">
      <c r="B8503" s="2">
        <f ca="1"/>
        <v>0.87481248792813426</v>
      </c>
      <c r="O8503" s="2">
        <f ca="1"/>
        <v>7.1532108491721563E-2</v>
      </c>
      <c r="X8503" s="2">
        <f ca="1"/>
        <v>68.662013638986224</v>
      </c>
      <c r="AG8503" s="2">
        <f ca="1"/>
        <v>0.31609346218271828</v>
      </c>
      <c r="AH8503" s="2" t="str">
        <f ca="1"/>
        <v>OK</v>
      </c>
    </row>
    <row r="8504" spans="2:34" x14ac:dyDescent="0.2">
      <c r="B8504" s="2">
        <f ca="1"/>
        <v>0.55580507054622097</v>
      </c>
      <c r="O8504" s="2">
        <f ca="1"/>
        <v>2.1292981638104682</v>
      </c>
      <c r="X8504" s="2">
        <f ca="1"/>
        <v>68.482318433306389</v>
      </c>
      <c r="AG8504" s="2">
        <f ca="1"/>
        <v>0.67053153058113213</v>
      </c>
      <c r="AH8504" s="2" t="str">
        <f ca="1"/>
        <v>Bad</v>
      </c>
    </row>
    <row r="8505" spans="2:34" x14ac:dyDescent="0.2">
      <c r="B8505" s="2">
        <f ca="1"/>
        <v>0.5617734075306513</v>
      </c>
      <c r="O8505" s="2">
        <f ca="1"/>
        <v>-0.5071321776708253</v>
      </c>
      <c r="X8505" s="2">
        <f ca="1"/>
        <v>26.337651810884672</v>
      </c>
      <c r="AG8505" s="2">
        <f ca="1"/>
        <v>0.54743545905370072</v>
      </c>
      <c r="AH8505" s="2" t="str">
        <f ca="1"/>
        <v>Bad</v>
      </c>
    </row>
    <row r="8506" spans="2:34" x14ac:dyDescent="0.2">
      <c r="B8506" s="2">
        <f ca="1"/>
        <v>0.86155764763834064</v>
      </c>
      <c r="O8506" s="2">
        <f ca="1"/>
        <v>-9.0758733195776459E-2</v>
      </c>
      <c r="X8506" s="2">
        <f ca="1"/>
        <v>73.479970446215802</v>
      </c>
      <c r="AG8506" s="2">
        <f ca="1"/>
        <v>0.92457235365807544</v>
      </c>
      <c r="AH8506" s="2" t="str">
        <f ca="1"/>
        <v>Bad</v>
      </c>
    </row>
    <row r="8507" spans="2:34" x14ac:dyDescent="0.2">
      <c r="B8507" s="2">
        <f ca="1"/>
        <v>0.84801156190315385</v>
      </c>
      <c r="O8507" s="2">
        <f ca="1"/>
        <v>0.37855829260887336</v>
      </c>
      <c r="X8507" s="2">
        <f ca="1"/>
        <v>18.659996337856327</v>
      </c>
      <c r="AG8507" s="2">
        <f ca="1"/>
        <v>0.90185597558810349</v>
      </c>
      <c r="AH8507" s="2" t="str">
        <f ca="1"/>
        <v>Bad</v>
      </c>
    </row>
    <row r="8508" spans="2:34" x14ac:dyDescent="0.2">
      <c r="B8508" s="2">
        <f ca="1"/>
        <v>0.61831374018161256</v>
      </c>
      <c r="O8508" s="2">
        <f ca="1"/>
        <v>0.49429429215789189</v>
      </c>
      <c r="X8508" s="2">
        <f ca="1"/>
        <v>30.821509420333722</v>
      </c>
      <c r="AG8508" s="2">
        <f ca="1"/>
        <v>7.292316322792769E-2</v>
      </c>
      <c r="AH8508" s="2" t="str">
        <f ca="1"/>
        <v>OK</v>
      </c>
    </row>
    <row r="8509" spans="2:34" x14ac:dyDescent="0.2">
      <c r="B8509" s="2">
        <f ca="1"/>
        <v>0.45272945431955747</v>
      </c>
      <c r="O8509" s="2">
        <f ca="1"/>
        <v>1.5374835745261719</v>
      </c>
      <c r="X8509" s="2">
        <f ca="1"/>
        <v>74.760610052262251</v>
      </c>
      <c r="AG8509" s="2">
        <f ca="1"/>
        <v>0.59846908874285454</v>
      </c>
      <c r="AH8509" s="2" t="str">
        <f ca="1"/>
        <v>Bad</v>
      </c>
    </row>
    <row r="8510" spans="2:34" x14ac:dyDescent="0.2">
      <c r="B8510" s="2">
        <f ca="1"/>
        <v>0.83535177005003081</v>
      </c>
      <c r="O8510" s="2">
        <f ca="1"/>
        <v>-1.0032819731388753</v>
      </c>
      <c r="X8510" s="2">
        <f ca="1"/>
        <v>21.065140558721861</v>
      </c>
      <c r="AG8510" s="2">
        <f ca="1"/>
        <v>0.53676904294719763</v>
      </c>
      <c r="AH8510" s="2" t="str">
        <f ca="1"/>
        <v>Bad</v>
      </c>
    </row>
    <row r="8511" spans="2:34" x14ac:dyDescent="0.2">
      <c r="B8511" s="2">
        <f ca="1"/>
        <v>0.27418941005721642</v>
      </c>
      <c r="O8511" s="2">
        <f ca="1"/>
        <v>6.1413474658417275E-2</v>
      </c>
      <c r="X8511" s="2">
        <f ca="1"/>
        <v>37.471921564283427</v>
      </c>
      <c r="AG8511" s="2">
        <f ca="1"/>
        <v>0.12674628657137288</v>
      </c>
      <c r="AH8511" s="2" t="str">
        <f ca="1"/>
        <v>OK</v>
      </c>
    </row>
    <row r="8512" spans="2:34" x14ac:dyDescent="0.2">
      <c r="B8512" s="2">
        <f ca="1"/>
        <v>0.77689901391211058</v>
      </c>
      <c r="O8512" s="2">
        <f ca="1"/>
        <v>1.3567693787472945</v>
      </c>
      <c r="X8512" s="2">
        <f ca="1"/>
        <v>36.304077821605681</v>
      </c>
      <c r="AG8512" s="2">
        <f ca="1"/>
        <v>0.45296790221699457</v>
      </c>
      <c r="AH8512" s="2" t="str">
        <f ca="1"/>
        <v>Bad</v>
      </c>
    </row>
    <row r="8513" spans="2:34" x14ac:dyDescent="0.2">
      <c r="B8513" s="2">
        <f ca="1"/>
        <v>0.41279042163324475</v>
      </c>
      <c r="O8513" s="2">
        <f ca="1"/>
        <v>-3.5952841077066582E-2</v>
      </c>
      <c r="X8513" s="2">
        <f ca="1"/>
        <v>40.632437540290994</v>
      </c>
      <c r="AG8513" s="2">
        <f ca="1"/>
        <v>5.8629010179832797E-2</v>
      </c>
      <c r="AH8513" s="2" t="str">
        <f ca="1"/>
        <v>OK</v>
      </c>
    </row>
    <row r="8514" spans="2:34" x14ac:dyDescent="0.2">
      <c r="B8514" s="2">
        <f ca="1"/>
        <v>0.56373142908892748</v>
      </c>
      <c r="O8514" s="2">
        <f ca="1"/>
        <v>0.58175506336657212</v>
      </c>
      <c r="X8514" s="2">
        <f ca="1"/>
        <v>47.057989579679365</v>
      </c>
      <c r="AG8514" s="2">
        <f ca="1"/>
        <v>0.62770066698798832</v>
      </c>
      <c r="AH8514" s="2" t="str">
        <f ca="1"/>
        <v>Bad</v>
      </c>
    </row>
    <row r="8515" spans="2:34" x14ac:dyDescent="0.2">
      <c r="B8515" s="2">
        <f ca="1"/>
        <v>0.15270232947143469</v>
      </c>
      <c r="O8515" s="2">
        <f ca="1"/>
        <v>-0.95155627895591754</v>
      </c>
      <c r="X8515" s="2">
        <f ca="1"/>
        <v>58.039479497145052</v>
      </c>
      <c r="AG8515" s="2">
        <f ca="1"/>
        <v>0.24964526338171478</v>
      </c>
      <c r="AH8515" s="2" t="str">
        <f ca="1"/>
        <v>OK</v>
      </c>
    </row>
    <row r="8516" spans="2:34" x14ac:dyDescent="0.2">
      <c r="B8516" s="2">
        <f ca="1"/>
        <v>0.47234511980281324</v>
      </c>
      <c r="O8516" s="2">
        <f ca="1"/>
        <v>1.2952223320699956</v>
      </c>
      <c r="X8516" s="2">
        <f ca="1"/>
        <v>41.784856894809948</v>
      </c>
      <c r="AG8516" s="2">
        <f ca="1"/>
        <v>0.82558445144843584</v>
      </c>
      <c r="AH8516" s="2" t="str">
        <f ca="1"/>
        <v>Bad</v>
      </c>
    </row>
    <row r="8517" spans="2:34" x14ac:dyDescent="0.2">
      <c r="B8517" s="2">
        <f ca="1"/>
        <v>0.93771442357859747</v>
      </c>
      <c r="O8517" s="2">
        <f ca="1"/>
        <v>0.68797021124275848</v>
      </c>
      <c r="X8517" s="2">
        <f ca="1"/>
        <v>38.03337704363291</v>
      </c>
      <c r="AG8517" s="2">
        <f ca="1"/>
        <v>9.4722597894519867E-2</v>
      </c>
      <c r="AH8517" s="2" t="str">
        <f ca="1"/>
        <v>OK</v>
      </c>
    </row>
    <row r="8518" spans="2:34" x14ac:dyDescent="0.2">
      <c r="B8518" s="2">
        <f ca="1"/>
        <v>0.42206043219333611</v>
      </c>
      <c r="O8518" s="2">
        <f ca="1"/>
        <v>-0.38615038187264411</v>
      </c>
      <c r="X8518" s="2">
        <f ca="1"/>
        <v>33.565460065049479</v>
      </c>
      <c r="AG8518" s="2">
        <f ca="1"/>
        <v>0.53790969764771823</v>
      </c>
      <c r="AH8518" s="2" t="str">
        <f ca="1"/>
        <v>Bad</v>
      </c>
    </row>
    <row r="8519" spans="2:34" x14ac:dyDescent="0.2">
      <c r="B8519" s="2">
        <f ca="1"/>
        <v>0.64649684830868637</v>
      </c>
      <c r="O8519" s="2">
        <f ca="1"/>
        <v>0.20866120145055986</v>
      </c>
      <c r="X8519" s="2">
        <f ca="1"/>
        <v>47.960724624973878</v>
      </c>
      <c r="AG8519" s="2">
        <f ca="1"/>
        <v>0.92098586420771733</v>
      </c>
      <c r="AH8519" s="2" t="str">
        <f ca="1"/>
        <v>Bad</v>
      </c>
    </row>
    <row r="8520" spans="2:34" x14ac:dyDescent="0.2">
      <c r="B8520" s="2">
        <f ca="1"/>
        <v>0.69572242715969335</v>
      </c>
      <c r="O8520" s="2">
        <f ca="1"/>
        <v>-0.20102975627776434</v>
      </c>
      <c r="X8520" s="2">
        <f ca="1"/>
        <v>42.180387128279534</v>
      </c>
      <c r="AG8520" s="2">
        <f ca="1"/>
        <v>0.86708701280159639</v>
      </c>
      <c r="AH8520" s="2" t="str">
        <f ca="1"/>
        <v>Bad</v>
      </c>
    </row>
    <row r="8521" spans="2:34" x14ac:dyDescent="0.2">
      <c r="B8521" s="2">
        <f ca="1"/>
        <v>0.96897568719771487</v>
      </c>
      <c r="O8521" s="2">
        <f ca="1"/>
        <v>0.89017625271770839</v>
      </c>
      <c r="X8521" s="2">
        <f ca="1"/>
        <v>13.403429682285816</v>
      </c>
      <c r="AG8521" s="2">
        <f ca="1"/>
        <v>0.84614050937396756</v>
      </c>
      <c r="AH8521" s="2" t="str">
        <f ca="1"/>
        <v>Bad</v>
      </c>
    </row>
    <row r="8522" spans="2:34" x14ac:dyDescent="0.2">
      <c r="B8522" s="2">
        <f ca="1"/>
        <v>0.67367281755775155</v>
      </c>
      <c r="O8522" s="2">
        <f ca="1"/>
        <v>1.8653517148014245</v>
      </c>
      <c r="X8522" s="2">
        <f ca="1"/>
        <v>51.209290120559629</v>
      </c>
      <c r="AG8522" s="2">
        <f ca="1"/>
        <v>0.75771226771633438</v>
      </c>
      <c r="AH8522" s="2" t="str">
        <f ca="1"/>
        <v>Bad</v>
      </c>
    </row>
    <row r="8523" spans="2:34" x14ac:dyDescent="0.2">
      <c r="B8523" s="2">
        <f ca="1"/>
        <v>0.99178562507293422</v>
      </c>
      <c r="O8523" s="2">
        <f ca="1"/>
        <v>0.38993857422208233</v>
      </c>
      <c r="X8523" s="2">
        <f ca="1"/>
        <v>66.0326100057123</v>
      </c>
      <c r="AG8523" s="2">
        <f ca="1"/>
        <v>0.86657163458255071</v>
      </c>
      <c r="AH8523" s="2" t="str">
        <f ca="1"/>
        <v>Bad</v>
      </c>
    </row>
    <row r="8524" spans="2:34" x14ac:dyDescent="0.2">
      <c r="B8524" s="2">
        <f ca="1"/>
        <v>0.98201705774680681</v>
      </c>
      <c r="O8524" s="2">
        <f ca="1"/>
        <v>0.93547012163591192</v>
      </c>
      <c r="X8524" s="2">
        <f ca="1"/>
        <v>35.115987021573318</v>
      </c>
      <c r="AG8524" s="2">
        <f ca="1"/>
        <v>0.18312531557685952</v>
      </c>
      <c r="AH8524" s="2" t="str">
        <f ca="1"/>
        <v>OK</v>
      </c>
    </row>
    <row r="8525" spans="2:34" x14ac:dyDescent="0.2">
      <c r="B8525" s="2">
        <f ca="1"/>
        <v>0.74211557083780177</v>
      </c>
      <c r="O8525" s="2">
        <f ca="1"/>
        <v>-0.44663531323702244</v>
      </c>
      <c r="X8525" s="2">
        <f ca="1"/>
        <v>42.231348434109449</v>
      </c>
      <c r="AG8525" s="2">
        <f ca="1"/>
        <v>0.37199459164935456</v>
      </c>
      <c r="AH8525" s="2" t="str">
        <f ca="1"/>
        <v>OK</v>
      </c>
    </row>
    <row r="8526" spans="2:34" x14ac:dyDescent="0.2">
      <c r="B8526" s="2">
        <f ca="1"/>
        <v>0.6105424140577369</v>
      </c>
      <c r="O8526" s="2">
        <f ca="1"/>
        <v>0.1336989212686702</v>
      </c>
      <c r="X8526" s="2">
        <f ca="1"/>
        <v>34.960671282506659</v>
      </c>
      <c r="AG8526" s="2">
        <f ca="1"/>
        <v>0.2318983362763325</v>
      </c>
      <c r="AH8526" s="2" t="str">
        <f ca="1"/>
        <v>OK</v>
      </c>
    </row>
    <row r="8527" spans="2:34" x14ac:dyDescent="0.2">
      <c r="B8527" s="2">
        <f ca="1"/>
        <v>0.47743389996367358</v>
      </c>
      <c r="O8527" s="2">
        <f ca="1"/>
        <v>0.13481362982653602</v>
      </c>
      <c r="X8527" s="2">
        <f ca="1"/>
        <v>50.612508588571316</v>
      </c>
      <c r="AG8527" s="2">
        <f ca="1"/>
        <v>0.24437752615742725</v>
      </c>
      <c r="AH8527" s="2" t="str">
        <f ca="1"/>
        <v>OK</v>
      </c>
    </row>
    <row r="8528" spans="2:34" x14ac:dyDescent="0.2">
      <c r="B8528" s="2">
        <f ca="1"/>
        <v>0.1303466799402897</v>
      </c>
      <c r="O8528" s="2">
        <f ca="1"/>
        <v>-1.6375104279095314</v>
      </c>
      <c r="X8528" s="2">
        <f ca="1"/>
        <v>44.514874770475203</v>
      </c>
      <c r="AG8528" s="2">
        <f ca="1"/>
        <v>0.12947351864913648</v>
      </c>
      <c r="AH8528" s="2" t="str">
        <f ca="1"/>
        <v>OK</v>
      </c>
    </row>
    <row r="8529" spans="2:34" x14ac:dyDescent="0.2">
      <c r="B8529" s="2">
        <f ca="1"/>
        <v>0.66078365473098333</v>
      </c>
      <c r="O8529" s="2">
        <f ca="1"/>
        <v>1.4961027463223</v>
      </c>
      <c r="X8529" s="2">
        <f ca="1"/>
        <v>57.745895441725438</v>
      </c>
      <c r="AG8529" s="2">
        <f ca="1"/>
        <v>9.5479742519082311E-3</v>
      </c>
      <c r="AH8529" s="2" t="str">
        <f ca="1"/>
        <v>Good</v>
      </c>
    </row>
    <row r="8530" spans="2:34" x14ac:dyDescent="0.2">
      <c r="B8530" s="2">
        <f ca="1"/>
        <v>0.51089333106348023</v>
      </c>
      <c r="O8530" s="2">
        <f ca="1"/>
        <v>-5.0857892822602065E-2</v>
      </c>
      <c r="X8530" s="2">
        <f ca="1"/>
        <v>81.027951883437353</v>
      </c>
      <c r="AG8530" s="2">
        <f ca="1"/>
        <v>0.96630906362672131</v>
      </c>
      <c r="AH8530" s="2" t="str">
        <f ca="1"/>
        <v>Bad</v>
      </c>
    </row>
    <row r="8531" spans="2:34" x14ac:dyDescent="0.2">
      <c r="B8531" s="2">
        <f ca="1"/>
        <v>0.74579994736747901</v>
      </c>
      <c r="O8531" s="2">
        <f ca="1"/>
        <v>-0.36609318813670289</v>
      </c>
      <c r="X8531" s="2">
        <f ca="1"/>
        <v>46.387564131334322</v>
      </c>
      <c r="AG8531" s="2">
        <f ca="1"/>
        <v>0.22046716780371778</v>
      </c>
      <c r="AH8531" s="2" t="str">
        <f ca="1"/>
        <v>OK</v>
      </c>
    </row>
    <row r="8532" spans="2:34" x14ac:dyDescent="0.2">
      <c r="B8532" s="2">
        <f ca="1"/>
        <v>0.39223074188172657</v>
      </c>
      <c r="O8532" s="2">
        <f ca="1"/>
        <v>-0.25589326651675381</v>
      </c>
      <c r="X8532" s="2">
        <f ca="1"/>
        <v>54.338298159134453</v>
      </c>
      <c r="AG8532" s="2">
        <f ca="1"/>
        <v>0.79005299402187501</v>
      </c>
      <c r="AH8532" s="2" t="str">
        <f ca="1"/>
        <v>Bad</v>
      </c>
    </row>
    <row r="8533" spans="2:34" x14ac:dyDescent="0.2">
      <c r="B8533" s="2">
        <f ca="1"/>
        <v>0.10461550646155571</v>
      </c>
      <c r="O8533" s="2">
        <f ca="1"/>
        <v>0.37975122467235417</v>
      </c>
      <c r="X8533" s="2">
        <f ca="1"/>
        <v>46.313330031760309</v>
      </c>
      <c r="AG8533" s="2">
        <f ca="1"/>
        <v>6.0700393649163242E-2</v>
      </c>
      <c r="AH8533" s="2" t="str">
        <f ca="1"/>
        <v>OK</v>
      </c>
    </row>
    <row r="8534" spans="2:34" x14ac:dyDescent="0.2">
      <c r="B8534" s="2">
        <f ca="1"/>
        <v>0.4343285741205396</v>
      </c>
      <c r="O8534" s="2">
        <f ca="1"/>
        <v>-2.1314506603986385</v>
      </c>
      <c r="X8534" s="2">
        <f ca="1"/>
        <v>63.008821881784051</v>
      </c>
      <c r="AG8534" s="2">
        <f ca="1"/>
        <v>0.92553641445193979</v>
      </c>
      <c r="AH8534" s="2" t="str">
        <f ca="1"/>
        <v>Bad</v>
      </c>
    </row>
    <row r="8535" spans="2:34" x14ac:dyDescent="0.2">
      <c r="B8535" s="2">
        <f ca="1"/>
        <v>0.83945196546068002</v>
      </c>
      <c r="O8535" s="2">
        <f ca="1"/>
        <v>-1.1472923305053748</v>
      </c>
      <c r="X8535" s="2">
        <f ca="1"/>
        <v>36.020082801233094</v>
      </c>
      <c r="AG8535" s="2">
        <f ca="1"/>
        <v>0.82236987163466968</v>
      </c>
      <c r="AH8535" s="2" t="str">
        <f ca="1"/>
        <v>Bad</v>
      </c>
    </row>
    <row r="8536" spans="2:34" x14ac:dyDescent="0.2">
      <c r="B8536" s="2">
        <f ca="1"/>
        <v>0.66940959757446672</v>
      </c>
      <c r="O8536" s="2">
        <f ca="1"/>
        <v>1.1859423920916508</v>
      </c>
      <c r="X8536" s="2">
        <f ca="1"/>
        <v>46.761708300738647</v>
      </c>
      <c r="AG8536" s="2">
        <f ca="1"/>
        <v>0.80044386899303022</v>
      </c>
      <c r="AH8536" s="2" t="str">
        <f ca="1"/>
        <v>Bad</v>
      </c>
    </row>
    <row r="8537" spans="2:34" x14ac:dyDescent="0.2">
      <c r="B8537" s="2">
        <f ca="1"/>
        <v>0.79124607329786945</v>
      </c>
      <c r="O8537" s="2">
        <f ca="1"/>
        <v>0.23919589402182168</v>
      </c>
      <c r="X8537" s="2">
        <f ca="1"/>
        <v>79.145830736481102</v>
      </c>
      <c r="AG8537" s="2">
        <f ca="1"/>
        <v>0.12542813365880168</v>
      </c>
      <c r="AH8537" s="2" t="str">
        <f ca="1"/>
        <v>OK</v>
      </c>
    </row>
    <row r="8538" spans="2:34" x14ac:dyDescent="0.2">
      <c r="B8538" s="2">
        <f ca="1"/>
        <v>0.26026224498440098</v>
      </c>
      <c r="O8538" s="2">
        <f ca="1"/>
        <v>-1.0875986027154161</v>
      </c>
      <c r="X8538" s="2">
        <f ca="1"/>
        <v>61.774369168640824</v>
      </c>
      <c r="AG8538" s="2">
        <f ca="1"/>
        <v>0.52012942790198169</v>
      </c>
      <c r="AH8538" s="2" t="str">
        <f ca="1"/>
        <v>Bad</v>
      </c>
    </row>
    <row r="8539" spans="2:34" x14ac:dyDescent="0.2">
      <c r="B8539" s="2">
        <f ca="1"/>
        <v>0.15510820871191977</v>
      </c>
      <c r="O8539" s="2">
        <f ca="1"/>
        <v>0.18189632025057179</v>
      </c>
      <c r="X8539" s="2">
        <f ca="1"/>
        <v>52.959130399764184</v>
      </c>
      <c r="AG8539" s="2">
        <f ca="1"/>
        <v>0.24531456418483133</v>
      </c>
      <c r="AH8539" s="2" t="str">
        <f ca="1"/>
        <v>OK</v>
      </c>
    </row>
    <row r="8540" spans="2:34" x14ac:dyDescent="0.2">
      <c r="B8540" s="2">
        <f ca="1"/>
        <v>0.43212324773030808</v>
      </c>
      <c r="O8540" s="2">
        <f ca="1"/>
        <v>1.1861393590259102</v>
      </c>
      <c r="X8540" s="2">
        <f ca="1"/>
        <v>48.746962752043288</v>
      </c>
      <c r="AG8540" s="2">
        <f ca="1"/>
        <v>0.71150665135676872</v>
      </c>
      <c r="AH8540" s="2" t="str">
        <f ca="1"/>
        <v>Bad</v>
      </c>
    </row>
    <row r="8541" spans="2:34" x14ac:dyDescent="0.2">
      <c r="B8541" s="2">
        <f ca="1"/>
        <v>2.0884596090229968E-2</v>
      </c>
      <c r="O8541" s="2">
        <f ca="1"/>
        <v>1.7087436286302257E-2</v>
      </c>
      <c r="X8541" s="2">
        <f ca="1"/>
        <v>56.420676017486372</v>
      </c>
      <c r="AG8541" s="2">
        <f ca="1"/>
        <v>0.44548047754485443</v>
      </c>
      <c r="AH8541" s="2" t="str">
        <f ca="1"/>
        <v>Bad</v>
      </c>
    </row>
    <row r="8542" spans="2:34" x14ac:dyDescent="0.2">
      <c r="B8542" s="2">
        <f ca="1"/>
        <v>0.18410118881664483</v>
      </c>
      <c r="O8542" s="2">
        <f ca="1"/>
        <v>-1.4608611050693829</v>
      </c>
      <c r="X8542" s="2">
        <f ca="1"/>
        <v>71.908135006403185</v>
      </c>
      <c r="AG8542" s="2">
        <f ca="1"/>
        <v>6.8094787227169551E-2</v>
      </c>
      <c r="AH8542" s="2" t="str">
        <f ca="1"/>
        <v>OK</v>
      </c>
    </row>
    <row r="8543" spans="2:34" x14ac:dyDescent="0.2">
      <c r="B8543" s="2">
        <f ca="1"/>
        <v>0.25142892312113196</v>
      </c>
      <c r="O8543" s="2">
        <f ca="1"/>
        <v>2.197326231557313E-2</v>
      </c>
      <c r="X8543" s="2">
        <f ca="1"/>
        <v>38.411614808434287</v>
      </c>
      <c r="AG8543" s="2">
        <f ca="1"/>
        <v>0.34296273003507083</v>
      </c>
      <c r="AH8543" s="2" t="str">
        <f ca="1"/>
        <v>OK</v>
      </c>
    </row>
    <row r="8544" spans="2:34" x14ac:dyDescent="0.2">
      <c r="B8544" s="2">
        <f ca="1"/>
        <v>2.2453419461643698E-2</v>
      </c>
      <c r="O8544" s="2">
        <f ca="1"/>
        <v>-0.52751026126083378</v>
      </c>
      <c r="X8544" s="2">
        <f ca="1"/>
        <v>46.580714186440453</v>
      </c>
      <c r="AG8544" s="2">
        <f ca="1"/>
        <v>0.77553794552714161</v>
      </c>
      <c r="AH8544" s="2" t="str">
        <f ca="1"/>
        <v>Bad</v>
      </c>
    </row>
    <row r="8545" spans="2:34" x14ac:dyDescent="0.2">
      <c r="B8545" s="2">
        <f ca="1"/>
        <v>0.56079845610769308</v>
      </c>
      <c r="O8545" s="2">
        <f ca="1"/>
        <v>0.49581407560511948</v>
      </c>
      <c r="X8545" s="2">
        <f ca="1"/>
        <v>48.097432396919793</v>
      </c>
      <c r="AG8545" s="2">
        <f ca="1"/>
        <v>0.68299723582019634</v>
      </c>
      <c r="AH8545" s="2" t="str">
        <f ca="1"/>
        <v>Bad</v>
      </c>
    </row>
    <row r="8546" spans="2:34" x14ac:dyDescent="0.2">
      <c r="B8546" s="2">
        <f ca="1"/>
        <v>0.23649082938442501</v>
      </c>
      <c r="O8546" s="2">
        <f ca="1"/>
        <v>-0.44421001375298275</v>
      </c>
      <c r="X8546" s="2">
        <f ca="1"/>
        <v>51.132731535518452</v>
      </c>
      <c r="AG8546" s="2">
        <f ca="1"/>
        <v>8.2919103131530614E-2</v>
      </c>
      <c r="AH8546" s="2" t="str">
        <f ca="1"/>
        <v>OK</v>
      </c>
    </row>
    <row r="8547" spans="2:34" x14ac:dyDescent="0.2">
      <c r="B8547" s="2">
        <f ca="1"/>
        <v>0.2461926640024299</v>
      </c>
      <c r="O8547" s="2">
        <f ca="1"/>
        <v>-0.73219729019167945</v>
      </c>
      <c r="X8547" s="2">
        <f ca="1"/>
        <v>26.151172801392676</v>
      </c>
      <c r="AG8547" s="2">
        <f ca="1"/>
        <v>0.29911459247774363</v>
      </c>
      <c r="AH8547" s="2" t="str">
        <f ca="1"/>
        <v>OK</v>
      </c>
    </row>
    <row r="8548" spans="2:34" x14ac:dyDescent="0.2">
      <c r="B8548" s="2">
        <f ca="1"/>
        <v>0.72343673607054493</v>
      </c>
      <c r="O8548" s="2">
        <f ca="1"/>
        <v>0.31285356414632487</v>
      </c>
      <c r="X8548" s="2">
        <f ca="1"/>
        <v>60.399201627658108</v>
      </c>
      <c r="AG8548" s="2">
        <f ca="1"/>
        <v>0.376422640933469</v>
      </c>
      <c r="AH8548" s="2" t="str">
        <f ca="1"/>
        <v>OK</v>
      </c>
    </row>
    <row r="8549" spans="2:34" x14ac:dyDescent="0.2">
      <c r="B8549" s="2">
        <f ca="1"/>
        <v>0.18690258031010942</v>
      </c>
      <c r="O8549" s="2">
        <f ca="1"/>
        <v>2.4813848538468788</v>
      </c>
      <c r="X8549" s="2">
        <f ca="1"/>
        <v>51.462637657069379</v>
      </c>
      <c r="AG8549" s="2">
        <f ca="1"/>
        <v>0.38789289217226863</v>
      </c>
      <c r="AH8549" s="2" t="str">
        <f ca="1"/>
        <v>OK</v>
      </c>
    </row>
    <row r="8550" spans="2:34" x14ac:dyDescent="0.2">
      <c r="B8550" s="2">
        <f ca="1"/>
        <v>0.41209167075584974</v>
      </c>
      <c r="O8550" s="2">
        <f ca="1"/>
        <v>0.62261256029337453</v>
      </c>
      <c r="X8550" s="2">
        <f ca="1"/>
        <v>67.687638132517932</v>
      </c>
      <c r="AG8550" s="2">
        <f ca="1"/>
        <v>4.9119558407417996E-2</v>
      </c>
      <c r="AH8550" s="2" t="str">
        <f ca="1"/>
        <v>Good</v>
      </c>
    </row>
    <row r="8551" spans="2:34" x14ac:dyDescent="0.2">
      <c r="B8551" s="2">
        <f ca="1"/>
        <v>2.922844339488706E-2</v>
      </c>
      <c r="O8551" s="2">
        <f ca="1"/>
        <v>0.55041159040567189</v>
      </c>
      <c r="X8551" s="2">
        <f ca="1"/>
        <v>34.045857617666933</v>
      </c>
      <c r="AG8551" s="2">
        <f ca="1"/>
        <v>0.36752256076276835</v>
      </c>
      <c r="AH8551" s="2" t="str">
        <f ca="1"/>
        <v>OK</v>
      </c>
    </row>
    <row r="8552" spans="2:34" x14ac:dyDescent="0.2">
      <c r="B8552" s="2">
        <f ca="1"/>
        <v>0.44357844626982601</v>
      </c>
      <c r="O8552" s="2">
        <f ca="1"/>
        <v>-0.7429840049291534</v>
      </c>
      <c r="X8552" s="2">
        <f ca="1"/>
        <v>33.084019809041322</v>
      </c>
      <c r="AG8552" s="2">
        <f ca="1"/>
        <v>0.84392320689152811</v>
      </c>
      <c r="AH8552" s="2" t="str">
        <f ca="1"/>
        <v>Bad</v>
      </c>
    </row>
    <row r="8553" spans="2:34" x14ac:dyDescent="0.2">
      <c r="B8553" s="2">
        <f ca="1"/>
        <v>0.10013790502719822</v>
      </c>
      <c r="O8553" s="2">
        <f ca="1"/>
        <v>-0.38915158874227052</v>
      </c>
      <c r="X8553" s="2">
        <f ca="1"/>
        <v>54.609708810729288</v>
      </c>
      <c r="AG8553" s="2">
        <f ca="1"/>
        <v>0.78664043058415345</v>
      </c>
      <c r="AH8553" s="2" t="str">
        <f ca="1"/>
        <v>Bad</v>
      </c>
    </row>
    <row r="8554" spans="2:34" x14ac:dyDescent="0.2">
      <c r="B8554" s="2">
        <f ca="1"/>
        <v>0.12263271783285679</v>
      </c>
      <c r="O8554" s="2">
        <f ca="1"/>
        <v>-1.0746445527704385</v>
      </c>
      <c r="X8554" s="2">
        <f ca="1"/>
        <v>60.729381230063339</v>
      </c>
      <c r="AG8554" s="2">
        <f ca="1"/>
        <v>0.82484814136043161</v>
      </c>
      <c r="AH8554" s="2" t="str">
        <f ca="1"/>
        <v>Bad</v>
      </c>
    </row>
    <row r="8555" spans="2:34" x14ac:dyDescent="0.2">
      <c r="B8555" s="2">
        <f ca="1"/>
        <v>0.96225920963503486</v>
      </c>
      <c r="O8555" s="2">
        <f ca="1"/>
        <v>-0.13309135108263312</v>
      </c>
      <c r="X8555" s="2">
        <f ca="1"/>
        <v>41.221891268088797</v>
      </c>
      <c r="AG8555" s="2">
        <f ca="1"/>
        <v>0.84265299532544091</v>
      </c>
      <c r="AH8555" s="2" t="str">
        <f ca="1"/>
        <v>Bad</v>
      </c>
    </row>
    <row r="8556" spans="2:34" x14ac:dyDescent="0.2">
      <c r="B8556" s="2">
        <f ca="1"/>
        <v>0.11726433047106899</v>
      </c>
      <c r="O8556" s="2">
        <f ca="1"/>
        <v>-0.55786741530812534</v>
      </c>
      <c r="X8556" s="2">
        <f ca="1"/>
        <v>51.203427407028158</v>
      </c>
      <c r="AG8556" s="2">
        <f ca="1"/>
        <v>0.22338633920105289</v>
      </c>
      <c r="AH8556" s="2" t="str">
        <f ca="1"/>
        <v>OK</v>
      </c>
    </row>
    <row r="8557" spans="2:34" x14ac:dyDescent="0.2">
      <c r="B8557" s="2">
        <f ca="1"/>
        <v>0.63198251879293132</v>
      </c>
      <c r="O8557" s="2">
        <f ca="1"/>
        <v>-0.21462804305178959</v>
      </c>
      <c r="X8557" s="2">
        <f ca="1"/>
        <v>59.374907696825233</v>
      </c>
      <c r="AG8557" s="2">
        <f ca="1"/>
        <v>9.2174177109398681E-2</v>
      </c>
      <c r="AH8557" s="2" t="str">
        <f ca="1"/>
        <v>OK</v>
      </c>
    </row>
    <row r="8558" spans="2:34" x14ac:dyDescent="0.2">
      <c r="B8558" s="2">
        <f ca="1"/>
        <v>0.85540049203875701</v>
      </c>
      <c r="O8558" s="2">
        <f ca="1"/>
        <v>0.17918175361337099</v>
      </c>
      <c r="X8558" s="2">
        <f ca="1"/>
        <v>44.107966892171611</v>
      </c>
      <c r="AG8558" s="2">
        <f ca="1"/>
        <v>0.48870423207446922</v>
      </c>
      <c r="AH8558" s="2" t="str">
        <f ca="1"/>
        <v>Bad</v>
      </c>
    </row>
    <row r="8559" spans="2:34" x14ac:dyDescent="0.2">
      <c r="B8559" s="2">
        <f ca="1"/>
        <v>2.4380683507391199E-2</v>
      </c>
      <c r="O8559" s="2">
        <f ca="1"/>
        <v>-2.3689610502557454</v>
      </c>
      <c r="X8559" s="2">
        <f ca="1"/>
        <v>28.950153902068742</v>
      </c>
      <c r="AG8559" s="2">
        <f ca="1"/>
        <v>0.67000814419656129</v>
      </c>
      <c r="AH8559" s="2" t="str">
        <f ca="1"/>
        <v>Bad</v>
      </c>
    </row>
    <row r="8560" spans="2:34" x14ac:dyDescent="0.2">
      <c r="B8560" s="2">
        <f ca="1"/>
        <v>0.93912163149790873</v>
      </c>
      <c r="O8560" s="2">
        <f ca="1"/>
        <v>-0.66089097914788597</v>
      </c>
      <c r="X8560" s="2">
        <f ca="1"/>
        <v>49.604536510215837</v>
      </c>
      <c r="AG8560" s="2">
        <f ca="1"/>
        <v>0.47882958610387938</v>
      </c>
      <c r="AH8560" s="2" t="str">
        <f ca="1"/>
        <v>Bad</v>
      </c>
    </row>
    <row r="8561" spans="2:34" x14ac:dyDescent="0.2">
      <c r="B8561" s="2">
        <f ca="1"/>
        <v>1.1907860255527147E-2</v>
      </c>
      <c r="O8561" s="2">
        <f ca="1"/>
        <v>-0.88523140204315109</v>
      </c>
      <c r="X8561" s="2">
        <f ca="1"/>
        <v>65.704971174650552</v>
      </c>
      <c r="AG8561" s="2">
        <f ca="1"/>
        <v>0.16796499833245115</v>
      </c>
      <c r="AH8561" s="2" t="str">
        <f ca="1"/>
        <v>OK</v>
      </c>
    </row>
    <row r="8562" spans="2:34" x14ac:dyDescent="0.2">
      <c r="B8562" s="2">
        <f ca="1"/>
        <v>0.38061922430588369</v>
      </c>
      <c r="O8562" s="2">
        <f ca="1"/>
        <v>1.1566013894041918</v>
      </c>
      <c r="X8562" s="2">
        <f ca="1"/>
        <v>68.147916750752657</v>
      </c>
      <c r="AG8562" s="2">
        <f ca="1"/>
        <v>0.37034650146410097</v>
      </c>
      <c r="AH8562" s="2" t="str">
        <f ca="1"/>
        <v>OK</v>
      </c>
    </row>
    <row r="8563" spans="2:34" x14ac:dyDescent="0.2">
      <c r="B8563" s="2">
        <f ca="1"/>
        <v>0.98977337682339983</v>
      </c>
      <c r="O8563" s="2">
        <f ca="1"/>
        <v>1.5155631863837098</v>
      </c>
      <c r="X8563" s="2">
        <f ca="1"/>
        <v>53.977408721151164</v>
      </c>
      <c r="AG8563" s="2">
        <f ca="1"/>
        <v>0.7458534525117837</v>
      </c>
      <c r="AH8563" s="2" t="str">
        <f ca="1"/>
        <v>Bad</v>
      </c>
    </row>
    <row r="8564" spans="2:34" x14ac:dyDescent="0.2">
      <c r="B8564" s="2">
        <f ca="1"/>
        <v>0.96927326775152545</v>
      </c>
      <c r="O8564" s="2">
        <f ca="1"/>
        <v>0.38017121464645115</v>
      </c>
      <c r="X8564" s="2">
        <f ca="1"/>
        <v>80.051534090986905</v>
      </c>
      <c r="AG8564" s="2">
        <f ca="1"/>
        <v>0.13501789867859171</v>
      </c>
      <c r="AH8564" s="2" t="str">
        <f ca="1"/>
        <v>OK</v>
      </c>
    </row>
    <row r="8565" spans="2:34" x14ac:dyDescent="0.2">
      <c r="B8565" s="2">
        <f ca="1"/>
        <v>0.4203441304357225</v>
      </c>
      <c r="O8565" s="2">
        <f ca="1"/>
        <v>-1.2614613716886911</v>
      </c>
      <c r="X8565" s="2">
        <f ca="1"/>
        <v>48.367137071326518</v>
      </c>
      <c r="AG8565" s="2">
        <f ca="1"/>
        <v>0.37218939723706113</v>
      </c>
      <c r="AH8565" s="2" t="str">
        <f ca="1"/>
        <v>OK</v>
      </c>
    </row>
    <row r="8566" spans="2:34" x14ac:dyDescent="0.2">
      <c r="B8566" s="2">
        <f ca="1"/>
        <v>0.92851045975590818</v>
      </c>
      <c r="O8566" s="2">
        <f ca="1"/>
        <v>0.49587410413288247</v>
      </c>
      <c r="X8566" s="2">
        <f ca="1"/>
        <v>53.665499124217916</v>
      </c>
      <c r="AG8566" s="2">
        <f ca="1"/>
        <v>0.7797180947318163</v>
      </c>
      <c r="AH8566" s="2" t="str">
        <f ca="1"/>
        <v>Bad</v>
      </c>
    </row>
    <row r="8567" spans="2:34" x14ac:dyDescent="0.2">
      <c r="B8567" s="2">
        <f ca="1"/>
        <v>0.12490082330056862</v>
      </c>
      <c r="O8567" s="2">
        <f ca="1"/>
        <v>-2.0249426162651774</v>
      </c>
      <c r="X8567" s="2">
        <f ca="1"/>
        <v>46.050494061378473</v>
      </c>
      <c r="AG8567" s="2">
        <f ca="1"/>
        <v>0.8653226755259793</v>
      </c>
      <c r="AH8567" s="2" t="str">
        <f ca="1"/>
        <v>Bad</v>
      </c>
    </row>
    <row r="8568" spans="2:34" x14ac:dyDescent="0.2">
      <c r="B8568" s="2">
        <f ca="1"/>
        <v>0.3358145256947429</v>
      </c>
      <c r="O8568" s="2">
        <f ca="1"/>
        <v>-0.58982796620491718</v>
      </c>
      <c r="X8568" s="2">
        <f ca="1"/>
        <v>35.496464980523484</v>
      </c>
      <c r="AG8568" s="2">
        <f ca="1"/>
        <v>0.31915529285446653</v>
      </c>
      <c r="AH8568" s="2" t="str">
        <f ca="1"/>
        <v>OK</v>
      </c>
    </row>
    <row r="8569" spans="2:34" x14ac:dyDescent="0.2">
      <c r="B8569" s="2">
        <f ca="1"/>
        <v>1.2223434718327653E-2</v>
      </c>
      <c r="O8569" s="2">
        <f ca="1"/>
        <v>7.9868995356111291E-2</v>
      </c>
      <c r="X8569" s="2">
        <f ca="1"/>
        <v>51.509476947365158</v>
      </c>
      <c r="AG8569" s="2">
        <f ca="1"/>
        <v>0.6835678865303032</v>
      </c>
      <c r="AH8569" s="2" t="str">
        <f ca="1"/>
        <v>Bad</v>
      </c>
    </row>
    <row r="8570" spans="2:34" x14ac:dyDescent="0.2">
      <c r="B8570" s="2">
        <f ca="1"/>
        <v>0.53970461764574118</v>
      </c>
      <c r="O8570" s="2">
        <f ca="1"/>
        <v>0.42807705836540438</v>
      </c>
      <c r="X8570" s="2">
        <f ca="1"/>
        <v>55.599985871906547</v>
      </c>
      <c r="AG8570" s="2">
        <f ca="1"/>
        <v>0.50872297743368566</v>
      </c>
      <c r="AH8570" s="2" t="str">
        <f ca="1"/>
        <v>Bad</v>
      </c>
    </row>
    <row r="8571" spans="2:34" x14ac:dyDescent="0.2">
      <c r="B8571" s="2">
        <f ca="1"/>
        <v>0.53911705921655928</v>
      </c>
      <c r="O8571" s="2">
        <f ca="1"/>
        <v>0.41535654873900291</v>
      </c>
      <c r="X8571" s="2">
        <f ca="1"/>
        <v>46.035013336224822</v>
      </c>
      <c r="AG8571" s="2">
        <f ca="1"/>
        <v>0.72841199138226864</v>
      </c>
      <c r="AH8571" s="2" t="str">
        <f ca="1"/>
        <v>Bad</v>
      </c>
    </row>
    <row r="8572" spans="2:34" x14ac:dyDescent="0.2">
      <c r="B8572" s="2">
        <f ca="1"/>
        <v>0.97166466180599076</v>
      </c>
      <c r="O8572" s="2">
        <f ca="1"/>
        <v>-0.65333732408104628</v>
      </c>
      <c r="X8572" s="2">
        <f ca="1"/>
        <v>60.669928780242188</v>
      </c>
      <c r="AG8572" s="2">
        <f ca="1"/>
        <v>0.46878619716728132</v>
      </c>
      <c r="AH8572" s="2" t="str">
        <f ca="1"/>
        <v>Bad</v>
      </c>
    </row>
    <row r="8573" spans="2:34" x14ac:dyDescent="0.2">
      <c r="B8573" s="2">
        <f ca="1"/>
        <v>0.87425528244913586</v>
      </c>
      <c r="O8573" s="2">
        <f ca="1"/>
        <v>-0.64675511623461768</v>
      </c>
      <c r="X8573" s="2">
        <f ca="1"/>
        <v>47.852530295563078</v>
      </c>
      <c r="AG8573" s="2">
        <f ca="1"/>
        <v>0.32081304809071209</v>
      </c>
      <c r="AH8573" s="2" t="str">
        <f ca="1"/>
        <v>OK</v>
      </c>
    </row>
    <row r="8574" spans="2:34" x14ac:dyDescent="0.2">
      <c r="B8574" s="2">
        <f ca="1"/>
        <v>0.70778073537424602</v>
      </c>
      <c r="O8574" s="2">
        <f ca="1"/>
        <v>-0.6249612669596325</v>
      </c>
      <c r="X8574" s="2">
        <f ca="1"/>
        <v>45.607335051950962</v>
      </c>
      <c r="AG8574" s="2">
        <f ca="1"/>
        <v>0.86140132383046697</v>
      </c>
      <c r="AH8574" s="2" t="str">
        <f ca="1"/>
        <v>Bad</v>
      </c>
    </row>
    <row r="8575" spans="2:34" x14ac:dyDescent="0.2">
      <c r="B8575" s="2">
        <f ca="1"/>
        <v>0.68291600819433262</v>
      </c>
      <c r="O8575" s="2">
        <f ca="1"/>
        <v>0.82705784158972906</v>
      </c>
      <c r="X8575" s="2">
        <f ca="1"/>
        <v>43.008368725207987</v>
      </c>
      <c r="AG8575" s="2">
        <f ca="1"/>
        <v>0.64718542375669408</v>
      </c>
      <c r="AH8575" s="2" t="str">
        <f ca="1"/>
        <v>Bad</v>
      </c>
    </row>
    <row r="8576" spans="2:34" x14ac:dyDescent="0.2">
      <c r="B8576" s="2">
        <f ca="1"/>
        <v>0.11067217743355062</v>
      </c>
      <c r="O8576" s="2">
        <f ca="1"/>
        <v>0.88623981013372066</v>
      </c>
      <c r="X8576" s="2">
        <f ca="1"/>
        <v>25.220038563969034</v>
      </c>
      <c r="AG8576" s="2">
        <f ca="1"/>
        <v>0.44767379166476551</v>
      </c>
      <c r="AH8576" s="2" t="str">
        <f ca="1"/>
        <v>Bad</v>
      </c>
    </row>
    <row r="8577" spans="2:34" x14ac:dyDescent="0.2">
      <c r="B8577" s="2">
        <f ca="1"/>
        <v>0.35481382214178625</v>
      </c>
      <c r="O8577" s="2">
        <f ca="1"/>
        <v>-1.4008272759376015</v>
      </c>
      <c r="X8577" s="2">
        <f ca="1"/>
        <v>27.019497865716776</v>
      </c>
      <c r="AG8577" s="2">
        <f ca="1"/>
        <v>0.22931899743558781</v>
      </c>
      <c r="AH8577" s="2" t="str">
        <f ca="1"/>
        <v>OK</v>
      </c>
    </row>
    <row r="8578" spans="2:34" x14ac:dyDescent="0.2">
      <c r="B8578" s="2">
        <f ca="1"/>
        <v>4.4586810731971793E-2</v>
      </c>
      <c r="O8578" s="2">
        <f ca="1"/>
        <v>-1.0645655097124149</v>
      </c>
      <c r="X8578" s="2">
        <f ca="1"/>
        <v>48.781584493452428</v>
      </c>
      <c r="AG8578" s="2">
        <f ca="1"/>
        <v>0.10021294111946411</v>
      </c>
      <c r="AH8578" s="2" t="str">
        <f ca="1"/>
        <v>OK</v>
      </c>
    </row>
    <row r="8579" spans="2:34" x14ac:dyDescent="0.2">
      <c r="B8579" s="2">
        <f ca="1"/>
        <v>0.79705354231080738</v>
      </c>
      <c r="O8579" s="2">
        <f ca="1"/>
        <v>0.97243013287294233</v>
      </c>
      <c r="X8579" s="2">
        <f ca="1"/>
        <v>44.907714633698149</v>
      </c>
      <c r="AG8579" s="2">
        <f ca="1"/>
        <v>0.74453809247861913</v>
      </c>
      <c r="AH8579" s="2" t="str">
        <f ca="1"/>
        <v>Bad</v>
      </c>
    </row>
    <row r="8580" spans="2:34" x14ac:dyDescent="0.2">
      <c r="B8580" s="2">
        <f ca="1"/>
        <v>1.7042183410717504E-2</v>
      </c>
      <c r="O8580" s="2">
        <f ca="1"/>
        <v>0.64609691904736133</v>
      </c>
      <c r="X8580" s="2">
        <f ca="1"/>
        <v>59.423636049559803</v>
      </c>
      <c r="AG8580" s="2">
        <f ca="1"/>
        <v>0.11947217824432399</v>
      </c>
      <c r="AH8580" s="2" t="str">
        <f ca="1"/>
        <v>OK</v>
      </c>
    </row>
    <row r="8581" spans="2:34" x14ac:dyDescent="0.2">
      <c r="B8581" s="2">
        <f ca="1"/>
        <v>0.7158660913045265</v>
      </c>
      <c r="O8581" s="2">
        <f ca="1"/>
        <v>-0.26046254970973309</v>
      </c>
      <c r="X8581" s="2">
        <f ca="1"/>
        <v>41.852799307556943</v>
      </c>
      <c r="AG8581" s="2">
        <f ca="1"/>
        <v>0.50710540527018488</v>
      </c>
      <c r="AH8581" s="2" t="str">
        <f ca="1"/>
        <v>Bad</v>
      </c>
    </row>
    <row r="8582" spans="2:34" x14ac:dyDescent="0.2">
      <c r="B8582" s="2">
        <f ca="1"/>
        <v>0.69244929992195448</v>
      </c>
      <c r="O8582" s="2">
        <f ca="1"/>
        <v>1.549538747351225</v>
      </c>
      <c r="X8582" s="2">
        <f ca="1"/>
        <v>30.238917956696309</v>
      </c>
      <c r="AG8582" s="2">
        <f ca="1"/>
        <v>0.67264301766338996</v>
      </c>
      <c r="AH8582" s="2" t="str">
        <f ca="1"/>
        <v>Bad</v>
      </c>
    </row>
    <row r="8583" spans="2:34" x14ac:dyDescent="0.2">
      <c r="B8583" s="2">
        <f ca="1"/>
        <v>0.64565765895326765</v>
      </c>
      <c r="O8583" s="2">
        <f ca="1"/>
        <v>0.13250838609654392</v>
      </c>
      <c r="X8583" s="2">
        <f ca="1"/>
        <v>49.540160422279968</v>
      </c>
      <c r="AG8583" s="2">
        <f ca="1"/>
        <v>0.45370798764524256</v>
      </c>
      <c r="AH8583" s="2" t="str">
        <f ca="1"/>
        <v>Bad</v>
      </c>
    </row>
    <row r="8584" spans="2:34" x14ac:dyDescent="0.2">
      <c r="B8584" s="2">
        <f ca="1"/>
        <v>0.847720674158839</v>
      </c>
      <c r="O8584" s="2">
        <f ca="1"/>
        <v>-0.33272174052798842</v>
      </c>
      <c r="X8584" s="2">
        <f ca="1"/>
        <v>25.420981483520983</v>
      </c>
      <c r="AG8584" s="2">
        <f ca="1"/>
        <v>9.8886105461757356E-2</v>
      </c>
      <c r="AH8584" s="2" t="str">
        <f ca="1"/>
        <v>OK</v>
      </c>
    </row>
    <row r="8585" spans="2:34" x14ac:dyDescent="0.2">
      <c r="B8585" s="2">
        <f ca="1"/>
        <v>0.38311190166311593</v>
      </c>
      <c r="O8585" s="2">
        <f ca="1"/>
        <v>1.4073864160641085</v>
      </c>
      <c r="X8585" s="2">
        <f ca="1"/>
        <v>35.48335930829689</v>
      </c>
      <c r="AG8585" s="2">
        <f ca="1"/>
        <v>0.37277091045649313</v>
      </c>
      <c r="AH8585" s="2" t="str">
        <f ca="1"/>
        <v>OK</v>
      </c>
    </row>
    <row r="8586" spans="2:34" x14ac:dyDescent="0.2">
      <c r="B8586" s="2">
        <f ca="1"/>
        <v>0.95534471238927199</v>
      </c>
      <c r="O8586" s="2">
        <f ca="1"/>
        <v>1.4522575121596231</v>
      </c>
      <c r="X8586" s="2">
        <f ca="1"/>
        <v>65.26696721410724</v>
      </c>
      <c r="AG8586" s="2">
        <f ca="1"/>
        <v>0.96698227754871735</v>
      </c>
      <c r="AH8586" s="2" t="str">
        <f ca="1"/>
        <v>Bad</v>
      </c>
    </row>
    <row r="8587" spans="2:34" x14ac:dyDescent="0.2">
      <c r="B8587" s="2">
        <f ca="1"/>
        <v>0.39140559572134603</v>
      </c>
      <c r="O8587" s="2">
        <f ca="1"/>
        <v>1.1420951302298883</v>
      </c>
      <c r="X8587" s="2">
        <f ca="1"/>
        <v>58.622484317772205</v>
      </c>
      <c r="AG8587" s="2">
        <f ca="1"/>
        <v>0.57654766171018834</v>
      </c>
      <c r="AH8587" s="2" t="str">
        <f ca="1"/>
        <v>Bad</v>
      </c>
    </row>
    <row r="8588" spans="2:34" x14ac:dyDescent="0.2">
      <c r="B8588" s="2">
        <f ca="1"/>
        <v>0.71238787838643169</v>
      </c>
      <c r="O8588" s="2">
        <f ca="1"/>
        <v>1.0233582671809984</v>
      </c>
      <c r="X8588" s="2">
        <f ca="1"/>
        <v>37.407854886936732</v>
      </c>
      <c r="AG8588" s="2">
        <f ca="1"/>
        <v>0.89876518503375702</v>
      </c>
      <c r="AH8588" s="2" t="str">
        <f ca="1"/>
        <v>Bad</v>
      </c>
    </row>
    <row r="8589" spans="2:34" x14ac:dyDescent="0.2">
      <c r="B8589" s="2">
        <f ca="1"/>
        <v>0.70396739151341214</v>
      </c>
      <c r="O8589" s="2">
        <f ca="1"/>
        <v>-2.6193347281343797</v>
      </c>
      <c r="X8589" s="2">
        <f ca="1"/>
        <v>43.370339039853995</v>
      </c>
      <c r="AG8589" s="2">
        <f ca="1"/>
        <v>0.81320265612764375</v>
      </c>
      <c r="AH8589" s="2" t="str">
        <f ca="1"/>
        <v>Bad</v>
      </c>
    </row>
    <row r="8590" spans="2:34" x14ac:dyDescent="0.2">
      <c r="B8590" s="2">
        <f ca="1"/>
        <v>0.94532844107010305</v>
      </c>
      <c r="O8590" s="2">
        <f ca="1"/>
        <v>-0.20761876055283651</v>
      </c>
      <c r="X8590" s="2">
        <f ca="1"/>
        <v>45.553718320011789</v>
      </c>
      <c r="AG8590" s="2">
        <f ca="1"/>
        <v>0.39083001272599627</v>
      </c>
      <c r="AH8590" s="2" t="str">
        <f ca="1"/>
        <v>OK</v>
      </c>
    </row>
    <row r="8591" spans="2:34" x14ac:dyDescent="0.2">
      <c r="B8591" s="2">
        <f ca="1"/>
        <v>0.38970176177518789</v>
      </c>
      <c r="O8591" s="2">
        <f ca="1"/>
        <v>0.7343958698338261</v>
      </c>
      <c r="X8591" s="2">
        <f ca="1"/>
        <v>83.195734880351779</v>
      </c>
      <c r="AG8591" s="2">
        <f ca="1"/>
        <v>0.35113022729028476</v>
      </c>
      <c r="AH8591" s="2" t="str">
        <f ca="1"/>
        <v>OK</v>
      </c>
    </row>
    <row r="8592" spans="2:34" x14ac:dyDescent="0.2">
      <c r="B8592" s="2">
        <f ca="1"/>
        <v>0.58593088332053633</v>
      </c>
      <c r="O8592" s="2">
        <f ca="1"/>
        <v>0.48663213626841101</v>
      </c>
      <c r="X8592" s="2">
        <f ca="1"/>
        <v>44.126193904565376</v>
      </c>
      <c r="AG8592" s="2">
        <f ca="1"/>
        <v>0.60715593026166093</v>
      </c>
      <c r="AH8592" s="2" t="str">
        <f ca="1"/>
        <v>Bad</v>
      </c>
    </row>
    <row r="8593" spans="2:34" x14ac:dyDescent="0.2">
      <c r="B8593" s="2">
        <f ca="1"/>
        <v>0.52153416898747196</v>
      </c>
      <c r="O8593" s="2">
        <f ca="1"/>
        <v>-0.73711935393014416</v>
      </c>
      <c r="X8593" s="2">
        <f ca="1"/>
        <v>32.98255340884441</v>
      </c>
      <c r="AG8593" s="2">
        <f ca="1"/>
        <v>7.8936219962478127E-2</v>
      </c>
      <c r="AH8593" s="2" t="str">
        <f ca="1"/>
        <v>OK</v>
      </c>
    </row>
    <row r="8594" spans="2:34" x14ac:dyDescent="0.2">
      <c r="B8594" s="2">
        <f ca="1"/>
        <v>6.3808010844594865E-2</v>
      </c>
      <c r="O8594" s="2">
        <f ca="1"/>
        <v>4.4868580534198212E-2</v>
      </c>
      <c r="X8594" s="2">
        <f ca="1"/>
        <v>47.963224133016482</v>
      </c>
      <c r="AG8594" s="2">
        <f ca="1"/>
        <v>0.41537110374309916</v>
      </c>
      <c r="AH8594" s="2" t="str">
        <f ca="1"/>
        <v>Bad</v>
      </c>
    </row>
    <row r="8595" spans="2:34" x14ac:dyDescent="0.2">
      <c r="B8595" s="2">
        <f ca="1"/>
        <v>0.80784392072818134</v>
      </c>
      <c r="O8595" s="2">
        <f ca="1"/>
        <v>-0.23578888025434885</v>
      </c>
      <c r="X8595" s="2">
        <f ca="1"/>
        <v>52.352377923788325</v>
      </c>
      <c r="AG8595" s="2">
        <f ca="1"/>
        <v>0.71113585534278267</v>
      </c>
      <c r="AH8595" s="2" t="str">
        <f ca="1"/>
        <v>Bad</v>
      </c>
    </row>
    <row r="8596" spans="2:34" x14ac:dyDescent="0.2">
      <c r="B8596" s="2">
        <f ca="1"/>
        <v>0.53684845510845181</v>
      </c>
      <c r="O8596" s="2">
        <f ca="1"/>
        <v>-0.83847490710527373</v>
      </c>
      <c r="X8596" s="2">
        <f ca="1"/>
        <v>23.547259973025852</v>
      </c>
      <c r="AG8596" s="2">
        <f ca="1"/>
        <v>0.36039273862753807</v>
      </c>
      <c r="AH8596" s="2" t="str">
        <f ca="1"/>
        <v>OK</v>
      </c>
    </row>
    <row r="8597" spans="2:34" x14ac:dyDescent="0.2">
      <c r="B8597" s="2">
        <f ca="1"/>
        <v>0.50240974849979736</v>
      </c>
      <c r="O8597" s="2">
        <f ca="1"/>
        <v>-1.999938658871216</v>
      </c>
      <c r="X8597" s="2">
        <f ca="1"/>
        <v>36.340494428717655</v>
      </c>
      <c r="AG8597" s="2">
        <f ca="1"/>
        <v>3.1583101583306794E-2</v>
      </c>
      <c r="AH8597" s="2" t="str">
        <f ca="1"/>
        <v>Good</v>
      </c>
    </row>
    <row r="8598" spans="2:34" x14ac:dyDescent="0.2">
      <c r="B8598" s="2">
        <f ca="1"/>
        <v>0.68519319986004423</v>
      </c>
      <c r="O8598" s="2">
        <f ca="1"/>
        <v>0.50258107230714522</v>
      </c>
      <c r="X8598" s="2">
        <f ca="1"/>
        <v>70.144310748149451</v>
      </c>
      <c r="AG8598" s="2">
        <f ca="1"/>
        <v>0.33123989612903082</v>
      </c>
      <c r="AH8598" s="2" t="str">
        <f ca="1"/>
        <v>OK</v>
      </c>
    </row>
    <row r="8599" spans="2:34" x14ac:dyDescent="0.2">
      <c r="B8599" s="2">
        <f ca="1"/>
        <v>0.5828956142145949</v>
      </c>
      <c r="O8599" s="2">
        <f ca="1"/>
        <v>1.9785495424586341</v>
      </c>
      <c r="X8599" s="2">
        <f ca="1"/>
        <v>40.886664407965505</v>
      </c>
      <c r="AG8599" s="2">
        <f ca="1"/>
        <v>8.9724476480023574E-2</v>
      </c>
      <c r="AH8599" s="2" t="str">
        <f ca="1"/>
        <v>OK</v>
      </c>
    </row>
    <row r="8600" spans="2:34" x14ac:dyDescent="0.2">
      <c r="B8600" s="2">
        <f ca="1"/>
        <v>0.53672428904240421</v>
      </c>
      <c r="O8600" s="2">
        <f ca="1"/>
        <v>0.91759116402312746</v>
      </c>
      <c r="X8600" s="2">
        <f ca="1"/>
        <v>34.052665641440036</v>
      </c>
      <c r="AG8600" s="2">
        <f ca="1"/>
        <v>0.77825132178508372</v>
      </c>
      <c r="AH8600" s="2" t="str">
        <f ca="1"/>
        <v>Bad</v>
      </c>
    </row>
    <row r="8601" spans="2:34" x14ac:dyDescent="0.2">
      <c r="B8601" s="2">
        <f ca="1"/>
        <v>0.53862386822773156</v>
      </c>
      <c r="O8601" s="2">
        <f ca="1"/>
        <v>-0.43946733785551589</v>
      </c>
      <c r="X8601" s="2">
        <f ca="1"/>
        <v>37.333816598511781</v>
      </c>
      <c r="AG8601" s="2">
        <f ca="1"/>
        <v>0.70932756166945254</v>
      </c>
      <c r="AH8601" s="2" t="str">
        <f ca="1"/>
        <v>Bad</v>
      </c>
    </row>
    <row r="8602" spans="2:34" x14ac:dyDescent="0.2">
      <c r="B8602" s="2">
        <f ca="1"/>
        <v>0.12659349233503714</v>
      </c>
      <c r="O8602" s="2">
        <f ca="1"/>
        <v>0.42530628132901444</v>
      </c>
      <c r="X8602" s="2">
        <f ca="1"/>
        <v>43.253684607155385</v>
      </c>
      <c r="AG8602" s="2">
        <f ca="1"/>
        <v>0.69446512437248731</v>
      </c>
      <c r="AH8602" s="2" t="str">
        <f ca="1"/>
        <v>Bad</v>
      </c>
    </row>
    <row r="8603" spans="2:34" x14ac:dyDescent="0.2">
      <c r="B8603" s="2">
        <f ca="1"/>
        <v>0.28178606333285328</v>
      </c>
      <c r="O8603" s="2">
        <f ca="1"/>
        <v>1.1272339989586051</v>
      </c>
      <c r="X8603" s="2">
        <f ca="1"/>
        <v>85.446741585389134</v>
      </c>
      <c r="AG8603" s="2">
        <f ca="1"/>
        <v>0.53996716321356364</v>
      </c>
      <c r="AH8603" s="2" t="str">
        <f ca="1"/>
        <v>Bad</v>
      </c>
    </row>
    <row r="8604" spans="2:34" x14ac:dyDescent="0.2">
      <c r="B8604" s="2">
        <f ca="1"/>
        <v>7.8223438203829154E-2</v>
      </c>
      <c r="O8604" s="2">
        <f ca="1"/>
        <v>-0.35162508883752253</v>
      </c>
      <c r="X8604" s="2">
        <f ca="1"/>
        <v>69.615785963132794</v>
      </c>
      <c r="AG8604" s="2">
        <f ca="1"/>
        <v>0.1162009656455687</v>
      </c>
      <c r="AH8604" s="2" t="str">
        <f ca="1"/>
        <v>OK</v>
      </c>
    </row>
    <row r="8605" spans="2:34" x14ac:dyDescent="0.2">
      <c r="B8605" s="2">
        <f ca="1"/>
        <v>7.0254097298909857E-2</v>
      </c>
      <c r="O8605" s="2">
        <f ca="1"/>
        <v>-1.222835359753456</v>
      </c>
      <c r="X8605" s="2">
        <f ca="1"/>
        <v>26.638324075782439</v>
      </c>
      <c r="AG8605" s="2">
        <f ca="1"/>
        <v>0.78138449052006331</v>
      </c>
      <c r="AH8605" s="2" t="str">
        <f ca="1"/>
        <v>Bad</v>
      </c>
    </row>
    <row r="8606" spans="2:34" x14ac:dyDescent="0.2">
      <c r="B8606" s="2">
        <f ca="1"/>
        <v>0.98323469970675514</v>
      </c>
      <c r="O8606" s="2">
        <f ca="1"/>
        <v>0.5476610494501486</v>
      </c>
      <c r="X8606" s="2">
        <f ca="1"/>
        <v>75.77892361601117</v>
      </c>
      <c r="AG8606" s="2">
        <f ca="1"/>
        <v>0.74747967967882634</v>
      </c>
      <c r="AH8606" s="2" t="str">
        <f ca="1"/>
        <v>Bad</v>
      </c>
    </row>
    <row r="8607" spans="2:34" x14ac:dyDescent="0.2">
      <c r="B8607" s="2">
        <f ca="1"/>
        <v>0.2153312999171233</v>
      </c>
      <c r="O8607" s="2">
        <f ca="1"/>
        <v>-0.71654677683709089</v>
      </c>
      <c r="X8607" s="2">
        <f ca="1"/>
        <v>45.370179546943973</v>
      </c>
      <c r="AG8607" s="2">
        <f ca="1"/>
        <v>0.40849626302427233</v>
      </c>
      <c r="AH8607" s="2" t="str">
        <f ca="1"/>
        <v>Bad</v>
      </c>
    </row>
    <row r="8608" spans="2:34" x14ac:dyDescent="0.2">
      <c r="B8608" s="2">
        <f ca="1"/>
        <v>0.82117379441507099</v>
      </c>
      <c r="O8608" s="2">
        <f ca="1"/>
        <v>-0.74863974804858513</v>
      </c>
      <c r="X8608" s="2">
        <f ca="1"/>
        <v>77.12757585063413</v>
      </c>
      <c r="AG8608" s="2">
        <f ca="1"/>
        <v>0.18958341464123674</v>
      </c>
      <c r="AH8608" s="2" t="str">
        <f ca="1"/>
        <v>OK</v>
      </c>
    </row>
    <row r="8609" spans="2:34" x14ac:dyDescent="0.2">
      <c r="B8609" s="2">
        <f ca="1"/>
        <v>0.38525940334270969</v>
      </c>
      <c r="O8609" s="2">
        <f ca="1"/>
        <v>0.80879442058779505</v>
      </c>
      <c r="X8609" s="2">
        <f ca="1"/>
        <v>25.651627368336708</v>
      </c>
      <c r="AG8609" s="2">
        <f ca="1"/>
        <v>0.63707237432354624</v>
      </c>
      <c r="AH8609" s="2" t="str">
        <f ca="1"/>
        <v>Bad</v>
      </c>
    </row>
    <row r="8610" spans="2:34" x14ac:dyDescent="0.2">
      <c r="B8610" s="2">
        <f ca="1"/>
        <v>3.8784347009996223E-2</v>
      </c>
      <c r="O8610" s="2">
        <f ca="1"/>
        <v>-0.33947986174899575</v>
      </c>
      <c r="X8610" s="2">
        <f ca="1"/>
        <v>56.723357415823806</v>
      </c>
      <c r="AG8610" s="2">
        <f ca="1"/>
        <v>0.2622908614191255</v>
      </c>
      <c r="AH8610" s="2" t="str">
        <f ca="1"/>
        <v>OK</v>
      </c>
    </row>
    <row r="8611" spans="2:34" x14ac:dyDescent="0.2">
      <c r="B8611" s="2">
        <f ca="1"/>
        <v>0.24809026522023148</v>
      </c>
      <c r="O8611" s="2">
        <f ca="1"/>
        <v>0.11936131502270098</v>
      </c>
      <c r="X8611" s="2">
        <f ca="1"/>
        <v>40.608395061854111</v>
      </c>
      <c r="AG8611" s="2">
        <f ca="1"/>
        <v>0.4920566423775552</v>
      </c>
      <c r="AH8611" s="2" t="str">
        <f ca="1"/>
        <v>Bad</v>
      </c>
    </row>
    <row r="8612" spans="2:34" x14ac:dyDescent="0.2">
      <c r="B8612" s="2">
        <f ca="1"/>
        <v>0.4295275687101523</v>
      </c>
      <c r="O8612" s="2">
        <f ca="1"/>
        <v>-0.52607902188324429</v>
      </c>
      <c r="X8612" s="2">
        <f ca="1"/>
        <v>49.954502784416022</v>
      </c>
      <c r="AG8612" s="2">
        <f ca="1"/>
        <v>0.46416684326045954</v>
      </c>
      <c r="AH8612" s="2" t="str">
        <f ca="1"/>
        <v>Bad</v>
      </c>
    </row>
    <row r="8613" spans="2:34" x14ac:dyDescent="0.2">
      <c r="B8613" s="2">
        <f ca="1"/>
        <v>0.23993920734883489</v>
      </c>
      <c r="O8613" s="2">
        <f ca="1"/>
        <v>-0.92779142297870498</v>
      </c>
      <c r="X8613" s="2">
        <f ca="1"/>
        <v>33.548481898527839</v>
      </c>
      <c r="AG8613" s="2">
        <f ca="1"/>
        <v>0.10392960080701608</v>
      </c>
      <c r="AH8613" s="2" t="str">
        <f ca="1"/>
        <v>OK</v>
      </c>
    </row>
    <row r="8614" spans="2:34" x14ac:dyDescent="0.2">
      <c r="B8614" s="2">
        <f ca="1"/>
        <v>0.10639986219808395</v>
      </c>
      <c r="O8614" s="2">
        <f ca="1"/>
        <v>-0.19357357570503614</v>
      </c>
      <c r="X8614" s="2">
        <f ca="1"/>
        <v>59.708538497143948</v>
      </c>
      <c r="AG8614" s="2">
        <f ca="1"/>
        <v>0.37078613446768593</v>
      </c>
      <c r="AH8614" s="2" t="str">
        <f ca="1"/>
        <v>OK</v>
      </c>
    </row>
    <row r="8615" spans="2:34" x14ac:dyDescent="0.2">
      <c r="B8615" s="2">
        <f ca="1"/>
        <v>0.84905223297293619</v>
      </c>
      <c r="O8615" s="2">
        <f ca="1"/>
        <v>-0.22147528956580673</v>
      </c>
      <c r="X8615" s="2">
        <f ca="1"/>
        <v>34.260441151230509</v>
      </c>
      <c r="AG8615" s="2">
        <f ca="1"/>
        <v>0.22548563674515298</v>
      </c>
      <c r="AH8615" s="2" t="str">
        <f ca="1"/>
        <v>OK</v>
      </c>
    </row>
    <row r="8616" spans="2:34" x14ac:dyDescent="0.2">
      <c r="B8616" s="2">
        <f ca="1"/>
        <v>0.42522591762677076</v>
      </c>
      <c r="O8616" s="2">
        <f ca="1"/>
        <v>-1.5949007892253335</v>
      </c>
      <c r="X8616" s="2">
        <f ca="1"/>
        <v>41.620481821234662</v>
      </c>
      <c r="AG8616" s="2">
        <f ca="1"/>
        <v>0.74565847985527922</v>
      </c>
      <c r="AH8616" s="2" t="str">
        <f ca="1"/>
        <v>Bad</v>
      </c>
    </row>
    <row r="8617" spans="2:34" x14ac:dyDescent="0.2">
      <c r="B8617" s="2">
        <f ca="1"/>
        <v>0.90529810659001297</v>
      </c>
      <c r="O8617" s="2">
        <f ca="1"/>
        <v>-0.88859862253233413</v>
      </c>
      <c r="X8617" s="2">
        <f ca="1"/>
        <v>32.472539626469093</v>
      </c>
      <c r="AG8617" s="2">
        <f ca="1"/>
        <v>0.74217871953472869</v>
      </c>
      <c r="AH8617" s="2" t="str">
        <f ca="1"/>
        <v>Bad</v>
      </c>
    </row>
    <row r="8618" spans="2:34" x14ac:dyDescent="0.2">
      <c r="B8618" s="2">
        <f ca="1"/>
        <v>0.12920768191485221</v>
      </c>
      <c r="O8618" s="2">
        <f ca="1"/>
        <v>-1.3761141645364927</v>
      </c>
      <c r="X8618" s="2">
        <f ca="1"/>
        <v>55.532311687624215</v>
      </c>
      <c r="AG8618" s="2">
        <f ca="1"/>
        <v>0.15263342836750149</v>
      </c>
      <c r="AH8618" s="2" t="str">
        <f ca="1"/>
        <v>OK</v>
      </c>
    </row>
    <row r="8619" spans="2:34" x14ac:dyDescent="0.2">
      <c r="B8619" s="2">
        <f ca="1"/>
        <v>0.23935833277523422</v>
      </c>
      <c r="O8619" s="2">
        <f ca="1"/>
        <v>-1.2932414660319067</v>
      </c>
      <c r="X8619" s="2">
        <f ca="1"/>
        <v>42.031903148883316</v>
      </c>
      <c r="AG8619" s="2">
        <f ca="1"/>
        <v>0.97106935347695833</v>
      </c>
      <c r="AH8619" s="2" t="str">
        <f ca="1"/>
        <v>Bad</v>
      </c>
    </row>
    <row r="8620" spans="2:34" x14ac:dyDescent="0.2">
      <c r="B8620" s="2">
        <f ca="1"/>
        <v>0.70940529668128516</v>
      </c>
      <c r="O8620" s="2">
        <f ca="1"/>
        <v>-0.40696848618897197</v>
      </c>
      <c r="X8620" s="2">
        <f ca="1"/>
        <v>69.285650909247749</v>
      </c>
      <c r="AG8620" s="2">
        <f ca="1"/>
        <v>0.9257928130038795</v>
      </c>
      <c r="AH8620" s="2" t="str">
        <f ca="1"/>
        <v>Bad</v>
      </c>
    </row>
    <row r="8621" spans="2:34" x14ac:dyDescent="0.2">
      <c r="B8621" s="2">
        <f ca="1"/>
        <v>0.35258333322401625</v>
      </c>
      <c r="O8621" s="2">
        <f ca="1"/>
        <v>-1.2882592922885847</v>
      </c>
      <c r="X8621" s="2">
        <f ca="1"/>
        <v>30.973229492555646</v>
      </c>
      <c r="AG8621" s="2">
        <f ca="1"/>
        <v>0.22313852073529739</v>
      </c>
      <c r="AH8621" s="2" t="str">
        <f ca="1"/>
        <v>OK</v>
      </c>
    </row>
    <row r="8622" spans="2:34" x14ac:dyDescent="0.2">
      <c r="B8622" s="2">
        <f ca="1"/>
        <v>0.84490627357590165</v>
      </c>
      <c r="O8622" s="2">
        <f ca="1"/>
        <v>-0.64571305114175004</v>
      </c>
      <c r="X8622" s="2">
        <f ca="1"/>
        <v>50.5585842836729</v>
      </c>
      <c r="AG8622" s="2">
        <f ca="1"/>
        <v>0.8342199390261964</v>
      </c>
      <c r="AH8622" s="2" t="str">
        <f ca="1"/>
        <v>Bad</v>
      </c>
    </row>
    <row r="8623" spans="2:34" x14ac:dyDescent="0.2">
      <c r="B8623" s="2">
        <f ca="1"/>
        <v>0.86608428330975928</v>
      </c>
      <c r="O8623" s="2">
        <f ca="1"/>
        <v>0.37497607976625952</v>
      </c>
      <c r="X8623" s="2">
        <f ca="1"/>
        <v>42.10832839410272</v>
      </c>
      <c r="AG8623" s="2">
        <f ca="1"/>
        <v>0.45690832928738323</v>
      </c>
      <c r="AH8623" s="2" t="str">
        <f ca="1"/>
        <v>Bad</v>
      </c>
    </row>
    <row r="8624" spans="2:34" x14ac:dyDescent="0.2">
      <c r="B8624" s="2">
        <f ca="1"/>
        <v>0.99915265552880062</v>
      </c>
      <c r="O8624" s="2">
        <f ca="1"/>
        <v>-2.2322335767016521</v>
      </c>
      <c r="X8624" s="2">
        <f ca="1"/>
        <v>62.514010831912827</v>
      </c>
      <c r="AG8624" s="2">
        <f ca="1"/>
        <v>0.73253415083321394</v>
      </c>
      <c r="AH8624" s="2" t="str">
        <f ca="1"/>
        <v>Bad</v>
      </c>
    </row>
    <row r="8625" spans="2:34" x14ac:dyDescent="0.2">
      <c r="B8625" s="2">
        <f ca="1"/>
        <v>0.72595335598979571</v>
      </c>
      <c r="O8625" s="2">
        <f ca="1"/>
        <v>-1.6880310668139411</v>
      </c>
      <c r="X8625" s="2">
        <f ca="1"/>
        <v>36.263147480212943</v>
      </c>
      <c r="AG8625" s="2">
        <f ca="1"/>
        <v>0.57893413052032416</v>
      </c>
      <c r="AH8625" s="2" t="str">
        <f ca="1"/>
        <v>Bad</v>
      </c>
    </row>
    <row r="8626" spans="2:34" x14ac:dyDescent="0.2">
      <c r="B8626" s="2">
        <f ca="1"/>
        <v>0.85354130646654158</v>
      </c>
      <c r="O8626" s="2">
        <f ca="1"/>
        <v>1.2810187630674541</v>
      </c>
      <c r="X8626" s="2">
        <f ca="1"/>
        <v>42.509047307669661</v>
      </c>
      <c r="AG8626" s="2">
        <f ca="1"/>
        <v>0.11268837448853342</v>
      </c>
      <c r="AH8626" s="2" t="str">
        <f ca="1"/>
        <v>OK</v>
      </c>
    </row>
    <row r="8627" spans="2:34" x14ac:dyDescent="0.2">
      <c r="B8627" s="2">
        <f ca="1"/>
        <v>0.68872741338882193</v>
      </c>
      <c r="O8627" s="2">
        <f ca="1"/>
        <v>-0.51074882825489076</v>
      </c>
      <c r="X8627" s="2">
        <f ca="1"/>
        <v>68.382635660809143</v>
      </c>
      <c r="AG8627" s="2">
        <f ca="1"/>
        <v>0.26881623638566476</v>
      </c>
      <c r="AH8627" s="2" t="str">
        <f ca="1"/>
        <v>OK</v>
      </c>
    </row>
    <row r="8628" spans="2:34" x14ac:dyDescent="0.2">
      <c r="B8628" s="2">
        <f ca="1"/>
        <v>0.1252152966938429</v>
      </c>
      <c r="O8628" s="2">
        <f ca="1"/>
        <v>-8.4370925191802892E-2</v>
      </c>
      <c r="X8628" s="2">
        <f ca="1"/>
        <v>24.283065275638862</v>
      </c>
      <c r="AG8628" s="2">
        <f ca="1"/>
        <v>0.1478429067839897</v>
      </c>
      <c r="AH8628" s="2" t="str">
        <f ca="1"/>
        <v>OK</v>
      </c>
    </row>
    <row r="8629" spans="2:34" x14ac:dyDescent="0.2">
      <c r="B8629" s="2">
        <f ca="1"/>
        <v>2.9423277749947685E-2</v>
      </c>
      <c r="O8629" s="2">
        <f ca="1"/>
        <v>-1.9028755656728948</v>
      </c>
      <c r="X8629" s="2">
        <f ca="1"/>
        <v>21.095624442879842</v>
      </c>
      <c r="AG8629" s="2">
        <f ca="1"/>
        <v>0.9877008487970238</v>
      </c>
      <c r="AH8629" s="2" t="str">
        <f ca="1"/>
        <v>Bad</v>
      </c>
    </row>
    <row r="8630" spans="2:34" x14ac:dyDescent="0.2">
      <c r="B8630" s="2">
        <f ca="1"/>
        <v>0.72112706560321649</v>
      </c>
      <c r="O8630" s="2">
        <f ca="1"/>
        <v>0.63688862325338824</v>
      </c>
      <c r="X8630" s="2">
        <f ca="1"/>
        <v>29.544128270690177</v>
      </c>
      <c r="AG8630" s="2">
        <f ca="1"/>
        <v>0.6493381951533137</v>
      </c>
      <c r="AH8630" s="2" t="str">
        <f ca="1"/>
        <v>Bad</v>
      </c>
    </row>
    <row r="8631" spans="2:34" x14ac:dyDescent="0.2">
      <c r="B8631" s="2">
        <f ca="1"/>
        <v>0.23892291949400124</v>
      </c>
      <c r="O8631" s="2">
        <f ca="1"/>
        <v>0.98069244147753343</v>
      </c>
      <c r="X8631" s="2">
        <f ca="1"/>
        <v>50.830379099992619</v>
      </c>
      <c r="AG8631" s="2">
        <f ca="1"/>
        <v>0.10150564252840732</v>
      </c>
      <c r="AH8631" s="2" t="str">
        <f ca="1"/>
        <v>OK</v>
      </c>
    </row>
    <row r="8632" spans="2:34" x14ac:dyDescent="0.2">
      <c r="B8632" s="2">
        <f ca="1"/>
        <v>0.27864984090084532</v>
      </c>
      <c r="O8632" s="2">
        <f ca="1"/>
        <v>5.7400820856001254E-2</v>
      </c>
      <c r="X8632" s="2">
        <f ca="1"/>
        <v>25.482548724576315</v>
      </c>
      <c r="AG8632" s="2">
        <f ca="1"/>
        <v>0.42304096307340155</v>
      </c>
      <c r="AH8632" s="2" t="str">
        <f ca="1"/>
        <v>Bad</v>
      </c>
    </row>
    <row r="8633" spans="2:34" x14ac:dyDescent="0.2">
      <c r="B8633" s="2">
        <f ca="1"/>
        <v>0.82526588790129751</v>
      </c>
      <c r="O8633" s="2">
        <f ca="1"/>
        <v>-1.4355110260883091</v>
      </c>
      <c r="X8633" s="2">
        <f ca="1"/>
        <v>78.08018010263082</v>
      </c>
      <c r="AG8633" s="2">
        <f ca="1"/>
        <v>0.49611645967628326</v>
      </c>
      <c r="AH8633" s="2" t="str">
        <f ca="1"/>
        <v>Bad</v>
      </c>
    </row>
    <row r="8634" spans="2:34" x14ac:dyDescent="0.2">
      <c r="B8634" s="2">
        <f ca="1"/>
        <v>0.70626001027897334</v>
      </c>
      <c r="O8634" s="2">
        <f ca="1"/>
        <v>-2.2541775789085092E-2</v>
      </c>
      <c r="X8634" s="2">
        <f ca="1"/>
        <v>62.951009360369206</v>
      </c>
      <c r="AG8634" s="2">
        <f ca="1"/>
        <v>0.9305290947050211</v>
      </c>
      <c r="AH8634" s="2" t="str">
        <f ca="1"/>
        <v>Bad</v>
      </c>
    </row>
    <row r="8635" spans="2:34" x14ac:dyDescent="0.2">
      <c r="B8635" s="2">
        <f ca="1"/>
        <v>0.33158971069523124</v>
      </c>
      <c r="O8635" s="2">
        <f ca="1"/>
        <v>-4.9563326706622737E-2</v>
      </c>
      <c r="X8635" s="2">
        <f ca="1"/>
        <v>50.881496484679261</v>
      </c>
      <c r="AG8635" s="2">
        <f ca="1"/>
        <v>1.3554357581625265E-2</v>
      </c>
      <c r="AH8635" s="2" t="str">
        <f ca="1"/>
        <v>Good</v>
      </c>
    </row>
    <row r="8636" spans="2:34" x14ac:dyDescent="0.2">
      <c r="B8636" s="2">
        <f ca="1"/>
        <v>0.59984602670456622</v>
      </c>
      <c r="O8636" s="2">
        <f ca="1"/>
        <v>1.1112114999157319</v>
      </c>
      <c r="X8636" s="2">
        <f ca="1"/>
        <v>38.995600144146188</v>
      </c>
      <c r="AG8636" s="2">
        <f ca="1"/>
        <v>0.72943715901199635</v>
      </c>
      <c r="AH8636" s="2" t="str">
        <f ca="1"/>
        <v>Bad</v>
      </c>
    </row>
    <row r="8637" spans="2:34" x14ac:dyDescent="0.2">
      <c r="B8637" s="2">
        <f ca="1"/>
        <v>0.84333270194163057</v>
      </c>
      <c r="O8637" s="2">
        <f ca="1"/>
        <v>0.22102555197807239</v>
      </c>
      <c r="X8637" s="2">
        <f ca="1"/>
        <v>28.988598176118529</v>
      </c>
      <c r="AG8637" s="2">
        <f ca="1"/>
        <v>0.54990394413063215</v>
      </c>
      <c r="AH8637" s="2" t="str">
        <f ca="1"/>
        <v>Bad</v>
      </c>
    </row>
    <row r="8638" spans="2:34" x14ac:dyDescent="0.2">
      <c r="B8638" s="2">
        <f ca="1"/>
        <v>0.41209549868625706</v>
      </c>
      <c r="O8638" s="2">
        <f ca="1"/>
        <v>0.34451398199070371</v>
      </c>
      <c r="X8638" s="2">
        <f ca="1"/>
        <v>41.022924427056324</v>
      </c>
      <c r="AG8638" s="2">
        <f ca="1"/>
        <v>0.58408792205994819</v>
      </c>
      <c r="AH8638" s="2" t="str">
        <f ca="1"/>
        <v>Bad</v>
      </c>
    </row>
    <row r="8639" spans="2:34" x14ac:dyDescent="0.2">
      <c r="B8639" s="2">
        <f ca="1"/>
        <v>0.45593779192658612</v>
      </c>
      <c r="O8639" s="2">
        <f ca="1"/>
        <v>0.69652408879503336</v>
      </c>
      <c r="X8639" s="2">
        <f ca="1"/>
        <v>63.450762289337362</v>
      </c>
      <c r="AG8639" s="2">
        <f ca="1"/>
        <v>0.45607251786280645</v>
      </c>
      <c r="AH8639" s="2" t="str">
        <f ca="1"/>
        <v>Bad</v>
      </c>
    </row>
    <row r="8640" spans="2:34" x14ac:dyDescent="0.2">
      <c r="B8640" s="2">
        <f ca="1"/>
        <v>0.14143232948073581</v>
      </c>
      <c r="O8640" s="2">
        <f ca="1"/>
        <v>-0.92279090047275614</v>
      </c>
      <c r="X8640" s="2">
        <f ca="1"/>
        <v>28.893839322625606</v>
      </c>
      <c r="AG8640" s="2">
        <f ca="1"/>
        <v>0.65063642310205094</v>
      </c>
      <c r="AH8640" s="2" t="str">
        <f ca="1"/>
        <v>Bad</v>
      </c>
    </row>
    <row r="8641" spans="2:34" x14ac:dyDescent="0.2">
      <c r="B8641" s="2">
        <f ca="1"/>
        <v>3.0566148138765126E-2</v>
      </c>
      <c r="O8641" s="2">
        <f ca="1"/>
        <v>0.18120500461321462</v>
      </c>
      <c r="X8641" s="2">
        <f ca="1"/>
        <v>33.54428072068292</v>
      </c>
      <c r="AG8641" s="2">
        <f ca="1"/>
        <v>0.85539745463087824</v>
      </c>
      <c r="AH8641" s="2" t="str">
        <f ca="1"/>
        <v>Bad</v>
      </c>
    </row>
    <row r="8642" spans="2:34" x14ac:dyDescent="0.2">
      <c r="B8642" s="2">
        <f ca="1"/>
        <v>0.82201465354994774</v>
      </c>
      <c r="O8642" s="2">
        <f ca="1"/>
        <v>-1.7245078722966281</v>
      </c>
      <c r="X8642" s="2">
        <f ca="1"/>
        <v>39.117465189890311</v>
      </c>
      <c r="AG8642" s="2">
        <f ca="1"/>
        <v>0.12883517007647627</v>
      </c>
      <c r="AH8642" s="2" t="str">
        <f ca="1"/>
        <v>OK</v>
      </c>
    </row>
    <row r="8643" spans="2:34" x14ac:dyDescent="0.2">
      <c r="B8643" s="2">
        <f ca="1"/>
        <v>0.57643332597864561</v>
      </c>
      <c r="O8643" s="2">
        <f ca="1"/>
        <v>-1.7622983111902695</v>
      </c>
      <c r="X8643" s="2">
        <f ca="1"/>
        <v>44.110190936955938</v>
      </c>
      <c r="AG8643" s="2">
        <f ca="1"/>
        <v>0.71132172425593732</v>
      </c>
      <c r="AH8643" s="2" t="str">
        <f ca="1"/>
        <v>Bad</v>
      </c>
    </row>
    <row r="8644" spans="2:34" x14ac:dyDescent="0.2">
      <c r="B8644" s="2">
        <f ca="1"/>
        <v>0.66234465597132841</v>
      </c>
      <c r="O8644" s="2">
        <f ca="1"/>
        <v>2.327442466604539</v>
      </c>
      <c r="X8644" s="2">
        <f ca="1"/>
        <v>58.336986562403595</v>
      </c>
      <c r="AG8644" s="2">
        <f ca="1"/>
        <v>0.86864154390572645</v>
      </c>
      <c r="AH8644" s="2" t="str">
        <f ca="1"/>
        <v>Bad</v>
      </c>
    </row>
    <row r="8645" spans="2:34" x14ac:dyDescent="0.2">
      <c r="B8645" s="2">
        <f ca="1"/>
        <v>0.381863719898478</v>
      </c>
      <c r="O8645" s="2">
        <f ca="1"/>
        <v>0.81829856474394536</v>
      </c>
      <c r="X8645" s="2">
        <f ca="1"/>
        <v>27.358856472086586</v>
      </c>
      <c r="AG8645" s="2">
        <f ca="1"/>
        <v>0.6996665582886803</v>
      </c>
      <c r="AH8645" s="2" t="str">
        <f ca="1"/>
        <v>Bad</v>
      </c>
    </row>
    <row r="8646" spans="2:34" x14ac:dyDescent="0.2">
      <c r="B8646" s="2">
        <f ca="1"/>
        <v>0.2689877125434379</v>
      </c>
      <c r="O8646" s="2">
        <f ca="1"/>
        <v>-0.1514490256097635</v>
      </c>
      <c r="X8646" s="2">
        <f ca="1"/>
        <v>34.279205966626712</v>
      </c>
      <c r="AG8646" s="2">
        <f ca="1"/>
        <v>0.94311160511502834</v>
      </c>
      <c r="AH8646" s="2" t="str">
        <f ca="1"/>
        <v>Bad</v>
      </c>
    </row>
    <row r="8647" spans="2:34" x14ac:dyDescent="0.2">
      <c r="B8647" s="2">
        <f ca="1"/>
        <v>0.99727201327903359</v>
      </c>
      <c r="O8647" s="2">
        <f ca="1"/>
        <v>9.2850854493285187E-2</v>
      </c>
      <c r="X8647" s="2">
        <f ca="1"/>
        <v>35.902344274371565</v>
      </c>
      <c r="AG8647" s="2">
        <f ca="1"/>
        <v>0.63195552021848767</v>
      </c>
      <c r="AH8647" s="2" t="str">
        <f ca="1"/>
        <v>Bad</v>
      </c>
    </row>
    <row r="8648" spans="2:34" x14ac:dyDescent="0.2">
      <c r="B8648" s="2">
        <f ca="1"/>
        <v>0.78014720008680616</v>
      </c>
      <c r="O8648" s="2">
        <f ca="1"/>
        <v>-0.73843752028586795</v>
      </c>
      <c r="X8648" s="2">
        <f ca="1"/>
        <v>30.807582066922187</v>
      </c>
      <c r="AG8648" s="2">
        <f ca="1"/>
        <v>0.27005409383985834</v>
      </c>
      <c r="AH8648" s="2" t="str">
        <f ca="1"/>
        <v>OK</v>
      </c>
    </row>
    <row r="8649" spans="2:34" x14ac:dyDescent="0.2">
      <c r="B8649" s="2">
        <f ca="1"/>
        <v>2.0438138389267113E-2</v>
      </c>
      <c r="O8649" s="2">
        <f ca="1"/>
        <v>-1.0339394922128049</v>
      </c>
      <c r="X8649" s="2">
        <f ca="1"/>
        <v>21.880985213044028</v>
      </c>
      <c r="AG8649" s="2">
        <f ca="1"/>
        <v>0.23028052974013935</v>
      </c>
      <c r="AH8649" s="2" t="str">
        <f ca="1"/>
        <v>OK</v>
      </c>
    </row>
    <row r="8650" spans="2:34" x14ac:dyDescent="0.2">
      <c r="B8650" s="2">
        <f ca="1"/>
        <v>0.16320475850458882</v>
      </c>
      <c r="O8650" s="2">
        <f ca="1"/>
        <v>1.1231908037707738</v>
      </c>
      <c r="X8650" s="2">
        <f ca="1"/>
        <v>36.163520792674532</v>
      </c>
      <c r="AG8650" s="2">
        <f ca="1"/>
        <v>0.53052099690120702</v>
      </c>
      <c r="AH8650" s="2" t="str">
        <f ca="1"/>
        <v>Bad</v>
      </c>
    </row>
    <row r="8651" spans="2:34" x14ac:dyDescent="0.2">
      <c r="B8651" s="2">
        <f ca="1"/>
        <v>0.76510156747440239</v>
      </c>
      <c r="O8651" s="2">
        <f ca="1"/>
        <v>2.2806238396559531</v>
      </c>
      <c r="X8651" s="2">
        <f ca="1"/>
        <v>67.782221019390036</v>
      </c>
      <c r="AG8651" s="2">
        <f ca="1"/>
        <v>0.77274142185684802</v>
      </c>
      <c r="AH8651" s="2" t="str">
        <f ca="1"/>
        <v>Bad</v>
      </c>
    </row>
    <row r="8652" spans="2:34" x14ac:dyDescent="0.2">
      <c r="B8652" s="2">
        <f ca="1"/>
        <v>0.16798408773448048</v>
      </c>
      <c r="O8652" s="2">
        <f ca="1"/>
        <v>-0.62106570179938136</v>
      </c>
      <c r="X8652" s="2">
        <f ca="1"/>
        <v>33.119954090717542</v>
      </c>
      <c r="AG8652" s="2">
        <f ca="1"/>
        <v>5.6503563656890687E-2</v>
      </c>
      <c r="AH8652" s="2" t="str">
        <f ca="1"/>
        <v>OK</v>
      </c>
    </row>
    <row r="8653" spans="2:34" x14ac:dyDescent="0.2">
      <c r="B8653" s="2">
        <f ca="1"/>
        <v>0.11387432794562091</v>
      </c>
      <c r="O8653" s="2">
        <f ca="1"/>
        <v>-1.4482169407616399</v>
      </c>
      <c r="X8653" s="2">
        <f ca="1"/>
        <v>54.830500719713832</v>
      </c>
      <c r="AG8653" s="2">
        <f ca="1"/>
        <v>0.70606086534618151</v>
      </c>
      <c r="AH8653" s="2" t="str">
        <f ca="1"/>
        <v>Bad</v>
      </c>
    </row>
    <row r="8654" spans="2:34" x14ac:dyDescent="0.2">
      <c r="B8654" s="2">
        <f ca="1"/>
        <v>0.76697770162156065</v>
      </c>
      <c r="O8654" s="2">
        <f ca="1"/>
        <v>-0.43832789633810182</v>
      </c>
      <c r="X8654" s="2">
        <f ca="1"/>
        <v>42.136336300392699</v>
      </c>
      <c r="AG8654" s="2">
        <f ca="1"/>
        <v>0.4112951855636402</v>
      </c>
      <c r="AH8654" s="2" t="str">
        <f ca="1"/>
        <v>Bad</v>
      </c>
    </row>
    <row r="8655" spans="2:34" x14ac:dyDescent="0.2">
      <c r="B8655" s="2">
        <f ca="1"/>
        <v>0.87687036932988693</v>
      </c>
      <c r="O8655" s="2">
        <f ca="1"/>
        <v>0.90856143942803225</v>
      </c>
      <c r="X8655" s="2">
        <f ca="1"/>
        <v>32.715165410270977</v>
      </c>
      <c r="AG8655" s="2">
        <f ca="1"/>
        <v>0.33547482151068841</v>
      </c>
      <c r="AH8655" s="2" t="str">
        <f ca="1"/>
        <v>OK</v>
      </c>
    </row>
    <row r="8656" spans="2:34" x14ac:dyDescent="0.2">
      <c r="B8656" s="2">
        <f ca="1"/>
        <v>0.67985826479763189</v>
      </c>
      <c r="O8656" s="2">
        <f ca="1"/>
        <v>1.3405174334979806</v>
      </c>
      <c r="X8656" s="2">
        <f ca="1"/>
        <v>54.550484403383869</v>
      </c>
      <c r="AG8656" s="2">
        <f ca="1"/>
        <v>0.66111879720548439</v>
      </c>
      <c r="AH8656" s="2" t="str">
        <f ca="1"/>
        <v>Bad</v>
      </c>
    </row>
    <row r="8657" spans="2:34" x14ac:dyDescent="0.2">
      <c r="B8657" s="2">
        <f ca="1"/>
        <v>0.77390308825835818</v>
      </c>
      <c r="O8657" s="2">
        <f ca="1"/>
        <v>-0.78869464740440687</v>
      </c>
      <c r="X8657" s="2">
        <f ca="1"/>
        <v>36.768644043868932</v>
      </c>
      <c r="AG8657" s="2">
        <f ca="1"/>
        <v>0.20574074954066135</v>
      </c>
      <c r="AH8657" s="2" t="str">
        <f ca="1"/>
        <v>OK</v>
      </c>
    </row>
    <row r="8658" spans="2:34" x14ac:dyDescent="0.2">
      <c r="B8658" s="2">
        <f ca="1"/>
        <v>0.54007360429831364</v>
      </c>
      <c r="O8658" s="2">
        <f ca="1"/>
        <v>1.0212193357302661</v>
      </c>
      <c r="X8658" s="2">
        <f ca="1"/>
        <v>47.598801992051705</v>
      </c>
      <c r="AG8658" s="2">
        <f ca="1"/>
        <v>0.2157421298642348</v>
      </c>
      <c r="AH8658" s="2" t="str">
        <f ca="1"/>
        <v>OK</v>
      </c>
    </row>
    <row r="8659" spans="2:34" x14ac:dyDescent="0.2">
      <c r="B8659" s="2">
        <f ca="1"/>
        <v>0.470012899175001</v>
      </c>
      <c r="O8659" s="2">
        <f ca="1"/>
        <v>-2.4611700011470576</v>
      </c>
      <c r="X8659" s="2">
        <f ca="1"/>
        <v>66.353682351914415</v>
      </c>
      <c r="AG8659" s="2">
        <f ca="1"/>
        <v>0.53394639262336296</v>
      </c>
      <c r="AH8659" s="2" t="str">
        <f ca="1"/>
        <v>Bad</v>
      </c>
    </row>
    <row r="8660" spans="2:34" x14ac:dyDescent="0.2">
      <c r="B8660" s="2">
        <f ca="1"/>
        <v>0.83790821349464006</v>
      </c>
      <c r="O8660" s="2">
        <f ca="1"/>
        <v>-3.961336758371143E-3</v>
      </c>
      <c r="X8660" s="2">
        <f ca="1"/>
        <v>66.228699964212012</v>
      </c>
      <c r="AG8660" s="2">
        <f ca="1"/>
        <v>0.9663698780406127</v>
      </c>
      <c r="AH8660" s="2" t="str">
        <f ca="1"/>
        <v>Bad</v>
      </c>
    </row>
    <row r="8661" spans="2:34" x14ac:dyDescent="0.2">
      <c r="B8661" s="2">
        <f ca="1"/>
        <v>0.83457345390736992</v>
      </c>
      <c r="O8661" s="2">
        <f ca="1"/>
        <v>-1.1081213539064565</v>
      </c>
      <c r="X8661" s="2">
        <f ca="1"/>
        <v>64.26106478352736</v>
      </c>
      <c r="AG8661" s="2">
        <f ca="1"/>
        <v>0.94709185788324701</v>
      </c>
      <c r="AH8661" s="2" t="str">
        <f ca="1"/>
        <v>Bad</v>
      </c>
    </row>
    <row r="8662" spans="2:34" x14ac:dyDescent="0.2">
      <c r="B8662" s="2">
        <f ca="1"/>
        <v>0.43353248877580253</v>
      </c>
      <c r="O8662" s="2">
        <f ca="1"/>
        <v>-0.36011020135279231</v>
      </c>
      <c r="X8662" s="2">
        <f ca="1"/>
        <v>43.084112262363917</v>
      </c>
      <c r="AG8662" s="2">
        <f ca="1"/>
        <v>0.75900363782953462</v>
      </c>
      <c r="AH8662" s="2" t="str">
        <f ca="1"/>
        <v>Bad</v>
      </c>
    </row>
    <row r="8663" spans="2:34" x14ac:dyDescent="0.2">
      <c r="B8663" s="2">
        <f ca="1"/>
        <v>0.27535849776665544</v>
      </c>
      <c r="O8663" s="2">
        <f ca="1"/>
        <v>-0.74709215722565203</v>
      </c>
      <c r="X8663" s="2">
        <f ca="1"/>
        <v>56.605602537274621</v>
      </c>
      <c r="AG8663" s="2">
        <f ca="1"/>
        <v>0.44623502076939214</v>
      </c>
      <c r="AH8663" s="2" t="str">
        <f ca="1"/>
        <v>Bad</v>
      </c>
    </row>
    <row r="8664" spans="2:34" x14ac:dyDescent="0.2">
      <c r="B8664" s="2">
        <f ca="1"/>
        <v>0.90515721151710782</v>
      </c>
      <c r="O8664" s="2">
        <f ca="1"/>
        <v>-0.98471467661916534</v>
      </c>
      <c r="X8664" s="2">
        <f ca="1"/>
        <v>109.42161551679449</v>
      </c>
      <c r="AG8664" s="2">
        <f ca="1"/>
        <v>0.92619705204167579</v>
      </c>
      <c r="AH8664" s="2" t="str">
        <f ca="1"/>
        <v>Bad</v>
      </c>
    </row>
    <row r="8665" spans="2:34" x14ac:dyDescent="0.2">
      <c r="B8665" s="2">
        <f ca="1"/>
        <v>0.28371364567391932</v>
      </c>
      <c r="O8665" s="2">
        <f ca="1"/>
        <v>-2.1065943703093182</v>
      </c>
      <c r="X8665" s="2">
        <f ca="1"/>
        <v>23.041021427097618</v>
      </c>
      <c r="AG8665" s="2">
        <f ca="1"/>
        <v>0.92632925126695898</v>
      </c>
      <c r="AH8665" s="2" t="str">
        <f ca="1"/>
        <v>Bad</v>
      </c>
    </row>
    <row r="8666" spans="2:34" x14ac:dyDescent="0.2">
      <c r="B8666" s="2">
        <f ca="1"/>
        <v>0.58459087635858809</v>
      </c>
      <c r="O8666" s="2">
        <f ca="1"/>
        <v>0.39570658574361828</v>
      </c>
      <c r="X8666" s="2">
        <f ca="1"/>
        <v>58.303165779709289</v>
      </c>
      <c r="AG8666" s="2">
        <f ca="1"/>
        <v>0.67375409545274856</v>
      </c>
      <c r="AH8666" s="2" t="str">
        <f ca="1"/>
        <v>Bad</v>
      </c>
    </row>
    <row r="8667" spans="2:34" x14ac:dyDescent="0.2">
      <c r="B8667" s="2">
        <f ca="1"/>
        <v>0.96432925526536262</v>
      </c>
      <c r="O8667" s="2">
        <f ca="1"/>
        <v>0.36643756808268352</v>
      </c>
      <c r="X8667" s="2">
        <f ca="1"/>
        <v>71.675285343877249</v>
      </c>
      <c r="AG8667" s="2">
        <f ca="1"/>
        <v>0.26452334100695474</v>
      </c>
      <c r="AH8667" s="2" t="str">
        <f ca="1"/>
        <v>OK</v>
      </c>
    </row>
    <row r="8668" spans="2:34" x14ac:dyDescent="0.2">
      <c r="B8668" s="2">
        <f ca="1"/>
        <v>0.10334653014027073</v>
      </c>
      <c r="O8668" s="2">
        <f ca="1"/>
        <v>-0.50203940024577787</v>
      </c>
      <c r="X8668" s="2">
        <f ca="1"/>
        <v>39.537392581541113</v>
      </c>
      <c r="AG8668" s="2">
        <f ca="1"/>
        <v>5.3997222922675725E-2</v>
      </c>
      <c r="AH8668" s="2" t="str">
        <f ca="1"/>
        <v>OK</v>
      </c>
    </row>
    <row r="8669" spans="2:34" x14ac:dyDescent="0.2">
      <c r="B8669" s="2">
        <f ca="1"/>
        <v>0.85192573598186372</v>
      </c>
      <c r="O8669" s="2">
        <f ca="1"/>
        <v>-0.441366497568906</v>
      </c>
      <c r="X8669" s="2">
        <f ca="1"/>
        <v>53.244861900402363</v>
      </c>
      <c r="AG8669" s="2">
        <f ca="1"/>
        <v>0.5962654258511344</v>
      </c>
      <c r="AH8669" s="2" t="str">
        <f ca="1"/>
        <v>Bad</v>
      </c>
    </row>
    <row r="8670" spans="2:34" x14ac:dyDescent="0.2">
      <c r="B8670" s="2">
        <f ca="1"/>
        <v>0.50380908571196192</v>
      </c>
      <c r="O8670" s="2">
        <f ca="1"/>
        <v>1.7483284640115886</v>
      </c>
      <c r="X8670" s="2">
        <f ca="1"/>
        <v>53.162456283793333</v>
      </c>
      <c r="AG8670" s="2">
        <f ca="1"/>
        <v>0.75637050224273517</v>
      </c>
      <c r="AH8670" s="2" t="str">
        <f ca="1"/>
        <v>Bad</v>
      </c>
    </row>
    <row r="8671" spans="2:34" x14ac:dyDescent="0.2">
      <c r="B8671" s="2">
        <f ca="1"/>
        <v>0.42236844767293458</v>
      </c>
      <c r="O8671" s="2">
        <f ca="1"/>
        <v>-0.7150542210503078</v>
      </c>
      <c r="X8671" s="2">
        <f ca="1"/>
        <v>56.062354020724584</v>
      </c>
      <c r="AG8671" s="2">
        <f ca="1"/>
        <v>0.88752601561192601</v>
      </c>
      <c r="AH8671" s="2" t="str">
        <f ca="1"/>
        <v>Bad</v>
      </c>
    </row>
    <row r="8672" spans="2:34" x14ac:dyDescent="0.2">
      <c r="B8672" s="2">
        <f ca="1"/>
        <v>0.56650664376144344</v>
      </c>
      <c r="O8672" s="2">
        <f ca="1"/>
        <v>0.60888125972353335</v>
      </c>
      <c r="X8672" s="2">
        <f ca="1"/>
        <v>53.055530946938291</v>
      </c>
      <c r="AG8672" s="2">
        <f ca="1"/>
        <v>0.91492854181238736</v>
      </c>
      <c r="AH8672" s="2" t="str">
        <f ca="1"/>
        <v>Bad</v>
      </c>
    </row>
    <row r="8673" spans="2:34" x14ac:dyDescent="0.2">
      <c r="B8673" s="2">
        <f ca="1"/>
        <v>9.9150782574467744E-2</v>
      </c>
      <c r="O8673" s="2">
        <f ca="1"/>
        <v>-0.17564805933565417</v>
      </c>
      <c r="X8673" s="2">
        <f ca="1"/>
        <v>49.136244493431747</v>
      </c>
      <c r="AG8673" s="2">
        <f ca="1"/>
        <v>0.32077956490960435</v>
      </c>
      <c r="AH8673" s="2" t="str">
        <f ca="1"/>
        <v>OK</v>
      </c>
    </row>
    <row r="8674" spans="2:34" x14ac:dyDescent="0.2">
      <c r="B8674" s="2">
        <f ca="1"/>
        <v>1.5330958010180806E-2</v>
      </c>
      <c r="O8674" s="2">
        <f ca="1"/>
        <v>1.1114831428097116</v>
      </c>
      <c r="X8674" s="2">
        <f ca="1"/>
        <v>61.416190741078715</v>
      </c>
      <c r="AG8674" s="2">
        <f ca="1"/>
        <v>0.23056070977573628</v>
      </c>
      <c r="AH8674" s="2" t="str">
        <f ca="1"/>
        <v>OK</v>
      </c>
    </row>
    <row r="8675" spans="2:34" x14ac:dyDescent="0.2">
      <c r="B8675" s="2">
        <f ca="1"/>
        <v>0.82344747763805382</v>
      </c>
      <c r="O8675" s="2">
        <f ca="1"/>
        <v>-0.49099836688855625</v>
      </c>
      <c r="X8675" s="2">
        <f ca="1"/>
        <v>54.490073118198083</v>
      </c>
      <c r="AG8675" s="2">
        <f ca="1"/>
        <v>0.58287645801247923</v>
      </c>
      <c r="AH8675" s="2" t="str">
        <f ca="1"/>
        <v>Bad</v>
      </c>
    </row>
    <row r="8676" spans="2:34" x14ac:dyDescent="0.2">
      <c r="B8676" s="2">
        <f ca="1"/>
        <v>0.95012225733408817</v>
      </c>
      <c r="O8676" s="2">
        <f ca="1"/>
        <v>0.35374374136288583</v>
      </c>
      <c r="X8676" s="2">
        <f ca="1"/>
        <v>46.425151742300713</v>
      </c>
      <c r="AG8676" s="2">
        <f ca="1"/>
        <v>0.10048370200475021</v>
      </c>
      <c r="AH8676" s="2" t="str">
        <f ca="1"/>
        <v>OK</v>
      </c>
    </row>
    <row r="8677" spans="2:34" x14ac:dyDescent="0.2">
      <c r="B8677" s="2">
        <f ca="1"/>
        <v>0.98684980201706263</v>
      </c>
      <c r="O8677" s="2">
        <f ca="1"/>
        <v>-0.14296020683013574</v>
      </c>
      <c r="X8677" s="2">
        <f ca="1"/>
        <v>42.240552231616249</v>
      </c>
      <c r="AG8677" s="2">
        <f ca="1"/>
        <v>0.68602145063304421</v>
      </c>
      <c r="AH8677" s="2" t="str">
        <f ca="1"/>
        <v>Bad</v>
      </c>
    </row>
    <row r="8678" spans="2:34" x14ac:dyDescent="0.2">
      <c r="B8678" s="2">
        <f ca="1"/>
        <v>0.44147683616916877</v>
      </c>
      <c r="O8678" s="2">
        <f ca="1"/>
        <v>-0.50659710459852225</v>
      </c>
      <c r="X8678" s="2">
        <f ca="1"/>
        <v>43.15314617494878</v>
      </c>
      <c r="AG8678" s="2">
        <f ca="1"/>
        <v>0.88516906940608719</v>
      </c>
      <c r="AH8678" s="2" t="str">
        <f ca="1"/>
        <v>Bad</v>
      </c>
    </row>
    <row r="8679" spans="2:34" x14ac:dyDescent="0.2">
      <c r="B8679" s="2">
        <f ca="1"/>
        <v>0.25566950856647019</v>
      </c>
      <c r="O8679" s="2">
        <f ca="1"/>
        <v>-8.6730490320717918E-2</v>
      </c>
      <c r="X8679" s="2">
        <f ca="1"/>
        <v>27.313141154258783</v>
      </c>
      <c r="AG8679" s="2">
        <f ca="1"/>
        <v>0.25788387085046627</v>
      </c>
      <c r="AH8679" s="2" t="str">
        <f ca="1"/>
        <v>OK</v>
      </c>
    </row>
    <row r="8680" spans="2:34" x14ac:dyDescent="0.2">
      <c r="B8680" s="2">
        <f ca="1"/>
        <v>0.18120386947409961</v>
      </c>
      <c r="O8680" s="2">
        <f ca="1"/>
        <v>-1.0449466074688332</v>
      </c>
      <c r="X8680" s="2">
        <f ca="1"/>
        <v>48.551379389034885</v>
      </c>
      <c r="AG8680" s="2">
        <f ca="1"/>
        <v>0.33327193321415893</v>
      </c>
      <c r="AH8680" s="2" t="str">
        <f ca="1"/>
        <v>OK</v>
      </c>
    </row>
    <row r="8681" spans="2:34" x14ac:dyDescent="0.2">
      <c r="B8681" s="2">
        <f ca="1"/>
        <v>0.77132008500259142</v>
      </c>
      <c r="O8681" s="2">
        <f ca="1"/>
        <v>-2.0669535593706181</v>
      </c>
      <c r="X8681" s="2">
        <f ca="1"/>
        <v>47.811874488273951</v>
      </c>
      <c r="AG8681" s="2">
        <f ca="1"/>
        <v>0.59319889781640445</v>
      </c>
      <c r="AH8681" s="2" t="str">
        <f ca="1"/>
        <v>Bad</v>
      </c>
    </row>
    <row r="8682" spans="2:34" x14ac:dyDescent="0.2">
      <c r="B8682" s="2">
        <f ca="1"/>
        <v>0.9815410902533519</v>
      </c>
      <c r="O8682" s="2">
        <f ca="1"/>
        <v>0.96020006014512216</v>
      </c>
      <c r="X8682" s="2">
        <f ca="1"/>
        <v>67.581403029381789</v>
      </c>
      <c r="AG8682" s="2">
        <f ca="1"/>
        <v>0.83707862688543422</v>
      </c>
      <c r="AH8682" s="2" t="str">
        <f ca="1"/>
        <v>Bad</v>
      </c>
    </row>
    <row r="8683" spans="2:34" x14ac:dyDescent="0.2">
      <c r="B8683" s="2">
        <f ca="1"/>
        <v>0.49877444516324965</v>
      </c>
      <c r="O8683" s="2">
        <f ca="1"/>
        <v>0.35499858504756471</v>
      </c>
      <c r="X8683" s="2">
        <f ca="1"/>
        <v>50.87303920634254</v>
      </c>
      <c r="AG8683" s="2">
        <f ca="1"/>
        <v>0.34555818693042561</v>
      </c>
      <c r="AH8683" s="2" t="str">
        <f ca="1"/>
        <v>OK</v>
      </c>
    </row>
    <row r="8684" spans="2:34" x14ac:dyDescent="0.2">
      <c r="B8684" s="2">
        <f ca="1"/>
        <v>0.83955276359128783</v>
      </c>
      <c r="O8684" s="2">
        <f ca="1"/>
        <v>4.0057675868292501E-2</v>
      </c>
      <c r="X8684" s="2">
        <f ca="1"/>
        <v>55.07955100056428</v>
      </c>
      <c r="AG8684" s="2">
        <f ca="1"/>
        <v>0.97223107851344959</v>
      </c>
      <c r="AH8684" s="2" t="str">
        <f ca="1"/>
        <v>Bad</v>
      </c>
    </row>
    <row r="8685" spans="2:34" x14ac:dyDescent="0.2">
      <c r="B8685" s="2">
        <f ca="1"/>
        <v>0.13487178936523758</v>
      </c>
      <c r="O8685" s="2">
        <f ca="1"/>
        <v>0.32173991078937497</v>
      </c>
      <c r="X8685" s="2">
        <f ca="1"/>
        <v>33.834376402435971</v>
      </c>
      <c r="AG8685" s="2">
        <f ca="1"/>
        <v>0.60590336904250419</v>
      </c>
      <c r="AH8685" s="2" t="str">
        <f ca="1"/>
        <v>Bad</v>
      </c>
    </row>
    <row r="8686" spans="2:34" x14ac:dyDescent="0.2">
      <c r="B8686" s="2">
        <f ca="1"/>
        <v>4.8030625752475853E-2</v>
      </c>
      <c r="O8686" s="2">
        <f ca="1"/>
        <v>-0.6484825734590528</v>
      </c>
      <c r="X8686" s="2">
        <f ca="1"/>
        <v>42.865582158878262</v>
      </c>
      <c r="AG8686" s="2">
        <f ca="1"/>
        <v>0.51671211664398853</v>
      </c>
      <c r="AH8686" s="2" t="str">
        <f ca="1"/>
        <v>Bad</v>
      </c>
    </row>
    <row r="8687" spans="2:34" x14ac:dyDescent="0.2">
      <c r="B8687" s="2">
        <f ca="1"/>
        <v>0.7315815787111104</v>
      </c>
      <c r="O8687" s="2">
        <f ca="1"/>
        <v>1.1012061327280322</v>
      </c>
      <c r="X8687" s="2">
        <f ca="1"/>
        <v>54.285631894781503</v>
      </c>
      <c r="AG8687" s="2">
        <f ca="1"/>
        <v>0.99091665381422955</v>
      </c>
      <c r="AH8687" s="2" t="str">
        <f ca="1"/>
        <v>Bad</v>
      </c>
    </row>
    <row r="8688" spans="2:34" x14ac:dyDescent="0.2">
      <c r="B8688" s="2">
        <f ca="1"/>
        <v>9.109805033662699E-2</v>
      </c>
      <c r="O8688" s="2">
        <f ca="1"/>
        <v>-2.2780068855151758</v>
      </c>
      <c r="X8688" s="2">
        <f ca="1"/>
        <v>39.859289768079414</v>
      </c>
      <c r="AG8688" s="2">
        <f ca="1"/>
        <v>0.23524476000639649</v>
      </c>
      <c r="AH8688" s="2" t="str">
        <f ca="1"/>
        <v>OK</v>
      </c>
    </row>
    <row r="8689" spans="2:34" x14ac:dyDescent="0.2">
      <c r="B8689" s="2">
        <f ca="1"/>
        <v>0.99935247706661445</v>
      </c>
      <c r="O8689" s="2">
        <f ca="1"/>
        <v>-0.39951181140365621</v>
      </c>
      <c r="X8689" s="2">
        <f ca="1"/>
        <v>60.25010250127805</v>
      </c>
      <c r="AG8689" s="2">
        <f ca="1"/>
        <v>0.65827321689820395</v>
      </c>
      <c r="AH8689" s="2" t="str">
        <f ca="1"/>
        <v>Bad</v>
      </c>
    </row>
    <row r="8690" spans="2:34" x14ac:dyDescent="0.2">
      <c r="B8690" s="2">
        <f ca="1"/>
        <v>0.59247918484042006</v>
      </c>
      <c r="O8690" s="2">
        <f ca="1"/>
        <v>4.7717960091141452E-2</v>
      </c>
      <c r="X8690" s="2">
        <f ca="1"/>
        <v>61.776683669902788</v>
      </c>
      <c r="AG8690" s="2">
        <f ca="1"/>
        <v>3.6762330044110003E-2</v>
      </c>
      <c r="AH8690" s="2" t="str">
        <f ca="1"/>
        <v>Good</v>
      </c>
    </row>
    <row r="8691" spans="2:34" x14ac:dyDescent="0.2">
      <c r="B8691" s="2">
        <f ca="1"/>
        <v>5.3427949395446372E-2</v>
      </c>
      <c r="O8691" s="2">
        <f ca="1"/>
        <v>0.76521979446475419</v>
      </c>
      <c r="X8691" s="2">
        <f ca="1"/>
        <v>67.08436050469615</v>
      </c>
      <c r="AG8691" s="2">
        <f ca="1"/>
        <v>0.20753531681907011</v>
      </c>
      <c r="AH8691" s="2" t="str">
        <f ca="1"/>
        <v>OK</v>
      </c>
    </row>
    <row r="8692" spans="2:34" x14ac:dyDescent="0.2">
      <c r="B8692" s="2">
        <f ca="1"/>
        <v>0.21319253841688091</v>
      </c>
      <c r="O8692" s="2">
        <f ca="1"/>
        <v>1.1715043184069298</v>
      </c>
      <c r="X8692" s="2">
        <f ca="1"/>
        <v>54.099164389236009</v>
      </c>
      <c r="AG8692" s="2">
        <f ca="1"/>
        <v>0.44526454687449513</v>
      </c>
      <c r="AH8692" s="2" t="str">
        <f ca="1"/>
        <v>Bad</v>
      </c>
    </row>
    <row r="8693" spans="2:34" x14ac:dyDescent="0.2">
      <c r="B8693" s="2">
        <f ca="1"/>
        <v>0.56277693725008593</v>
      </c>
      <c r="O8693" s="2">
        <f ca="1"/>
        <v>-9.6568930037364081E-2</v>
      </c>
      <c r="X8693" s="2">
        <f ca="1"/>
        <v>62.141591291478314</v>
      </c>
      <c r="AG8693" s="2">
        <f ca="1"/>
        <v>0.58387086187830928</v>
      </c>
      <c r="AH8693" s="2" t="str">
        <f ca="1"/>
        <v>Bad</v>
      </c>
    </row>
    <row r="8694" spans="2:34" x14ac:dyDescent="0.2">
      <c r="B8694" s="2">
        <f ca="1"/>
        <v>0.69907821121500513</v>
      </c>
      <c r="O8694" s="2">
        <f ca="1"/>
        <v>-0.48808534864524722</v>
      </c>
      <c r="X8694" s="2">
        <f ca="1"/>
        <v>69.594424566989133</v>
      </c>
      <c r="AG8694" s="2">
        <f ca="1"/>
        <v>0.94046738513399841</v>
      </c>
      <c r="AH8694" s="2" t="str">
        <f ca="1"/>
        <v>Bad</v>
      </c>
    </row>
    <row r="8695" spans="2:34" x14ac:dyDescent="0.2">
      <c r="B8695" s="2">
        <f ca="1"/>
        <v>0.80751268540869137</v>
      </c>
      <c r="O8695" s="2">
        <f ca="1"/>
        <v>0.7360800990492723</v>
      </c>
      <c r="X8695" s="2">
        <f ca="1"/>
        <v>51.245430638913625</v>
      </c>
      <c r="AG8695" s="2">
        <f ca="1"/>
        <v>0.19468109404249434</v>
      </c>
      <c r="AH8695" s="2" t="str">
        <f ca="1"/>
        <v>OK</v>
      </c>
    </row>
    <row r="8696" spans="2:34" x14ac:dyDescent="0.2">
      <c r="B8696" s="2">
        <f ca="1"/>
        <v>0.4422156770395993</v>
      </c>
      <c r="O8696" s="2">
        <f ca="1"/>
        <v>1.7221589375246982</v>
      </c>
      <c r="X8696" s="2">
        <f ca="1"/>
        <v>50.70937679082099</v>
      </c>
      <c r="AG8696" s="2">
        <f ca="1"/>
        <v>0.12399521949904635</v>
      </c>
      <c r="AH8696" s="2" t="str">
        <f ca="1"/>
        <v>OK</v>
      </c>
    </row>
    <row r="8697" spans="2:34" x14ac:dyDescent="0.2">
      <c r="B8697" s="2">
        <f ca="1"/>
        <v>0.68279965456246683</v>
      </c>
      <c r="O8697" s="2">
        <f ca="1"/>
        <v>-0.58915878737822369</v>
      </c>
      <c r="X8697" s="2">
        <f ca="1"/>
        <v>22.416047021727454</v>
      </c>
      <c r="AG8697" s="2">
        <f ca="1"/>
        <v>0.13031686792056085</v>
      </c>
      <c r="AH8697" s="2" t="str">
        <f ca="1"/>
        <v>OK</v>
      </c>
    </row>
    <row r="8698" spans="2:34" x14ac:dyDescent="0.2">
      <c r="B8698" s="2">
        <f ca="1"/>
        <v>0.61351098998386067</v>
      </c>
      <c r="O8698" s="2">
        <f ca="1"/>
        <v>-0.7937067312455357</v>
      </c>
      <c r="X8698" s="2">
        <f ca="1"/>
        <v>34.80184065952141</v>
      </c>
      <c r="AG8698" s="2">
        <f ca="1"/>
        <v>0.80842004810596579</v>
      </c>
      <c r="AH8698" s="2" t="str">
        <f ca="1"/>
        <v>Bad</v>
      </c>
    </row>
    <row r="8699" spans="2:34" x14ac:dyDescent="0.2">
      <c r="B8699" s="2">
        <f ca="1"/>
        <v>0.98885293470789137</v>
      </c>
      <c r="O8699" s="2">
        <f ca="1"/>
        <v>0.53029385709803822</v>
      </c>
      <c r="X8699" s="2">
        <f ca="1"/>
        <v>26.991997994629997</v>
      </c>
      <c r="AG8699" s="2">
        <f ca="1"/>
        <v>0.67707845860506288</v>
      </c>
      <c r="AH8699" s="2" t="str">
        <f ca="1"/>
        <v>Bad</v>
      </c>
    </row>
    <row r="8700" spans="2:34" x14ac:dyDescent="0.2">
      <c r="B8700" s="2">
        <f ca="1"/>
        <v>0.10794806534081669</v>
      </c>
      <c r="O8700" s="2">
        <f ca="1"/>
        <v>-0.35928538983317898</v>
      </c>
      <c r="X8700" s="2">
        <f ca="1"/>
        <v>30.456079737659635</v>
      </c>
      <c r="AG8700" s="2">
        <f ca="1"/>
        <v>0.11669069968358969</v>
      </c>
      <c r="AH8700" s="2" t="str">
        <f ca="1"/>
        <v>OK</v>
      </c>
    </row>
    <row r="8701" spans="2:34" x14ac:dyDescent="0.2">
      <c r="B8701" s="2">
        <f ca="1"/>
        <v>0.42911622295384322</v>
      </c>
      <c r="O8701" s="2">
        <f ca="1"/>
        <v>0.74326012156409471</v>
      </c>
      <c r="X8701" s="2">
        <f ca="1"/>
        <v>48.276493328291103</v>
      </c>
      <c r="AG8701" s="2">
        <f ca="1"/>
        <v>0.86623871146335274</v>
      </c>
      <c r="AH8701" s="2" t="str">
        <f ca="1"/>
        <v>Bad</v>
      </c>
    </row>
    <row r="8702" spans="2:34" x14ac:dyDescent="0.2">
      <c r="B8702" s="2">
        <f ca="1"/>
        <v>0.43104221056460945</v>
      </c>
      <c r="O8702" s="2">
        <f ca="1"/>
        <v>1.5596727432504083</v>
      </c>
      <c r="X8702" s="2">
        <f ca="1"/>
        <v>27.341521192294262</v>
      </c>
      <c r="AG8702" s="2">
        <f ca="1"/>
        <v>0.65401184019904757</v>
      </c>
      <c r="AH8702" s="2" t="str">
        <f ca="1"/>
        <v>Bad</v>
      </c>
    </row>
    <row r="8703" spans="2:34" x14ac:dyDescent="0.2">
      <c r="B8703" s="2">
        <f ca="1"/>
        <v>0.52585760955258776</v>
      </c>
      <c r="O8703" s="2">
        <f ca="1"/>
        <v>1.3955907137146522</v>
      </c>
      <c r="X8703" s="2">
        <f ca="1"/>
        <v>74.519843620682579</v>
      </c>
      <c r="AG8703" s="2">
        <f ca="1"/>
        <v>0.40459883089948101</v>
      </c>
      <c r="AH8703" s="2" t="str">
        <f ca="1"/>
        <v>Bad</v>
      </c>
    </row>
    <row r="8704" spans="2:34" x14ac:dyDescent="0.2">
      <c r="B8704" s="2">
        <f ca="1"/>
        <v>0.60995947031389819</v>
      </c>
      <c r="O8704" s="2">
        <f ca="1"/>
        <v>-1.1160216164648402</v>
      </c>
      <c r="X8704" s="2">
        <f ca="1"/>
        <v>34.584768202199662</v>
      </c>
      <c r="AG8704" s="2">
        <f ca="1"/>
        <v>0.26182219352962521</v>
      </c>
      <c r="AH8704" s="2" t="str">
        <f ca="1"/>
        <v>OK</v>
      </c>
    </row>
    <row r="8705" spans="2:34" x14ac:dyDescent="0.2">
      <c r="B8705" s="2">
        <f ca="1"/>
        <v>0.11937371545255737</v>
      </c>
      <c r="O8705" s="2">
        <f ca="1"/>
        <v>0.5825428713921712</v>
      </c>
      <c r="X8705" s="2">
        <f ca="1"/>
        <v>70.284642980871553</v>
      </c>
      <c r="AG8705" s="2">
        <f ca="1"/>
        <v>9.6987766126450214E-2</v>
      </c>
      <c r="AH8705" s="2" t="str">
        <f ca="1"/>
        <v>OK</v>
      </c>
    </row>
    <row r="8706" spans="2:34" x14ac:dyDescent="0.2">
      <c r="B8706" s="2">
        <f ca="1"/>
        <v>0.55267611010779594</v>
      </c>
      <c r="O8706" s="2">
        <f ca="1"/>
        <v>-0.11859993699063812</v>
      </c>
      <c r="X8706" s="2">
        <f ca="1"/>
        <v>55.998392938561913</v>
      </c>
      <c r="AG8706" s="2">
        <f ca="1"/>
        <v>0.83207973601121576</v>
      </c>
      <c r="AH8706" s="2" t="str">
        <f ca="1"/>
        <v>Bad</v>
      </c>
    </row>
    <row r="8707" spans="2:34" x14ac:dyDescent="0.2">
      <c r="B8707" s="2">
        <f ca="1"/>
        <v>0.73158385817789262</v>
      </c>
      <c r="O8707" s="2">
        <f ca="1"/>
        <v>-0.39697005147382619</v>
      </c>
      <c r="X8707" s="2">
        <f ca="1"/>
        <v>56.478648079274343</v>
      </c>
      <c r="AG8707" s="2">
        <f ca="1"/>
        <v>0.1851257939397335</v>
      </c>
      <c r="AH8707" s="2" t="str">
        <f ca="1"/>
        <v>OK</v>
      </c>
    </row>
    <row r="8708" spans="2:34" x14ac:dyDescent="0.2">
      <c r="B8708" s="2">
        <f ca="1"/>
        <v>0.50902024662543099</v>
      </c>
      <c r="O8708" s="2">
        <f ca="1"/>
        <v>-1.1629126488158406</v>
      </c>
      <c r="X8708" s="2">
        <f ca="1"/>
        <v>19.367189040625092</v>
      </c>
      <c r="AG8708" s="2">
        <f ca="1"/>
        <v>0.17617776340846714</v>
      </c>
      <c r="AH8708" s="2" t="str">
        <f ca="1"/>
        <v>OK</v>
      </c>
    </row>
    <row r="8709" spans="2:34" x14ac:dyDescent="0.2">
      <c r="B8709" s="2">
        <f ca="1"/>
        <v>0.2855423922584277</v>
      </c>
      <c r="O8709" s="2">
        <f ca="1"/>
        <v>0.99818026271495031</v>
      </c>
      <c r="X8709" s="2">
        <f ca="1"/>
        <v>56.584614449026986</v>
      </c>
      <c r="AG8709" s="2">
        <f ca="1"/>
        <v>0.28182206709211988</v>
      </c>
      <c r="AH8709" s="2" t="str">
        <f ca="1"/>
        <v>OK</v>
      </c>
    </row>
    <row r="8710" spans="2:34" x14ac:dyDescent="0.2">
      <c r="B8710" s="2">
        <f ca="1"/>
        <v>0.65387291095589761</v>
      </c>
      <c r="O8710" s="2">
        <f ca="1"/>
        <v>1.9190142283254508</v>
      </c>
      <c r="X8710" s="2">
        <f ca="1"/>
        <v>49.304418458610677</v>
      </c>
      <c r="AG8710" s="2">
        <f ca="1"/>
        <v>0.14822216744326</v>
      </c>
      <c r="AH8710" s="2" t="str">
        <f ca="1"/>
        <v>OK</v>
      </c>
    </row>
    <row r="8711" spans="2:34" x14ac:dyDescent="0.2">
      <c r="B8711" s="2">
        <f ca="1"/>
        <v>0.40749802233659893</v>
      </c>
      <c r="O8711" s="2">
        <f ca="1"/>
        <v>-0.71102409713672354</v>
      </c>
      <c r="X8711" s="2">
        <f ca="1"/>
        <v>46.663990842924235</v>
      </c>
      <c r="AG8711" s="2">
        <f ca="1"/>
        <v>0.3539299287093447</v>
      </c>
      <c r="AH8711" s="2" t="str">
        <f ca="1"/>
        <v>OK</v>
      </c>
    </row>
    <row r="8712" spans="2:34" x14ac:dyDescent="0.2">
      <c r="B8712" s="2">
        <f ca="1"/>
        <v>0.36695332496527766</v>
      </c>
      <c r="O8712" s="2">
        <f ca="1"/>
        <v>-1.05881928754994</v>
      </c>
      <c r="X8712" s="2">
        <f ca="1"/>
        <v>28.880615953214722</v>
      </c>
      <c r="AG8712" s="2">
        <f ca="1"/>
        <v>0.63997330713255973</v>
      </c>
      <c r="AH8712" s="2" t="str">
        <f ca="1"/>
        <v>Bad</v>
      </c>
    </row>
    <row r="8713" spans="2:34" x14ac:dyDescent="0.2">
      <c r="B8713" s="2">
        <f ca="1"/>
        <v>0.59085627223027215</v>
      </c>
      <c r="O8713" s="2">
        <f ca="1"/>
        <v>0.40359417640770129</v>
      </c>
      <c r="X8713" s="2">
        <f ca="1"/>
        <v>81.28354330042535</v>
      </c>
      <c r="AG8713" s="2">
        <f ca="1"/>
        <v>0.46103241165800801</v>
      </c>
      <c r="AH8713" s="2" t="str">
        <f ca="1"/>
        <v>Bad</v>
      </c>
    </row>
    <row r="8714" spans="2:34" x14ac:dyDescent="0.2">
      <c r="B8714" s="2">
        <f ca="1"/>
        <v>0.3551817639362771</v>
      </c>
      <c r="O8714" s="2">
        <f ca="1"/>
        <v>0.49399980832343443</v>
      </c>
      <c r="X8714" s="2">
        <f ca="1"/>
        <v>112.43715725525101</v>
      </c>
      <c r="AG8714" s="2">
        <f ca="1"/>
        <v>0.54275972869864408</v>
      </c>
      <c r="AH8714" s="2" t="str">
        <f ca="1"/>
        <v>Bad</v>
      </c>
    </row>
    <row r="8715" spans="2:34" x14ac:dyDescent="0.2">
      <c r="B8715" s="2">
        <f ca="1"/>
        <v>0.29237115880066322</v>
      </c>
      <c r="O8715" s="2">
        <f ca="1"/>
        <v>-0.78499015820092255</v>
      </c>
      <c r="X8715" s="2">
        <f ca="1"/>
        <v>44.918690706091986</v>
      </c>
      <c r="AG8715" s="2">
        <f ca="1"/>
        <v>2.8446685742065991E-2</v>
      </c>
      <c r="AH8715" s="2" t="str">
        <f ca="1"/>
        <v>Good</v>
      </c>
    </row>
    <row r="8716" spans="2:34" x14ac:dyDescent="0.2">
      <c r="B8716" s="2">
        <f ca="1"/>
        <v>0.44747374553807462</v>
      </c>
      <c r="O8716" s="2">
        <f ca="1"/>
        <v>1.5834388078165873</v>
      </c>
      <c r="X8716" s="2">
        <f ca="1"/>
        <v>63.020706128262198</v>
      </c>
      <c r="AG8716" s="2">
        <f ca="1"/>
        <v>4.9085604546774464E-2</v>
      </c>
      <c r="AH8716" s="2" t="str">
        <f ca="1"/>
        <v>Good</v>
      </c>
    </row>
    <row r="8717" spans="2:34" x14ac:dyDescent="0.2">
      <c r="B8717" s="2">
        <f ca="1"/>
        <v>0.30929509639838471</v>
      </c>
      <c r="O8717" s="2">
        <f ca="1"/>
        <v>1.2786598861589242</v>
      </c>
      <c r="X8717" s="2">
        <f ca="1"/>
        <v>45.095758835267716</v>
      </c>
      <c r="AG8717" s="2">
        <f ca="1"/>
        <v>0.88883151363285418</v>
      </c>
      <c r="AH8717" s="2" t="str">
        <f ca="1"/>
        <v>Bad</v>
      </c>
    </row>
    <row r="8718" spans="2:34" x14ac:dyDescent="0.2">
      <c r="B8718" s="2">
        <f ca="1"/>
        <v>0.85944902945010737</v>
      </c>
      <c r="O8718" s="2">
        <f ca="1"/>
        <v>-0.99151181598742866</v>
      </c>
      <c r="X8718" s="2">
        <f ca="1"/>
        <v>31.474201084810119</v>
      </c>
      <c r="AG8718" s="2">
        <f ca="1"/>
        <v>0.24316579103099589</v>
      </c>
      <c r="AH8718" s="2" t="str">
        <f ca="1"/>
        <v>OK</v>
      </c>
    </row>
    <row r="8719" spans="2:34" x14ac:dyDescent="0.2">
      <c r="B8719" s="2">
        <f ca="1"/>
        <v>0.52215917821952784</v>
      </c>
      <c r="O8719" s="2">
        <f ca="1"/>
        <v>1.3737995629514224</v>
      </c>
      <c r="X8719" s="2">
        <f ca="1"/>
        <v>53.155837222576714</v>
      </c>
      <c r="AG8719" s="2">
        <f ca="1"/>
        <v>4.2384598054228118E-2</v>
      </c>
      <c r="AH8719" s="2" t="str">
        <f ca="1"/>
        <v>Good</v>
      </c>
    </row>
    <row r="8720" spans="2:34" x14ac:dyDescent="0.2">
      <c r="B8720" s="2">
        <f ca="1"/>
        <v>0.87156309582139402</v>
      </c>
      <c r="O8720" s="2">
        <f ca="1"/>
        <v>-0.74944744017944964</v>
      </c>
      <c r="X8720" s="2">
        <f ca="1"/>
        <v>43.119903149357128</v>
      </c>
      <c r="AG8720" s="2">
        <f ca="1"/>
        <v>0.6249269023257511</v>
      </c>
      <c r="AH8720" s="2" t="str">
        <f ca="1"/>
        <v>Bad</v>
      </c>
    </row>
    <row r="8721" spans="2:34" x14ac:dyDescent="0.2">
      <c r="B8721" s="2">
        <f ca="1"/>
        <v>0.3455229809046918</v>
      </c>
      <c r="O8721" s="2">
        <f ca="1"/>
        <v>0.26364271401426087</v>
      </c>
      <c r="X8721" s="2">
        <f ca="1"/>
        <v>50.16567276077901</v>
      </c>
      <c r="AG8721" s="2">
        <f ca="1"/>
        <v>0.52970259459109359</v>
      </c>
      <c r="AH8721" s="2" t="str">
        <f ca="1"/>
        <v>Bad</v>
      </c>
    </row>
    <row r="8722" spans="2:34" x14ac:dyDescent="0.2">
      <c r="B8722" s="2">
        <f ca="1"/>
        <v>0.83725461306987325</v>
      </c>
      <c r="O8722" s="2">
        <f ca="1"/>
        <v>0.41195854831699319</v>
      </c>
      <c r="X8722" s="2">
        <f ca="1"/>
        <v>38.599790807814848</v>
      </c>
      <c r="AG8722" s="2">
        <f ca="1"/>
        <v>0.37472002717886221</v>
      </c>
      <c r="AH8722" s="2" t="str">
        <f ca="1"/>
        <v>OK</v>
      </c>
    </row>
    <row r="8723" spans="2:34" x14ac:dyDescent="0.2">
      <c r="B8723" s="2">
        <f ca="1"/>
        <v>0.47019663504854248</v>
      </c>
      <c r="O8723" s="2">
        <f ca="1"/>
        <v>-0.98032075753089176</v>
      </c>
      <c r="X8723" s="2">
        <f ca="1"/>
        <v>47.431275666366574</v>
      </c>
      <c r="AG8723" s="2">
        <f ca="1"/>
        <v>0.81321593235947742</v>
      </c>
      <c r="AH8723" s="2" t="str">
        <f ca="1"/>
        <v>Bad</v>
      </c>
    </row>
    <row r="8724" spans="2:34" x14ac:dyDescent="0.2">
      <c r="B8724" s="2">
        <f ca="1"/>
        <v>0.61324221327715245</v>
      </c>
      <c r="O8724" s="2">
        <f ca="1"/>
        <v>0.14059956652039277</v>
      </c>
      <c r="X8724" s="2">
        <f ca="1"/>
        <v>37.647684476263827</v>
      </c>
      <c r="AG8724" s="2">
        <f ca="1"/>
        <v>0.50310727367195907</v>
      </c>
      <c r="AH8724" s="2" t="str">
        <f ca="1"/>
        <v>Bad</v>
      </c>
    </row>
    <row r="8725" spans="2:34" x14ac:dyDescent="0.2">
      <c r="B8725" s="2">
        <f ca="1"/>
        <v>0.28405155635914525</v>
      </c>
      <c r="O8725" s="2">
        <f ca="1"/>
        <v>4.4004682361737213E-2</v>
      </c>
      <c r="X8725" s="2">
        <f ca="1"/>
        <v>57.631807038989706</v>
      </c>
      <c r="AG8725" s="2">
        <f ca="1"/>
        <v>0.84279672622331314</v>
      </c>
      <c r="AH8725" s="2" t="str">
        <f ca="1"/>
        <v>Bad</v>
      </c>
    </row>
    <row r="8726" spans="2:34" x14ac:dyDescent="0.2">
      <c r="B8726" s="2">
        <f ca="1"/>
        <v>0.87276120301503535</v>
      </c>
      <c r="O8726" s="2">
        <f ca="1"/>
        <v>0.3388943244776923</v>
      </c>
      <c r="X8726" s="2">
        <f ca="1"/>
        <v>30.167379183640524</v>
      </c>
      <c r="AG8726" s="2">
        <f ca="1"/>
        <v>0.47674953149403221</v>
      </c>
      <c r="AH8726" s="2" t="str">
        <f ca="1"/>
        <v>Bad</v>
      </c>
    </row>
    <row r="8727" spans="2:34" x14ac:dyDescent="0.2">
      <c r="B8727" s="2">
        <f ca="1"/>
        <v>0.17708891919674197</v>
      </c>
      <c r="O8727" s="2">
        <f ca="1"/>
        <v>-0.67604422744534753</v>
      </c>
      <c r="X8727" s="2">
        <f ca="1"/>
        <v>43.558161511954701</v>
      </c>
      <c r="AG8727" s="2">
        <f ca="1"/>
        <v>0.55314347991305191</v>
      </c>
      <c r="AH8727" s="2" t="str">
        <f ca="1"/>
        <v>Bad</v>
      </c>
    </row>
    <row r="8728" spans="2:34" x14ac:dyDescent="0.2">
      <c r="B8728" s="2">
        <f ca="1"/>
        <v>0.38299630243582161</v>
      </c>
      <c r="O8728" s="2">
        <f ca="1"/>
        <v>-9.7649471883651723E-2</v>
      </c>
      <c r="X8728" s="2">
        <f ca="1"/>
        <v>34.422759221211471</v>
      </c>
      <c r="AG8728" s="2">
        <f ca="1"/>
        <v>0.63244343108592127</v>
      </c>
      <c r="AH8728" s="2" t="str">
        <f ca="1"/>
        <v>Bad</v>
      </c>
    </row>
    <row r="8729" spans="2:34" x14ac:dyDescent="0.2">
      <c r="B8729" s="2">
        <f ca="1"/>
        <v>0.57857907433609701</v>
      </c>
      <c r="O8729" s="2">
        <f ca="1"/>
        <v>-0.6977318117396033</v>
      </c>
      <c r="X8729" s="2">
        <f ca="1"/>
        <v>25.937647853397955</v>
      </c>
      <c r="AG8729" s="2">
        <f ca="1"/>
        <v>0.80283204673532582</v>
      </c>
      <c r="AH8729" s="2" t="str">
        <f ca="1"/>
        <v>Bad</v>
      </c>
    </row>
    <row r="8730" spans="2:34" x14ac:dyDescent="0.2">
      <c r="B8730" s="2">
        <f ca="1"/>
        <v>0.99095707480129747</v>
      </c>
      <c r="O8730" s="2">
        <f ca="1"/>
        <v>0.84939954207408452</v>
      </c>
      <c r="X8730" s="2">
        <f ca="1"/>
        <v>53.955051343059488</v>
      </c>
      <c r="AG8730" s="2">
        <f ca="1"/>
        <v>0.81462097813992451</v>
      </c>
      <c r="AH8730" s="2" t="str">
        <f ca="1"/>
        <v>Bad</v>
      </c>
    </row>
    <row r="8731" spans="2:34" x14ac:dyDescent="0.2">
      <c r="B8731" s="2">
        <f ca="1"/>
        <v>0.58468819781842196</v>
      </c>
      <c r="O8731" s="2">
        <f ca="1"/>
        <v>-0.49996204508348457</v>
      </c>
      <c r="X8731" s="2">
        <f ca="1"/>
        <v>90.780555728340374</v>
      </c>
      <c r="AG8731" s="2">
        <f ca="1"/>
        <v>0.63993481618597059</v>
      </c>
      <c r="AH8731" s="2" t="str">
        <f ca="1"/>
        <v>Bad</v>
      </c>
    </row>
    <row r="8732" spans="2:34" x14ac:dyDescent="0.2">
      <c r="B8732" s="2">
        <f ca="1"/>
        <v>0.70891627746739427</v>
      </c>
      <c r="O8732" s="2">
        <f ca="1"/>
        <v>1.1283535177270385</v>
      </c>
      <c r="X8732" s="2">
        <f ca="1"/>
        <v>26.209193207340199</v>
      </c>
      <c r="AG8732" s="2">
        <f ca="1"/>
        <v>0.3385787061833827</v>
      </c>
      <c r="AH8732" s="2" t="str">
        <f ca="1"/>
        <v>OK</v>
      </c>
    </row>
    <row r="8733" spans="2:34" x14ac:dyDescent="0.2">
      <c r="B8733" s="2">
        <f ca="1"/>
        <v>0.34584742341043917</v>
      </c>
      <c r="O8733" s="2">
        <f ca="1"/>
        <v>0.75262849904839846</v>
      </c>
      <c r="X8733" s="2">
        <f ca="1"/>
        <v>53.727248253438631</v>
      </c>
      <c r="AG8733" s="2">
        <f ca="1"/>
        <v>0.42483123068989515</v>
      </c>
      <c r="AH8733" s="2" t="str">
        <f ca="1"/>
        <v>Bad</v>
      </c>
    </row>
    <row r="8734" spans="2:34" x14ac:dyDescent="0.2">
      <c r="B8734" s="2">
        <f ca="1"/>
        <v>5.5854162744613189E-2</v>
      </c>
      <c r="O8734" s="2">
        <f ca="1"/>
        <v>0.70718734851654985</v>
      </c>
      <c r="X8734" s="2">
        <f ca="1"/>
        <v>47.467424187752471</v>
      </c>
      <c r="AG8734" s="2">
        <f ca="1"/>
        <v>0.63467545143492887</v>
      </c>
      <c r="AH8734" s="2" t="str">
        <f ca="1"/>
        <v>Bad</v>
      </c>
    </row>
    <row r="8735" spans="2:34" x14ac:dyDescent="0.2">
      <c r="B8735" s="2">
        <f ca="1"/>
        <v>0.59833880677620077</v>
      </c>
      <c r="O8735" s="2">
        <f ca="1"/>
        <v>-1.3847633803166695</v>
      </c>
      <c r="X8735" s="2">
        <f ca="1"/>
        <v>48.932740826301632</v>
      </c>
      <c r="AG8735" s="2">
        <f ca="1"/>
        <v>0.60480835404836575</v>
      </c>
      <c r="AH8735" s="2" t="str">
        <f ca="1"/>
        <v>Bad</v>
      </c>
    </row>
    <row r="8736" spans="2:34" x14ac:dyDescent="0.2">
      <c r="B8736" s="2">
        <f ca="1"/>
        <v>0.88854034562014683</v>
      </c>
      <c r="O8736" s="2">
        <f ca="1"/>
        <v>-0.7250905922874662</v>
      </c>
      <c r="X8736" s="2">
        <f ca="1"/>
        <v>29.842520324229774</v>
      </c>
      <c r="AG8736" s="2">
        <f ca="1"/>
        <v>0.82630107720210999</v>
      </c>
      <c r="AH8736" s="2" t="str">
        <f ca="1"/>
        <v>Bad</v>
      </c>
    </row>
    <row r="8737" spans="2:34" x14ac:dyDescent="0.2">
      <c r="B8737" s="2">
        <f ca="1"/>
        <v>0.97416197014751749</v>
      </c>
      <c r="O8737" s="2">
        <f ca="1"/>
        <v>-0.69512132484137235</v>
      </c>
      <c r="X8737" s="2">
        <f ca="1"/>
        <v>40.042814305210143</v>
      </c>
      <c r="AG8737" s="2">
        <f ca="1"/>
        <v>0.95331702755585201</v>
      </c>
      <c r="AH8737" s="2" t="str">
        <f ca="1"/>
        <v>Bad</v>
      </c>
    </row>
    <row r="8738" spans="2:34" x14ac:dyDescent="0.2">
      <c r="B8738" s="2">
        <f ca="1"/>
        <v>0.89277955527276132</v>
      </c>
      <c r="O8738" s="2">
        <f ca="1"/>
        <v>-1.4353254285009069</v>
      </c>
      <c r="X8738" s="2">
        <f ca="1"/>
        <v>47.308134423913927</v>
      </c>
      <c r="AG8738" s="2">
        <f ca="1"/>
        <v>0.82732452451158878</v>
      </c>
      <c r="AH8738" s="2" t="str">
        <f ca="1"/>
        <v>Bad</v>
      </c>
    </row>
    <row r="8739" spans="2:34" x14ac:dyDescent="0.2">
      <c r="B8739" s="2">
        <f ca="1"/>
        <v>0.11578089923563839</v>
      </c>
      <c r="O8739" s="2">
        <f ca="1"/>
        <v>0.58950608664634718</v>
      </c>
      <c r="X8739" s="2">
        <f ca="1"/>
        <v>45.978908159420506</v>
      </c>
      <c r="AG8739" s="2">
        <f ca="1"/>
        <v>0.6708226114983189</v>
      </c>
      <c r="AH8739" s="2" t="str">
        <f ca="1"/>
        <v>Bad</v>
      </c>
    </row>
    <row r="8740" spans="2:34" x14ac:dyDescent="0.2">
      <c r="B8740" s="2">
        <f ca="1"/>
        <v>0.68106526244574872</v>
      </c>
      <c r="O8740" s="2">
        <f ca="1"/>
        <v>0.18547618292565329</v>
      </c>
      <c r="X8740" s="2">
        <f ca="1"/>
        <v>73.423072077666134</v>
      </c>
      <c r="AG8740" s="2">
        <f ca="1"/>
        <v>0.53344264644332062</v>
      </c>
      <c r="AH8740" s="2" t="str">
        <f ca="1"/>
        <v>Bad</v>
      </c>
    </row>
    <row r="8741" spans="2:34" x14ac:dyDescent="0.2">
      <c r="B8741" s="2">
        <f ca="1"/>
        <v>8.3702739591435593E-2</v>
      </c>
      <c r="O8741" s="2">
        <f ca="1"/>
        <v>-1.4575367687032958</v>
      </c>
      <c r="X8741" s="2">
        <f ca="1"/>
        <v>64.158084603811162</v>
      </c>
      <c r="AG8741" s="2">
        <f ca="1"/>
        <v>0.60739031742883332</v>
      </c>
      <c r="AH8741" s="2" t="str">
        <f ca="1"/>
        <v>Bad</v>
      </c>
    </row>
    <row r="8742" spans="2:34" x14ac:dyDescent="0.2">
      <c r="B8742" s="2">
        <f ca="1"/>
        <v>0.42845352641587642</v>
      </c>
      <c r="O8742" s="2">
        <f ca="1"/>
        <v>-0.2487752109431991</v>
      </c>
      <c r="X8742" s="2">
        <f ca="1"/>
        <v>34.516925180555738</v>
      </c>
      <c r="AG8742" s="2">
        <f ca="1"/>
        <v>0.88072603785256454</v>
      </c>
      <c r="AH8742" s="2" t="str">
        <f ca="1"/>
        <v>Bad</v>
      </c>
    </row>
    <row r="8743" spans="2:34" x14ac:dyDescent="0.2">
      <c r="B8743" s="2">
        <f ca="1"/>
        <v>0.22564494510118438</v>
      </c>
      <c r="O8743" s="2">
        <f ca="1"/>
        <v>-0.49064686439063682</v>
      </c>
      <c r="X8743" s="2">
        <f ca="1"/>
        <v>50.543982078576313</v>
      </c>
      <c r="AG8743" s="2">
        <f ca="1"/>
        <v>0.38450105125645662</v>
      </c>
      <c r="AH8743" s="2" t="str">
        <f ca="1"/>
        <v>OK</v>
      </c>
    </row>
    <row r="8744" spans="2:34" x14ac:dyDescent="0.2">
      <c r="B8744" s="2">
        <f ca="1"/>
        <v>0.85877350544972764</v>
      </c>
      <c r="O8744" s="2">
        <f ca="1"/>
        <v>1.2812913887729422E-2</v>
      </c>
      <c r="X8744" s="2">
        <f ca="1"/>
        <v>25.575068834386979</v>
      </c>
      <c r="AG8744" s="2">
        <f ca="1"/>
        <v>0.60235870793327728</v>
      </c>
      <c r="AH8744" s="2" t="str">
        <f ca="1"/>
        <v>Bad</v>
      </c>
    </row>
    <row r="8745" spans="2:34" x14ac:dyDescent="0.2">
      <c r="B8745" s="2">
        <f ca="1"/>
        <v>0.50621687022419004</v>
      </c>
      <c r="O8745" s="2">
        <f ca="1"/>
        <v>-0.17649036333745849</v>
      </c>
      <c r="X8745" s="2">
        <f ca="1"/>
        <v>33.44069358994399</v>
      </c>
      <c r="AG8745" s="2">
        <f ca="1"/>
        <v>0.41030861269097318</v>
      </c>
      <c r="AH8745" s="2" t="str">
        <f ca="1"/>
        <v>Bad</v>
      </c>
    </row>
    <row r="8746" spans="2:34" x14ac:dyDescent="0.2">
      <c r="B8746" s="2">
        <f ca="1"/>
        <v>0.65025907051629961</v>
      </c>
      <c r="O8746" s="2">
        <f ca="1"/>
        <v>0.27768429746631801</v>
      </c>
      <c r="X8746" s="2">
        <f ca="1"/>
        <v>55.268091069833119</v>
      </c>
      <c r="AG8746" s="2">
        <f ca="1"/>
        <v>3.319467570130108E-2</v>
      </c>
      <c r="AH8746" s="2" t="str">
        <f ca="1"/>
        <v>Good</v>
      </c>
    </row>
    <row r="8747" spans="2:34" x14ac:dyDescent="0.2">
      <c r="B8747" s="2">
        <f ca="1"/>
        <v>0.91212823719444258</v>
      </c>
      <c r="O8747" s="2">
        <f ca="1"/>
        <v>-0.33383979315322737</v>
      </c>
      <c r="X8747" s="2">
        <f ca="1"/>
        <v>47.795231343369259</v>
      </c>
      <c r="AG8747" s="2">
        <f ca="1"/>
        <v>0.44518911136208961</v>
      </c>
      <c r="AH8747" s="2" t="str">
        <f ca="1"/>
        <v>Bad</v>
      </c>
    </row>
    <row r="8748" spans="2:34" x14ac:dyDescent="0.2">
      <c r="B8748" s="2">
        <f ca="1"/>
        <v>0.89537485458749178</v>
      </c>
      <c r="O8748" s="2">
        <f ca="1"/>
        <v>-0.43655448255422086</v>
      </c>
      <c r="X8748" s="2">
        <f ca="1"/>
        <v>28.977227075421052</v>
      </c>
      <c r="AG8748" s="2">
        <f ca="1"/>
        <v>0.32358137573908552</v>
      </c>
      <c r="AH8748" s="2" t="str">
        <f ca="1"/>
        <v>OK</v>
      </c>
    </row>
    <row r="8749" spans="2:34" x14ac:dyDescent="0.2">
      <c r="B8749" s="2">
        <f ca="1"/>
        <v>0.24648672497890178</v>
      </c>
      <c r="O8749" s="2">
        <f ca="1"/>
        <v>-0.49105340048248641</v>
      </c>
      <c r="X8749" s="2">
        <f ca="1"/>
        <v>65.938637827407462</v>
      </c>
      <c r="AG8749" s="2">
        <f ca="1"/>
        <v>0.17702609055099949</v>
      </c>
      <c r="AH8749" s="2" t="str">
        <f ca="1"/>
        <v>OK</v>
      </c>
    </row>
    <row r="8750" spans="2:34" x14ac:dyDescent="0.2">
      <c r="B8750" s="2">
        <f ca="1"/>
        <v>0.78447609082497505</v>
      </c>
      <c r="O8750" s="2">
        <f ca="1"/>
        <v>-0.42325077457725463</v>
      </c>
      <c r="X8750" s="2">
        <f ca="1"/>
        <v>45.779910782536419</v>
      </c>
      <c r="AG8750" s="2">
        <f ca="1"/>
        <v>0.22241143601464364</v>
      </c>
      <c r="AH8750" s="2" t="str">
        <f ca="1"/>
        <v>OK</v>
      </c>
    </row>
    <row r="8751" spans="2:34" x14ac:dyDescent="0.2">
      <c r="B8751" s="2">
        <f ca="1"/>
        <v>0.5396815450669934</v>
      </c>
      <c r="O8751" s="2">
        <f ca="1"/>
        <v>-0.5459494266538284</v>
      </c>
      <c r="X8751" s="2">
        <f ca="1"/>
        <v>36.841178300008494</v>
      </c>
      <c r="AG8751" s="2">
        <f ca="1"/>
        <v>0.9539253095179514</v>
      </c>
      <c r="AH8751" s="2" t="str">
        <f ca="1"/>
        <v>Bad</v>
      </c>
    </row>
    <row r="8752" spans="2:34" x14ac:dyDescent="0.2">
      <c r="B8752" s="2">
        <f ca="1"/>
        <v>0.32202422180839863</v>
      </c>
      <c r="O8752" s="2">
        <f ca="1"/>
        <v>-0.32650820649889745</v>
      </c>
      <c r="X8752" s="2">
        <f ca="1"/>
        <v>41.848734336469413</v>
      </c>
      <c r="AG8752" s="2">
        <f ca="1"/>
        <v>0.20696301087737501</v>
      </c>
      <c r="AH8752" s="2" t="str">
        <f ca="1"/>
        <v>OK</v>
      </c>
    </row>
    <row r="8753" spans="2:34" x14ac:dyDescent="0.2">
      <c r="B8753" s="2">
        <f ca="1"/>
        <v>0.39582787186677959</v>
      </c>
      <c r="O8753" s="2">
        <f ca="1"/>
        <v>0.52395094894513794</v>
      </c>
      <c r="X8753" s="2">
        <f ca="1"/>
        <v>30.359714251378239</v>
      </c>
      <c r="AG8753" s="2">
        <f ca="1"/>
        <v>0.99021775806860313</v>
      </c>
      <c r="AH8753" s="2" t="str">
        <f ca="1"/>
        <v>Bad</v>
      </c>
    </row>
    <row r="8754" spans="2:34" x14ac:dyDescent="0.2">
      <c r="B8754" s="2">
        <f ca="1"/>
        <v>0.52297044044433494</v>
      </c>
      <c r="O8754" s="2">
        <f ca="1"/>
        <v>0.29317520125714663</v>
      </c>
      <c r="X8754" s="2">
        <f ca="1"/>
        <v>31.649663463279527</v>
      </c>
      <c r="AG8754" s="2">
        <f ca="1"/>
        <v>0.38297796936627404</v>
      </c>
      <c r="AH8754" s="2" t="str">
        <f ca="1"/>
        <v>OK</v>
      </c>
    </row>
    <row r="8755" spans="2:34" x14ac:dyDescent="0.2">
      <c r="B8755" s="2">
        <f ca="1"/>
        <v>0.8681712064054159</v>
      </c>
      <c r="O8755" s="2">
        <f ca="1"/>
        <v>0.43536601149681758</v>
      </c>
      <c r="X8755" s="2">
        <f ca="1"/>
        <v>42.17945915821317</v>
      </c>
      <c r="AG8755" s="2">
        <f ca="1"/>
        <v>0.61700510182889201</v>
      </c>
      <c r="AH8755" s="2" t="str">
        <f ca="1"/>
        <v>Bad</v>
      </c>
    </row>
    <row r="8756" spans="2:34" x14ac:dyDescent="0.2">
      <c r="B8756" s="2">
        <f ca="1"/>
        <v>0.31757189371601879</v>
      </c>
      <c r="O8756" s="2">
        <f ca="1"/>
        <v>0.74314033537568647</v>
      </c>
      <c r="X8756" s="2">
        <f ca="1"/>
        <v>46.009548601105436</v>
      </c>
      <c r="AG8756" s="2">
        <f ca="1"/>
        <v>0.83349904002224751</v>
      </c>
      <c r="AH8756" s="2" t="str">
        <f ca="1"/>
        <v>Bad</v>
      </c>
    </row>
    <row r="8757" spans="2:34" x14ac:dyDescent="0.2">
      <c r="B8757" s="2">
        <f ca="1"/>
        <v>0.16544173780636728</v>
      </c>
      <c r="O8757" s="2">
        <f ca="1"/>
        <v>-0.49363638281593647</v>
      </c>
      <c r="X8757" s="2">
        <f ca="1"/>
        <v>70.711528262757952</v>
      </c>
      <c r="AG8757" s="2">
        <f ca="1"/>
        <v>3.1219137174205214E-2</v>
      </c>
      <c r="AH8757" s="2" t="str">
        <f ca="1"/>
        <v>Good</v>
      </c>
    </row>
    <row r="8758" spans="2:34" x14ac:dyDescent="0.2">
      <c r="B8758" s="2">
        <f ca="1"/>
        <v>0.24260477694979254</v>
      </c>
      <c r="O8758" s="2">
        <f ca="1"/>
        <v>-1.8532189927946685</v>
      </c>
      <c r="X8758" s="2">
        <f ca="1"/>
        <v>58.970426429309377</v>
      </c>
      <c r="AG8758" s="2">
        <f ca="1"/>
        <v>0.10998044283944197</v>
      </c>
      <c r="AH8758" s="2" t="str">
        <f ca="1"/>
        <v>OK</v>
      </c>
    </row>
    <row r="8759" spans="2:34" x14ac:dyDescent="0.2">
      <c r="B8759" s="2">
        <f ca="1"/>
        <v>0.27339213078992097</v>
      </c>
      <c r="O8759" s="2">
        <f ca="1"/>
        <v>1.2075203971014563</v>
      </c>
      <c r="X8759" s="2">
        <f ca="1"/>
        <v>77.219348970474698</v>
      </c>
      <c r="AG8759" s="2">
        <f ca="1"/>
        <v>0.75756820443738127</v>
      </c>
      <c r="AH8759" s="2" t="str">
        <f ca="1"/>
        <v>Bad</v>
      </c>
    </row>
    <row r="8760" spans="2:34" x14ac:dyDescent="0.2">
      <c r="B8760" s="2">
        <f ca="1"/>
        <v>0.4923205114518181</v>
      </c>
      <c r="O8760" s="2">
        <f ca="1"/>
        <v>0.57754867011940336</v>
      </c>
      <c r="X8760" s="2">
        <f ca="1"/>
        <v>67.226555853520935</v>
      </c>
      <c r="AG8760" s="2">
        <f ca="1"/>
        <v>0.73683173679306035</v>
      </c>
      <c r="AH8760" s="2" t="str">
        <f ca="1"/>
        <v>Bad</v>
      </c>
    </row>
    <row r="8761" spans="2:34" x14ac:dyDescent="0.2">
      <c r="B8761" s="2">
        <f ca="1"/>
        <v>0.98022354263125355</v>
      </c>
      <c r="O8761" s="2">
        <f ca="1"/>
        <v>-0.2045893005295818</v>
      </c>
      <c r="X8761" s="2">
        <f ca="1"/>
        <v>40.00538704120445</v>
      </c>
      <c r="AG8761" s="2">
        <f ca="1"/>
        <v>0.65195357775085716</v>
      </c>
      <c r="AH8761" s="2" t="str">
        <f ca="1"/>
        <v>Bad</v>
      </c>
    </row>
    <row r="8762" spans="2:34" x14ac:dyDescent="0.2">
      <c r="B8762" s="2">
        <f ca="1"/>
        <v>0.63065610540187778</v>
      </c>
      <c r="O8762" s="2">
        <f ca="1"/>
        <v>-0.42880403004557854</v>
      </c>
      <c r="X8762" s="2">
        <f ca="1"/>
        <v>46.145728147750404</v>
      </c>
      <c r="AG8762" s="2">
        <f ca="1"/>
        <v>0.26204852558349723</v>
      </c>
      <c r="AH8762" s="2" t="str">
        <f ca="1"/>
        <v>OK</v>
      </c>
    </row>
    <row r="8763" spans="2:34" x14ac:dyDescent="0.2">
      <c r="B8763" s="2">
        <f ca="1"/>
        <v>0.75149576840075105</v>
      </c>
      <c r="O8763" s="2">
        <f ca="1"/>
        <v>1.869529055017763</v>
      </c>
      <c r="X8763" s="2">
        <f ca="1"/>
        <v>54.823662230919908</v>
      </c>
      <c r="AG8763" s="2">
        <f ca="1"/>
        <v>0.98923712074226811</v>
      </c>
      <c r="AH8763" s="2" t="str">
        <f ca="1"/>
        <v>Bad</v>
      </c>
    </row>
    <row r="8764" spans="2:34" x14ac:dyDescent="0.2">
      <c r="B8764" s="2">
        <f ca="1"/>
        <v>0.52051346946757593</v>
      </c>
      <c r="O8764" s="2">
        <f ca="1"/>
        <v>0.53567041969770235</v>
      </c>
      <c r="X8764" s="2">
        <f ca="1"/>
        <v>55.850579237578856</v>
      </c>
      <c r="AG8764" s="2">
        <f ca="1"/>
        <v>0.330720505181064</v>
      </c>
      <c r="AH8764" s="2" t="str">
        <f ca="1"/>
        <v>OK</v>
      </c>
    </row>
    <row r="8765" spans="2:34" x14ac:dyDescent="0.2">
      <c r="B8765" s="2">
        <f ca="1"/>
        <v>0.19232349159035822</v>
      </c>
      <c r="O8765" s="2">
        <f ca="1"/>
        <v>-1.0847147269296531</v>
      </c>
      <c r="X8765" s="2">
        <f ca="1"/>
        <v>76.118700117534217</v>
      </c>
      <c r="AG8765" s="2">
        <f ca="1"/>
        <v>0.4505926787033776</v>
      </c>
      <c r="AH8765" s="2" t="str">
        <f ca="1"/>
        <v>Bad</v>
      </c>
    </row>
    <row r="8766" spans="2:34" x14ac:dyDescent="0.2">
      <c r="B8766" s="2">
        <f ca="1"/>
        <v>0.6590029288815078</v>
      </c>
      <c r="O8766" s="2">
        <f ca="1"/>
        <v>-0.93413404197493211</v>
      </c>
      <c r="X8766" s="2">
        <f ca="1"/>
        <v>44.7373147483152</v>
      </c>
      <c r="AG8766" s="2">
        <f ca="1"/>
        <v>0.83841331032723021</v>
      </c>
      <c r="AH8766" s="2" t="str">
        <f ca="1"/>
        <v>Bad</v>
      </c>
    </row>
    <row r="8767" spans="2:34" x14ac:dyDescent="0.2">
      <c r="B8767" s="2">
        <f ca="1"/>
        <v>0.78579428126694739</v>
      </c>
      <c r="O8767" s="2">
        <f ca="1"/>
        <v>-1.1900077488995662</v>
      </c>
      <c r="X8767" s="2">
        <f ca="1"/>
        <v>58.46262542631446</v>
      </c>
      <c r="AG8767" s="2">
        <f ca="1"/>
        <v>8.6378840876853991E-2</v>
      </c>
      <c r="AH8767" s="2" t="str">
        <f ca="1"/>
        <v>OK</v>
      </c>
    </row>
    <row r="8768" spans="2:34" x14ac:dyDescent="0.2">
      <c r="B8768" s="2">
        <f ca="1"/>
        <v>0.28692344363011602</v>
      </c>
      <c r="O8768" s="2">
        <f ca="1"/>
        <v>-0.90233810493156552</v>
      </c>
      <c r="X8768" s="2">
        <f ca="1"/>
        <v>41.913422955610613</v>
      </c>
      <c r="AG8768" s="2">
        <f ca="1"/>
        <v>0.88378248497247558</v>
      </c>
      <c r="AH8768" s="2" t="str">
        <f ca="1"/>
        <v>Bad</v>
      </c>
    </row>
    <row r="8769" spans="2:34" x14ac:dyDescent="0.2">
      <c r="B8769" s="2">
        <f ca="1"/>
        <v>0.81671516082850837</v>
      </c>
      <c r="O8769" s="2">
        <f ca="1"/>
        <v>-1.3568734065068053</v>
      </c>
      <c r="X8769" s="2">
        <f ca="1"/>
        <v>57.4617141380837</v>
      </c>
      <c r="AG8769" s="2">
        <f ca="1"/>
        <v>0.96019723490249254</v>
      </c>
      <c r="AH8769" s="2" t="str">
        <f ca="1"/>
        <v>Bad</v>
      </c>
    </row>
    <row r="8770" spans="2:34" x14ac:dyDescent="0.2">
      <c r="B8770" s="2">
        <f ca="1"/>
        <v>0.8962762239199682</v>
      </c>
      <c r="O8770" s="2">
        <f ca="1"/>
        <v>-1.2759317142951088</v>
      </c>
      <c r="X8770" s="2">
        <f ca="1"/>
        <v>30.564288073992202</v>
      </c>
      <c r="AG8770" s="2">
        <f ca="1"/>
        <v>0.15229299229821813</v>
      </c>
      <c r="AH8770" s="2" t="str">
        <f ca="1"/>
        <v>OK</v>
      </c>
    </row>
    <row r="8771" spans="2:34" x14ac:dyDescent="0.2">
      <c r="B8771" s="2">
        <f ca="1"/>
        <v>0.98761999116528632</v>
      </c>
      <c r="O8771" s="2">
        <f ca="1"/>
        <v>0.19528092964549471</v>
      </c>
      <c r="X8771" s="2">
        <f ca="1"/>
        <v>63.842608437960713</v>
      </c>
      <c r="AG8771" s="2">
        <f ca="1"/>
        <v>6.0460884128522352E-2</v>
      </c>
      <c r="AH8771" s="2" t="str">
        <f ca="1"/>
        <v>OK</v>
      </c>
    </row>
    <row r="8772" spans="2:34" x14ac:dyDescent="0.2">
      <c r="B8772" s="2">
        <f ca="1"/>
        <v>0.40711839757721568</v>
      </c>
      <c r="O8772" s="2">
        <f ca="1"/>
        <v>0.96242984645180163</v>
      </c>
      <c r="X8772" s="2">
        <f ca="1"/>
        <v>45.654846087494235</v>
      </c>
      <c r="AG8772" s="2">
        <f ca="1"/>
        <v>0.60513280395115765</v>
      </c>
      <c r="AH8772" s="2" t="str">
        <f ca="1"/>
        <v>Bad</v>
      </c>
    </row>
    <row r="8773" spans="2:34" x14ac:dyDescent="0.2">
      <c r="B8773" s="2">
        <f ca="1"/>
        <v>0.4417073420878681</v>
      </c>
      <c r="O8773" s="2">
        <f ca="1"/>
        <v>-1.6529834976429472</v>
      </c>
      <c r="X8773" s="2">
        <f ca="1"/>
        <v>76.924656302576011</v>
      </c>
      <c r="AG8773" s="2">
        <f ca="1"/>
        <v>0.71611824974494098</v>
      </c>
      <c r="AH8773" s="2" t="str">
        <f ca="1"/>
        <v>Bad</v>
      </c>
    </row>
    <row r="8774" spans="2:34" x14ac:dyDescent="0.2">
      <c r="B8774" s="2">
        <f ca="1"/>
        <v>0.46731340237656149</v>
      </c>
      <c r="O8774" s="2">
        <f ca="1"/>
        <v>0.79751882200807067</v>
      </c>
      <c r="X8774" s="2">
        <f ca="1"/>
        <v>51.185042535105218</v>
      </c>
      <c r="AG8774" s="2">
        <f ca="1"/>
        <v>0.95400330494618557</v>
      </c>
      <c r="AH8774" s="2" t="str">
        <f ca="1"/>
        <v>Bad</v>
      </c>
    </row>
    <row r="8775" spans="2:34" x14ac:dyDescent="0.2">
      <c r="B8775" s="2">
        <f ca="1"/>
        <v>0.85267083861804305</v>
      </c>
      <c r="O8775" s="2">
        <f ca="1"/>
        <v>-1.5784534373885575</v>
      </c>
      <c r="X8775" s="2">
        <f ca="1"/>
        <v>53.060969869525216</v>
      </c>
      <c r="AG8775" s="2">
        <f ca="1"/>
        <v>0.37914085243585194</v>
      </c>
      <c r="AH8775" s="2" t="str">
        <f ca="1"/>
        <v>OK</v>
      </c>
    </row>
    <row r="8776" spans="2:34" x14ac:dyDescent="0.2">
      <c r="B8776" s="2">
        <f ca="1"/>
        <v>9.7705538960346505E-2</v>
      </c>
      <c r="O8776" s="2">
        <f ca="1"/>
        <v>-0.29359358690249687</v>
      </c>
      <c r="X8776" s="2">
        <f ca="1"/>
        <v>36.437137135424109</v>
      </c>
      <c r="AG8776" s="2">
        <f ca="1"/>
        <v>0.34790674043385206</v>
      </c>
      <c r="AH8776" s="2" t="str">
        <f ca="1"/>
        <v>OK</v>
      </c>
    </row>
    <row r="8777" spans="2:34" x14ac:dyDescent="0.2">
      <c r="B8777" s="2">
        <f ca="1"/>
        <v>0.91316320640931337</v>
      </c>
      <c r="O8777" s="2">
        <f ca="1"/>
        <v>-0.48477435590977602</v>
      </c>
      <c r="X8777" s="2">
        <f ca="1"/>
        <v>34.547084723037479</v>
      </c>
      <c r="AG8777" s="2">
        <f ca="1"/>
        <v>0.45885873854307402</v>
      </c>
      <c r="AH8777" s="2" t="str">
        <f ca="1"/>
        <v>Bad</v>
      </c>
    </row>
    <row r="8778" spans="2:34" x14ac:dyDescent="0.2">
      <c r="B8778" s="2">
        <f ca="1"/>
        <v>0.32707979892486749</v>
      </c>
      <c r="O8778" s="2">
        <f ca="1"/>
        <v>-3.0761638604081921E-2</v>
      </c>
      <c r="X8778" s="2">
        <f ca="1"/>
        <v>47.946902799118419</v>
      </c>
      <c r="AG8778" s="2">
        <f ca="1"/>
        <v>0.97525324088009868</v>
      </c>
      <c r="AH8778" s="2" t="str">
        <f ca="1"/>
        <v>Bad</v>
      </c>
    </row>
    <row r="8779" spans="2:34" x14ac:dyDescent="0.2">
      <c r="B8779" s="2">
        <f ca="1"/>
        <v>0.80243461212472433</v>
      </c>
      <c r="O8779" s="2">
        <f ca="1"/>
        <v>0.16853488347894591</v>
      </c>
      <c r="X8779" s="2">
        <f ca="1"/>
        <v>67.808771410827902</v>
      </c>
      <c r="AG8779" s="2">
        <f ca="1"/>
        <v>0.48697267732046701</v>
      </c>
      <c r="AH8779" s="2" t="str">
        <f ca="1"/>
        <v>Bad</v>
      </c>
    </row>
    <row r="8780" spans="2:34" x14ac:dyDescent="0.2">
      <c r="B8780" s="2">
        <f ca="1"/>
        <v>0.19306393023409774</v>
      </c>
      <c r="O8780" s="2">
        <f ca="1"/>
        <v>-0.2669057998862493</v>
      </c>
      <c r="X8780" s="2">
        <f ca="1"/>
        <v>52.780505995372195</v>
      </c>
      <c r="AG8780" s="2">
        <f ca="1"/>
        <v>0.25104794402165953</v>
      </c>
      <c r="AH8780" s="2" t="str">
        <f ca="1"/>
        <v>OK</v>
      </c>
    </row>
    <row r="8781" spans="2:34" x14ac:dyDescent="0.2">
      <c r="B8781" s="2">
        <f ca="1"/>
        <v>0.14834667025510484</v>
      </c>
      <c r="O8781" s="2">
        <f ca="1"/>
        <v>0.45440389389044078</v>
      </c>
      <c r="X8781" s="2">
        <f ca="1"/>
        <v>48.696316667942405</v>
      </c>
      <c r="AG8781" s="2">
        <f ca="1"/>
        <v>0.79797569151738856</v>
      </c>
      <c r="AH8781" s="2" t="str">
        <f ca="1"/>
        <v>Bad</v>
      </c>
    </row>
    <row r="8782" spans="2:34" x14ac:dyDescent="0.2">
      <c r="B8782" s="2">
        <f ca="1"/>
        <v>0.81414407732841587</v>
      </c>
      <c r="O8782" s="2">
        <f ca="1"/>
        <v>0.28750864183465158</v>
      </c>
      <c r="X8782" s="2">
        <f ca="1"/>
        <v>45.339080738014232</v>
      </c>
      <c r="AG8782" s="2">
        <f ca="1"/>
        <v>0.72194611578765766</v>
      </c>
      <c r="AH8782" s="2" t="str">
        <f ca="1"/>
        <v>Bad</v>
      </c>
    </row>
    <row r="8783" spans="2:34" x14ac:dyDescent="0.2">
      <c r="B8783" s="2">
        <f ca="1"/>
        <v>0.84070091634281718</v>
      </c>
      <c r="O8783" s="2">
        <f ca="1"/>
        <v>-1.0709104247619983</v>
      </c>
      <c r="X8783" s="2">
        <f ca="1"/>
        <v>59.502966599748902</v>
      </c>
      <c r="AG8783" s="2">
        <f ca="1"/>
        <v>0.99677290179657363</v>
      </c>
      <c r="AH8783" s="2" t="str">
        <f ca="1"/>
        <v>Bad</v>
      </c>
    </row>
    <row r="8784" spans="2:34" x14ac:dyDescent="0.2">
      <c r="B8784" s="2">
        <f ca="1"/>
        <v>0.20370344122284134</v>
      </c>
      <c r="O8784" s="2">
        <f ca="1"/>
        <v>-1.1641740672844532</v>
      </c>
      <c r="X8784" s="2">
        <f ca="1"/>
        <v>49.56922275228132</v>
      </c>
      <c r="AG8784" s="2">
        <f ca="1"/>
        <v>0.69518341990546628</v>
      </c>
      <c r="AH8784" s="2" t="str">
        <f ca="1"/>
        <v>Bad</v>
      </c>
    </row>
    <row r="8785" spans="2:34" x14ac:dyDescent="0.2">
      <c r="B8785" s="2">
        <f ca="1"/>
        <v>0.60118094293577307</v>
      </c>
      <c r="O8785" s="2">
        <f ca="1"/>
        <v>-0.85287410111772333</v>
      </c>
      <c r="X8785" s="2">
        <f ca="1"/>
        <v>85.332466142763096</v>
      </c>
      <c r="AG8785" s="2">
        <f ca="1"/>
        <v>0.53917018025462804</v>
      </c>
      <c r="AH8785" s="2" t="str">
        <f ca="1"/>
        <v>Bad</v>
      </c>
    </row>
    <row r="8786" spans="2:34" x14ac:dyDescent="0.2">
      <c r="B8786" s="2">
        <f ca="1"/>
        <v>7.9912488755399913E-2</v>
      </c>
      <c r="O8786" s="2">
        <f ca="1"/>
        <v>-0.38859724015911246</v>
      </c>
      <c r="X8786" s="2">
        <f ca="1"/>
        <v>55.351096895195234</v>
      </c>
      <c r="AG8786" s="2">
        <f ca="1"/>
        <v>0.87836256096664589</v>
      </c>
      <c r="AH8786" s="2" t="str">
        <f ca="1"/>
        <v>Bad</v>
      </c>
    </row>
    <row r="8787" spans="2:34" x14ac:dyDescent="0.2">
      <c r="B8787" s="2">
        <f ca="1"/>
        <v>0.21666747839751643</v>
      </c>
      <c r="O8787" s="2">
        <f ca="1"/>
        <v>0.41732560933149582</v>
      </c>
      <c r="X8787" s="2">
        <f ca="1"/>
        <v>43.522519308281353</v>
      </c>
      <c r="AG8787" s="2">
        <f ca="1"/>
        <v>0.62557834198043838</v>
      </c>
      <c r="AH8787" s="2" t="str">
        <f ca="1"/>
        <v>Bad</v>
      </c>
    </row>
    <row r="8788" spans="2:34" x14ac:dyDescent="0.2">
      <c r="B8788" s="2">
        <f ca="1"/>
        <v>0.90229142869092027</v>
      </c>
      <c r="O8788" s="2">
        <f ca="1"/>
        <v>-1.2304421677766677</v>
      </c>
      <c r="X8788" s="2">
        <f ca="1"/>
        <v>29.723402626355643</v>
      </c>
      <c r="AG8788" s="2">
        <f ca="1"/>
        <v>0.97945258709613703</v>
      </c>
      <c r="AH8788" s="2" t="str">
        <f ca="1"/>
        <v>Bad</v>
      </c>
    </row>
    <row r="8789" spans="2:34" x14ac:dyDescent="0.2">
      <c r="B8789" s="2">
        <f ca="1"/>
        <v>6.9339925907935474E-2</v>
      </c>
      <c r="O8789" s="2">
        <f ca="1"/>
        <v>1.1349508498187384</v>
      </c>
      <c r="X8789" s="2">
        <f ca="1"/>
        <v>61.76162704669246</v>
      </c>
      <c r="AG8789" s="2">
        <f ca="1"/>
        <v>0.52423328197930896</v>
      </c>
      <c r="AH8789" s="2" t="str">
        <f ca="1"/>
        <v>Bad</v>
      </c>
    </row>
    <row r="8790" spans="2:34" x14ac:dyDescent="0.2">
      <c r="B8790" s="2">
        <f ca="1"/>
        <v>0.62800166022482307</v>
      </c>
      <c r="O8790" s="2">
        <f ca="1"/>
        <v>1.1000102540823229</v>
      </c>
      <c r="X8790" s="2">
        <f ca="1"/>
        <v>44.917161823545122</v>
      </c>
      <c r="AG8790" s="2">
        <f ca="1"/>
        <v>0.95566420701976984</v>
      </c>
      <c r="AH8790" s="2" t="str">
        <f ca="1"/>
        <v>Bad</v>
      </c>
    </row>
    <row r="8791" spans="2:34" x14ac:dyDescent="0.2">
      <c r="B8791" s="2">
        <f ca="1"/>
        <v>0.52085028958105517</v>
      </c>
      <c r="O8791" s="2">
        <f ca="1"/>
        <v>-0.5014507793321904</v>
      </c>
      <c r="X8791" s="2">
        <f ca="1"/>
        <v>44.916358231362992</v>
      </c>
      <c r="AG8791" s="2">
        <f ca="1"/>
        <v>0.57089881485817662</v>
      </c>
      <c r="AH8791" s="2" t="str">
        <f ca="1"/>
        <v>Bad</v>
      </c>
    </row>
    <row r="8792" spans="2:34" x14ac:dyDescent="0.2">
      <c r="B8792" s="2">
        <f ca="1"/>
        <v>0.935843145026243</v>
      </c>
      <c r="O8792" s="2">
        <f ca="1"/>
        <v>0.50995991624764636</v>
      </c>
      <c r="X8792" s="2">
        <f ca="1"/>
        <v>66.69957626687102</v>
      </c>
      <c r="AG8792" s="2">
        <f ca="1"/>
        <v>0.72511811882888333</v>
      </c>
      <c r="AH8792" s="2" t="str">
        <f ca="1"/>
        <v>Bad</v>
      </c>
    </row>
    <row r="8793" spans="2:34" x14ac:dyDescent="0.2">
      <c r="B8793" s="2">
        <f ca="1"/>
        <v>0.64851887492231297</v>
      </c>
      <c r="O8793" s="2">
        <f ca="1"/>
        <v>0.28099142152125867</v>
      </c>
      <c r="X8793" s="2">
        <f ca="1"/>
        <v>36.353619121094638</v>
      </c>
      <c r="AG8793" s="2">
        <f ca="1"/>
        <v>0.13820604663636016</v>
      </c>
      <c r="AH8793" s="2" t="str">
        <f ca="1"/>
        <v>OK</v>
      </c>
    </row>
    <row r="8794" spans="2:34" x14ac:dyDescent="0.2">
      <c r="B8794" s="2">
        <f ca="1"/>
        <v>0.38879791606115099</v>
      </c>
      <c r="O8794" s="2">
        <f ca="1"/>
        <v>-0.50723710659846655</v>
      </c>
      <c r="X8794" s="2">
        <f ca="1"/>
        <v>31.888416761551994</v>
      </c>
      <c r="AG8794" s="2">
        <f ca="1"/>
        <v>0.25215402222707883</v>
      </c>
      <c r="AH8794" s="2" t="str">
        <f ca="1"/>
        <v>OK</v>
      </c>
    </row>
    <row r="8795" spans="2:34" x14ac:dyDescent="0.2">
      <c r="B8795" s="2">
        <f ca="1"/>
        <v>0.56082744591254707</v>
      </c>
      <c r="O8795" s="2">
        <f ca="1"/>
        <v>0.5710963564847088</v>
      </c>
      <c r="X8795" s="2">
        <f ca="1"/>
        <v>76.151888028781755</v>
      </c>
      <c r="AG8795" s="2">
        <f ca="1"/>
        <v>0.56596578683174026</v>
      </c>
      <c r="AH8795" s="2" t="str">
        <f ca="1"/>
        <v>Bad</v>
      </c>
    </row>
    <row r="8796" spans="2:34" x14ac:dyDescent="0.2">
      <c r="B8796" s="2">
        <f ca="1"/>
        <v>0.87113489685184087</v>
      </c>
      <c r="O8796" s="2">
        <f ca="1"/>
        <v>0.54058561496467694</v>
      </c>
      <c r="X8796" s="2">
        <f ca="1"/>
        <v>40.242613793996739</v>
      </c>
      <c r="AG8796" s="2">
        <f ca="1"/>
        <v>0.7042560747538098</v>
      </c>
      <c r="AH8796" s="2" t="str">
        <f ca="1"/>
        <v>Bad</v>
      </c>
    </row>
    <row r="8797" spans="2:34" x14ac:dyDescent="0.2">
      <c r="B8797" s="2">
        <f ca="1"/>
        <v>0.74191362741949307</v>
      </c>
      <c r="O8797" s="2">
        <f ca="1"/>
        <v>-1.762059562235939</v>
      </c>
      <c r="X8797" s="2">
        <f ca="1"/>
        <v>47.542289245799068</v>
      </c>
      <c r="AG8797" s="2">
        <f ca="1"/>
        <v>6.881439796545763E-3</v>
      </c>
      <c r="AH8797" s="2" t="str">
        <f ca="1"/>
        <v>Good</v>
      </c>
    </row>
    <row r="8798" spans="2:34" x14ac:dyDescent="0.2">
      <c r="B8798" s="2">
        <f ca="1"/>
        <v>0.1963780961105801</v>
      </c>
      <c r="O8798" s="2">
        <f ca="1"/>
        <v>-1.8238951448869116</v>
      </c>
      <c r="X8798" s="2">
        <f ca="1"/>
        <v>56.659662237749728</v>
      </c>
      <c r="AG8798" s="2">
        <f ca="1"/>
        <v>0.29869204520169412</v>
      </c>
      <c r="AH8798" s="2" t="str">
        <f ca="1"/>
        <v>OK</v>
      </c>
    </row>
    <row r="8799" spans="2:34" x14ac:dyDescent="0.2">
      <c r="B8799" s="2">
        <f ca="1"/>
        <v>0.73435661576374134</v>
      </c>
      <c r="O8799" s="2">
        <f ca="1"/>
        <v>0.42700414035461409</v>
      </c>
      <c r="X8799" s="2">
        <f ca="1"/>
        <v>96.813937892359718</v>
      </c>
      <c r="AG8799" s="2">
        <f ca="1"/>
        <v>0.28799226040735326</v>
      </c>
      <c r="AH8799" s="2" t="str">
        <f ca="1"/>
        <v>OK</v>
      </c>
    </row>
    <row r="8800" spans="2:34" x14ac:dyDescent="0.2">
      <c r="B8800" s="2">
        <f ca="1"/>
        <v>0.91650222217496546</v>
      </c>
      <c r="O8800" s="2">
        <f ca="1"/>
        <v>0.23827673091972199</v>
      </c>
      <c r="X8800" s="2">
        <f ca="1"/>
        <v>58.52879152401519</v>
      </c>
      <c r="AG8800" s="2">
        <f ca="1"/>
        <v>1.1389283294594987E-2</v>
      </c>
      <c r="AH8800" s="2" t="str">
        <f ca="1"/>
        <v>Good</v>
      </c>
    </row>
    <row r="8801" spans="2:34" x14ac:dyDescent="0.2">
      <c r="B8801" s="2">
        <f ca="1"/>
        <v>0.64570214674178583</v>
      </c>
      <c r="O8801" s="2">
        <f ca="1"/>
        <v>-0.45466883397643076</v>
      </c>
      <c r="X8801" s="2">
        <f ca="1"/>
        <v>33.619029655917402</v>
      </c>
      <c r="AG8801" s="2">
        <f ca="1"/>
        <v>0.81606090002162301</v>
      </c>
      <c r="AH8801" s="2" t="str">
        <f ca="1"/>
        <v>Bad</v>
      </c>
    </row>
    <row r="8802" spans="2:34" x14ac:dyDescent="0.2">
      <c r="B8802" s="2">
        <f ca="1"/>
        <v>0.9648329383311216</v>
      </c>
      <c r="O8802" s="2">
        <f ca="1"/>
        <v>1.0419201266201195</v>
      </c>
      <c r="X8802" s="2">
        <f ca="1"/>
        <v>46.287668497475671</v>
      </c>
      <c r="AG8802" s="2">
        <f ca="1"/>
        <v>0.96996058592925949</v>
      </c>
      <c r="AH8802" s="2" t="str">
        <f ca="1"/>
        <v>Bad</v>
      </c>
    </row>
    <row r="8803" spans="2:34" x14ac:dyDescent="0.2">
      <c r="B8803" s="2">
        <f ca="1"/>
        <v>0.53365996271206728</v>
      </c>
      <c r="O8803" s="2">
        <f ca="1"/>
        <v>1.4157549132682674</v>
      </c>
      <c r="X8803" s="2">
        <f ca="1"/>
        <v>58.773993372120188</v>
      </c>
      <c r="AG8803" s="2">
        <f ca="1"/>
        <v>0.29930258519755348</v>
      </c>
      <c r="AH8803" s="2" t="str">
        <f ca="1"/>
        <v>OK</v>
      </c>
    </row>
    <row r="8804" spans="2:34" x14ac:dyDescent="0.2">
      <c r="B8804" s="2">
        <f ca="1"/>
        <v>0.38650038779001883</v>
      </c>
      <c r="O8804" s="2">
        <f ca="1"/>
        <v>-1.3916116783097934</v>
      </c>
      <c r="X8804" s="2">
        <f ca="1"/>
        <v>32.46616600712504</v>
      </c>
      <c r="AG8804" s="2">
        <f ca="1"/>
        <v>0.99763208864131192</v>
      </c>
      <c r="AH8804" s="2" t="str">
        <f ca="1"/>
        <v>Bad</v>
      </c>
    </row>
    <row r="8805" spans="2:34" x14ac:dyDescent="0.2">
      <c r="B8805" s="2">
        <f ca="1"/>
        <v>0.80439638925265933</v>
      </c>
      <c r="O8805" s="2">
        <f ca="1"/>
        <v>-0.37180959012875897</v>
      </c>
      <c r="X8805" s="2">
        <f ca="1"/>
        <v>31.087285366047933</v>
      </c>
      <c r="AG8805" s="2">
        <f ca="1"/>
        <v>0.75246644033079213</v>
      </c>
      <c r="AH8805" s="2" t="str">
        <f ca="1"/>
        <v>Bad</v>
      </c>
    </row>
    <row r="8806" spans="2:34" x14ac:dyDescent="0.2">
      <c r="B8806" s="2">
        <f ca="1"/>
        <v>0.16457815127298558</v>
      </c>
      <c r="O8806" s="2">
        <f ca="1"/>
        <v>0.76874267146357433</v>
      </c>
      <c r="X8806" s="2">
        <f ca="1"/>
        <v>70.12288690406632</v>
      </c>
      <c r="AG8806" s="2">
        <f ca="1"/>
        <v>0.99925186878831918</v>
      </c>
      <c r="AH8806" s="2" t="str">
        <f ca="1"/>
        <v>Bad</v>
      </c>
    </row>
    <row r="8807" spans="2:34" x14ac:dyDescent="0.2">
      <c r="B8807" s="2">
        <f ca="1"/>
        <v>0.22663253218446111</v>
      </c>
      <c r="O8807" s="2">
        <f ca="1"/>
        <v>4.6064917060026599E-2</v>
      </c>
      <c r="X8807" s="2">
        <f ca="1"/>
        <v>36.927169180603329</v>
      </c>
      <c r="AG8807" s="2">
        <f ca="1"/>
        <v>0.67851460181267398</v>
      </c>
      <c r="AH8807" s="2" t="str">
        <f ca="1"/>
        <v>Bad</v>
      </c>
    </row>
    <row r="8808" spans="2:34" x14ac:dyDescent="0.2">
      <c r="B8808" s="2">
        <f ca="1"/>
        <v>0.60014310487020106</v>
      </c>
      <c r="O8808" s="2">
        <f ca="1"/>
        <v>1.3067947056305922</v>
      </c>
      <c r="X8808" s="2">
        <f ca="1"/>
        <v>65.047561035436189</v>
      </c>
      <c r="AG8808" s="2">
        <f ca="1"/>
        <v>0.97278129798642521</v>
      </c>
      <c r="AH8808" s="2" t="str">
        <f ca="1"/>
        <v>Bad</v>
      </c>
    </row>
    <row r="8809" spans="2:34" x14ac:dyDescent="0.2">
      <c r="B8809" s="2">
        <f ca="1"/>
        <v>0.1949380346582601</v>
      </c>
      <c r="O8809" s="2">
        <f ca="1"/>
        <v>5.097821125980645E-2</v>
      </c>
      <c r="X8809" s="2">
        <f ca="1"/>
        <v>26.680129591403464</v>
      </c>
      <c r="AG8809" s="2">
        <f ca="1"/>
        <v>0.72808985868354248</v>
      </c>
      <c r="AH8809" s="2" t="str">
        <f ca="1"/>
        <v>Bad</v>
      </c>
    </row>
    <row r="8810" spans="2:34" x14ac:dyDescent="0.2">
      <c r="B8810" s="2">
        <f ca="1"/>
        <v>0.13025470550191542</v>
      </c>
      <c r="O8810" s="2">
        <f ca="1"/>
        <v>1.7463112087768651</v>
      </c>
      <c r="X8810" s="2">
        <f ca="1"/>
        <v>84.660063717029018</v>
      </c>
      <c r="AG8810" s="2">
        <f ca="1"/>
        <v>0.92279553378506018</v>
      </c>
      <c r="AH8810" s="2" t="str">
        <f ca="1"/>
        <v>Bad</v>
      </c>
    </row>
    <row r="8811" spans="2:34" x14ac:dyDescent="0.2">
      <c r="B8811" s="2">
        <f ca="1"/>
        <v>0.61122418002616685</v>
      </c>
      <c r="O8811" s="2">
        <f ca="1"/>
        <v>0.68892086932249319</v>
      </c>
      <c r="X8811" s="2">
        <f ca="1"/>
        <v>92.016549272519967</v>
      </c>
      <c r="AG8811" s="2">
        <f ca="1"/>
        <v>0.73201486920075931</v>
      </c>
      <c r="AH8811" s="2" t="str">
        <f ca="1"/>
        <v>Bad</v>
      </c>
    </row>
    <row r="8812" spans="2:34" x14ac:dyDescent="0.2">
      <c r="B8812" s="2">
        <f ca="1"/>
        <v>0.27593425076833555</v>
      </c>
      <c r="O8812" s="2">
        <f ca="1"/>
        <v>-0.18097844310045003</v>
      </c>
      <c r="X8812" s="2">
        <f ca="1"/>
        <v>62.884394983357751</v>
      </c>
      <c r="AG8812" s="2">
        <f ca="1"/>
        <v>0.97877879045295346</v>
      </c>
      <c r="AH8812" s="2" t="str">
        <f ca="1"/>
        <v>Bad</v>
      </c>
    </row>
    <row r="8813" spans="2:34" x14ac:dyDescent="0.2">
      <c r="B8813" s="2">
        <f ca="1"/>
        <v>0.62568959177343331</v>
      </c>
      <c r="O8813" s="2">
        <f ca="1"/>
        <v>-7.0801476087097401E-2</v>
      </c>
      <c r="X8813" s="2">
        <f ca="1"/>
        <v>45.775009672735607</v>
      </c>
      <c r="AG8813" s="2">
        <f ca="1"/>
        <v>0.36802671338074799</v>
      </c>
      <c r="AH8813" s="2" t="str">
        <f ca="1"/>
        <v>OK</v>
      </c>
    </row>
    <row r="8814" spans="2:34" x14ac:dyDescent="0.2">
      <c r="B8814" s="2">
        <f ca="1"/>
        <v>0.80595110519164104</v>
      </c>
      <c r="O8814" s="2">
        <f ca="1"/>
        <v>0.18157988538231387</v>
      </c>
      <c r="X8814" s="2">
        <f ca="1"/>
        <v>64.754665029262398</v>
      </c>
      <c r="AG8814" s="2">
        <f ca="1"/>
        <v>0.96157024909076028</v>
      </c>
      <c r="AH8814" s="2" t="str">
        <f ca="1"/>
        <v>Bad</v>
      </c>
    </row>
    <row r="8815" spans="2:34" x14ac:dyDescent="0.2">
      <c r="B8815" s="2">
        <f ca="1"/>
        <v>0.91881043348901903</v>
      </c>
      <c r="O8815" s="2">
        <f ca="1"/>
        <v>0.93269236761928165</v>
      </c>
      <c r="X8815" s="2">
        <f ca="1"/>
        <v>41.011119500021593</v>
      </c>
      <c r="AG8815" s="2">
        <f ca="1"/>
        <v>0.72166296452705692</v>
      </c>
      <c r="AH8815" s="2" t="str">
        <f ca="1"/>
        <v>Bad</v>
      </c>
    </row>
    <row r="8816" spans="2:34" x14ac:dyDescent="0.2">
      <c r="B8816" s="2">
        <f ca="1"/>
        <v>0.5867593674875593</v>
      </c>
      <c r="O8816" s="2">
        <f ca="1"/>
        <v>-3.0110623701469084E-2</v>
      </c>
      <c r="X8816" s="2">
        <f ca="1"/>
        <v>49.755375296657078</v>
      </c>
      <c r="AG8816" s="2">
        <f ca="1"/>
        <v>9.8065574633644959E-2</v>
      </c>
      <c r="AH8816" s="2" t="str">
        <f ca="1"/>
        <v>OK</v>
      </c>
    </row>
    <row r="8817" spans="2:34" x14ac:dyDescent="0.2">
      <c r="B8817" s="2">
        <f ca="1"/>
        <v>0.73667591163232626</v>
      </c>
      <c r="O8817" s="2">
        <f ca="1"/>
        <v>1.6152215519842705E-2</v>
      </c>
      <c r="X8817" s="2">
        <f ca="1"/>
        <v>64.041265664012471</v>
      </c>
      <c r="AG8817" s="2">
        <f ca="1"/>
        <v>0.51189945697543848</v>
      </c>
      <c r="AH8817" s="2" t="str">
        <f ca="1"/>
        <v>Bad</v>
      </c>
    </row>
    <row r="8818" spans="2:34" x14ac:dyDescent="0.2">
      <c r="B8818" s="2">
        <f ca="1"/>
        <v>0.3645242658895369</v>
      </c>
      <c r="O8818" s="2">
        <f ca="1"/>
        <v>-1.0600823495662264</v>
      </c>
      <c r="X8818" s="2">
        <f ca="1"/>
        <v>67.648933826085113</v>
      </c>
      <c r="AG8818" s="2">
        <f ca="1"/>
        <v>0.38004572536443604</v>
      </c>
      <c r="AH8818" s="2" t="str">
        <f ca="1"/>
        <v>OK</v>
      </c>
    </row>
    <row r="8819" spans="2:34" x14ac:dyDescent="0.2">
      <c r="B8819" s="2">
        <f ca="1"/>
        <v>0.54280286821979384</v>
      </c>
      <c r="O8819" s="2">
        <f ca="1"/>
        <v>-0.85305347256681363</v>
      </c>
      <c r="X8819" s="2">
        <f ca="1"/>
        <v>56.770756910631846</v>
      </c>
      <c r="AG8819" s="2">
        <f ca="1"/>
        <v>9.8409927334095704E-2</v>
      </c>
      <c r="AH8819" s="2" t="str">
        <f ca="1"/>
        <v>OK</v>
      </c>
    </row>
    <row r="8820" spans="2:34" x14ac:dyDescent="0.2">
      <c r="B8820" s="2">
        <f ca="1"/>
        <v>0.69353066565230348</v>
      </c>
      <c r="O8820" s="2">
        <f ca="1"/>
        <v>8.8427986889023272E-2</v>
      </c>
      <c r="X8820" s="2">
        <f ca="1"/>
        <v>33.77119062255202</v>
      </c>
      <c r="AG8820" s="2">
        <f ca="1"/>
        <v>0.90531701440978929</v>
      </c>
      <c r="AH8820" s="2" t="str">
        <f ca="1"/>
        <v>Bad</v>
      </c>
    </row>
    <row r="8821" spans="2:34" x14ac:dyDescent="0.2">
      <c r="B8821" s="2">
        <f ca="1"/>
        <v>0.31461167247855881</v>
      </c>
      <c r="O8821" s="2">
        <f ca="1"/>
        <v>-0.17833306554634373</v>
      </c>
      <c r="X8821" s="2">
        <f ca="1"/>
        <v>42.997791549876503</v>
      </c>
      <c r="AG8821" s="2">
        <f ca="1"/>
        <v>0.898920191228191</v>
      </c>
      <c r="AH8821" s="2" t="str">
        <f ca="1"/>
        <v>Bad</v>
      </c>
    </row>
    <row r="8822" spans="2:34" x14ac:dyDescent="0.2">
      <c r="B8822" s="2">
        <f ca="1"/>
        <v>0.26514225630747212</v>
      </c>
      <c r="O8822" s="2">
        <f ca="1"/>
        <v>0.61919274949211056</v>
      </c>
      <c r="X8822" s="2">
        <f ca="1"/>
        <v>58.263463411572999</v>
      </c>
      <c r="AG8822" s="2">
        <f ca="1"/>
        <v>0.30767737820008234</v>
      </c>
      <c r="AH8822" s="2" t="str">
        <f ca="1"/>
        <v>OK</v>
      </c>
    </row>
    <row r="8823" spans="2:34" x14ac:dyDescent="0.2">
      <c r="B8823" s="2">
        <f ca="1"/>
        <v>0.92011748012485062</v>
      </c>
      <c r="O8823" s="2">
        <f ca="1"/>
        <v>0.55841764548712702</v>
      </c>
      <c r="X8823" s="2">
        <f ca="1"/>
        <v>47.93782685032788</v>
      </c>
      <c r="AG8823" s="2">
        <f ca="1"/>
        <v>7.8210733535640786E-2</v>
      </c>
      <c r="AH8823" s="2" t="str">
        <f ca="1"/>
        <v>OK</v>
      </c>
    </row>
    <row r="8824" spans="2:34" x14ac:dyDescent="0.2">
      <c r="B8824" s="2">
        <f ca="1"/>
        <v>0.50586312672030287</v>
      </c>
      <c r="O8824" s="2">
        <f ca="1"/>
        <v>2.0026578761667597E-2</v>
      </c>
      <c r="X8824" s="2">
        <f ca="1"/>
        <v>53.648095727417548</v>
      </c>
      <c r="AG8824" s="2">
        <f ca="1"/>
        <v>5.7110000243618453E-2</v>
      </c>
      <c r="AH8824" s="2" t="str">
        <f ca="1"/>
        <v>OK</v>
      </c>
    </row>
    <row r="8825" spans="2:34" x14ac:dyDescent="0.2">
      <c r="B8825" s="2">
        <f ca="1"/>
        <v>1.3242057311539934E-3</v>
      </c>
      <c r="O8825" s="2">
        <f ca="1"/>
        <v>-1.1418809940575618</v>
      </c>
      <c r="X8825" s="2">
        <f ca="1"/>
        <v>33.773405555642199</v>
      </c>
      <c r="AG8825" s="2">
        <f ca="1"/>
        <v>0.82710667228461721</v>
      </c>
      <c r="AH8825" s="2" t="str">
        <f ca="1"/>
        <v>Bad</v>
      </c>
    </row>
    <row r="8826" spans="2:34" x14ac:dyDescent="0.2">
      <c r="B8826" s="2">
        <f ca="1"/>
        <v>0.61584102149351838</v>
      </c>
      <c r="O8826" s="2">
        <f ca="1"/>
        <v>0.74308067090075947</v>
      </c>
      <c r="X8826" s="2">
        <f ca="1"/>
        <v>59.311351125363089</v>
      </c>
      <c r="AG8826" s="2">
        <f ca="1"/>
        <v>0.62838848515140988</v>
      </c>
      <c r="AH8826" s="2" t="str">
        <f ca="1"/>
        <v>Bad</v>
      </c>
    </row>
    <row r="8827" spans="2:34" x14ac:dyDescent="0.2">
      <c r="B8827" s="2">
        <f ca="1"/>
        <v>0.71980482628997589</v>
      </c>
      <c r="O8827" s="2">
        <f ca="1"/>
        <v>0.92647724109635154</v>
      </c>
      <c r="X8827" s="2">
        <f ca="1"/>
        <v>37.943024867290077</v>
      </c>
      <c r="AG8827" s="2">
        <f ca="1"/>
        <v>0.57030196823832813</v>
      </c>
      <c r="AH8827" s="2" t="str">
        <f ca="1"/>
        <v>Bad</v>
      </c>
    </row>
    <row r="8828" spans="2:34" x14ac:dyDescent="0.2">
      <c r="B8828" s="2">
        <f ca="1"/>
        <v>0.75981044675769915</v>
      </c>
      <c r="O8828" s="2">
        <f ca="1"/>
        <v>-0.80967554702940059</v>
      </c>
      <c r="X8828" s="2">
        <f ca="1"/>
        <v>36.01805622818879</v>
      </c>
      <c r="AG8828" s="2">
        <f ca="1"/>
        <v>0.70427059862085795</v>
      </c>
      <c r="AH8828" s="2" t="str">
        <f ca="1"/>
        <v>Bad</v>
      </c>
    </row>
    <row r="8829" spans="2:34" x14ac:dyDescent="0.2">
      <c r="B8829" s="2">
        <f ca="1"/>
        <v>0.42141801610660901</v>
      </c>
      <c r="O8829" s="2">
        <f ca="1"/>
        <v>-0.37631737032423612</v>
      </c>
      <c r="X8829" s="2">
        <f ca="1"/>
        <v>39.434747253123902</v>
      </c>
      <c r="AG8829" s="2">
        <f ca="1"/>
        <v>0.2212783170389736</v>
      </c>
      <c r="AH8829" s="2" t="str">
        <f ca="1"/>
        <v>OK</v>
      </c>
    </row>
    <row r="8830" spans="2:34" x14ac:dyDescent="0.2">
      <c r="B8830" s="2">
        <f ca="1"/>
        <v>0.49779957157349042</v>
      </c>
      <c r="O8830" s="2">
        <f ca="1"/>
        <v>-0.1717804118993416</v>
      </c>
      <c r="X8830" s="2">
        <f ca="1"/>
        <v>50.889885440950174</v>
      </c>
      <c r="AG8830" s="2">
        <f ca="1"/>
        <v>0.10295678004954123</v>
      </c>
      <c r="AH8830" s="2" t="str">
        <f ca="1"/>
        <v>OK</v>
      </c>
    </row>
    <row r="8831" spans="2:34" x14ac:dyDescent="0.2">
      <c r="B8831" s="2">
        <f ca="1"/>
        <v>0.92310798829911622</v>
      </c>
      <c r="O8831" s="2">
        <f ca="1"/>
        <v>-0.5932559113568745</v>
      </c>
      <c r="X8831" s="2">
        <f ca="1"/>
        <v>31.595606835123881</v>
      </c>
      <c r="AG8831" s="2">
        <f ca="1"/>
        <v>0.35256917388747677</v>
      </c>
      <c r="AH8831" s="2" t="str">
        <f ca="1"/>
        <v>OK</v>
      </c>
    </row>
    <row r="8832" spans="2:34" x14ac:dyDescent="0.2">
      <c r="B8832" s="2">
        <f ca="1"/>
        <v>0.14293191713404529</v>
      </c>
      <c r="O8832" s="2">
        <f ca="1"/>
        <v>-2.6361192862261627</v>
      </c>
      <c r="X8832" s="2">
        <f ca="1"/>
        <v>56.458312749177466</v>
      </c>
      <c r="AG8832" s="2">
        <f ca="1"/>
        <v>0.89024257523371442</v>
      </c>
      <c r="AH8832" s="2" t="str">
        <f ca="1"/>
        <v>Bad</v>
      </c>
    </row>
    <row r="8833" spans="2:34" x14ac:dyDescent="0.2">
      <c r="B8833" s="2">
        <f ca="1"/>
        <v>0.21111909356273073</v>
      </c>
      <c r="O8833" s="2">
        <f ca="1"/>
        <v>0.21988429147225808</v>
      </c>
      <c r="X8833" s="2">
        <f ca="1"/>
        <v>46.045398487094864</v>
      </c>
      <c r="AG8833" s="2">
        <f ca="1"/>
        <v>0.47928902639541771</v>
      </c>
      <c r="AH8833" s="2" t="str">
        <f ca="1"/>
        <v>Bad</v>
      </c>
    </row>
    <row r="8834" spans="2:34" x14ac:dyDescent="0.2">
      <c r="B8834" s="2">
        <f ca="1"/>
        <v>0.29577311338935752</v>
      </c>
      <c r="O8834" s="2">
        <f ca="1"/>
        <v>-1.0965469998476585</v>
      </c>
      <c r="X8834" s="2">
        <f ca="1"/>
        <v>43.823462446610144</v>
      </c>
      <c r="AG8834" s="2">
        <f ca="1"/>
        <v>0.9213422931513473</v>
      </c>
      <c r="AH8834" s="2" t="str">
        <f ca="1"/>
        <v>Bad</v>
      </c>
    </row>
    <row r="8835" spans="2:34" x14ac:dyDescent="0.2">
      <c r="B8835" s="2">
        <f ca="1"/>
        <v>0.98728464692237017</v>
      </c>
      <c r="O8835" s="2">
        <f ca="1"/>
        <v>1.1542396522594314E-3</v>
      </c>
      <c r="X8835" s="2">
        <f ca="1"/>
        <v>67.322735899046393</v>
      </c>
      <c r="AG8835" s="2">
        <f ca="1"/>
        <v>8.0000139472200971E-2</v>
      </c>
      <c r="AH8835" s="2" t="str">
        <f ca="1"/>
        <v>OK</v>
      </c>
    </row>
    <row r="8836" spans="2:34" x14ac:dyDescent="0.2">
      <c r="B8836" s="2">
        <f ca="1"/>
        <v>0.52400380743346053</v>
      </c>
      <c r="O8836" s="2">
        <f ca="1"/>
        <v>1.0639819453114316</v>
      </c>
      <c r="X8836" s="2">
        <f ca="1"/>
        <v>64.310027610944033</v>
      </c>
      <c r="AG8836" s="2">
        <f ca="1"/>
        <v>0.53775426851146269</v>
      </c>
      <c r="AH8836" s="2" t="str">
        <f ca="1"/>
        <v>Bad</v>
      </c>
    </row>
    <row r="8837" spans="2:34" x14ac:dyDescent="0.2">
      <c r="B8837" s="2">
        <f ca="1"/>
        <v>0.37208171384055988</v>
      </c>
      <c r="O8837" s="2">
        <f ca="1"/>
        <v>-1.336518311010561</v>
      </c>
      <c r="X8837" s="2">
        <f ca="1"/>
        <v>46.189794123722045</v>
      </c>
      <c r="AG8837" s="2">
        <f ca="1"/>
        <v>0.21362618034081393</v>
      </c>
      <c r="AH8837" s="2" t="str">
        <f ca="1"/>
        <v>OK</v>
      </c>
    </row>
    <row r="8838" spans="2:34" x14ac:dyDescent="0.2">
      <c r="B8838" s="2">
        <f ca="1"/>
        <v>0.13226224401056896</v>
      </c>
      <c r="O8838" s="2">
        <f ca="1"/>
        <v>-2.1200754987894559</v>
      </c>
      <c r="X8838" s="2">
        <f ca="1"/>
        <v>18.51932396170114</v>
      </c>
      <c r="AG8838" s="2">
        <f ca="1"/>
        <v>4.3779689728234983E-2</v>
      </c>
      <c r="AH8838" s="2" t="str">
        <f ca="1"/>
        <v>Good</v>
      </c>
    </row>
    <row r="8839" spans="2:34" x14ac:dyDescent="0.2">
      <c r="B8839" s="2">
        <f ca="1"/>
        <v>0.5430345762922768</v>
      </c>
      <c r="O8839" s="2">
        <f ca="1"/>
        <v>0.8040465770892079</v>
      </c>
      <c r="X8839" s="2">
        <f ca="1"/>
        <v>59.414725153888455</v>
      </c>
      <c r="AG8839" s="2">
        <f ca="1"/>
        <v>0.68983816341794801</v>
      </c>
      <c r="AH8839" s="2" t="str">
        <f ca="1"/>
        <v>Bad</v>
      </c>
    </row>
    <row r="8840" spans="2:34" x14ac:dyDescent="0.2">
      <c r="B8840" s="2">
        <f ca="1"/>
        <v>0.41538932248157812</v>
      </c>
      <c r="O8840" s="2">
        <f ca="1"/>
        <v>-0.31485051443035167</v>
      </c>
      <c r="X8840" s="2">
        <f ca="1"/>
        <v>60.102410687022065</v>
      </c>
      <c r="AG8840" s="2">
        <f ca="1"/>
        <v>0.94787069665104839</v>
      </c>
      <c r="AH8840" s="2" t="str">
        <f ca="1"/>
        <v>Bad</v>
      </c>
    </row>
    <row r="8841" spans="2:34" x14ac:dyDescent="0.2">
      <c r="B8841" s="2">
        <f ca="1"/>
        <v>0.87751726270429775</v>
      </c>
      <c r="O8841" s="2">
        <f ca="1"/>
        <v>1.37895743400994</v>
      </c>
      <c r="X8841" s="2">
        <f ca="1"/>
        <v>46.942527273862396</v>
      </c>
      <c r="AG8841" s="2">
        <f ca="1"/>
        <v>0.13768913476478972</v>
      </c>
      <c r="AH8841" s="2" t="str">
        <f ca="1"/>
        <v>OK</v>
      </c>
    </row>
    <row r="8842" spans="2:34" x14ac:dyDescent="0.2">
      <c r="B8842" s="2">
        <f ca="1"/>
        <v>1.3189801486194641E-2</v>
      </c>
      <c r="O8842" s="2">
        <f ca="1"/>
        <v>-1.3470465352532996</v>
      </c>
      <c r="X8842" s="2">
        <f ca="1"/>
        <v>40.669013672807495</v>
      </c>
      <c r="AG8842" s="2">
        <f ca="1"/>
        <v>0.40844873750616317</v>
      </c>
      <c r="AH8842" s="2" t="str">
        <f ca="1"/>
        <v>Bad</v>
      </c>
    </row>
    <row r="8843" spans="2:34" x14ac:dyDescent="0.2">
      <c r="B8843" s="2">
        <f ca="1"/>
        <v>0.64466863467067181</v>
      </c>
      <c r="O8843" s="2">
        <f ca="1"/>
        <v>0.91779597797865053</v>
      </c>
      <c r="X8843" s="2">
        <f ca="1"/>
        <v>37.119790141762358</v>
      </c>
      <c r="AG8843" s="2">
        <f ca="1"/>
        <v>0.28156131152028752</v>
      </c>
      <c r="AH8843" s="2" t="str">
        <f ca="1"/>
        <v>OK</v>
      </c>
    </row>
    <row r="8844" spans="2:34" x14ac:dyDescent="0.2">
      <c r="B8844" s="2">
        <f ca="1"/>
        <v>0.37008694501001749</v>
      </c>
      <c r="O8844" s="2">
        <f ca="1"/>
        <v>1.1732603752974604</v>
      </c>
      <c r="X8844" s="2">
        <f ca="1"/>
        <v>63.958194263297933</v>
      </c>
      <c r="AG8844" s="2">
        <f ca="1"/>
        <v>0.14520383624355859</v>
      </c>
      <c r="AH8844" s="2" t="str">
        <f ca="1"/>
        <v>OK</v>
      </c>
    </row>
    <row r="8845" spans="2:34" x14ac:dyDescent="0.2">
      <c r="B8845" s="2">
        <f ca="1"/>
        <v>0.25414691539796785</v>
      </c>
      <c r="O8845" s="2">
        <f ca="1"/>
        <v>-5.3142859142406807E-3</v>
      </c>
      <c r="X8845" s="2">
        <f ca="1"/>
        <v>53.385353042595469</v>
      </c>
      <c r="AG8845" s="2">
        <f ca="1"/>
        <v>0.48609892867535009</v>
      </c>
      <c r="AH8845" s="2" t="str">
        <f ca="1"/>
        <v>Bad</v>
      </c>
    </row>
    <row r="8846" spans="2:34" x14ac:dyDescent="0.2">
      <c r="B8846" s="2">
        <f ca="1"/>
        <v>0.60028790627687578</v>
      </c>
      <c r="O8846" s="2">
        <f ca="1"/>
        <v>-0.45235768209938187</v>
      </c>
      <c r="X8846" s="2">
        <f ca="1"/>
        <v>56.620155666224903</v>
      </c>
      <c r="AG8846" s="2">
        <f ca="1"/>
        <v>0.94840225021838176</v>
      </c>
      <c r="AH8846" s="2" t="str">
        <f ca="1"/>
        <v>Bad</v>
      </c>
    </row>
    <row r="8847" spans="2:34" x14ac:dyDescent="0.2">
      <c r="B8847" s="2">
        <f ca="1"/>
        <v>8.9995860765124114E-3</v>
      </c>
      <c r="O8847" s="2">
        <f ca="1"/>
        <v>0.17856080116389947</v>
      </c>
      <c r="X8847" s="2">
        <f ca="1"/>
        <v>36.874625584774897</v>
      </c>
      <c r="AG8847" s="2">
        <f ca="1"/>
        <v>0.9003628635693699</v>
      </c>
      <c r="AH8847" s="2" t="str">
        <f ca="1"/>
        <v>Bad</v>
      </c>
    </row>
    <row r="8848" spans="2:34" x14ac:dyDescent="0.2">
      <c r="B8848" s="2">
        <f ca="1"/>
        <v>0.14813769664486354</v>
      </c>
      <c r="O8848" s="2">
        <f ca="1"/>
        <v>-1.0539885684327164</v>
      </c>
      <c r="X8848" s="2">
        <f ca="1"/>
        <v>76.744796733861435</v>
      </c>
      <c r="AG8848" s="2">
        <f ca="1"/>
        <v>1.5715100140654137E-2</v>
      </c>
      <c r="AH8848" s="2" t="str">
        <f ca="1"/>
        <v>Good</v>
      </c>
    </row>
    <row r="8849" spans="2:34" x14ac:dyDescent="0.2">
      <c r="B8849" s="2">
        <f ca="1"/>
        <v>0.61830898735590423</v>
      </c>
      <c r="O8849" s="2">
        <f ca="1"/>
        <v>-1.28971229633089</v>
      </c>
      <c r="X8849" s="2">
        <f ca="1"/>
        <v>76.307463614020406</v>
      </c>
      <c r="AG8849" s="2">
        <f ca="1"/>
        <v>0.22953987552645039</v>
      </c>
      <c r="AH8849" s="2" t="str">
        <f ca="1"/>
        <v>OK</v>
      </c>
    </row>
    <row r="8850" spans="2:34" x14ac:dyDescent="0.2">
      <c r="B8850" s="2">
        <f ca="1"/>
        <v>0.36685238423643662</v>
      </c>
      <c r="O8850" s="2">
        <f ca="1"/>
        <v>-0.55776316274097326</v>
      </c>
      <c r="X8850" s="2">
        <f ca="1"/>
        <v>48.054583814067882</v>
      </c>
      <c r="AG8850" s="2">
        <f ca="1"/>
        <v>0.25529916565259136</v>
      </c>
      <c r="AH8850" s="2" t="str">
        <f ca="1"/>
        <v>OK</v>
      </c>
    </row>
    <row r="8851" spans="2:34" x14ac:dyDescent="0.2">
      <c r="B8851" s="2">
        <f ca="1"/>
        <v>0.60643995821243935</v>
      </c>
      <c r="O8851" s="2">
        <f ca="1"/>
        <v>0.30892871371868585</v>
      </c>
      <c r="X8851" s="2">
        <f ca="1"/>
        <v>51.22977045003914</v>
      </c>
      <c r="AG8851" s="2">
        <f ca="1"/>
        <v>0.51385343937234462</v>
      </c>
      <c r="AH8851" s="2" t="str">
        <f ca="1"/>
        <v>Bad</v>
      </c>
    </row>
    <row r="8852" spans="2:34" x14ac:dyDescent="0.2">
      <c r="B8852" s="2">
        <f ca="1"/>
        <v>6.1082772097583282E-2</v>
      </c>
      <c r="O8852" s="2">
        <f ca="1"/>
        <v>0.62457696654804618</v>
      </c>
      <c r="X8852" s="2">
        <f ca="1"/>
        <v>82.260202203614185</v>
      </c>
      <c r="AG8852" s="2">
        <f ca="1"/>
        <v>0.60132514455718078</v>
      </c>
      <c r="AH8852" s="2" t="str">
        <f ca="1"/>
        <v>Bad</v>
      </c>
    </row>
    <row r="8853" spans="2:34" x14ac:dyDescent="0.2">
      <c r="B8853" s="2">
        <f ca="1"/>
        <v>0.51278818182548691</v>
      </c>
      <c r="O8853" s="2">
        <f ca="1"/>
        <v>0.68006483777509841</v>
      </c>
      <c r="X8853" s="2">
        <f ca="1"/>
        <v>43.744656631480311</v>
      </c>
      <c r="AG8853" s="2">
        <f ca="1"/>
        <v>0.57759740458940034</v>
      </c>
      <c r="AH8853" s="2" t="str">
        <f ca="1"/>
        <v>Bad</v>
      </c>
    </row>
    <row r="8854" spans="2:34" x14ac:dyDescent="0.2">
      <c r="B8854" s="2">
        <f ca="1"/>
        <v>0.86054930136008134</v>
      </c>
      <c r="O8854" s="2">
        <f ca="1"/>
        <v>1.8369976671488066</v>
      </c>
      <c r="X8854" s="2">
        <f ca="1"/>
        <v>42.109065485841896</v>
      </c>
      <c r="AG8854" s="2">
        <f ca="1"/>
        <v>0.67856999499978254</v>
      </c>
      <c r="AH8854" s="2" t="str">
        <f ca="1"/>
        <v>Bad</v>
      </c>
    </row>
    <row r="8855" spans="2:34" x14ac:dyDescent="0.2">
      <c r="B8855" s="2">
        <f ca="1"/>
        <v>0.76881771125748632</v>
      </c>
      <c r="O8855" s="2">
        <f ca="1"/>
        <v>-1.1229480156198908</v>
      </c>
      <c r="X8855" s="2">
        <f ca="1"/>
        <v>39.773605832290841</v>
      </c>
      <c r="AG8855" s="2">
        <f ca="1"/>
        <v>0.65520146032791216</v>
      </c>
      <c r="AH8855" s="2" t="str">
        <f ca="1"/>
        <v>Bad</v>
      </c>
    </row>
    <row r="8856" spans="2:34" x14ac:dyDescent="0.2">
      <c r="B8856" s="2">
        <f ca="1"/>
        <v>0.20411262627205073</v>
      </c>
      <c r="O8856" s="2">
        <f ca="1"/>
        <v>0.59504161777525577</v>
      </c>
      <c r="X8856" s="2">
        <f ca="1"/>
        <v>53.252130879528259</v>
      </c>
      <c r="AG8856" s="2">
        <f ca="1"/>
        <v>0.69626128950046784</v>
      </c>
      <c r="AH8856" s="2" t="str">
        <f ca="1"/>
        <v>Bad</v>
      </c>
    </row>
    <row r="8857" spans="2:34" x14ac:dyDescent="0.2">
      <c r="B8857" s="2">
        <f ca="1"/>
        <v>0.65152201408685517</v>
      </c>
      <c r="O8857" s="2">
        <f ca="1"/>
        <v>0.29195298035095185</v>
      </c>
      <c r="X8857" s="2">
        <f ca="1"/>
        <v>70.846596093020025</v>
      </c>
      <c r="AG8857" s="2">
        <f ca="1"/>
        <v>0.13581532878974967</v>
      </c>
      <c r="AH8857" s="2" t="str">
        <f ca="1"/>
        <v>OK</v>
      </c>
    </row>
    <row r="8858" spans="2:34" x14ac:dyDescent="0.2">
      <c r="B8858" s="2">
        <f ca="1"/>
        <v>0.42749694397542304</v>
      </c>
      <c r="O8858" s="2">
        <f ca="1"/>
        <v>6.7362678312378327E-3</v>
      </c>
      <c r="X8858" s="2">
        <f ca="1"/>
        <v>46.048567820892401</v>
      </c>
      <c r="AG8858" s="2">
        <f ca="1"/>
        <v>0.43699323749437102</v>
      </c>
      <c r="AH8858" s="2" t="str">
        <f ca="1"/>
        <v>Bad</v>
      </c>
    </row>
    <row r="8859" spans="2:34" x14ac:dyDescent="0.2">
      <c r="B8859" s="2">
        <f ca="1"/>
        <v>0.89016395057558295</v>
      </c>
      <c r="O8859" s="2">
        <f ca="1"/>
        <v>-1.0624009309392655</v>
      </c>
      <c r="X8859" s="2">
        <f ca="1"/>
        <v>59.356202297488203</v>
      </c>
      <c r="AG8859" s="2">
        <f ca="1"/>
        <v>0.11338458630061199</v>
      </c>
      <c r="AH8859" s="2" t="str">
        <f ca="1"/>
        <v>OK</v>
      </c>
    </row>
    <row r="8860" spans="2:34" x14ac:dyDescent="0.2">
      <c r="B8860" s="2">
        <f ca="1"/>
        <v>8.3846680557316366E-2</v>
      </c>
      <c r="O8860" s="2">
        <f ca="1"/>
        <v>0.82445526349301668</v>
      </c>
      <c r="X8860" s="2">
        <f ca="1"/>
        <v>32.574352965246717</v>
      </c>
      <c r="AG8860" s="2">
        <f ca="1"/>
        <v>0.27064144312353022</v>
      </c>
      <c r="AH8860" s="2" t="str">
        <f ca="1"/>
        <v>OK</v>
      </c>
    </row>
    <row r="8861" spans="2:34" x14ac:dyDescent="0.2">
      <c r="B8861" s="2">
        <f ca="1"/>
        <v>0.94751649960566819</v>
      </c>
      <c r="O8861" s="2">
        <f ca="1"/>
        <v>-0.10587257289933306</v>
      </c>
      <c r="X8861" s="2">
        <f ca="1"/>
        <v>47.486000631547014</v>
      </c>
      <c r="AG8861" s="2">
        <f ca="1"/>
        <v>0.34481312554601939</v>
      </c>
      <c r="AH8861" s="2" t="str">
        <f ca="1"/>
        <v>OK</v>
      </c>
    </row>
    <row r="8862" spans="2:34" x14ac:dyDescent="0.2">
      <c r="B8862" s="2">
        <f ca="1"/>
        <v>0.81161550100323376</v>
      </c>
      <c r="O8862" s="2">
        <f ca="1"/>
        <v>-0.64601948069585402</v>
      </c>
      <c r="X8862" s="2">
        <f ca="1"/>
        <v>51.282410051056253</v>
      </c>
      <c r="AG8862" s="2">
        <f ca="1"/>
        <v>0.67408569034367782</v>
      </c>
      <c r="AH8862" s="2" t="str">
        <f ca="1"/>
        <v>Bad</v>
      </c>
    </row>
    <row r="8863" spans="2:34" x14ac:dyDescent="0.2">
      <c r="B8863" s="2">
        <f ca="1"/>
        <v>0.95229784716326682</v>
      </c>
      <c r="O8863" s="2">
        <f ca="1"/>
        <v>0.92787039778403868</v>
      </c>
      <c r="X8863" s="2">
        <f ca="1"/>
        <v>52.182078970092107</v>
      </c>
      <c r="AG8863" s="2">
        <f ca="1"/>
        <v>8.1319932849013954E-2</v>
      </c>
      <c r="AH8863" s="2" t="str">
        <f ca="1"/>
        <v>OK</v>
      </c>
    </row>
    <row r="8864" spans="2:34" x14ac:dyDescent="0.2">
      <c r="B8864" s="2">
        <f ca="1"/>
        <v>0.17233999586814353</v>
      </c>
      <c r="O8864" s="2">
        <f ca="1"/>
        <v>0.32218494080781368</v>
      </c>
      <c r="X8864" s="2">
        <f ca="1"/>
        <v>83.019047186062394</v>
      </c>
      <c r="AG8864" s="2">
        <f ca="1"/>
        <v>0.19128074270708284</v>
      </c>
      <c r="AH8864" s="2" t="str">
        <f ca="1"/>
        <v>OK</v>
      </c>
    </row>
    <row r="8865" spans="2:34" x14ac:dyDescent="0.2">
      <c r="B8865" s="2">
        <f ca="1"/>
        <v>0.72333490663909661</v>
      </c>
      <c r="O8865" s="2">
        <f ca="1"/>
        <v>9.8272963827979926E-2</v>
      </c>
      <c r="X8865" s="2">
        <f ca="1"/>
        <v>26.137033256768781</v>
      </c>
      <c r="AG8865" s="2">
        <f ca="1"/>
        <v>0.21030715342129369</v>
      </c>
      <c r="AH8865" s="2" t="str">
        <f ca="1"/>
        <v>OK</v>
      </c>
    </row>
    <row r="8866" spans="2:34" x14ac:dyDescent="0.2">
      <c r="B8866" s="2">
        <f ca="1"/>
        <v>0.64894859074523059</v>
      </c>
      <c r="O8866" s="2">
        <f ca="1"/>
        <v>1.2450246223131745</v>
      </c>
      <c r="X8866" s="2">
        <f ca="1"/>
        <v>48.665249924947602</v>
      </c>
      <c r="AG8866" s="2">
        <f ca="1"/>
        <v>0.96734293671237714</v>
      </c>
      <c r="AH8866" s="2" t="str">
        <f ca="1"/>
        <v>Bad</v>
      </c>
    </row>
    <row r="8867" spans="2:34" x14ac:dyDescent="0.2">
      <c r="B8867" s="2">
        <f ca="1"/>
        <v>0.733142648056607</v>
      </c>
      <c r="O8867" s="2">
        <f ca="1"/>
        <v>-1.7165275186650641</v>
      </c>
      <c r="X8867" s="2">
        <f ca="1"/>
        <v>46.691458575577478</v>
      </c>
      <c r="AG8867" s="2">
        <f ca="1"/>
        <v>0.16320202647459814</v>
      </c>
      <c r="AH8867" s="2" t="str">
        <f ca="1"/>
        <v>OK</v>
      </c>
    </row>
    <row r="8868" spans="2:34" x14ac:dyDescent="0.2">
      <c r="B8868" s="2">
        <f ca="1"/>
        <v>0.18530447051439269</v>
      </c>
      <c r="O8868" s="2">
        <f ca="1"/>
        <v>-4.2218505793866719E-2</v>
      </c>
      <c r="X8868" s="2">
        <f ca="1"/>
        <v>33.946485760829127</v>
      </c>
      <c r="AG8868" s="2">
        <f ca="1"/>
        <v>0.48295672435929027</v>
      </c>
      <c r="AH8868" s="2" t="str">
        <f ca="1"/>
        <v>Bad</v>
      </c>
    </row>
    <row r="8869" spans="2:34" x14ac:dyDescent="0.2">
      <c r="B8869" s="2">
        <f ca="1"/>
        <v>0.42980353986931807</v>
      </c>
      <c r="O8869" s="2">
        <f ca="1"/>
        <v>-1.0385939314698083</v>
      </c>
      <c r="X8869" s="2">
        <f ca="1"/>
        <v>50.785277738607427</v>
      </c>
      <c r="AG8869" s="2">
        <f ca="1"/>
        <v>0.12079577754123116</v>
      </c>
      <c r="AH8869" s="2" t="str">
        <f ca="1"/>
        <v>OK</v>
      </c>
    </row>
    <row r="8870" spans="2:34" x14ac:dyDescent="0.2">
      <c r="B8870" s="2">
        <f ca="1"/>
        <v>0.72297897568571434</v>
      </c>
      <c r="O8870" s="2">
        <f ca="1"/>
        <v>0.65361060673836013</v>
      </c>
      <c r="X8870" s="2">
        <f ca="1"/>
        <v>43.088705682336453</v>
      </c>
      <c r="AG8870" s="2">
        <f ca="1"/>
        <v>0.87895626085979783</v>
      </c>
      <c r="AH8870" s="2" t="str">
        <f ca="1"/>
        <v>Bad</v>
      </c>
    </row>
    <row r="8871" spans="2:34" x14ac:dyDescent="0.2">
      <c r="B8871" s="2">
        <f ca="1"/>
        <v>0.73462451300728371</v>
      </c>
      <c r="O8871" s="2">
        <f ca="1"/>
        <v>-0.76083581801297662</v>
      </c>
      <c r="X8871" s="2">
        <f ca="1"/>
        <v>36.661178185156132</v>
      </c>
      <c r="AG8871" s="2">
        <f ca="1"/>
        <v>0.4976658072828557</v>
      </c>
      <c r="AH8871" s="2" t="str">
        <f ca="1"/>
        <v>Bad</v>
      </c>
    </row>
    <row r="8872" spans="2:34" x14ac:dyDescent="0.2">
      <c r="B8872" s="2">
        <f ca="1"/>
        <v>0.89344558460149126</v>
      </c>
      <c r="O8872" s="2">
        <f ca="1"/>
        <v>-0.67788822834334195</v>
      </c>
      <c r="X8872" s="2">
        <f ca="1"/>
        <v>48.563195604815526</v>
      </c>
      <c r="AG8872" s="2">
        <f ca="1"/>
        <v>0.70365445341385313</v>
      </c>
      <c r="AH8872" s="2" t="str">
        <f ca="1"/>
        <v>Bad</v>
      </c>
    </row>
    <row r="8873" spans="2:34" x14ac:dyDescent="0.2">
      <c r="B8873" s="2">
        <f ca="1"/>
        <v>0.75338750225156592</v>
      </c>
      <c r="O8873" s="2">
        <f ca="1"/>
        <v>-0.39455982410598017</v>
      </c>
      <c r="X8873" s="2">
        <f ca="1"/>
        <v>32.342085802256591</v>
      </c>
      <c r="AG8873" s="2">
        <f ca="1"/>
        <v>0.90819337115418608</v>
      </c>
      <c r="AH8873" s="2" t="str">
        <f ca="1"/>
        <v>Bad</v>
      </c>
    </row>
    <row r="8874" spans="2:34" x14ac:dyDescent="0.2">
      <c r="B8874" s="2">
        <f ca="1"/>
        <v>0.57143615753816146</v>
      </c>
      <c r="O8874" s="2">
        <f ca="1"/>
        <v>-0.5919559983907271</v>
      </c>
      <c r="X8874" s="2">
        <f ca="1"/>
        <v>28.022621542527158</v>
      </c>
      <c r="AG8874" s="2">
        <f ca="1"/>
        <v>0.749087384124141</v>
      </c>
      <c r="AH8874" s="2" t="str">
        <f ca="1"/>
        <v>Bad</v>
      </c>
    </row>
    <row r="8875" spans="2:34" x14ac:dyDescent="0.2">
      <c r="B8875" s="2">
        <f ca="1"/>
        <v>2.0756939737141655E-2</v>
      </c>
      <c r="O8875" s="2">
        <f ca="1"/>
        <v>1.0674348908235449</v>
      </c>
      <c r="X8875" s="2">
        <f ca="1"/>
        <v>92.079505683808932</v>
      </c>
      <c r="AG8875" s="2">
        <f ca="1"/>
        <v>0.87691947585204666</v>
      </c>
      <c r="AH8875" s="2" t="str">
        <f ca="1"/>
        <v>Bad</v>
      </c>
    </row>
    <row r="8876" spans="2:34" x14ac:dyDescent="0.2">
      <c r="B8876" s="2">
        <f ca="1"/>
        <v>0.51857386086609969</v>
      </c>
      <c r="O8876" s="2">
        <f ca="1"/>
        <v>-0.87755435265889137</v>
      </c>
      <c r="X8876" s="2">
        <f ca="1"/>
        <v>43.55696034525878</v>
      </c>
      <c r="AG8876" s="2">
        <f ca="1"/>
        <v>0.91379935989522831</v>
      </c>
      <c r="AH8876" s="2" t="str">
        <f ca="1"/>
        <v>Bad</v>
      </c>
    </row>
    <row r="8877" spans="2:34" x14ac:dyDescent="0.2">
      <c r="B8877" s="2">
        <f ca="1"/>
        <v>0.23978614255851816</v>
      </c>
      <c r="O8877" s="2">
        <f ca="1"/>
        <v>6.6524512275276615E-2</v>
      </c>
      <c r="X8877" s="2">
        <f ca="1"/>
        <v>39.096929828076831</v>
      </c>
      <c r="AG8877" s="2">
        <f ca="1"/>
        <v>0.37360424491597799</v>
      </c>
      <c r="AH8877" s="2" t="str">
        <f ca="1"/>
        <v>OK</v>
      </c>
    </row>
    <row r="8878" spans="2:34" x14ac:dyDescent="0.2">
      <c r="B8878" s="2">
        <f ca="1"/>
        <v>0.16300228055553201</v>
      </c>
      <c r="O8878" s="2">
        <f ca="1"/>
        <v>7.6901316290602763E-3</v>
      </c>
      <c r="X8878" s="2">
        <f ca="1"/>
        <v>55.623808308774841</v>
      </c>
      <c r="AG8878" s="2">
        <f ca="1"/>
        <v>0.87116557484195467</v>
      </c>
      <c r="AH8878" s="2" t="str">
        <f ca="1"/>
        <v>Bad</v>
      </c>
    </row>
    <row r="8879" spans="2:34" x14ac:dyDescent="0.2">
      <c r="B8879" s="2">
        <f ca="1"/>
        <v>0.19102708300636428</v>
      </c>
      <c r="O8879" s="2">
        <f ca="1"/>
        <v>0.55482118732837793</v>
      </c>
      <c r="X8879" s="2">
        <f ca="1"/>
        <v>35.644183627721574</v>
      </c>
      <c r="AG8879" s="2">
        <f ca="1"/>
        <v>0.98992904139635707</v>
      </c>
      <c r="AH8879" s="2" t="str">
        <f ca="1"/>
        <v>Bad</v>
      </c>
    </row>
    <row r="8880" spans="2:34" x14ac:dyDescent="0.2">
      <c r="B8880" s="2">
        <f ca="1"/>
        <v>0.61886732375965892</v>
      </c>
      <c r="O8880" s="2">
        <f ca="1"/>
        <v>-0.77070722079831833</v>
      </c>
      <c r="X8880" s="2">
        <f ca="1"/>
        <v>36.340073207187693</v>
      </c>
      <c r="AG8880" s="2">
        <f ca="1"/>
        <v>0.40207004450927664</v>
      </c>
      <c r="AH8880" s="2" t="str">
        <f ca="1"/>
        <v>Bad</v>
      </c>
    </row>
    <row r="8881" spans="2:34" x14ac:dyDescent="0.2">
      <c r="B8881" s="2">
        <f ca="1"/>
        <v>0.14966619532728842</v>
      </c>
      <c r="O8881" s="2">
        <f ca="1"/>
        <v>-5.9932158670613623E-5</v>
      </c>
      <c r="X8881" s="2">
        <f ca="1"/>
        <v>31.655781327734633</v>
      </c>
      <c r="AG8881" s="2">
        <f ca="1"/>
        <v>0.68623641433031701</v>
      </c>
      <c r="AH8881" s="2" t="str">
        <f ca="1"/>
        <v>Bad</v>
      </c>
    </row>
    <row r="8882" spans="2:34" x14ac:dyDescent="0.2">
      <c r="B8882" s="2">
        <f ca="1"/>
        <v>0.16861030306205205</v>
      </c>
      <c r="O8882" s="2">
        <f ca="1"/>
        <v>-0.7767186890016291</v>
      </c>
      <c r="X8882" s="2">
        <f ca="1"/>
        <v>39.61166535274463</v>
      </c>
      <c r="AG8882" s="2">
        <f ca="1"/>
        <v>0.54139851477774759</v>
      </c>
      <c r="AH8882" s="2" t="str">
        <f ca="1"/>
        <v>Bad</v>
      </c>
    </row>
    <row r="8883" spans="2:34" x14ac:dyDescent="0.2">
      <c r="B8883" s="2">
        <f ca="1"/>
        <v>9.1462781998495002E-2</v>
      </c>
      <c r="O8883" s="2">
        <f ca="1"/>
        <v>0.16347883256772927</v>
      </c>
      <c r="X8883" s="2">
        <f ca="1"/>
        <v>42.316412539128748</v>
      </c>
      <c r="AG8883" s="2">
        <f ca="1"/>
        <v>3.3880466046195545E-2</v>
      </c>
      <c r="AH8883" s="2" t="str">
        <f ca="1"/>
        <v>Good</v>
      </c>
    </row>
    <row r="8884" spans="2:34" x14ac:dyDescent="0.2">
      <c r="B8884" s="2">
        <f ca="1"/>
        <v>0.56757837359440089</v>
      </c>
      <c r="O8884" s="2">
        <f ca="1"/>
        <v>-1.3990458061816342</v>
      </c>
      <c r="X8884" s="2">
        <f ca="1"/>
        <v>75.791858941252315</v>
      </c>
      <c r="AG8884" s="2">
        <f ca="1"/>
        <v>5.0774342277588591E-2</v>
      </c>
      <c r="AH8884" s="2" t="str">
        <f ca="1"/>
        <v>OK</v>
      </c>
    </row>
    <row r="8885" spans="2:34" x14ac:dyDescent="0.2">
      <c r="B8885" s="2">
        <f ca="1"/>
        <v>0.60463347325291728</v>
      </c>
      <c r="O8885" s="2">
        <f ca="1"/>
        <v>-0.3614844981547351</v>
      </c>
      <c r="X8885" s="2">
        <f ca="1"/>
        <v>49.800139047085821</v>
      </c>
      <c r="AG8885" s="2">
        <f ca="1"/>
        <v>0.41352145711646826</v>
      </c>
      <c r="AH8885" s="2" t="str">
        <f ca="1"/>
        <v>Bad</v>
      </c>
    </row>
    <row r="8886" spans="2:34" x14ac:dyDescent="0.2">
      <c r="B8886" s="2">
        <f ca="1"/>
        <v>0.61169418254377717</v>
      </c>
      <c r="O8886" s="2">
        <f ca="1"/>
        <v>1.0960064854859219</v>
      </c>
      <c r="X8886" s="2">
        <f ca="1"/>
        <v>42.275855255839815</v>
      </c>
      <c r="AG8886" s="2">
        <f ca="1"/>
        <v>0.79704155127880938</v>
      </c>
      <c r="AH8886" s="2" t="str">
        <f ca="1"/>
        <v>Bad</v>
      </c>
    </row>
    <row r="8887" spans="2:34" x14ac:dyDescent="0.2">
      <c r="B8887" s="2">
        <f ca="1"/>
        <v>0.42066059092499497</v>
      </c>
      <c r="O8887" s="2">
        <f ca="1"/>
        <v>-0.46078275924630924</v>
      </c>
      <c r="X8887" s="2">
        <f ca="1"/>
        <v>38.742730088802929</v>
      </c>
      <c r="AG8887" s="2">
        <f ca="1"/>
        <v>0.58563968655796605</v>
      </c>
      <c r="AH8887" s="2" t="str">
        <f ca="1"/>
        <v>Bad</v>
      </c>
    </row>
    <row r="8888" spans="2:34" x14ac:dyDescent="0.2">
      <c r="B8888" s="2">
        <f ca="1"/>
        <v>0.11158962564278441</v>
      </c>
      <c r="O8888" s="2">
        <f ca="1"/>
        <v>0.28635734823699555</v>
      </c>
      <c r="X8888" s="2">
        <f ca="1"/>
        <v>58.694146536444663</v>
      </c>
      <c r="AG8888" s="2">
        <f ca="1"/>
        <v>0.50728816195901683</v>
      </c>
      <c r="AH8888" s="2" t="str">
        <f ca="1"/>
        <v>Bad</v>
      </c>
    </row>
    <row r="8889" spans="2:34" x14ac:dyDescent="0.2">
      <c r="B8889" s="2">
        <f ca="1"/>
        <v>0.48546256905432839</v>
      </c>
      <c r="O8889" s="2">
        <f ca="1"/>
        <v>-2.3367232362623176E-2</v>
      </c>
      <c r="X8889" s="2">
        <f ca="1"/>
        <v>58.896026181617252</v>
      </c>
      <c r="AG8889" s="2">
        <f ca="1"/>
        <v>0.49893316803239607</v>
      </c>
      <c r="AH8889" s="2" t="str">
        <f ca="1"/>
        <v>Bad</v>
      </c>
    </row>
    <row r="8890" spans="2:34" x14ac:dyDescent="0.2">
      <c r="B8890" s="2">
        <f ca="1"/>
        <v>0.7229118657566016</v>
      </c>
      <c r="O8890" s="2">
        <f ca="1"/>
        <v>4.9795203194111695E-2</v>
      </c>
      <c r="X8890" s="2">
        <f ca="1"/>
        <v>36.976198857485386</v>
      </c>
      <c r="AG8890" s="2">
        <f ca="1"/>
        <v>0.47922925298508523</v>
      </c>
      <c r="AH8890" s="2" t="str">
        <f ca="1"/>
        <v>Bad</v>
      </c>
    </row>
    <row r="8891" spans="2:34" x14ac:dyDescent="0.2">
      <c r="B8891" s="2">
        <f ca="1"/>
        <v>0.16506066116688634</v>
      </c>
      <c r="O8891" s="2">
        <f ca="1"/>
        <v>-0.10365215444620422</v>
      </c>
      <c r="X8891" s="2">
        <f ca="1"/>
        <v>31.55280039990145</v>
      </c>
      <c r="AG8891" s="2">
        <f ca="1"/>
        <v>0.974214980316777</v>
      </c>
      <c r="AH8891" s="2" t="str">
        <f ca="1"/>
        <v>Bad</v>
      </c>
    </row>
    <row r="8892" spans="2:34" x14ac:dyDescent="0.2">
      <c r="B8892" s="2">
        <f ca="1"/>
        <v>0.96854152245849634</v>
      </c>
      <c r="O8892" s="2">
        <f ca="1"/>
        <v>0.35193489609963707</v>
      </c>
      <c r="X8892" s="2">
        <f ca="1"/>
        <v>22.153966988751851</v>
      </c>
      <c r="AG8892" s="2">
        <f ca="1"/>
        <v>0.95807034413718917</v>
      </c>
      <c r="AH8892" s="2" t="str">
        <f ca="1"/>
        <v>Bad</v>
      </c>
    </row>
    <row r="8893" spans="2:34" x14ac:dyDescent="0.2">
      <c r="B8893" s="2">
        <f ca="1"/>
        <v>0.33432886147314833</v>
      </c>
      <c r="O8893" s="2">
        <f ca="1"/>
        <v>-0.86898807407224821</v>
      </c>
      <c r="X8893" s="2">
        <f ca="1"/>
        <v>75.418461599882576</v>
      </c>
      <c r="AG8893" s="2">
        <f ca="1"/>
        <v>0.40945353021676856</v>
      </c>
      <c r="AH8893" s="2" t="str">
        <f ca="1"/>
        <v>Bad</v>
      </c>
    </row>
    <row r="8894" spans="2:34" x14ac:dyDescent="0.2">
      <c r="B8894" s="2">
        <f ca="1"/>
        <v>0.18738767504605791</v>
      </c>
      <c r="O8894" s="2">
        <f ca="1"/>
        <v>1.458080880475918</v>
      </c>
      <c r="X8894" s="2">
        <f ca="1"/>
        <v>32.34589889302427</v>
      </c>
      <c r="AG8894" s="2">
        <f ca="1"/>
        <v>4.3803143416059509E-2</v>
      </c>
      <c r="AH8894" s="2" t="str">
        <f ca="1"/>
        <v>Good</v>
      </c>
    </row>
    <row r="8895" spans="2:34" x14ac:dyDescent="0.2">
      <c r="B8895" s="2">
        <f ca="1"/>
        <v>0.18379429375767753</v>
      </c>
      <c r="O8895" s="2">
        <f ca="1"/>
        <v>1.5859053267253207</v>
      </c>
      <c r="X8895" s="2">
        <f ca="1"/>
        <v>117.43361842389035</v>
      </c>
      <c r="AG8895" s="2">
        <f ca="1"/>
        <v>8.6459365167629754E-2</v>
      </c>
      <c r="AH8895" s="2" t="str">
        <f ca="1"/>
        <v>OK</v>
      </c>
    </row>
    <row r="8896" spans="2:34" x14ac:dyDescent="0.2">
      <c r="B8896" s="2">
        <f ca="1"/>
        <v>0.76379918758069132</v>
      </c>
      <c r="O8896" s="2">
        <f ca="1"/>
        <v>-1.3751446931336384</v>
      </c>
      <c r="X8896" s="2">
        <f ca="1"/>
        <v>66.909263025781598</v>
      </c>
      <c r="AG8896" s="2">
        <f ca="1"/>
        <v>0.39552515512418274</v>
      </c>
      <c r="AH8896" s="2" t="str">
        <f ca="1"/>
        <v>OK</v>
      </c>
    </row>
    <row r="8897" spans="2:34" x14ac:dyDescent="0.2">
      <c r="B8897" s="2">
        <f ca="1"/>
        <v>0.83987370872386391</v>
      </c>
      <c r="O8897" s="2">
        <f ca="1"/>
        <v>-0.15168722399529508</v>
      </c>
      <c r="X8897" s="2">
        <f ca="1"/>
        <v>53.735949305156922</v>
      </c>
      <c r="AG8897" s="2">
        <f ca="1"/>
        <v>0.10817849449152961</v>
      </c>
      <c r="AH8897" s="2" t="str">
        <f ca="1"/>
        <v>OK</v>
      </c>
    </row>
    <row r="8898" spans="2:34" x14ac:dyDescent="0.2">
      <c r="B8898" s="2">
        <f ca="1"/>
        <v>0.91320738402623625</v>
      </c>
      <c r="O8898" s="2">
        <f ca="1"/>
        <v>1.6628420922332725</v>
      </c>
      <c r="X8898" s="2">
        <f ca="1"/>
        <v>55.797333433038347</v>
      </c>
      <c r="AG8898" s="2">
        <f ca="1"/>
        <v>0.23530426964653151</v>
      </c>
      <c r="AH8898" s="2" t="str">
        <f ca="1"/>
        <v>OK</v>
      </c>
    </row>
    <row r="8899" spans="2:34" x14ac:dyDescent="0.2">
      <c r="B8899" s="2">
        <f ca="1"/>
        <v>0.9156866363126015</v>
      </c>
      <c r="O8899" s="2">
        <f ca="1"/>
        <v>-1.7914395675347563</v>
      </c>
      <c r="X8899" s="2">
        <f ca="1"/>
        <v>108.10057497532675</v>
      </c>
      <c r="AG8899" s="2">
        <f ca="1"/>
        <v>0.98399224530883234</v>
      </c>
      <c r="AH8899" s="2" t="str">
        <f ca="1"/>
        <v>Bad</v>
      </c>
    </row>
    <row r="8900" spans="2:34" x14ac:dyDescent="0.2">
      <c r="B8900" s="2">
        <f ca="1"/>
        <v>0.97558080189000829</v>
      </c>
      <c r="O8900" s="2">
        <f ca="1"/>
        <v>0.31194993188376652</v>
      </c>
      <c r="X8900" s="2">
        <f ca="1"/>
        <v>47.646438627529832</v>
      </c>
      <c r="AG8900" s="2">
        <f ca="1"/>
        <v>0.87597439062212823</v>
      </c>
      <c r="AH8900" s="2" t="str">
        <f ca="1"/>
        <v>Bad</v>
      </c>
    </row>
    <row r="8901" spans="2:34" x14ac:dyDescent="0.2">
      <c r="B8901" s="2">
        <f ca="1"/>
        <v>0.61177226874819302</v>
      </c>
      <c r="O8901" s="2">
        <f ca="1"/>
        <v>0.21973296083814439</v>
      </c>
      <c r="X8901" s="2">
        <f ca="1"/>
        <v>35.550934507572293</v>
      </c>
      <c r="AG8901" s="2">
        <f ca="1"/>
        <v>0.93124345831649258</v>
      </c>
      <c r="AH8901" s="2" t="str">
        <f ca="1"/>
        <v>Bad</v>
      </c>
    </row>
    <row r="8902" spans="2:34" x14ac:dyDescent="0.2">
      <c r="B8902" s="2">
        <f ca="1"/>
        <v>0.56411723288288429</v>
      </c>
      <c r="O8902" s="2">
        <f ca="1"/>
        <v>0.12697081661438628</v>
      </c>
      <c r="X8902" s="2">
        <f ca="1"/>
        <v>40.32536234080964</v>
      </c>
      <c r="AG8902" s="2">
        <f ca="1"/>
        <v>0.29801969313928112</v>
      </c>
      <c r="AH8902" s="2" t="str">
        <f ca="1"/>
        <v>OK</v>
      </c>
    </row>
    <row r="8903" spans="2:34" x14ac:dyDescent="0.2">
      <c r="B8903" s="2">
        <f ca="1"/>
        <v>0.2214944650315287</v>
      </c>
      <c r="O8903" s="2">
        <f ca="1"/>
        <v>0.65479430318204568</v>
      </c>
      <c r="X8903" s="2">
        <f ca="1"/>
        <v>41.473978665738088</v>
      </c>
      <c r="AG8903" s="2">
        <f ca="1"/>
        <v>0.15250442671479969</v>
      </c>
      <c r="AH8903" s="2" t="str">
        <f ca="1"/>
        <v>OK</v>
      </c>
    </row>
    <row r="8904" spans="2:34" x14ac:dyDescent="0.2">
      <c r="B8904" s="2">
        <f ca="1"/>
        <v>0.91223145273933515</v>
      </c>
      <c r="O8904" s="2">
        <f ca="1"/>
        <v>-1.6044467787085337</v>
      </c>
      <c r="X8904" s="2">
        <f ca="1"/>
        <v>62.364827358790372</v>
      </c>
      <c r="AG8904" s="2">
        <f ca="1"/>
        <v>0.3668550944645288</v>
      </c>
      <c r="AH8904" s="2" t="str">
        <f ca="1"/>
        <v>OK</v>
      </c>
    </row>
    <row r="8905" spans="2:34" x14ac:dyDescent="0.2">
      <c r="B8905" s="2">
        <f ca="1"/>
        <v>0.73527974426575571</v>
      </c>
      <c r="O8905" s="2">
        <f ca="1"/>
        <v>1.0160191971980086E-2</v>
      </c>
      <c r="X8905" s="2">
        <f ca="1"/>
        <v>62.786065546968437</v>
      </c>
      <c r="AG8905" s="2">
        <f ca="1"/>
        <v>0.81684745849483931</v>
      </c>
      <c r="AH8905" s="2" t="str">
        <f ca="1"/>
        <v>Bad</v>
      </c>
    </row>
    <row r="8906" spans="2:34" x14ac:dyDescent="0.2">
      <c r="B8906" s="2">
        <f ca="1"/>
        <v>0.48852974737934152</v>
      </c>
      <c r="O8906" s="2">
        <f ca="1"/>
        <v>1.7712245643504341</v>
      </c>
      <c r="X8906" s="2">
        <f ca="1"/>
        <v>49.010291317982535</v>
      </c>
      <c r="AG8906" s="2">
        <f ca="1"/>
        <v>0.8736653923263713</v>
      </c>
      <c r="AH8906" s="2" t="str">
        <f ca="1"/>
        <v>Bad</v>
      </c>
    </row>
    <row r="8907" spans="2:34" x14ac:dyDescent="0.2">
      <c r="B8907" s="2">
        <f ca="1"/>
        <v>0.74772673737402995</v>
      </c>
      <c r="O8907" s="2">
        <f ca="1"/>
        <v>4.9058069854266868E-2</v>
      </c>
      <c r="X8907" s="2">
        <f ca="1"/>
        <v>45.643930404288646</v>
      </c>
      <c r="AG8907" s="2">
        <f ca="1"/>
        <v>0.49878252444084481</v>
      </c>
      <c r="AH8907" s="2" t="str">
        <f ca="1"/>
        <v>Bad</v>
      </c>
    </row>
    <row r="8908" spans="2:34" x14ac:dyDescent="0.2">
      <c r="B8908" s="2">
        <f ca="1"/>
        <v>0.23809902462901333</v>
      </c>
      <c r="O8908" s="2">
        <f ca="1"/>
        <v>-1.0982136982485948</v>
      </c>
      <c r="X8908" s="2">
        <f ca="1"/>
        <v>33.464822607125463</v>
      </c>
      <c r="AG8908" s="2">
        <f ca="1"/>
        <v>0.32839509067604533</v>
      </c>
      <c r="AH8908" s="2" t="str">
        <f ca="1"/>
        <v>OK</v>
      </c>
    </row>
    <row r="8909" spans="2:34" x14ac:dyDescent="0.2">
      <c r="B8909" s="2">
        <f ca="1"/>
        <v>0.485761408166554</v>
      </c>
      <c r="O8909" s="2">
        <f ca="1"/>
        <v>-0.37644350997297499</v>
      </c>
      <c r="X8909" s="2">
        <f ca="1"/>
        <v>18.68498340885408</v>
      </c>
      <c r="AG8909" s="2">
        <f ca="1"/>
        <v>9.8317476622482802E-2</v>
      </c>
      <c r="AH8909" s="2" t="str">
        <f ca="1"/>
        <v>OK</v>
      </c>
    </row>
    <row r="8910" spans="2:34" x14ac:dyDescent="0.2">
      <c r="B8910" s="2">
        <f ca="1"/>
        <v>0.60374560503577368</v>
      </c>
      <c r="O8910" s="2">
        <f ca="1"/>
        <v>0.79779928579181847</v>
      </c>
      <c r="X8910" s="2">
        <f ca="1"/>
        <v>37.660394537361405</v>
      </c>
      <c r="AG8910" s="2">
        <f ca="1"/>
        <v>0.35813615929711418</v>
      </c>
      <c r="AH8910" s="2" t="str">
        <f ca="1"/>
        <v>OK</v>
      </c>
    </row>
    <row r="8911" spans="2:34" x14ac:dyDescent="0.2">
      <c r="B8911" s="2">
        <f ca="1"/>
        <v>0.4741596305872029</v>
      </c>
      <c r="O8911" s="2">
        <f ca="1"/>
        <v>0.99140189018554647</v>
      </c>
      <c r="X8911" s="2">
        <f ca="1"/>
        <v>75.414034193586531</v>
      </c>
      <c r="AG8911" s="2">
        <f ca="1"/>
        <v>0.79752607230957029</v>
      </c>
      <c r="AH8911" s="2" t="str">
        <f ca="1"/>
        <v>Bad</v>
      </c>
    </row>
    <row r="8912" spans="2:34" x14ac:dyDescent="0.2">
      <c r="B8912" s="2">
        <f ca="1"/>
        <v>0.26247161541434072</v>
      </c>
      <c r="O8912" s="2">
        <f ca="1"/>
        <v>-0.34237498955981066</v>
      </c>
      <c r="X8912" s="2">
        <f ca="1"/>
        <v>31.017472777087644</v>
      </c>
      <c r="AG8912" s="2">
        <f ca="1"/>
        <v>0.99464211397435776</v>
      </c>
      <c r="AH8912" s="2" t="str">
        <f ca="1"/>
        <v>Bad</v>
      </c>
    </row>
    <row r="8913" spans="2:34" x14ac:dyDescent="0.2">
      <c r="B8913" s="2">
        <f ca="1"/>
        <v>0.98991528119636807</v>
      </c>
      <c r="O8913" s="2">
        <f ca="1"/>
        <v>-0.25187530567963656</v>
      </c>
      <c r="X8913" s="2">
        <f ca="1"/>
        <v>65.815793765098846</v>
      </c>
      <c r="AG8913" s="2">
        <f ca="1"/>
        <v>0.97989177719636777</v>
      </c>
      <c r="AH8913" s="2" t="str">
        <f ca="1"/>
        <v>Bad</v>
      </c>
    </row>
    <row r="8914" spans="2:34" x14ac:dyDescent="0.2">
      <c r="B8914" s="2">
        <f ca="1"/>
        <v>9.9712776213187748E-3</v>
      </c>
      <c r="O8914" s="2">
        <f ca="1"/>
        <v>0.72389670804426176</v>
      </c>
      <c r="X8914" s="2">
        <f ca="1"/>
        <v>60.077807283599391</v>
      </c>
      <c r="AG8914" s="2">
        <f ca="1"/>
        <v>9.9097417283662059E-2</v>
      </c>
      <c r="AH8914" s="2" t="str">
        <f ca="1"/>
        <v>OK</v>
      </c>
    </row>
    <row r="8915" spans="2:34" x14ac:dyDescent="0.2">
      <c r="B8915" s="2">
        <f ca="1"/>
        <v>0.96949548377648731</v>
      </c>
      <c r="O8915" s="2">
        <f ca="1"/>
        <v>0.1710573227337896</v>
      </c>
      <c r="X8915" s="2">
        <f ca="1"/>
        <v>38.193445455056562</v>
      </c>
      <c r="AG8915" s="2">
        <f ca="1"/>
        <v>0.53302579879506373</v>
      </c>
      <c r="AH8915" s="2" t="str">
        <f ca="1"/>
        <v>Bad</v>
      </c>
    </row>
    <row r="8916" spans="2:34" x14ac:dyDescent="0.2">
      <c r="B8916" s="2">
        <f ca="1"/>
        <v>0.74437289623718583</v>
      </c>
      <c r="O8916" s="2">
        <f ca="1"/>
        <v>1.1536583189183607</v>
      </c>
      <c r="X8916" s="2">
        <f ca="1"/>
        <v>57.695171928741935</v>
      </c>
      <c r="AG8916" s="2">
        <f ca="1"/>
        <v>0.38569027838775027</v>
      </c>
      <c r="AH8916" s="2" t="str">
        <f ca="1"/>
        <v>OK</v>
      </c>
    </row>
    <row r="8917" spans="2:34" x14ac:dyDescent="0.2">
      <c r="B8917" s="2">
        <f ca="1"/>
        <v>0.29805904020340823</v>
      </c>
      <c r="O8917" s="2">
        <f ca="1"/>
        <v>-1.0786217582489273</v>
      </c>
      <c r="X8917" s="2">
        <f ca="1"/>
        <v>49.218926886981606</v>
      </c>
      <c r="AG8917" s="2">
        <f ca="1"/>
        <v>0.89209224596838532</v>
      </c>
      <c r="AH8917" s="2" t="str">
        <f ca="1"/>
        <v>Bad</v>
      </c>
    </row>
    <row r="8918" spans="2:34" x14ac:dyDescent="0.2">
      <c r="B8918" s="2">
        <f ca="1"/>
        <v>0.87824722397362387</v>
      </c>
      <c r="O8918" s="2">
        <f ca="1"/>
        <v>1.6471380439763668</v>
      </c>
      <c r="X8918" s="2">
        <f ca="1"/>
        <v>74.580834153352356</v>
      </c>
      <c r="AG8918" s="2">
        <f ca="1"/>
        <v>4.6852259118171258E-2</v>
      </c>
      <c r="AH8918" s="2" t="str">
        <f ca="1"/>
        <v>Good</v>
      </c>
    </row>
    <row r="8919" spans="2:34" x14ac:dyDescent="0.2">
      <c r="B8919" s="2">
        <f ca="1"/>
        <v>0.27991918797821147</v>
      </c>
      <c r="O8919" s="2">
        <f ca="1"/>
        <v>0.89966524450129648</v>
      </c>
      <c r="X8919" s="2">
        <f ca="1"/>
        <v>60.075627573448493</v>
      </c>
      <c r="AG8919" s="2">
        <f ca="1"/>
        <v>0.6737091784478626</v>
      </c>
      <c r="AH8919" s="2" t="str">
        <f ca="1"/>
        <v>Bad</v>
      </c>
    </row>
    <row r="8920" spans="2:34" x14ac:dyDescent="0.2">
      <c r="B8920" s="2">
        <f ca="1"/>
        <v>0.11845782472028699</v>
      </c>
      <c r="O8920" s="2">
        <f ca="1"/>
        <v>-0.57953594392366314</v>
      </c>
      <c r="X8920" s="2">
        <f ca="1"/>
        <v>47.227076243633512</v>
      </c>
      <c r="AG8920" s="2">
        <f ca="1"/>
        <v>0.7096089045063616</v>
      </c>
      <c r="AH8920" s="2" t="str">
        <f ca="1"/>
        <v>Bad</v>
      </c>
    </row>
    <row r="8921" spans="2:34" x14ac:dyDescent="0.2">
      <c r="B8921" s="2">
        <f ca="1"/>
        <v>0.58724255450615637</v>
      </c>
      <c r="O8921" s="2">
        <f ca="1"/>
        <v>-1.0956058711636678</v>
      </c>
      <c r="X8921" s="2">
        <f ca="1"/>
        <v>51.421912992091364</v>
      </c>
      <c r="AG8921" s="2">
        <f ca="1"/>
        <v>0.82987895172074566</v>
      </c>
      <c r="AH8921" s="2" t="str">
        <f ca="1"/>
        <v>Bad</v>
      </c>
    </row>
    <row r="8922" spans="2:34" x14ac:dyDescent="0.2">
      <c r="B8922" s="2">
        <f ca="1"/>
        <v>0.22696737276698054</v>
      </c>
      <c r="O8922" s="2">
        <f ca="1"/>
        <v>-0.19165130501857469</v>
      </c>
      <c r="X8922" s="2">
        <f ca="1"/>
        <v>47.184681240813163</v>
      </c>
      <c r="AG8922" s="2">
        <f ca="1"/>
        <v>0.55142710239330306</v>
      </c>
      <c r="AH8922" s="2" t="str">
        <f ca="1"/>
        <v>Bad</v>
      </c>
    </row>
    <row r="8923" spans="2:34" x14ac:dyDescent="0.2">
      <c r="B8923" s="2">
        <f ca="1"/>
        <v>0.72572072399474941</v>
      </c>
      <c r="O8923" s="2">
        <f ca="1"/>
        <v>-0.37989927462921108</v>
      </c>
      <c r="X8923" s="2">
        <f ca="1"/>
        <v>50.548179468967298</v>
      </c>
      <c r="AG8923" s="2">
        <f ca="1"/>
        <v>0.79472121610340474</v>
      </c>
      <c r="AH8923" s="2" t="str">
        <f ca="1"/>
        <v>Bad</v>
      </c>
    </row>
    <row r="8924" spans="2:34" x14ac:dyDescent="0.2">
      <c r="B8924" s="2">
        <f ca="1"/>
        <v>0.68395117122344118</v>
      </c>
      <c r="O8924" s="2">
        <f ca="1"/>
        <v>2.2725422355356986</v>
      </c>
      <c r="X8924" s="2">
        <f ca="1"/>
        <v>84.227641713113073</v>
      </c>
      <c r="AG8924" s="2">
        <f ca="1"/>
        <v>0.40263241867759247</v>
      </c>
      <c r="AH8924" s="2" t="str">
        <f ca="1"/>
        <v>Bad</v>
      </c>
    </row>
    <row r="8925" spans="2:34" x14ac:dyDescent="0.2">
      <c r="B8925" s="2">
        <f ca="1"/>
        <v>1.5856619907802738E-2</v>
      </c>
      <c r="O8925" s="2">
        <f ca="1"/>
        <v>-1.2090098366264908</v>
      </c>
      <c r="X8925" s="2">
        <f ca="1"/>
        <v>50.104639556810511</v>
      </c>
      <c r="AG8925" s="2">
        <f ca="1"/>
        <v>0.40063943987943307</v>
      </c>
      <c r="AH8925" s="2" t="str">
        <f ca="1"/>
        <v>Bad</v>
      </c>
    </row>
    <row r="8926" spans="2:34" x14ac:dyDescent="0.2">
      <c r="B8926" s="2">
        <f ca="1"/>
        <v>0.29362828720534195</v>
      </c>
      <c r="O8926" s="2">
        <f ca="1"/>
        <v>0.54502082346122149</v>
      </c>
      <c r="X8926" s="2">
        <f ca="1"/>
        <v>64.860453629905919</v>
      </c>
      <c r="AG8926" s="2">
        <f ca="1"/>
        <v>0.13689547503928501</v>
      </c>
      <c r="AH8926" s="2" t="str">
        <f ca="1"/>
        <v>OK</v>
      </c>
    </row>
    <row r="8927" spans="2:34" x14ac:dyDescent="0.2">
      <c r="B8927" s="2">
        <f ca="1"/>
        <v>1.242017863738476E-2</v>
      </c>
      <c r="O8927" s="2">
        <f ca="1"/>
        <v>1.3411823474342164</v>
      </c>
      <c r="X8927" s="2">
        <f ca="1"/>
        <v>43.911011231588304</v>
      </c>
      <c r="AG8927" s="2">
        <f ca="1"/>
        <v>0.84116537043608686</v>
      </c>
      <c r="AH8927" s="2" t="str">
        <f ca="1"/>
        <v>Bad</v>
      </c>
    </row>
    <row r="8928" spans="2:34" x14ac:dyDescent="0.2">
      <c r="B8928" s="2">
        <f ca="1"/>
        <v>0.91680116410962098</v>
      </c>
      <c r="O8928" s="2">
        <f ca="1"/>
        <v>-0.3975144489922246</v>
      </c>
      <c r="X8928" s="2">
        <f ca="1"/>
        <v>32.551110302759817</v>
      </c>
      <c r="AG8928" s="2">
        <f ca="1"/>
        <v>0.5631609193603655</v>
      </c>
      <c r="AH8928" s="2" t="str">
        <f ca="1"/>
        <v>Bad</v>
      </c>
    </row>
    <row r="8929" spans="2:34" x14ac:dyDescent="0.2">
      <c r="B8929" s="2">
        <f ca="1"/>
        <v>0.96229856819884052</v>
      </c>
      <c r="O8929" s="2">
        <f ca="1"/>
        <v>1.091999514428363</v>
      </c>
      <c r="X8929" s="2">
        <f ca="1"/>
        <v>40.56798063420149</v>
      </c>
      <c r="AG8929" s="2">
        <f ca="1"/>
        <v>0.56688185952271475</v>
      </c>
      <c r="AH8929" s="2" t="str">
        <f ca="1"/>
        <v>Bad</v>
      </c>
    </row>
    <row r="8930" spans="2:34" x14ac:dyDescent="0.2">
      <c r="B8930" s="2">
        <f ca="1"/>
        <v>0.87087746338362404</v>
      </c>
      <c r="O8930" s="2">
        <f ca="1"/>
        <v>0.77707931874194835</v>
      </c>
      <c r="X8930" s="2">
        <f ca="1"/>
        <v>36.133005764204967</v>
      </c>
      <c r="AG8930" s="2">
        <f ca="1"/>
        <v>0.58473889913568811</v>
      </c>
      <c r="AH8930" s="2" t="str">
        <f ca="1"/>
        <v>Bad</v>
      </c>
    </row>
    <row r="8931" spans="2:34" x14ac:dyDescent="0.2">
      <c r="B8931" s="2">
        <f ca="1"/>
        <v>0.51643468016725058</v>
      </c>
      <c r="O8931" s="2">
        <f ca="1"/>
        <v>3.190831013653344E-2</v>
      </c>
      <c r="X8931" s="2">
        <f ca="1"/>
        <v>63.79269860666313</v>
      </c>
      <c r="AG8931" s="2">
        <f ca="1"/>
        <v>0.30053849668716293</v>
      </c>
      <c r="AH8931" s="2" t="str">
        <f ca="1"/>
        <v>OK</v>
      </c>
    </row>
    <row r="8932" spans="2:34" x14ac:dyDescent="0.2">
      <c r="B8932" s="2">
        <f ca="1"/>
        <v>0.55040668050737684</v>
      </c>
      <c r="O8932" s="2">
        <f ca="1"/>
        <v>-0.79604241399508713</v>
      </c>
      <c r="X8932" s="2">
        <f ca="1"/>
        <v>35.366410058959239</v>
      </c>
      <c r="AG8932" s="2">
        <f ca="1"/>
        <v>0.79934869271533215</v>
      </c>
      <c r="AH8932" s="2" t="str">
        <f ca="1"/>
        <v>Bad</v>
      </c>
    </row>
    <row r="8933" spans="2:34" x14ac:dyDescent="0.2">
      <c r="B8933" s="2">
        <f ca="1"/>
        <v>0.55803802809432157</v>
      </c>
      <c r="O8933" s="2">
        <f ca="1"/>
        <v>-1.3225808443656792</v>
      </c>
      <c r="X8933" s="2">
        <f ca="1"/>
        <v>50.173044357612667</v>
      </c>
      <c r="AG8933" s="2">
        <f ca="1"/>
        <v>0.43969966806899041</v>
      </c>
      <c r="AH8933" s="2" t="str">
        <f ca="1"/>
        <v>Bad</v>
      </c>
    </row>
    <row r="8934" spans="2:34" x14ac:dyDescent="0.2">
      <c r="B8934" s="2">
        <f ca="1"/>
        <v>0.40812193968694688</v>
      </c>
      <c r="O8934" s="2">
        <f ca="1"/>
        <v>0.33370020521745336</v>
      </c>
      <c r="X8934" s="2">
        <f ca="1"/>
        <v>74.225457772812419</v>
      </c>
      <c r="AG8934" s="2">
        <f ca="1"/>
        <v>0.18885224908530729</v>
      </c>
      <c r="AH8934" s="2" t="str">
        <f ca="1"/>
        <v>OK</v>
      </c>
    </row>
    <row r="8935" spans="2:34" x14ac:dyDescent="0.2">
      <c r="B8935" s="2">
        <f ca="1"/>
        <v>0.13390665047054062</v>
      </c>
      <c r="O8935" s="2">
        <f ca="1"/>
        <v>-1.9073702309636047</v>
      </c>
      <c r="X8935" s="2">
        <f ca="1"/>
        <v>63.971134797601664</v>
      </c>
      <c r="AG8935" s="2">
        <f ca="1"/>
        <v>0.13180923633780495</v>
      </c>
      <c r="AH8935" s="2" t="str">
        <f ca="1"/>
        <v>OK</v>
      </c>
    </row>
    <row r="8936" spans="2:34" x14ac:dyDescent="0.2">
      <c r="B8936" s="2">
        <f ca="1"/>
        <v>0.10452818408772169</v>
      </c>
      <c r="O8936" s="2">
        <f ca="1"/>
        <v>0.81067453231937003</v>
      </c>
      <c r="X8936" s="2">
        <f ca="1"/>
        <v>71.211573224647267</v>
      </c>
      <c r="AG8936" s="2">
        <f ca="1"/>
        <v>0.27942075201314287</v>
      </c>
      <c r="AH8936" s="2" t="str">
        <f ca="1"/>
        <v>OK</v>
      </c>
    </row>
    <row r="8937" spans="2:34" x14ac:dyDescent="0.2">
      <c r="B8937" s="2">
        <f ca="1"/>
        <v>0.55422660163003123</v>
      </c>
      <c r="O8937" s="2">
        <f ca="1"/>
        <v>0.14433499055362814</v>
      </c>
      <c r="X8937" s="2">
        <f ca="1"/>
        <v>29.866623842038216</v>
      </c>
      <c r="AG8937" s="2">
        <f ca="1"/>
        <v>0.95144413765174329</v>
      </c>
      <c r="AH8937" s="2" t="str">
        <f ca="1"/>
        <v>Bad</v>
      </c>
    </row>
    <row r="8938" spans="2:34" x14ac:dyDescent="0.2">
      <c r="B8938" s="2">
        <f ca="1"/>
        <v>0.10624303523029544</v>
      </c>
      <c r="O8938" s="2">
        <f ca="1"/>
        <v>-1.035283145316086</v>
      </c>
      <c r="X8938" s="2">
        <f ca="1"/>
        <v>36.610059494137353</v>
      </c>
      <c r="AG8938" s="2">
        <f ca="1"/>
        <v>0.87039381053275866</v>
      </c>
      <c r="AH8938" s="2" t="str">
        <f ca="1"/>
        <v>Bad</v>
      </c>
    </row>
    <row r="8939" spans="2:34" x14ac:dyDescent="0.2">
      <c r="B8939" s="2">
        <f ca="1"/>
        <v>0.42079132857458124</v>
      </c>
      <c r="O8939" s="2">
        <f ca="1"/>
        <v>-1.1301224467612812</v>
      </c>
      <c r="X8939" s="2">
        <f ca="1"/>
        <v>46.447117504253029</v>
      </c>
      <c r="AG8939" s="2">
        <f ca="1"/>
        <v>0.4527706921453003</v>
      </c>
      <c r="AH8939" s="2" t="str">
        <f ca="1"/>
        <v>Bad</v>
      </c>
    </row>
    <row r="8940" spans="2:34" x14ac:dyDescent="0.2">
      <c r="B8940" s="2">
        <f ca="1"/>
        <v>0.67014448556887718</v>
      </c>
      <c r="O8940" s="2">
        <f ca="1"/>
        <v>-1.6975917145192603</v>
      </c>
      <c r="X8940" s="2">
        <f ca="1"/>
        <v>46.107895222948017</v>
      </c>
      <c r="AG8940" s="2">
        <f ca="1"/>
        <v>0.26395006229108775</v>
      </c>
      <c r="AH8940" s="2" t="str">
        <f ca="1"/>
        <v>OK</v>
      </c>
    </row>
    <row r="8941" spans="2:34" x14ac:dyDescent="0.2">
      <c r="B8941" s="2">
        <f ca="1"/>
        <v>0.44314695709416307</v>
      </c>
      <c r="O8941" s="2">
        <f ca="1"/>
        <v>-0.2983382330412076</v>
      </c>
      <c r="X8941" s="2">
        <f ca="1"/>
        <v>23.094183825858572</v>
      </c>
      <c r="AG8941" s="2">
        <f ca="1"/>
        <v>0.69607082691915201</v>
      </c>
      <c r="AH8941" s="2" t="str">
        <f ca="1"/>
        <v>Bad</v>
      </c>
    </row>
    <row r="8942" spans="2:34" x14ac:dyDescent="0.2">
      <c r="B8942" s="2">
        <f ca="1"/>
        <v>0.49036717829186416</v>
      </c>
      <c r="O8942" s="2">
        <f ca="1"/>
        <v>-1.7550465529859198</v>
      </c>
      <c r="X8942" s="2">
        <f ca="1"/>
        <v>46.235454034150337</v>
      </c>
      <c r="AG8942" s="2">
        <f ca="1"/>
        <v>0.91836840026209599</v>
      </c>
      <c r="AH8942" s="2" t="str">
        <f ca="1"/>
        <v>Bad</v>
      </c>
    </row>
    <row r="8943" spans="2:34" x14ac:dyDescent="0.2">
      <c r="B8943" s="2">
        <f ca="1"/>
        <v>0.26789376791985098</v>
      </c>
      <c r="O8943" s="2">
        <f ca="1"/>
        <v>0.40184700627118325</v>
      </c>
      <c r="X8943" s="2">
        <f ca="1"/>
        <v>69.965456908999627</v>
      </c>
      <c r="AG8943" s="2">
        <f ca="1"/>
        <v>0.65503026542233966</v>
      </c>
      <c r="AH8943" s="2" t="str">
        <f ca="1"/>
        <v>Bad</v>
      </c>
    </row>
    <row r="8944" spans="2:34" x14ac:dyDescent="0.2">
      <c r="B8944" s="2">
        <f ca="1"/>
        <v>0.77000195410089733</v>
      </c>
      <c r="O8944" s="2">
        <f ca="1"/>
        <v>-0.24763551140242698</v>
      </c>
      <c r="X8944" s="2">
        <f ca="1"/>
        <v>33.137314125966768</v>
      </c>
      <c r="AG8944" s="2">
        <f ca="1"/>
        <v>0.77576769414197644</v>
      </c>
      <c r="AH8944" s="2" t="str">
        <f ca="1"/>
        <v>Bad</v>
      </c>
    </row>
    <row r="8945" spans="2:34" x14ac:dyDescent="0.2">
      <c r="B8945" s="2">
        <f ca="1"/>
        <v>0.71194849709373642</v>
      </c>
      <c r="O8945" s="2">
        <f ca="1"/>
        <v>-1.3471274161635336</v>
      </c>
      <c r="X8945" s="2">
        <f ca="1"/>
        <v>51.70892615894553</v>
      </c>
      <c r="AG8945" s="2">
        <f ca="1"/>
        <v>0.70070149686317706</v>
      </c>
      <c r="AH8945" s="2" t="str">
        <f ca="1"/>
        <v>Bad</v>
      </c>
    </row>
    <row r="8946" spans="2:34" x14ac:dyDescent="0.2">
      <c r="B8946" s="2">
        <f ca="1"/>
        <v>0.23272703216882284</v>
      </c>
      <c r="O8946" s="2">
        <f ca="1"/>
        <v>0.13643668459203687</v>
      </c>
      <c r="X8946" s="2">
        <f ca="1"/>
        <v>22.184153555843924</v>
      </c>
      <c r="AG8946" s="2">
        <f ca="1"/>
        <v>0.86935956749717413</v>
      </c>
      <c r="AH8946" s="2" t="str">
        <f ca="1"/>
        <v>Bad</v>
      </c>
    </row>
    <row r="8947" spans="2:34" x14ac:dyDescent="0.2">
      <c r="B8947" s="2">
        <f ca="1"/>
        <v>0.90576668483479494</v>
      </c>
      <c r="O8947" s="2">
        <f ca="1"/>
        <v>1.2726452538437989</v>
      </c>
      <c r="X8947" s="2">
        <f ca="1"/>
        <v>44.690596861323414</v>
      </c>
      <c r="AG8947" s="2">
        <f ca="1"/>
        <v>0.7106796971171383</v>
      </c>
      <c r="AH8947" s="2" t="str">
        <f ca="1"/>
        <v>Bad</v>
      </c>
    </row>
    <row r="8948" spans="2:34" x14ac:dyDescent="0.2">
      <c r="B8948" s="2">
        <f ca="1"/>
        <v>0.38778497555037328</v>
      </c>
      <c r="O8948" s="2">
        <f ca="1"/>
        <v>-0.73115378237791395</v>
      </c>
      <c r="X8948" s="2">
        <f ca="1"/>
        <v>39.657244196863665</v>
      </c>
      <c r="AG8948" s="2">
        <f ca="1"/>
        <v>0.51598177571574855</v>
      </c>
      <c r="AH8948" s="2" t="str">
        <f ca="1"/>
        <v>Bad</v>
      </c>
    </row>
    <row r="8949" spans="2:34" x14ac:dyDescent="0.2">
      <c r="B8949" s="2">
        <f ca="1"/>
        <v>0.78907357658810962</v>
      </c>
      <c r="O8949" s="2">
        <f ca="1"/>
        <v>1.7782209667119886</v>
      </c>
      <c r="X8949" s="2">
        <f ca="1"/>
        <v>38.713490376344531</v>
      </c>
      <c r="AG8949" s="2">
        <f ca="1"/>
        <v>0.83434414125270862</v>
      </c>
      <c r="AH8949" s="2" t="str">
        <f ca="1"/>
        <v>Bad</v>
      </c>
    </row>
    <row r="8950" spans="2:34" x14ac:dyDescent="0.2">
      <c r="B8950" s="2">
        <f ca="1"/>
        <v>5.4771664556853006E-2</v>
      </c>
      <c r="O8950" s="2">
        <f ca="1"/>
        <v>1.5969297685989816</v>
      </c>
      <c r="X8950" s="2">
        <f ca="1"/>
        <v>48.462100329060235</v>
      </c>
      <c r="AG8950" s="2">
        <f ca="1"/>
        <v>0.93666005353249426</v>
      </c>
      <c r="AH8950" s="2" t="str">
        <f ca="1"/>
        <v>Bad</v>
      </c>
    </row>
    <row r="8951" spans="2:34" x14ac:dyDescent="0.2">
      <c r="B8951" s="2">
        <f ca="1"/>
        <v>0.99965034447611933</v>
      </c>
      <c r="O8951" s="2">
        <f ca="1"/>
        <v>-0.77472419512575663</v>
      </c>
      <c r="X8951" s="2">
        <f ca="1"/>
        <v>42.4290897715656</v>
      </c>
      <c r="AG8951" s="2">
        <f ca="1"/>
        <v>0.94141008989495578</v>
      </c>
      <c r="AH8951" s="2" t="str">
        <f ca="1"/>
        <v>Bad</v>
      </c>
    </row>
    <row r="8952" spans="2:34" x14ac:dyDescent="0.2">
      <c r="B8952" s="2">
        <f ca="1"/>
        <v>0.37898266807651293</v>
      </c>
      <c r="O8952" s="2">
        <f ca="1"/>
        <v>0.96859242035351023</v>
      </c>
      <c r="X8952" s="2">
        <f ca="1"/>
        <v>31.179011257136224</v>
      </c>
      <c r="AG8952" s="2">
        <f ca="1"/>
        <v>0.11081724608269217</v>
      </c>
      <c r="AH8952" s="2" t="str">
        <f ca="1"/>
        <v>OK</v>
      </c>
    </row>
    <row r="8953" spans="2:34" x14ac:dyDescent="0.2">
      <c r="B8953" s="2">
        <f ca="1"/>
        <v>0.83896882762543012</v>
      </c>
      <c r="O8953" s="2">
        <f ca="1"/>
        <v>-3.0887420239198674E-2</v>
      </c>
      <c r="X8953" s="2">
        <f ca="1"/>
        <v>75.524720054101564</v>
      </c>
      <c r="AG8953" s="2">
        <f ca="1"/>
        <v>0.70669165206574713</v>
      </c>
      <c r="AH8953" s="2" t="str">
        <f ca="1"/>
        <v>Bad</v>
      </c>
    </row>
    <row r="8954" spans="2:34" x14ac:dyDescent="0.2">
      <c r="B8954" s="2">
        <f ca="1"/>
        <v>0.67429060144989217</v>
      </c>
      <c r="O8954" s="2">
        <f ca="1"/>
        <v>-1.739456472042487</v>
      </c>
      <c r="X8954" s="2">
        <f ca="1"/>
        <v>53.220884022642608</v>
      </c>
      <c r="AG8954" s="2">
        <f ca="1"/>
        <v>0.75461667221135054</v>
      </c>
      <c r="AH8954" s="2" t="str">
        <f ca="1"/>
        <v>Bad</v>
      </c>
    </row>
    <row r="8955" spans="2:34" x14ac:dyDescent="0.2">
      <c r="B8955" s="2">
        <f ca="1"/>
        <v>0.45394220473237201</v>
      </c>
      <c r="O8955" s="2">
        <f ca="1"/>
        <v>0.4554602761508626</v>
      </c>
      <c r="X8955" s="2">
        <f ca="1"/>
        <v>47.384739838884926</v>
      </c>
      <c r="AG8955" s="2">
        <f ca="1"/>
        <v>2.0903204550270615E-2</v>
      </c>
      <c r="AH8955" s="2" t="str">
        <f ca="1"/>
        <v>Good</v>
      </c>
    </row>
    <row r="8956" spans="2:34" x14ac:dyDescent="0.2">
      <c r="B8956" s="2">
        <f ca="1"/>
        <v>0.54686482692020388</v>
      </c>
      <c r="O8956" s="2">
        <f ca="1"/>
        <v>2.5108432416297157</v>
      </c>
      <c r="X8956" s="2">
        <f ca="1"/>
        <v>42.426032174354738</v>
      </c>
      <c r="AG8956" s="2">
        <f ca="1"/>
        <v>0.12286371039237332</v>
      </c>
      <c r="AH8956" s="2" t="str">
        <f ca="1"/>
        <v>OK</v>
      </c>
    </row>
    <row r="8957" spans="2:34" x14ac:dyDescent="0.2">
      <c r="B8957" s="2">
        <f ca="1"/>
        <v>0.60629797177552236</v>
      </c>
      <c r="O8957" s="2">
        <f ca="1"/>
        <v>0.27515284962135061</v>
      </c>
      <c r="X8957" s="2">
        <f ca="1"/>
        <v>77.892333046460337</v>
      </c>
      <c r="AG8957" s="2">
        <f ca="1"/>
        <v>0.28616611409033266</v>
      </c>
      <c r="AH8957" s="2" t="str">
        <f ca="1"/>
        <v>OK</v>
      </c>
    </row>
    <row r="8958" spans="2:34" x14ac:dyDescent="0.2">
      <c r="B8958" s="2">
        <f ca="1"/>
        <v>0.64624600626494533</v>
      </c>
      <c r="O8958" s="2">
        <f ca="1"/>
        <v>-0.56169705886879095</v>
      </c>
      <c r="X8958" s="2">
        <f ca="1"/>
        <v>53.004215816877149</v>
      </c>
      <c r="AG8958" s="2">
        <f ca="1"/>
        <v>0.23108768654406719</v>
      </c>
      <c r="AH8958" s="2" t="str">
        <f ca="1"/>
        <v>OK</v>
      </c>
    </row>
    <row r="8959" spans="2:34" x14ac:dyDescent="0.2">
      <c r="B8959" s="2">
        <f ca="1"/>
        <v>0.3429274630924144</v>
      </c>
      <c r="O8959" s="2">
        <f ca="1"/>
        <v>0.13885204005059529</v>
      </c>
      <c r="X8959" s="2">
        <f ca="1"/>
        <v>74.669586581444989</v>
      </c>
      <c r="AG8959" s="2">
        <f ca="1"/>
        <v>0.60249266622902753</v>
      </c>
      <c r="AH8959" s="2" t="str">
        <f ca="1"/>
        <v>Bad</v>
      </c>
    </row>
    <row r="8960" spans="2:34" x14ac:dyDescent="0.2">
      <c r="B8960" s="2">
        <f ca="1"/>
        <v>0.42086666324314304</v>
      </c>
      <c r="O8960" s="2">
        <f ca="1"/>
        <v>-0.53492927929353684</v>
      </c>
      <c r="X8960" s="2">
        <f ca="1"/>
        <v>43.673391429832506</v>
      </c>
      <c r="AG8960" s="2">
        <f ca="1"/>
        <v>0.66568424256964498</v>
      </c>
      <c r="AH8960" s="2" t="str">
        <f ca="1"/>
        <v>Bad</v>
      </c>
    </row>
    <row r="8961" spans="2:34" x14ac:dyDescent="0.2">
      <c r="B8961" s="2">
        <f ca="1"/>
        <v>0.35704816366268877</v>
      </c>
      <c r="O8961" s="2">
        <f ca="1"/>
        <v>0.38932321476417403</v>
      </c>
      <c r="X8961" s="2">
        <f ca="1"/>
        <v>37.262298426040566</v>
      </c>
      <c r="AG8961" s="2">
        <f ca="1"/>
        <v>0.18599452969380881</v>
      </c>
      <c r="AH8961" s="2" t="str">
        <f ca="1"/>
        <v>OK</v>
      </c>
    </row>
    <row r="8962" spans="2:34" x14ac:dyDescent="0.2">
      <c r="B8962" s="2">
        <f ca="1"/>
        <v>0.11631986103844483</v>
      </c>
      <c r="O8962" s="2">
        <f ca="1"/>
        <v>-0.38968523822347567</v>
      </c>
      <c r="X8962" s="2">
        <f ca="1"/>
        <v>37.657677930081427</v>
      </c>
      <c r="AG8962" s="2">
        <f ca="1"/>
        <v>0.36265965207892203</v>
      </c>
      <c r="AH8962" s="2" t="str">
        <f ca="1"/>
        <v>OK</v>
      </c>
    </row>
    <row r="8963" spans="2:34" x14ac:dyDescent="0.2">
      <c r="B8963" s="2">
        <f ca="1"/>
        <v>0.88683738832295056</v>
      </c>
      <c r="O8963" s="2">
        <f ca="1"/>
        <v>-1.8422258036535748</v>
      </c>
      <c r="X8963" s="2">
        <f ca="1"/>
        <v>37.800031036761816</v>
      </c>
      <c r="AG8963" s="2">
        <f ca="1"/>
        <v>0.34894173064405987</v>
      </c>
      <c r="AH8963" s="2" t="str">
        <f ca="1"/>
        <v>OK</v>
      </c>
    </row>
    <row r="8964" spans="2:34" x14ac:dyDescent="0.2">
      <c r="B8964" s="2">
        <f ca="1"/>
        <v>0.23846860450101581</v>
      </c>
      <c r="O8964" s="2">
        <f ca="1"/>
        <v>-1.0995906853289459</v>
      </c>
      <c r="X8964" s="2">
        <f ca="1"/>
        <v>46.014975897820392</v>
      </c>
      <c r="AG8964" s="2">
        <f ca="1"/>
        <v>0.44859323236096649</v>
      </c>
      <c r="AH8964" s="2" t="str">
        <f ca="1"/>
        <v>Bad</v>
      </c>
    </row>
    <row r="8965" spans="2:34" x14ac:dyDescent="0.2">
      <c r="B8965" s="2">
        <f ca="1"/>
        <v>0.85558357297648024</v>
      </c>
      <c r="O8965" s="2">
        <f ca="1"/>
        <v>-0.83867646271960172</v>
      </c>
      <c r="X8965" s="2">
        <f ca="1"/>
        <v>56.045457024654354</v>
      </c>
      <c r="AG8965" s="2">
        <f ca="1"/>
        <v>0.49716322115211176</v>
      </c>
      <c r="AH8965" s="2" t="str">
        <f ca="1"/>
        <v>Bad</v>
      </c>
    </row>
    <row r="8966" spans="2:34" x14ac:dyDescent="0.2">
      <c r="B8966" s="2">
        <f ca="1"/>
        <v>0.37117274286044233</v>
      </c>
      <c r="O8966" s="2">
        <f ca="1"/>
        <v>-0.65376363594276976</v>
      </c>
      <c r="X8966" s="2">
        <f ca="1"/>
        <v>60.091869140104414</v>
      </c>
      <c r="AG8966" s="2">
        <f ca="1"/>
        <v>0.38126921551737336</v>
      </c>
      <c r="AH8966" s="2" t="str">
        <f ca="1"/>
        <v>OK</v>
      </c>
    </row>
    <row r="8967" spans="2:34" x14ac:dyDescent="0.2">
      <c r="B8967" s="2">
        <f ca="1"/>
        <v>0.4299180502490596</v>
      </c>
      <c r="O8967" s="2">
        <f ca="1"/>
        <v>-0.59469398001676765</v>
      </c>
      <c r="X8967" s="2">
        <f ca="1"/>
        <v>64.081348720468881</v>
      </c>
      <c r="AG8967" s="2">
        <f ca="1"/>
        <v>0.9280439307499313</v>
      </c>
      <c r="AH8967" s="2" t="str">
        <f ca="1"/>
        <v>Bad</v>
      </c>
    </row>
    <row r="8968" spans="2:34" x14ac:dyDescent="0.2">
      <c r="B8968" s="2">
        <f ca="1"/>
        <v>3.0042110518547105E-2</v>
      </c>
      <c r="O8968" s="2">
        <f ca="1"/>
        <v>0.15742957311787609</v>
      </c>
      <c r="X8968" s="2">
        <f ca="1"/>
        <v>27.099788267671446</v>
      </c>
      <c r="AG8968" s="2">
        <f ca="1"/>
        <v>0.49393386023555297</v>
      </c>
      <c r="AH8968" s="2" t="str">
        <f ca="1"/>
        <v>Bad</v>
      </c>
    </row>
    <row r="8969" spans="2:34" x14ac:dyDescent="0.2">
      <c r="B8969" s="2">
        <f ca="1"/>
        <v>0.27834295509579365</v>
      </c>
      <c r="O8969" s="2">
        <f ca="1"/>
        <v>0.39463458774717752</v>
      </c>
      <c r="X8969" s="2">
        <f ca="1"/>
        <v>36.433741182537283</v>
      </c>
      <c r="AG8969" s="2">
        <f ca="1"/>
        <v>0.7714330654065602</v>
      </c>
      <c r="AH8969" s="2" t="str">
        <f ca="1"/>
        <v>Bad</v>
      </c>
    </row>
    <row r="8970" spans="2:34" x14ac:dyDescent="0.2">
      <c r="B8970" s="2">
        <f ca="1"/>
        <v>0.37618874030507832</v>
      </c>
      <c r="O8970" s="2">
        <f ca="1"/>
        <v>0.41509478097312269</v>
      </c>
      <c r="X8970" s="2">
        <f ca="1"/>
        <v>28.043921984098464</v>
      </c>
      <c r="AG8970" s="2">
        <f ca="1"/>
        <v>0.54099995806946599</v>
      </c>
      <c r="AH8970" s="2" t="str">
        <f ca="1"/>
        <v>Bad</v>
      </c>
    </row>
    <row r="8971" spans="2:34" x14ac:dyDescent="0.2">
      <c r="B8971" s="2">
        <f ca="1"/>
        <v>0.15522590927298374</v>
      </c>
      <c r="O8971" s="2">
        <f ca="1"/>
        <v>0.13591186737518984</v>
      </c>
      <c r="X8971" s="2">
        <f ca="1"/>
        <v>58.835682412864074</v>
      </c>
      <c r="AG8971" s="2">
        <f ca="1"/>
        <v>0.68947078615938495</v>
      </c>
      <c r="AH8971" s="2" t="str">
        <f ca="1"/>
        <v>Bad</v>
      </c>
    </row>
    <row r="8972" spans="2:34" x14ac:dyDescent="0.2">
      <c r="B8972" s="2">
        <f ca="1"/>
        <v>0.73278178434933072</v>
      </c>
      <c r="O8972" s="2">
        <f ca="1"/>
        <v>1.4567963410074827</v>
      </c>
      <c r="X8972" s="2">
        <f ca="1"/>
        <v>49.151467697056233</v>
      </c>
      <c r="AG8972" s="2">
        <f ca="1"/>
        <v>0.35454885742368392</v>
      </c>
      <c r="AH8972" s="2" t="str">
        <f ca="1"/>
        <v>OK</v>
      </c>
    </row>
    <row r="8973" spans="2:34" x14ac:dyDescent="0.2">
      <c r="B8973" s="2">
        <f ca="1"/>
        <v>0.97101179164282692</v>
      </c>
      <c r="O8973" s="2">
        <f ca="1"/>
        <v>1.0453691596878503</v>
      </c>
      <c r="X8973" s="2">
        <f ca="1"/>
        <v>44.133395471789683</v>
      </c>
      <c r="AG8973" s="2">
        <f ca="1"/>
        <v>0.52423506013501009</v>
      </c>
      <c r="AH8973" s="2" t="str">
        <f ca="1"/>
        <v>Bad</v>
      </c>
    </row>
    <row r="8974" spans="2:34" x14ac:dyDescent="0.2">
      <c r="B8974" s="2">
        <f ca="1"/>
        <v>0.1988766562767097</v>
      </c>
      <c r="O8974" s="2">
        <f ca="1"/>
        <v>0.30200498738412102</v>
      </c>
      <c r="X8974" s="2">
        <f ca="1"/>
        <v>68.053339452517918</v>
      </c>
      <c r="AG8974" s="2">
        <f ca="1"/>
        <v>0.98623845498487972</v>
      </c>
      <c r="AH8974" s="2" t="str">
        <f ca="1"/>
        <v>Bad</v>
      </c>
    </row>
    <row r="8975" spans="2:34" x14ac:dyDescent="0.2">
      <c r="B8975" s="2">
        <f ca="1"/>
        <v>0.749679045812782</v>
      </c>
      <c r="O8975" s="2">
        <f ca="1"/>
        <v>0.46264505469650852</v>
      </c>
      <c r="X8975" s="2">
        <f ca="1"/>
        <v>43.020099080250674</v>
      </c>
      <c r="AG8975" s="2">
        <f ca="1"/>
        <v>0.38047251343410848</v>
      </c>
      <c r="AH8975" s="2" t="str">
        <f ca="1"/>
        <v>OK</v>
      </c>
    </row>
    <row r="8976" spans="2:34" x14ac:dyDescent="0.2">
      <c r="B8976" s="2">
        <f ca="1"/>
        <v>0.66522033420056248</v>
      </c>
      <c r="O8976" s="2">
        <f ca="1"/>
        <v>0.21550021501557926</v>
      </c>
      <c r="X8976" s="2">
        <f ca="1"/>
        <v>41.135629669498037</v>
      </c>
      <c r="AG8976" s="2">
        <f ca="1"/>
        <v>0.55955686400408222</v>
      </c>
      <c r="AH8976" s="2" t="str">
        <f ca="1"/>
        <v>Bad</v>
      </c>
    </row>
    <row r="8977" spans="2:34" x14ac:dyDescent="0.2">
      <c r="B8977" s="2">
        <f ca="1"/>
        <v>0.98812940793673265</v>
      </c>
      <c r="O8977" s="2">
        <f ca="1"/>
        <v>0.73118341843387347</v>
      </c>
      <c r="X8977" s="2">
        <f ca="1"/>
        <v>14.0981918587379</v>
      </c>
      <c r="AG8977" s="2">
        <f ca="1"/>
        <v>0.22509412187113109</v>
      </c>
      <c r="AH8977" s="2" t="str">
        <f ca="1"/>
        <v>OK</v>
      </c>
    </row>
    <row r="8978" spans="2:34" x14ac:dyDescent="0.2">
      <c r="B8978" s="2">
        <f ca="1"/>
        <v>0.88005483905331361</v>
      </c>
      <c r="O8978" s="2">
        <f ca="1"/>
        <v>0.1678478067743957</v>
      </c>
      <c r="X8978" s="2">
        <f ca="1"/>
        <v>45.144275918596655</v>
      </c>
      <c r="AG8978" s="2">
        <f ca="1"/>
        <v>0.10978045297301464</v>
      </c>
      <c r="AH8978" s="2" t="str">
        <f ca="1"/>
        <v>OK</v>
      </c>
    </row>
    <row r="8979" spans="2:34" x14ac:dyDescent="0.2">
      <c r="B8979" s="2">
        <f ca="1"/>
        <v>0.52181915616585672</v>
      </c>
      <c r="O8979" s="2">
        <f ca="1"/>
        <v>2.9334691599813079</v>
      </c>
      <c r="X8979" s="2">
        <f ca="1"/>
        <v>61.127104207907301</v>
      </c>
      <c r="AG8979" s="2">
        <f ca="1"/>
        <v>0.27820345550204117</v>
      </c>
      <c r="AH8979" s="2" t="str">
        <f ca="1"/>
        <v>OK</v>
      </c>
    </row>
    <row r="8980" spans="2:34" x14ac:dyDescent="0.2">
      <c r="B8980" s="2">
        <f ca="1"/>
        <v>0.11517410028788899</v>
      </c>
      <c r="O8980" s="2">
        <f ca="1"/>
        <v>-1.0566886650288747</v>
      </c>
      <c r="X8980" s="2">
        <f ca="1"/>
        <v>60.899368175711366</v>
      </c>
      <c r="AG8980" s="2">
        <f ca="1"/>
        <v>0.75896218018358952</v>
      </c>
      <c r="AH8980" s="2" t="str">
        <f ca="1"/>
        <v>Bad</v>
      </c>
    </row>
    <row r="8981" spans="2:34" x14ac:dyDescent="0.2">
      <c r="B8981" s="2">
        <f ca="1"/>
        <v>0.25046361133742301</v>
      </c>
      <c r="O8981" s="2">
        <f ca="1"/>
        <v>6.0184207103045784E-2</v>
      </c>
      <c r="X8981" s="2">
        <f ca="1"/>
        <v>34.616956918773539</v>
      </c>
      <c r="AG8981" s="2">
        <f ca="1"/>
        <v>0.87217554041255929</v>
      </c>
      <c r="AH8981" s="2" t="str">
        <f ca="1"/>
        <v>Bad</v>
      </c>
    </row>
    <row r="8982" spans="2:34" x14ac:dyDescent="0.2">
      <c r="B8982" s="2">
        <f ca="1"/>
        <v>0.54031451112847417</v>
      </c>
      <c r="O8982" s="2">
        <f ca="1"/>
        <v>-0.38210599464903061</v>
      </c>
      <c r="X8982" s="2">
        <f ca="1"/>
        <v>52.565290553106763</v>
      </c>
      <c r="AG8982" s="2">
        <f ca="1"/>
        <v>3.8423193608669637E-2</v>
      </c>
      <c r="AH8982" s="2" t="str">
        <f ca="1"/>
        <v>Good</v>
      </c>
    </row>
    <row r="8983" spans="2:34" x14ac:dyDescent="0.2">
      <c r="B8983" s="2">
        <f ca="1"/>
        <v>0.63471533112850276</v>
      </c>
      <c r="O8983" s="2">
        <f ca="1"/>
        <v>1.2473574885900305</v>
      </c>
      <c r="X8983" s="2">
        <f ca="1"/>
        <v>72.022678426175858</v>
      </c>
      <c r="AG8983" s="2">
        <f ca="1"/>
        <v>0.18478105735729256</v>
      </c>
      <c r="AH8983" s="2" t="str">
        <f ca="1"/>
        <v>OK</v>
      </c>
    </row>
    <row r="8984" spans="2:34" x14ac:dyDescent="0.2">
      <c r="B8984" s="2">
        <f ca="1"/>
        <v>0.19796286300918009</v>
      </c>
      <c r="O8984" s="2">
        <f ca="1"/>
        <v>1.124413680990481</v>
      </c>
      <c r="X8984" s="2">
        <f ca="1"/>
        <v>27.7502393235971</v>
      </c>
      <c r="AG8984" s="2">
        <f ca="1"/>
        <v>0.3090044848963347</v>
      </c>
      <c r="AH8984" s="2" t="str">
        <f ca="1"/>
        <v>OK</v>
      </c>
    </row>
    <row r="8985" spans="2:34" x14ac:dyDescent="0.2">
      <c r="B8985" s="2">
        <f ca="1"/>
        <v>0.20656557273887288</v>
      </c>
      <c r="O8985" s="2">
        <f ca="1"/>
        <v>-0.25208370000133112</v>
      </c>
      <c r="X8985" s="2">
        <f ca="1"/>
        <v>65.491902111282926</v>
      </c>
      <c r="AG8985" s="2">
        <f ca="1"/>
        <v>0.52289597277613464</v>
      </c>
      <c r="AH8985" s="2" t="str">
        <f ca="1"/>
        <v>Bad</v>
      </c>
    </row>
    <row r="8986" spans="2:34" x14ac:dyDescent="0.2">
      <c r="B8986" s="2">
        <f ca="1"/>
        <v>0.19294151686122207</v>
      </c>
      <c r="O8986" s="2">
        <f ca="1"/>
        <v>-0.19958585258032788</v>
      </c>
      <c r="X8986" s="2">
        <f ca="1"/>
        <v>64.537723836892113</v>
      </c>
      <c r="AG8986" s="2">
        <f ca="1"/>
        <v>0.39906970159674082</v>
      </c>
      <c r="AH8986" s="2" t="str">
        <f ca="1"/>
        <v>OK</v>
      </c>
    </row>
    <row r="8987" spans="2:34" x14ac:dyDescent="0.2">
      <c r="B8987" s="2">
        <f ca="1"/>
        <v>0.46825601482836388</v>
      </c>
      <c r="O8987" s="2">
        <f ca="1"/>
        <v>1.1570768608876014</v>
      </c>
      <c r="X8987" s="2">
        <f ca="1"/>
        <v>72.66701063033841</v>
      </c>
      <c r="AG8987" s="2">
        <f ca="1"/>
        <v>0.21009223220984063</v>
      </c>
      <c r="AH8987" s="2" t="str">
        <f ca="1"/>
        <v>OK</v>
      </c>
    </row>
    <row r="8988" spans="2:34" x14ac:dyDescent="0.2">
      <c r="B8988" s="2">
        <f ca="1"/>
        <v>0.8990842327363171</v>
      </c>
      <c r="O8988" s="2">
        <f ca="1"/>
        <v>1.2009347930352872</v>
      </c>
      <c r="X8988" s="2">
        <f ca="1"/>
        <v>50.678811854110037</v>
      </c>
      <c r="AG8988" s="2">
        <f ca="1"/>
        <v>0.1705185789481054</v>
      </c>
      <c r="AH8988" s="2" t="str">
        <f ca="1"/>
        <v>OK</v>
      </c>
    </row>
    <row r="8989" spans="2:34" x14ac:dyDescent="0.2">
      <c r="B8989" s="2">
        <f ca="1"/>
        <v>0.74756084250274113</v>
      </c>
      <c r="O8989" s="2">
        <f ca="1"/>
        <v>-0.87539635057268084</v>
      </c>
      <c r="X8989" s="2">
        <f ca="1"/>
        <v>56.35010807559911</v>
      </c>
      <c r="AG8989" s="2">
        <f ca="1"/>
        <v>0.66215071237838341</v>
      </c>
      <c r="AH8989" s="2" t="str">
        <f ca="1"/>
        <v>Bad</v>
      </c>
    </row>
    <row r="8990" spans="2:34" x14ac:dyDescent="0.2">
      <c r="B8990" s="2">
        <f ca="1"/>
        <v>0.29192888699133746</v>
      </c>
      <c r="O8990" s="2">
        <f ca="1"/>
        <v>0.5105601198009776</v>
      </c>
      <c r="X8990" s="2">
        <f ca="1"/>
        <v>53.978220509711015</v>
      </c>
      <c r="AG8990" s="2">
        <f ca="1"/>
        <v>0.32862990827802441</v>
      </c>
      <c r="AH8990" s="2" t="str">
        <f ca="1"/>
        <v>OK</v>
      </c>
    </row>
    <row r="8991" spans="2:34" x14ac:dyDescent="0.2">
      <c r="B8991" s="2">
        <f ca="1"/>
        <v>8.619261630619901E-2</v>
      </c>
      <c r="O8991" s="2">
        <f ca="1"/>
        <v>-0.30555374223079101</v>
      </c>
      <c r="X8991" s="2">
        <f ca="1"/>
        <v>68.180963611277448</v>
      </c>
      <c r="AG8991" s="2">
        <f ca="1"/>
        <v>0.27950078585074123</v>
      </c>
      <c r="AH8991" s="2" t="str">
        <f ca="1"/>
        <v>OK</v>
      </c>
    </row>
    <row r="8992" spans="2:34" x14ac:dyDescent="0.2">
      <c r="B8992" s="2">
        <f ca="1"/>
        <v>6.4984584210907137E-2</v>
      </c>
      <c r="O8992" s="2">
        <f ca="1"/>
        <v>-0.29681764059468074</v>
      </c>
      <c r="X8992" s="2">
        <f ca="1"/>
        <v>51.468651484360841</v>
      </c>
      <c r="AG8992" s="2">
        <f ca="1"/>
        <v>0.28379219984314408</v>
      </c>
      <c r="AH8992" s="2" t="str">
        <f ca="1"/>
        <v>OK</v>
      </c>
    </row>
    <row r="8993" spans="2:34" x14ac:dyDescent="0.2">
      <c r="B8993" s="2">
        <f ca="1"/>
        <v>9.1100389447565489E-2</v>
      </c>
      <c r="O8993" s="2">
        <f ca="1"/>
        <v>-2.0282377416212451</v>
      </c>
      <c r="X8993" s="2">
        <f ca="1"/>
        <v>73.906090051551786</v>
      </c>
      <c r="AG8993" s="2">
        <f ca="1"/>
        <v>0.45883873564800326</v>
      </c>
      <c r="AH8993" s="2" t="str">
        <f ca="1"/>
        <v>Bad</v>
      </c>
    </row>
    <row r="8994" spans="2:34" x14ac:dyDescent="0.2">
      <c r="B8994" s="2">
        <f ca="1"/>
        <v>0.77132290942371196</v>
      </c>
      <c r="O8994" s="2">
        <f ca="1"/>
        <v>1.2361822253504935</v>
      </c>
      <c r="X8994" s="2">
        <f ca="1"/>
        <v>47.630832987473106</v>
      </c>
      <c r="AG8994" s="2">
        <f ca="1"/>
        <v>0.31440428629141493</v>
      </c>
      <c r="AH8994" s="2" t="str">
        <f ca="1"/>
        <v>OK</v>
      </c>
    </row>
    <row r="8995" spans="2:34" x14ac:dyDescent="0.2">
      <c r="B8995" s="2">
        <f ca="1"/>
        <v>0.9949553966082223</v>
      </c>
      <c r="O8995" s="2">
        <f ca="1"/>
        <v>-0.80152682228314009</v>
      </c>
      <c r="X8995" s="2">
        <f ca="1"/>
        <v>51.90272234208944</v>
      </c>
      <c r="AG8995" s="2">
        <f ca="1"/>
        <v>0.74325527216330456</v>
      </c>
      <c r="AH8995" s="2" t="str">
        <f ca="1"/>
        <v>Bad</v>
      </c>
    </row>
    <row r="8996" spans="2:34" x14ac:dyDescent="0.2">
      <c r="B8996" s="2">
        <f ca="1"/>
        <v>7.1113592821008487E-2</v>
      </c>
      <c r="O8996" s="2">
        <f ca="1"/>
        <v>0.4555951471347775</v>
      </c>
      <c r="X8996" s="2">
        <f ca="1"/>
        <v>62.721775113295962</v>
      </c>
      <c r="AG8996" s="2">
        <f ca="1"/>
        <v>0.50189846514680103</v>
      </c>
      <c r="AH8996" s="2" t="str">
        <f ca="1"/>
        <v>Bad</v>
      </c>
    </row>
    <row r="8997" spans="2:34" x14ac:dyDescent="0.2">
      <c r="B8997" s="2">
        <f ca="1"/>
        <v>0.76508196964041986</v>
      </c>
      <c r="O8997" s="2">
        <f ca="1"/>
        <v>0.57202819207622513</v>
      </c>
      <c r="X8997" s="2">
        <f ca="1"/>
        <v>49.630581277031361</v>
      </c>
      <c r="AG8997" s="2">
        <f ca="1"/>
        <v>0.6650522309714062</v>
      </c>
      <c r="AH8997" s="2" t="str">
        <f ca="1"/>
        <v>Bad</v>
      </c>
    </row>
    <row r="8998" spans="2:34" x14ac:dyDescent="0.2">
      <c r="B8998" s="2">
        <f ca="1"/>
        <v>0.82061123901424926</v>
      </c>
      <c r="O8998" s="2">
        <f ca="1"/>
        <v>-0.57553141848613687</v>
      </c>
      <c r="X8998" s="2">
        <f ca="1"/>
        <v>64.462426974151313</v>
      </c>
      <c r="AG8998" s="2">
        <f ca="1"/>
        <v>0.39708766529887241</v>
      </c>
      <c r="AH8998" s="2" t="str">
        <f ca="1"/>
        <v>OK</v>
      </c>
    </row>
    <row r="8999" spans="2:34" x14ac:dyDescent="0.2">
      <c r="B8999" s="2">
        <f ca="1"/>
        <v>0.69256927309658622</v>
      </c>
      <c r="O8999" s="2">
        <f ca="1"/>
        <v>-0.8797016793816641</v>
      </c>
      <c r="X8999" s="2">
        <f ca="1"/>
        <v>60.452287677711837</v>
      </c>
      <c r="AG8999" s="2">
        <f ca="1"/>
        <v>0.50877899165430307</v>
      </c>
      <c r="AH8999" s="2" t="str">
        <f ca="1"/>
        <v>Bad</v>
      </c>
    </row>
    <row r="9000" spans="2:34" x14ac:dyDescent="0.2">
      <c r="B9000" s="2">
        <f ca="1"/>
        <v>0.33582612715049698</v>
      </c>
      <c r="O9000" s="2">
        <f ca="1"/>
        <v>0.72850708573525569</v>
      </c>
      <c r="X9000" s="2">
        <f ca="1"/>
        <v>34.05838471957312</v>
      </c>
      <c r="AG9000" s="2">
        <f ca="1"/>
        <v>8.1091228872489873E-2</v>
      </c>
      <c r="AH9000" s="2" t="str">
        <f ca="1"/>
        <v>OK</v>
      </c>
    </row>
    <row r="9001" spans="2:34" x14ac:dyDescent="0.2">
      <c r="B9001" s="2">
        <f ca="1"/>
        <v>0.90818168935577037</v>
      </c>
      <c r="O9001" s="2">
        <f ca="1"/>
        <v>1.435479423287724E-3</v>
      </c>
      <c r="X9001" s="2">
        <f ca="1"/>
        <v>48.922911274884527</v>
      </c>
      <c r="AG9001" s="2">
        <f ca="1"/>
        <v>0.75641457505133003</v>
      </c>
      <c r="AH9001" s="2" t="str">
        <f ca="1"/>
        <v>Bad</v>
      </c>
    </row>
    <row r="9002" spans="2:34" x14ac:dyDescent="0.2">
      <c r="B9002" s="2">
        <f ca="1"/>
        <v>0.54671883986325898</v>
      </c>
      <c r="O9002" s="2">
        <f ca="1"/>
        <v>-1.0665320332940411</v>
      </c>
      <c r="X9002" s="2">
        <f ca="1"/>
        <v>34.285483316707904</v>
      </c>
      <c r="AG9002" s="2">
        <f ca="1"/>
        <v>0.34627597426187018</v>
      </c>
      <c r="AH9002" s="2" t="str">
        <f ca="1"/>
        <v>OK</v>
      </c>
    </row>
    <row r="9003" spans="2:34" x14ac:dyDescent="0.2">
      <c r="B9003" s="2">
        <f ca="1"/>
        <v>0.55998434513246442</v>
      </c>
      <c r="O9003" s="2">
        <f ca="1"/>
        <v>-0.42017250553525326</v>
      </c>
      <c r="X9003" s="2">
        <f ca="1"/>
        <v>37.382649678631481</v>
      </c>
      <c r="AG9003" s="2">
        <f ca="1"/>
        <v>0.49388401854896391</v>
      </c>
      <c r="AH9003" s="2" t="str">
        <f ca="1"/>
        <v>Bad</v>
      </c>
    </row>
    <row r="9004" spans="2:34" x14ac:dyDescent="0.2">
      <c r="B9004" s="2">
        <f ca="1"/>
        <v>4.5155049877100506E-2</v>
      </c>
      <c r="O9004" s="2">
        <f ca="1"/>
        <v>1.3099569784710259</v>
      </c>
      <c r="X9004" s="2">
        <f ca="1"/>
        <v>50.72780959892934</v>
      </c>
      <c r="AG9004" s="2">
        <f ca="1"/>
        <v>0.51596006488599011</v>
      </c>
      <c r="AH9004" s="2" t="str">
        <f ca="1"/>
        <v>Bad</v>
      </c>
    </row>
    <row r="9005" spans="2:34" x14ac:dyDescent="0.2">
      <c r="B9005" s="2">
        <f ca="1"/>
        <v>0.2448301364214287</v>
      </c>
      <c r="O9005" s="2">
        <f ca="1"/>
        <v>1.5588327321416942</v>
      </c>
      <c r="X9005" s="2">
        <f ca="1"/>
        <v>58.872202891976244</v>
      </c>
      <c r="AG9005" s="2">
        <f ca="1"/>
        <v>0.92274118374073733</v>
      </c>
      <c r="AH9005" s="2" t="str">
        <f ca="1"/>
        <v>Bad</v>
      </c>
    </row>
    <row r="9006" spans="2:34" x14ac:dyDescent="0.2">
      <c r="B9006" s="2">
        <f ca="1"/>
        <v>0.20204266603609522</v>
      </c>
      <c r="O9006" s="2">
        <f ca="1"/>
        <v>-0.50236365508185754</v>
      </c>
      <c r="X9006" s="2">
        <f ca="1"/>
        <v>40.824821271363518</v>
      </c>
      <c r="AG9006" s="2">
        <f ca="1"/>
        <v>0.73772925566467862</v>
      </c>
      <c r="AH9006" s="2" t="str">
        <f ca="1"/>
        <v>Bad</v>
      </c>
    </row>
    <row r="9007" spans="2:34" x14ac:dyDescent="0.2">
      <c r="B9007" s="2">
        <f ca="1"/>
        <v>6.3015828497634097E-2</v>
      </c>
      <c r="O9007" s="2">
        <f ca="1"/>
        <v>-0.31040239750146076</v>
      </c>
      <c r="X9007" s="2">
        <f ca="1"/>
        <v>27.555435546052852</v>
      </c>
      <c r="AG9007" s="2">
        <f ca="1"/>
        <v>0.53700228544806872</v>
      </c>
      <c r="AH9007" s="2" t="str">
        <f ca="1"/>
        <v>Bad</v>
      </c>
    </row>
    <row r="9008" spans="2:34" x14ac:dyDescent="0.2">
      <c r="B9008" s="2">
        <f ca="1"/>
        <v>0.6476540600532219</v>
      </c>
      <c r="O9008" s="2">
        <f ca="1"/>
        <v>-0.19841552871830143</v>
      </c>
      <c r="X9008" s="2">
        <f ca="1"/>
        <v>50.933053224239458</v>
      </c>
      <c r="AG9008" s="2">
        <f ca="1"/>
        <v>0.53603464462590211</v>
      </c>
      <c r="AH9008" s="2" t="str">
        <f ca="1"/>
        <v>Bad</v>
      </c>
    </row>
    <row r="9009" spans="2:34" x14ac:dyDescent="0.2">
      <c r="B9009" s="2">
        <f ca="1"/>
        <v>0.8317920919619235</v>
      </c>
      <c r="O9009" s="2">
        <f ca="1"/>
        <v>-0.46980775814488479</v>
      </c>
      <c r="X9009" s="2">
        <f ca="1"/>
        <v>33.33586375898647</v>
      </c>
      <c r="AG9009" s="2">
        <f ca="1"/>
        <v>0.6071370637036515</v>
      </c>
      <c r="AH9009" s="2" t="str">
        <f ca="1"/>
        <v>Bad</v>
      </c>
    </row>
    <row r="9010" spans="2:34" x14ac:dyDescent="0.2">
      <c r="B9010" s="2">
        <f ca="1"/>
        <v>0.86524202375641646</v>
      </c>
      <c r="O9010" s="2">
        <f ca="1"/>
        <v>1.0601634981465387</v>
      </c>
      <c r="X9010" s="2">
        <f ca="1"/>
        <v>29.483818271654961</v>
      </c>
      <c r="AG9010" s="2">
        <f ca="1"/>
        <v>0.5672378925312267</v>
      </c>
      <c r="AH9010" s="2" t="str">
        <f ca="1"/>
        <v>Bad</v>
      </c>
    </row>
    <row r="9011" spans="2:34" x14ac:dyDescent="0.2">
      <c r="B9011" s="2">
        <f ca="1"/>
        <v>7.4020377357646661E-2</v>
      </c>
      <c r="O9011" s="2">
        <f ca="1"/>
        <v>2.0570104426630222</v>
      </c>
      <c r="X9011" s="2">
        <f ca="1"/>
        <v>64.609864958214516</v>
      </c>
      <c r="AG9011" s="2">
        <f ca="1"/>
        <v>0.20221015256603203</v>
      </c>
      <c r="AH9011" s="2" t="str">
        <f ca="1"/>
        <v>OK</v>
      </c>
    </row>
    <row r="9012" spans="2:34" x14ac:dyDescent="0.2">
      <c r="B9012" s="2">
        <f ca="1"/>
        <v>0.56037769735026166</v>
      </c>
      <c r="O9012" s="2">
        <f ca="1"/>
        <v>-1.0777800388533793E-2</v>
      </c>
      <c r="X9012" s="2">
        <f ca="1"/>
        <v>46.70061795935645</v>
      </c>
      <c r="AG9012" s="2">
        <f ca="1"/>
        <v>0.21357840284938168</v>
      </c>
      <c r="AH9012" s="2" t="str">
        <f ca="1"/>
        <v>OK</v>
      </c>
    </row>
    <row r="9013" spans="2:34" x14ac:dyDescent="0.2">
      <c r="B9013" s="2">
        <f ca="1"/>
        <v>0.39157680550066787</v>
      </c>
      <c r="O9013" s="2">
        <f ca="1"/>
        <v>-1.5059320192424095E-2</v>
      </c>
      <c r="X9013" s="2">
        <f ca="1"/>
        <v>24.75109875740046</v>
      </c>
      <c r="AG9013" s="2">
        <f ca="1"/>
        <v>0.69589572593374438</v>
      </c>
      <c r="AH9013" s="2" t="str">
        <f ca="1"/>
        <v>Bad</v>
      </c>
    </row>
    <row r="9014" spans="2:34" x14ac:dyDescent="0.2">
      <c r="B9014" s="2">
        <f ca="1"/>
        <v>0.32422953453863701</v>
      </c>
      <c r="O9014" s="2">
        <f ca="1"/>
        <v>-1.1291942420327046</v>
      </c>
      <c r="X9014" s="2">
        <f ca="1"/>
        <v>39.872735113020475</v>
      </c>
      <c r="AG9014" s="2">
        <f ca="1"/>
        <v>0.91701786465914559</v>
      </c>
      <c r="AH9014" s="2" t="str">
        <f ca="1"/>
        <v>Bad</v>
      </c>
    </row>
    <row r="9015" spans="2:34" x14ac:dyDescent="0.2">
      <c r="B9015" s="2">
        <f ca="1"/>
        <v>0.35908249457987895</v>
      </c>
      <c r="O9015" s="2">
        <f ca="1"/>
        <v>0.69545966928092862</v>
      </c>
      <c r="X9015" s="2">
        <f ca="1"/>
        <v>62.086406153938171</v>
      </c>
      <c r="AG9015" s="2">
        <f ca="1"/>
        <v>9.1047875366885966E-2</v>
      </c>
      <c r="AH9015" s="2" t="str">
        <f ca="1"/>
        <v>OK</v>
      </c>
    </row>
    <row r="9016" spans="2:34" x14ac:dyDescent="0.2">
      <c r="B9016" s="2">
        <f ca="1"/>
        <v>0.30156845958792622</v>
      </c>
      <c r="O9016" s="2">
        <f ca="1"/>
        <v>0.55310965346299568</v>
      </c>
      <c r="X9016" s="2">
        <f ca="1"/>
        <v>33.811700888327429</v>
      </c>
      <c r="AG9016" s="2">
        <f ca="1"/>
        <v>0.24799460282309171</v>
      </c>
      <c r="AH9016" s="2" t="str">
        <f ca="1"/>
        <v>OK</v>
      </c>
    </row>
    <row r="9017" spans="2:34" x14ac:dyDescent="0.2">
      <c r="B9017" s="2">
        <f ca="1"/>
        <v>0.67006240397525985</v>
      </c>
      <c r="O9017" s="2">
        <f ca="1"/>
        <v>0.69259701516894845</v>
      </c>
      <c r="X9017" s="2">
        <f ca="1"/>
        <v>56.98283424356444</v>
      </c>
      <c r="AG9017" s="2">
        <f ca="1"/>
        <v>0.93809703568576297</v>
      </c>
      <c r="AH9017" s="2" t="str">
        <f ca="1"/>
        <v>Bad</v>
      </c>
    </row>
    <row r="9018" spans="2:34" x14ac:dyDescent="0.2">
      <c r="B9018" s="2">
        <f ca="1"/>
        <v>0.33252786604846141</v>
      </c>
      <c r="O9018" s="2">
        <f ca="1"/>
        <v>-0.24866726662805519</v>
      </c>
      <c r="X9018" s="2">
        <f ca="1"/>
        <v>41.808794657092569</v>
      </c>
      <c r="AG9018" s="2">
        <f ca="1"/>
        <v>0.64619562518839491</v>
      </c>
      <c r="AH9018" s="2" t="str">
        <f ca="1"/>
        <v>Bad</v>
      </c>
    </row>
    <row r="9019" spans="2:34" x14ac:dyDescent="0.2">
      <c r="B9019" s="2">
        <f ca="1"/>
        <v>0.85404817028694491</v>
      </c>
      <c r="O9019" s="2">
        <f ca="1"/>
        <v>-2.8341488635169967E-2</v>
      </c>
      <c r="X9019" s="2">
        <f ca="1"/>
        <v>38.542257024539893</v>
      </c>
      <c r="AG9019" s="2">
        <f ca="1"/>
        <v>0.3351941357473831</v>
      </c>
      <c r="AH9019" s="2" t="str">
        <f ca="1"/>
        <v>OK</v>
      </c>
    </row>
    <row r="9020" spans="2:34" x14ac:dyDescent="0.2">
      <c r="B9020" s="2">
        <f ca="1"/>
        <v>0.25956492290841693</v>
      </c>
      <c r="O9020" s="2">
        <f ca="1"/>
        <v>-1.4012300245268074</v>
      </c>
      <c r="X9020" s="2">
        <f ca="1"/>
        <v>45.672713969495497</v>
      </c>
      <c r="AG9020" s="2">
        <f ca="1"/>
        <v>0.9367658586319072</v>
      </c>
      <c r="AH9020" s="2" t="str">
        <f ca="1"/>
        <v>Bad</v>
      </c>
    </row>
    <row r="9021" spans="2:34" x14ac:dyDescent="0.2">
      <c r="B9021" s="2">
        <f ca="1"/>
        <v>0.64816875297307619</v>
      </c>
      <c r="O9021" s="2">
        <f ca="1"/>
        <v>0.61853872814692124</v>
      </c>
      <c r="X9021" s="2">
        <f ca="1"/>
        <v>48.931131102682883</v>
      </c>
      <c r="AG9021" s="2">
        <f ca="1"/>
        <v>0.44387629310277488</v>
      </c>
      <c r="AH9021" s="2" t="str">
        <f ca="1"/>
        <v>Bad</v>
      </c>
    </row>
    <row r="9022" spans="2:34" x14ac:dyDescent="0.2">
      <c r="B9022" s="2">
        <f ca="1"/>
        <v>0.90229396119168181</v>
      </c>
      <c r="O9022" s="2">
        <f ca="1"/>
        <v>-0.86541435888609564</v>
      </c>
      <c r="X9022" s="2">
        <f ca="1"/>
        <v>52.845171461157705</v>
      </c>
      <c r="AG9022" s="2">
        <f ca="1"/>
        <v>9.5891762953282278E-2</v>
      </c>
      <c r="AH9022" s="2" t="str">
        <f ca="1"/>
        <v>OK</v>
      </c>
    </row>
    <row r="9023" spans="2:34" x14ac:dyDescent="0.2">
      <c r="B9023" s="2">
        <f ca="1"/>
        <v>0.65953090222992738</v>
      </c>
      <c r="O9023" s="2">
        <f ca="1"/>
        <v>-0.14265778176247731</v>
      </c>
      <c r="X9023" s="2">
        <f ca="1"/>
        <v>38.587484056020365</v>
      </c>
      <c r="AG9023" s="2">
        <f ca="1"/>
        <v>0.11207222251072535</v>
      </c>
      <c r="AH9023" s="2" t="str">
        <f ca="1"/>
        <v>OK</v>
      </c>
    </row>
    <row r="9024" spans="2:34" x14ac:dyDescent="0.2">
      <c r="B9024" s="2">
        <f ca="1"/>
        <v>0.35410987326405108</v>
      </c>
      <c r="O9024" s="2">
        <f ca="1"/>
        <v>-0.57795874650520407</v>
      </c>
      <c r="X9024" s="2">
        <f ca="1"/>
        <v>32.360917622111884</v>
      </c>
      <c r="AG9024" s="2">
        <f ca="1"/>
        <v>5.5510209286665058E-2</v>
      </c>
      <c r="AH9024" s="2" t="str">
        <f ca="1"/>
        <v>OK</v>
      </c>
    </row>
    <row r="9025" spans="2:34" x14ac:dyDescent="0.2">
      <c r="B9025" s="2">
        <f ca="1"/>
        <v>0.51899854244089227</v>
      </c>
      <c r="O9025" s="2">
        <f ca="1"/>
        <v>0.22345158058858744</v>
      </c>
      <c r="X9025" s="2">
        <f ca="1"/>
        <v>29.238694513508534</v>
      </c>
      <c r="AG9025" s="2">
        <f ca="1"/>
        <v>0.59599239067358956</v>
      </c>
      <c r="AH9025" s="2" t="str">
        <f ca="1"/>
        <v>Bad</v>
      </c>
    </row>
    <row r="9026" spans="2:34" x14ac:dyDescent="0.2">
      <c r="B9026" s="2">
        <f ca="1"/>
        <v>0.46676160723836335</v>
      </c>
      <c r="O9026" s="2">
        <f ca="1"/>
        <v>1.0728317044555151</v>
      </c>
      <c r="X9026" s="2">
        <f ca="1"/>
        <v>36.814624479739862</v>
      </c>
      <c r="AG9026" s="2">
        <f ca="1"/>
        <v>0.51476788657275652</v>
      </c>
      <c r="AH9026" s="2" t="str">
        <f ca="1"/>
        <v>Bad</v>
      </c>
    </row>
    <row r="9027" spans="2:34" x14ac:dyDescent="0.2">
      <c r="B9027" s="2">
        <f ca="1"/>
        <v>0.24793239431293235</v>
      </c>
      <c r="O9027" s="2">
        <f ca="1"/>
        <v>0.24427965291616566</v>
      </c>
      <c r="X9027" s="2">
        <f ca="1"/>
        <v>37.502105390115752</v>
      </c>
      <c r="AG9027" s="2">
        <f ca="1"/>
        <v>0.92186224951581308</v>
      </c>
      <c r="AH9027" s="2" t="str">
        <f ca="1"/>
        <v>Bad</v>
      </c>
    </row>
    <row r="9028" spans="2:34" x14ac:dyDescent="0.2">
      <c r="B9028" s="2">
        <f ca="1"/>
        <v>2.0831316573890257E-2</v>
      </c>
      <c r="O9028" s="2">
        <f ca="1"/>
        <v>0.48977876437026807</v>
      </c>
      <c r="X9028" s="2">
        <f ca="1"/>
        <v>44.827236994061224</v>
      </c>
      <c r="AG9028" s="2">
        <f ca="1"/>
        <v>0.66861742775362587</v>
      </c>
      <c r="AH9028" s="2" t="str">
        <f ca="1"/>
        <v>Bad</v>
      </c>
    </row>
    <row r="9029" spans="2:34" x14ac:dyDescent="0.2">
      <c r="B9029" s="2">
        <f ca="1"/>
        <v>0.61948984710428245</v>
      </c>
      <c r="O9029" s="2">
        <f ca="1"/>
        <v>1.0204315448979016</v>
      </c>
      <c r="X9029" s="2">
        <f ca="1"/>
        <v>71.322160623965658</v>
      </c>
      <c r="AG9029" s="2">
        <f ca="1"/>
        <v>0.83134634614719816</v>
      </c>
      <c r="AH9029" s="2" t="str">
        <f ca="1"/>
        <v>Bad</v>
      </c>
    </row>
    <row r="9030" spans="2:34" x14ac:dyDescent="0.2">
      <c r="B9030" s="2">
        <f ca="1"/>
        <v>0.43722800105275272</v>
      </c>
      <c r="O9030" s="2">
        <f ca="1"/>
        <v>1.9249772477057578</v>
      </c>
      <c r="X9030" s="2">
        <f ca="1"/>
        <v>63.826826475472572</v>
      </c>
      <c r="AG9030" s="2">
        <f ca="1"/>
        <v>0.73280876025630781</v>
      </c>
      <c r="AH9030" s="2" t="str">
        <f ca="1"/>
        <v>Bad</v>
      </c>
    </row>
    <row r="9031" spans="2:34" x14ac:dyDescent="0.2">
      <c r="B9031" s="2">
        <f ca="1"/>
        <v>0.62110908148568322</v>
      </c>
      <c r="O9031" s="2">
        <f ca="1"/>
        <v>0.28353174695611127</v>
      </c>
      <c r="X9031" s="2">
        <f ca="1"/>
        <v>64.066090102213622</v>
      </c>
      <c r="AG9031" s="2">
        <f ca="1"/>
        <v>0.69478726963416881</v>
      </c>
      <c r="AH9031" s="2" t="str">
        <f ca="1"/>
        <v>Bad</v>
      </c>
    </row>
    <row r="9032" spans="2:34" x14ac:dyDescent="0.2">
      <c r="B9032" s="2">
        <f ca="1"/>
        <v>0.42874222492896341</v>
      </c>
      <c r="O9032" s="2">
        <f ca="1"/>
        <v>-0.88845173796823607</v>
      </c>
      <c r="X9032" s="2">
        <f ca="1"/>
        <v>42.462383089213311</v>
      </c>
      <c r="AG9032" s="2">
        <f ca="1"/>
        <v>0.40361025314021237</v>
      </c>
      <c r="AH9032" s="2" t="str">
        <f ca="1"/>
        <v>Bad</v>
      </c>
    </row>
    <row r="9033" spans="2:34" x14ac:dyDescent="0.2">
      <c r="B9033" s="2">
        <f ca="1"/>
        <v>0.61935714680087717</v>
      </c>
      <c r="O9033" s="2">
        <f ca="1"/>
        <v>-0.4274229903857551</v>
      </c>
      <c r="X9033" s="2">
        <f ca="1"/>
        <v>86.754911912426707</v>
      </c>
      <c r="AG9033" s="2">
        <f ca="1"/>
        <v>0.42342089150128892</v>
      </c>
      <c r="AH9033" s="2" t="str">
        <f ca="1"/>
        <v>Bad</v>
      </c>
    </row>
    <row r="9034" spans="2:34" x14ac:dyDescent="0.2">
      <c r="B9034" s="2">
        <f ca="1"/>
        <v>1.4327687122072774E-2</v>
      </c>
      <c r="O9034" s="2">
        <f ca="1"/>
        <v>-1.5259063876577856</v>
      </c>
      <c r="X9034" s="2">
        <f ca="1"/>
        <v>58.237426292992268</v>
      </c>
      <c r="AG9034" s="2">
        <f ca="1"/>
        <v>0.12834422861530315</v>
      </c>
      <c r="AH9034" s="2" t="str">
        <f ca="1"/>
        <v>OK</v>
      </c>
    </row>
    <row r="9035" spans="2:34" x14ac:dyDescent="0.2">
      <c r="B9035" s="2">
        <f ca="1"/>
        <v>0.78125767401102642</v>
      </c>
      <c r="O9035" s="2">
        <f ca="1"/>
        <v>0.99588266341487575</v>
      </c>
      <c r="X9035" s="2">
        <f ca="1"/>
        <v>52.371885124905091</v>
      </c>
      <c r="AG9035" s="2">
        <f ca="1"/>
        <v>1.9170631660485826E-2</v>
      </c>
      <c r="AH9035" s="2" t="str">
        <f ca="1"/>
        <v>Good</v>
      </c>
    </row>
    <row r="9036" spans="2:34" x14ac:dyDescent="0.2">
      <c r="B9036" s="2">
        <f ca="1"/>
        <v>0.58744844468978608</v>
      </c>
      <c r="O9036" s="2">
        <f ca="1"/>
        <v>-0.29932556992125359</v>
      </c>
      <c r="X9036" s="2">
        <f ca="1"/>
        <v>69.900867843009749</v>
      </c>
      <c r="AG9036" s="2">
        <f ca="1"/>
        <v>0.10463171287226025</v>
      </c>
      <c r="AH9036" s="2" t="str">
        <f ca="1"/>
        <v>OK</v>
      </c>
    </row>
    <row r="9037" spans="2:34" x14ac:dyDescent="0.2">
      <c r="B9037" s="2">
        <f ca="1"/>
        <v>0.37157485171930782</v>
      </c>
      <c r="O9037" s="2">
        <f ca="1"/>
        <v>-0.19249128724216469</v>
      </c>
      <c r="X9037" s="2">
        <f ca="1"/>
        <v>50.761826353163009</v>
      </c>
      <c r="AG9037" s="2">
        <f ca="1"/>
        <v>0.73148505267173292</v>
      </c>
      <c r="AH9037" s="2" t="str">
        <f ca="1"/>
        <v>Bad</v>
      </c>
    </row>
    <row r="9038" spans="2:34" x14ac:dyDescent="0.2">
      <c r="B9038" s="2">
        <f ca="1"/>
        <v>0.75882366198008966</v>
      </c>
      <c r="O9038" s="2">
        <f ca="1"/>
        <v>0.66134029756574464</v>
      </c>
      <c r="X9038" s="2">
        <f ca="1"/>
        <v>40.105905586966983</v>
      </c>
      <c r="AG9038" s="2">
        <f ca="1"/>
        <v>0.85679993124024656</v>
      </c>
      <c r="AH9038" s="2" t="str">
        <f ca="1"/>
        <v>Bad</v>
      </c>
    </row>
    <row r="9039" spans="2:34" x14ac:dyDescent="0.2">
      <c r="B9039" s="2">
        <f ca="1"/>
        <v>0.86282643493552991</v>
      </c>
      <c r="O9039" s="2">
        <f ca="1"/>
        <v>1.0074257352704714</v>
      </c>
      <c r="X9039" s="2">
        <f ca="1"/>
        <v>39.570002731637331</v>
      </c>
      <c r="AG9039" s="2">
        <f ca="1"/>
        <v>0.52857516240852931</v>
      </c>
      <c r="AH9039" s="2" t="str">
        <f ca="1"/>
        <v>Bad</v>
      </c>
    </row>
    <row r="9040" spans="2:34" x14ac:dyDescent="0.2">
      <c r="B9040" s="2">
        <f ca="1"/>
        <v>0.78165909497108133</v>
      </c>
      <c r="O9040" s="2">
        <f ca="1"/>
        <v>0.60290557582159776</v>
      </c>
      <c r="X9040" s="2">
        <f ca="1"/>
        <v>58.811378427872185</v>
      </c>
      <c r="AG9040" s="2">
        <f ca="1"/>
        <v>0.48609653427996946</v>
      </c>
      <c r="AH9040" s="2" t="str">
        <f ca="1"/>
        <v>Bad</v>
      </c>
    </row>
    <row r="9041" spans="2:34" x14ac:dyDescent="0.2">
      <c r="B9041" s="2">
        <f ca="1"/>
        <v>0.42639599586283428</v>
      </c>
      <c r="O9041" s="2">
        <f ca="1"/>
        <v>3.3020779256013523E-2</v>
      </c>
      <c r="X9041" s="2">
        <f ca="1"/>
        <v>30.673671701306397</v>
      </c>
      <c r="AG9041" s="2">
        <f ca="1"/>
        <v>1.1237469855406079E-2</v>
      </c>
      <c r="AH9041" s="2" t="str">
        <f ca="1"/>
        <v>Good</v>
      </c>
    </row>
    <row r="9042" spans="2:34" x14ac:dyDescent="0.2">
      <c r="B9042" s="2">
        <f ca="1"/>
        <v>0.75593468182196588</v>
      </c>
      <c r="O9042" s="2">
        <f ca="1"/>
        <v>-1.9127099761907771</v>
      </c>
      <c r="X9042" s="2">
        <f ca="1"/>
        <v>38.412322630777531</v>
      </c>
      <c r="AG9042" s="2">
        <f ca="1"/>
        <v>0.75909076562893163</v>
      </c>
      <c r="AH9042" s="2" t="str">
        <f ca="1"/>
        <v>Bad</v>
      </c>
    </row>
    <row r="9043" spans="2:34" x14ac:dyDescent="0.2">
      <c r="B9043" s="2">
        <f ca="1"/>
        <v>0.11406837075967702</v>
      </c>
      <c r="O9043" s="2">
        <f ca="1"/>
        <v>-0.28498253075489172</v>
      </c>
      <c r="X9043" s="2">
        <f ca="1"/>
        <v>40.157583126544978</v>
      </c>
      <c r="AG9043" s="2">
        <f ca="1"/>
        <v>0.3089432948450197</v>
      </c>
      <c r="AH9043" s="2" t="str">
        <f ca="1"/>
        <v>OK</v>
      </c>
    </row>
    <row r="9044" spans="2:34" x14ac:dyDescent="0.2">
      <c r="B9044" s="2">
        <f ca="1"/>
        <v>0.77124192963236582</v>
      </c>
      <c r="O9044" s="2">
        <f ca="1"/>
        <v>0.56803316385696401</v>
      </c>
      <c r="X9044" s="2">
        <f ca="1"/>
        <v>49.707240106942564</v>
      </c>
      <c r="AG9044" s="2">
        <f ca="1"/>
        <v>0.48914087560893083</v>
      </c>
      <c r="AH9044" s="2" t="str">
        <f ca="1"/>
        <v>Bad</v>
      </c>
    </row>
    <row r="9045" spans="2:34" x14ac:dyDescent="0.2">
      <c r="B9045" s="2">
        <f ca="1"/>
        <v>0.65930994402645449</v>
      </c>
      <c r="O9045" s="2">
        <f ca="1"/>
        <v>-1.8177622926955601</v>
      </c>
      <c r="X9045" s="2">
        <f ca="1"/>
        <v>55.913779854131541</v>
      </c>
      <c r="AG9045" s="2">
        <f ca="1"/>
        <v>0.74605505928395077</v>
      </c>
      <c r="AH9045" s="2" t="str">
        <f ca="1"/>
        <v>Bad</v>
      </c>
    </row>
    <row r="9046" spans="2:34" x14ac:dyDescent="0.2">
      <c r="B9046" s="2">
        <f ca="1"/>
        <v>4.2326232390443863E-2</v>
      </c>
      <c r="O9046" s="2">
        <f ca="1"/>
        <v>0.73091262718612948</v>
      </c>
      <c r="X9046" s="2">
        <f ca="1"/>
        <v>41.928208578621302</v>
      </c>
      <c r="AG9046" s="2">
        <f ca="1"/>
        <v>0.97535101572291527</v>
      </c>
      <c r="AH9046" s="2" t="str">
        <f ca="1"/>
        <v>Bad</v>
      </c>
    </row>
    <row r="9047" spans="2:34" x14ac:dyDescent="0.2">
      <c r="B9047" s="2">
        <f ca="1"/>
        <v>0.38800244546141438</v>
      </c>
      <c r="O9047" s="2">
        <f ca="1"/>
        <v>0.34716783437834525</v>
      </c>
      <c r="X9047" s="2">
        <f ca="1"/>
        <v>36.651525115181649</v>
      </c>
      <c r="AG9047" s="2">
        <f ca="1"/>
        <v>0.47562131522749351</v>
      </c>
      <c r="AH9047" s="2" t="str">
        <f ca="1"/>
        <v>Bad</v>
      </c>
    </row>
    <row r="9048" spans="2:34" x14ac:dyDescent="0.2">
      <c r="B9048" s="2">
        <f ca="1"/>
        <v>0.29296669235567441</v>
      </c>
      <c r="O9048" s="2">
        <f ca="1"/>
        <v>-3.2635075295358349</v>
      </c>
      <c r="X9048" s="2">
        <f ca="1"/>
        <v>32.882269591505654</v>
      </c>
      <c r="AG9048" s="2">
        <f ca="1"/>
        <v>9.9311066975603879E-2</v>
      </c>
      <c r="AH9048" s="2" t="str">
        <f ca="1"/>
        <v>OK</v>
      </c>
    </row>
    <row r="9049" spans="2:34" x14ac:dyDescent="0.2">
      <c r="B9049" s="2">
        <f ca="1"/>
        <v>0.18743174167467491</v>
      </c>
      <c r="O9049" s="2">
        <f ca="1"/>
        <v>1.3168755887394406</v>
      </c>
      <c r="X9049" s="2">
        <f ca="1"/>
        <v>71.858274899399433</v>
      </c>
      <c r="AG9049" s="2">
        <f ca="1"/>
        <v>9.3467069827338767E-2</v>
      </c>
      <c r="AH9049" s="2" t="str">
        <f ca="1"/>
        <v>OK</v>
      </c>
    </row>
    <row r="9050" spans="2:34" x14ac:dyDescent="0.2">
      <c r="B9050" s="2">
        <f ca="1"/>
        <v>0.2640735898388813</v>
      </c>
      <c r="O9050" s="2">
        <f ca="1"/>
        <v>-0.31443827188959106</v>
      </c>
      <c r="X9050" s="2">
        <f ca="1"/>
        <v>80.095693006953013</v>
      </c>
      <c r="AG9050" s="2">
        <f ca="1"/>
        <v>0.42011091369359965</v>
      </c>
      <c r="AH9050" s="2" t="str">
        <f ca="1"/>
        <v>Bad</v>
      </c>
    </row>
    <row r="9051" spans="2:34" x14ac:dyDescent="0.2">
      <c r="B9051" s="2">
        <f ca="1"/>
        <v>0.87205336539888489</v>
      </c>
      <c r="O9051" s="2">
        <f ca="1"/>
        <v>0.43274950436720228</v>
      </c>
      <c r="X9051" s="2">
        <f ca="1"/>
        <v>22.717456014959211</v>
      </c>
      <c r="AG9051" s="2">
        <f ca="1"/>
        <v>0.81130024590715455</v>
      </c>
      <c r="AH9051" s="2" t="str">
        <f ca="1"/>
        <v>Bad</v>
      </c>
    </row>
    <row r="9052" spans="2:34" x14ac:dyDescent="0.2">
      <c r="B9052" s="2">
        <f ca="1"/>
        <v>0.35482233854855316</v>
      </c>
      <c r="O9052" s="2">
        <f ca="1"/>
        <v>1.2381990005701988</v>
      </c>
      <c r="X9052" s="2">
        <f ca="1"/>
        <v>31.029405364479736</v>
      </c>
      <c r="AG9052" s="2">
        <f ca="1"/>
        <v>0.23165292090123257</v>
      </c>
      <c r="AH9052" s="2" t="str">
        <f ca="1"/>
        <v>OK</v>
      </c>
    </row>
    <row r="9053" spans="2:34" x14ac:dyDescent="0.2">
      <c r="B9053" s="2">
        <f ca="1"/>
        <v>0.11136355888792582</v>
      </c>
      <c r="O9053" s="2">
        <f ca="1"/>
        <v>0.39572260892492689</v>
      </c>
      <c r="X9053" s="2">
        <f ca="1"/>
        <v>59.857702779368537</v>
      </c>
      <c r="AG9053" s="2">
        <f ca="1"/>
        <v>0.46479367300272578</v>
      </c>
      <c r="AH9053" s="2" t="str">
        <f ca="1"/>
        <v>Bad</v>
      </c>
    </row>
    <row r="9054" spans="2:34" x14ac:dyDescent="0.2">
      <c r="B9054" s="2">
        <f ca="1"/>
        <v>0.14940732675196333</v>
      </c>
      <c r="O9054" s="2">
        <f ca="1"/>
        <v>-1.1276554576874751</v>
      </c>
      <c r="X9054" s="2">
        <f ca="1"/>
        <v>61.983804392657277</v>
      </c>
      <c r="AG9054" s="2">
        <f ca="1"/>
        <v>0.42343208550890266</v>
      </c>
      <c r="AH9054" s="2" t="str">
        <f ca="1"/>
        <v>Bad</v>
      </c>
    </row>
    <row r="9055" spans="2:34" x14ac:dyDescent="0.2">
      <c r="B9055" s="2">
        <f ca="1"/>
        <v>0.63321068693182458</v>
      </c>
      <c r="O9055" s="2">
        <f ca="1"/>
        <v>-1.8799193040652693</v>
      </c>
      <c r="X9055" s="2">
        <f ca="1"/>
        <v>57.835042060955615</v>
      </c>
      <c r="AG9055" s="2">
        <f ca="1"/>
        <v>0.90104818814437815</v>
      </c>
      <c r="AH9055" s="2" t="str">
        <f ca="1"/>
        <v>Bad</v>
      </c>
    </row>
    <row r="9056" spans="2:34" x14ac:dyDescent="0.2">
      <c r="B9056" s="2">
        <f ca="1"/>
        <v>0.98615757772684054</v>
      </c>
      <c r="O9056" s="2">
        <f ca="1"/>
        <v>-0.50156631039808486</v>
      </c>
      <c r="X9056" s="2">
        <f ca="1"/>
        <v>52.248657930352479</v>
      </c>
      <c r="AG9056" s="2">
        <f ca="1"/>
        <v>0.16245597376230059</v>
      </c>
      <c r="AH9056" s="2" t="str">
        <f ca="1"/>
        <v>OK</v>
      </c>
    </row>
    <row r="9057" spans="2:34" x14ac:dyDescent="0.2">
      <c r="B9057" s="2">
        <f ca="1"/>
        <v>0.12946425968230457</v>
      </c>
      <c r="O9057" s="2">
        <f ca="1"/>
        <v>0.58887416551206284</v>
      </c>
      <c r="X9057" s="2">
        <f ca="1"/>
        <v>54.048515993990165</v>
      </c>
      <c r="AG9057" s="2">
        <f ca="1"/>
        <v>0.37889946849837952</v>
      </c>
      <c r="AH9057" s="2" t="str">
        <f ca="1"/>
        <v>OK</v>
      </c>
    </row>
    <row r="9058" spans="2:34" x14ac:dyDescent="0.2">
      <c r="B9058" s="2">
        <f ca="1"/>
        <v>0.65034223830703719</v>
      </c>
      <c r="O9058" s="2">
        <f ca="1"/>
        <v>-1.339477171450848</v>
      </c>
      <c r="X9058" s="2">
        <f ca="1"/>
        <v>58.947898585114245</v>
      </c>
      <c r="AG9058" s="2">
        <f ca="1"/>
        <v>0.77383304900583072</v>
      </c>
      <c r="AH9058" s="2" t="str">
        <f ca="1"/>
        <v>Bad</v>
      </c>
    </row>
    <row r="9059" spans="2:34" x14ac:dyDescent="0.2">
      <c r="B9059" s="2">
        <f ca="1"/>
        <v>0.93458624988361705</v>
      </c>
      <c r="O9059" s="2">
        <f ca="1"/>
        <v>-7.7166952209275969E-2</v>
      </c>
      <c r="X9059" s="2">
        <f ca="1"/>
        <v>44.388909437161374</v>
      </c>
      <c r="AG9059" s="2">
        <f ca="1"/>
        <v>0.1733772975385981</v>
      </c>
      <c r="AH9059" s="2" t="str">
        <f ca="1"/>
        <v>OK</v>
      </c>
    </row>
    <row r="9060" spans="2:34" x14ac:dyDescent="0.2">
      <c r="B9060" s="2">
        <f ca="1"/>
        <v>0.96549787906115925</v>
      </c>
      <c r="O9060" s="2">
        <f ca="1"/>
        <v>-0.25612564082970957</v>
      </c>
      <c r="X9060" s="2">
        <f ca="1"/>
        <v>50.554619136757822</v>
      </c>
      <c r="AG9060" s="2">
        <f ca="1"/>
        <v>5.1642931097870548E-3</v>
      </c>
      <c r="AH9060" s="2" t="str">
        <f ca="1"/>
        <v>Good</v>
      </c>
    </row>
    <row r="9061" spans="2:34" x14ac:dyDescent="0.2">
      <c r="B9061" s="2">
        <f ca="1"/>
        <v>0.97292033294861935</v>
      </c>
      <c r="O9061" s="2">
        <f ca="1"/>
        <v>-0.27016147134937291</v>
      </c>
      <c r="X9061" s="2">
        <f ca="1"/>
        <v>63.682460793127696</v>
      </c>
      <c r="AG9061" s="2">
        <f ca="1"/>
        <v>0.72383739003341452</v>
      </c>
      <c r="AH9061" s="2" t="str">
        <f ca="1"/>
        <v>Bad</v>
      </c>
    </row>
    <row r="9062" spans="2:34" x14ac:dyDescent="0.2">
      <c r="B9062" s="2">
        <f ca="1"/>
        <v>0.16899859601037792</v>
      </c>
      <c r="O9062" s="2">
        <f ca="1"/>
        <v>1.0324795969760003</v>
      </c>
      <c r="X9062" s="2">
        <f ca="1"/>
        <v>77.351178644393201</v>
      </c>
      <c r="AG9062" s="2">
        <f ca="1"/>
        <v>2.7742273746090396E-2</v>
      </c>
      <c r="AH9062" s="2" t="str">
        <f ca="1"/>
        <v>Good</v>
      </c>
    </row>
    <row r="9063" spans="2:34" x14ac:dyDescent="0.2">
      <c r="B9063" s="2">
        <f ca="1"/>
        <v>0.87626450635018838</v>
      </c>
      <c r="O9063" s="2">
        <f ca="1"/>
        <v>-1.3053386949366712</v>
      </c>
      <c r="X9063" s="2">
        <f ca="1"/>
        <v>37.946395187840082</v>
      </c>
      <c r="AG9063" s="2">
        <f ca="1"/>
        <v>0.34407732375159061</v>
      </c>
      <c r="AH9063" s="2" t="str">
        <f ca="1"/>
        <v>OK</v>
      </c>
    </row>
    <row r="9064" spans="2:34" x14ac:dyDescent="0.2">
      <c r="B9064" s="2">
        <f ca="1"/>
        <v>0.88388858241516788</v>
      </c>
      <c r="O9064" s="2">
        <f ca="1"/>
        <v>0.85082437734420902</v>
      </c>
      <c r="X9064" s="2">
        <f ca="1"/>
        <v>49.318179770354021</v>
      </c>
      <c r="AG9064" s="2">
        <f ca="1"/>
        <v>0.78746705704693687</v>
      </c>
      <c r="AH9064" s="2" t="str">
        <f ca="1"/>
        <v>Bad</v>
      </c>
    </row>
    <row r="9065" spans="2:34" x14ac:dyDescent="0.2">
      <c r="B9065" s="2">
        <f ca="1"/>
        <v>0.74681012082501064</v>
      </c>
      <c r="O9065" s="2">
        <f ca="1"/>
        <v>1.3150354222454792</v>
      </c>
      <c r="X9065" s="2">
        <f ca="1"/>
        <v>32.512950520255004</v>
      </c>
      <c r="AG9065" s="2">
        <f ca="1"/>
        <v>0.75153805892162384</v>
      </c>
      <c r="AH9065" s="2" t="str">
        <f ca="1"/>
        <v>Bad</v>
      </c>
    </row>
    <row r="9066" spans="2:34" x14ac:dyDescent="0.2">
      <c r="B9066" s="2">
        <f ca="1"/>
        <v>0.70954435323684062</v>
      </c>
      <c r="O9066" s="2">
        <f ca="1"/>
        <v>-1.6740485602620954</v>
      </c>
      <c r="X9066" s="2">
        <f ca="1"/>
        <v>49.060650370901904</v>
      </c>
      <c r="AG9066" s="2">
        <f ca="1"/>
        <v>6.7952912975524526E-2</v>
      </c>
      <c r="AH9066" s="2" t="str">
        <f ca="1"/>
        <v>OK</v>
      </c>
    </row>
    <row r="9067" spans="2:34" x14ac:dyDescent="0.2">
      <c r="B9067" s="2">
        <f ca="1"/>
        <v>0.96866364490195989</v>
      </c>
      <c r="O9067" s="2">
        <f ca="1"/>
        <v>0.32184326906205141</v>
      </c>
      <c r="X9067" s="2">
        <f ca="1"/>
        <v>63.842387576706024</v>
      </c>
      <c r="AG9067" s="2">
        <f ca="1"/>
        <v>0.28339940250100559</v>
      </c>
      <c r="AH9067" s="2" t="str">
        <f ca="1"/>
        <v>OK</v>
      </c>
    </row>
    <row r="9068" spans="2:34" x14ac:dyDescent="0.2">
      <c r="B9068" s="2">
        <f ca="1"/>
        <v>0.83159238159876003</v>
      </c>
      <c r="O9068" s="2">
        <f ca="1"/>
        <v>-0.42043927374245305</v>
      </c>
      <c r="X9068" s="2">
        <f ca="1"/>
        <v>21.75951791291439</v>
      </c>
      <c r="AG9068" s="2">
        <f ca="1"/>
        <v>0.95323006967655322</v>
      </c>
      <c r="AH9068" s="2" t="str">
        <f ca="1"/>
        <v>Bad</v>
      </c>
    </row>
    <row r="9069" spans="2:34" x14ac:dyDescent="0.2">
      <c r="B9069" s="2">
        <f ca="1"/>
        <v>0.28831110782046898</v>
      </c>
      <c r="O9069" s="2">
        <f ca="1"/>
        <v>-0.59449708819016711</v>
      </c>
      <c r="X9069" s="2">
        <f ca="1"/>
        <v>61.886007778435783</v>
      </c>
      <c r="AG9069" s="2">
        <f ca="1"/>
        <v>0.33855437517052733</v>
      </c>
      <c r="AH9069" s="2" t="str">
        <f ca="1"/>
        <v>OK</v>
      </c>
    </row>
    <row r="9070" spans="2:34" x14ac:dyDescent="0.2">
      <c r="B9070" s="2">
        <f ca="1"/>
        <v>0.21831844306866954</v>
      </c>
      <c r="O9070" s="2">
        <f ca="1"/>
        <v>-0.90909653126700063</v>
      </c>
      <c r="X9070" s="2">
        <f ca="1"/>
        <v>35.700073941648441</v>
      </c>
      <c r="AG9070" s="2">
        <f ca="1"/>
        <v>6.9914657242889255E-2</v>
      </c>
      <c r="AH9070" s="2" t="str">
        <f ca="1"/>
        <v>OK</v>
      </c>
    </row>
    <row r="9071" spans="2:34" x14ac:dyDescent="0.2">
      <c r="B9071" s="2">
        <f ca="1"/>
        <v>0.23659758697730449</v>
      </c>
      <c r="O9071" s="2">
        <f ca="1"/>
        <v>-1.0051821655304931</v>
      </c>
      <c r="X9071" s="2">
        <f ca="1"/>
        <v>49.22823128898348</v>
      </c>
      <c r="AG9071" s="2">
        <f ca="1"/>
        <v>3.837373432130331E-2</v>
      </c>
      <c r="AH9071" s="2" t="str">
        <f ca="1"/>
        <v>Good</v>
      </c>
    </row>
    <row r="9072" spans="2:34" x14ac:dyDescent="0.2">
      <c r="B9072" s="2">
        <f ca="1"/>
        <v>0.1489752786049432</v>
      </c>
      <c r="O9072" s="2">
        <f ca="1"/>
        <v>-0.57875646317794605</v>
      </c>
      <c r="X9072" s="2">
        <f ca="1"/>
        <v>44.637626803351679</v>
      </c>
      <c r="AG9072" s="2">
        <f ca="1"/>
        <v>0.88854038415212622</v>
      </c>
      <c r="AH9072" s="2" t="str">
        <f ca="1"/>
        <v>Bad</v>
      </c>
    </row>
    <row r="9073" spans="2:34" x14ac:dyDescent="0.2">
      <c r="B9073" s="2">
        <f ca="1"/>
        <v>0.6586205235803857</v>
      </c>
      <c r="O9073" s="2">
        <f ca="1"/>
        <v>1.9435319287314958</v>
      </c>
      <c r="X9073" s="2">
        <f ca="1"/>
        <v>79.492375282633802</v>
      </c>
      <c r="AG9073" s="2">
        <f ca="1"/>
        <v>0.41322223504870426</v>
      </c>
      <c r="AH9073" s="2" t="str">
        <f ca="1"/>
        <v>Bad</v>
      </c>
    </row>
    <row r="9074" spans="2:34" x14ac:dyDescent="0.2">
      <c r="B9074" s="2">
        <f ca="1"/>
        <v>0.60825816786746234</v>
      </c>
      <c r="O9074" s="2">
        <f ca="1"/>
        <v>1.1021488763230141</v>
      </c>
      <c r="X9074" s="2">
        <f ca="1"/>
        <v>58.443726433723945</v>
      </c>
      <c r="AG9074" s="2">
        <f ca="1"/>
        <v>0.15747080399570912</v>
      </c>
      <c r="AH9074" s="2" t="str">
        <f ca="1"/>
        <v>OK</v>
      </c>
    </row>
    <row r="9075" spans="2:34" x14ac:dyDescent="0.2">
      <c r="B9075" s="2">
        <f ca="1"/>
        <v>0.80570515909320028</v>
      </c>
      <c r="O9075" s="2">
        <f ca="1"/>
        <v>0.62630338751433579</v>
      </c>
      <c r="X9075" s="2">
        <f ca="1"/>
        <v>58.004149362764103</v>
      </c>
      <c r="AG9075" s="2">
        <f ca="1"/>
        <v>0.96154089505437201</v>
      </c>
      <c r="AH9075" s="2" t="str">
        <f ca="1"/>
        <v>Bad</v>
      </c>
    </row>
    <row r="9076" spans="2:34" x14ac:dyDescent="0.2">
      <c r="B9076" s="2">
        <f ca="1"/>
        <v>0.89736299253804974</v>
      </c>
      <c r="O9076" s="2">
        <f ca="1"/>
        <v>-0.31638564616659021</v>
      </c>
      <c r="X9076" s="2">
        <f ca="1"/>
        <v>51.055018220393265</v>
      </c>
      <c r="AG9076" s="2">
        <f ca="1"/>
        <v>0.70939797877847943</v>
      </c>
      <c r="AH9076" s="2" t="str">
        <f ca="1"/>
        <v>Bad</v>
      </c>
    </row>
    <row r="9077" spans="2:34" x14ac:dyDescent="0.2">
      <c r="B9077" s="2">
        <f ca="1"/>
        <v>0.63121551617064031</v>
      </c>
      <c r="O9077" s="2">
        <f ca="1"/>
        <v>0.16172975547192975</v>
      </c>
      <c r="X9077" s="2">
        <f ca="1"/>
        <v>39.610488507352876</v>
      </c>
      <c r="AG9077" s="2">
        <f ca="1"/>
        <v>0.15341015123011026</v>
      </c>
      <c r="AH9077" s="2" t="str">
        <f ca="1"/>
        <v>OK</v>
      </c>
    </row>
    <row r="9078" spans="2:34" x14ac:dyDescent="0.2">
      <c r="B9078" s="2">
        <f ca="1"/>
        <v>0.42602515394621654</v>
      </c>
      <c r="O9078" s="2">
        <f ca="1"/>
        <v>-0.6704525612227652</v>
      </c>
      <c r="X9078" s="2">
        <f ca="1"/>
        <v>45.188116272836879</v>
      </c>
      <c r="AG9078" s="2">
        <f ca="1"/>
        <v>0.22234968112089271</v>
      </c>
      <c r="AH9078" s="2" t="str">
        <f ca="1"/>
        <v>OK</v>
      </c>
    </row>
    <row r="9079" spans="2:34" x14ac:dyDescent="0.2">
      <c r="B9079" s="2">
        <f ca="1"/>
        <v>0.79341645219113888</v>
      </c>
      <c r="O9079" s="2">
        <f ca="1"/>
        <v>-0.77543690558714917</v>
      </c>
      <c r="X9079" s="2">
        <f ca="1"/>
        <v>68.693062537112382</v>
      </c>
      <c r="AG9079" s="2">
        <f ca="1"/>
        <v>0.75465863343127593</v>
      </c>
      <c r="AH9079" s="2" t="str">
        <f ca="1"/>
        <v>Bad</v>
      </c>
    </row>
    <row r="9080" spans="2:34" x14ac:dyDescent="0.2">
      <c r="B9080" s="2">
        <f ca="1"/>
        <v>0.34893767086796967</v>
      </c>
      <c r="O9080" s="2">
        <f ca="1"/>
        <v>0.85478218311704202</v>
      </c>
      <c r="X9080" s="2">
        <f ca="1"/>
        <v>50.330992338328606</v>
      </c>
      <c r="AG9080" s="2">
        <f ca="1"/>
        <v>0.97035406814956149</v>
      </c>
      <c r="AH9080" s="2" t="str">
        <f ca="1"/>
        <v>Bad</v>
      </c>
    </row>
    <row r="9081" spans="2:34" x14ac:dyDescent="0.2">
      <c r="B9081" s="2">
        <f ca="1"/>
        <v>0.49654851390242927</v>
      </c>
      <c r="O9081" s="2">
        <f ca="1"/>
        <v>-1.4994898183054968</v>
      </c>
      <c r="X9081" s="2">
        <f ca="1"/>
        <v>27.246342205717244</v>
      </c>
      <c r="AG9081" s="2">
        <f ca="1"/>
        <v>0.49731970847689877</v>
      </c>
      <c r="AH9081" s="2" t="str">
        <f ca="1"/>
        <v>Bad</v>
      </c>
    </row>
    <row r="9082" spans="2:34" x14ac:dyDescent="0.2">
      <c r="B9082" s="2">
        <f ca="1"/>
        <v>8.4553263372977083E-2</v>
      </c>
      <c r="O9082" s="2">
        <f ca="1"/>
        <v>0.74555599162452191</v>
      </c>
      <c r="X9082" s="2">
        <f ca="1"/>
        <v>32.178510622806364</v>
      </c>
      <c r="AG9082" s="2">
        <f ca="1"/>
        <v>0.61285146593907802</v>
      </c>
      <c r="AH9082" s="2" t="str">
        <f ca="1"/>
        <v>Bad</v>
      </c>
    </row>
    <row r="9083" spans="2:34" x14ac:dyDescent="0.2">
      <c r="B9083" s="2">
        <f ca="1"/>
        <v>2.2735690499727346E-2</v>
      </c>
      <c r="O9083" s="2">
        <f ca="1"/>
        <v>1.3297772722930137</v>
      </c>
      <c r="X9083" s="2">
        <f ca="1"/>
        <v>37.920817574096539</v>
      </c>
      <c r="AG9083" s="2">
        <f ca="1"/>
        <v>0.32129037984235609</v>
      </c>
      <c r="AH9083" s="2" t="str">
        <f ca="1"/>
        <v>OK</v>
      </c>
    </row>
    <row r="9084" spans="2:34" x14ac:dyDescent="0.2">
      <c r="B9084" s="2">
        <f ca="1"/>
        <v>0.68172334084900621</v>
      </c>
      <c r="O9084" s="2">
        <f ca="1"/>
        <v>2.1771581343540691E-2</v>
      </c>
      <c r="X9084" s="2">
        <f ca="1"/>
        <v>68.220745052947095</v>
      </c>
      <c r="AG9084" s="2">
        <f ca="1"/>
        <v>0.59636984527235937</v>
      </c>
      <c r="AH9084" s="2" t="str">
        <f ca="1"/>
        <v>Bad</v>
      </c>
    </row>
    <row r="9085" spans="2:34" x14ac:dyDescent="0.2">
      <c r="B9085" s="2">
        <f ca="1"/>
        <v>0.39160797769766287</v>
      </c>
      <c r="O9085" s="2">
        <f ca="1"/>
        <v>0.21858918513471737</v>
      </c>
      <c r="X9085" s="2">
        <f ca="1"/>
        <v>49.814605533082357</v>
      </c>
      <c r="AG9085" s="2">
        <f ca="1"/>
        <v>0.37274504307769107</v>
      </c>
      <c r="AH9085" s="2" t="str">
        <f ca="1"/>
        <v>OK</v>
      </c>
    </row>
    <row r="9086" spans="2:34" x14ac:dyDescent="0.2">
      <c r="B9086" s="2">
        <f ca="1"/>
        <v>3.1719829010623091E-2</v>
      </c>
      <c r="O9086" s="2">
        <f ca="1"/>
        <v>-0.66243960928027623</v>
      </c>
      <c r="X9086" s="2">
        <f ca="1"/>
        <v>73.833529090873469</v>
      </c>
      <c r="AG9086" s="2">
        <f ca="1"/>
        <v>0.35435229910533894</v>
      </c>
      <c r="AH9086" s="2" t="str">
        <f ca="1"/>
        <v>OK</v>
      </c>
    </row>
    <row r="9087" spans="2:34" x14ac:dyDescent="0.2">
      <c r="B9087" s="2">
        <f ca="1"/>
        <v>0.7420931620609128</v>
      </c>
      <c r="O9087" s="2">
        <f ca="1"/>
        <v>-0.56824972567833043</v>
      </c>
      <c r="X9087" s="2">
        <f ca="1"/>
        <v>45.715922017291525</v>
      </c>
      <c r="AG9087" s="2">
        <f ca="1"/>
        <v>0.27410162233673319</v>
      </c>
      <c r="AH9087" s="2" t="str">
        <f ca="1"/>
        <v>OK</v>
      </c>
    </row>
    <row r="9088" spans="2:34" x14ac:dyDescent="0.2">
      <c r="B9088" s="2">
        <f ca="1"/>
        <v>0.24756129032042562</v>
      </c>
      <c r="O9088" s="2">
        <f ca="1"/>
        <v>1.3001957054923641</v>
      </c>
      <c r="X9088" s="2">
        <f ca="1"/>
        <v>70.857673085378792</v>
      </c>
      <c r="AG9088" s="2">
        <f ca="1"/>
        <v>0.13409035085049181</v>
      </c>
      <c r="AH9088" s="2" t="str">
        <f ca="1"/>
        <v>OK</v>
      </c>
    </row>
    <row r="9089" spans="2:34" x14ac:dyDescent="0.2">
      <c r="B9089" s="2">
        <f ca="1"/>
        <v>3.0450009532003275E-2</v>
      </c>
      <c r="O9089" s="2">
        <f ca="1"/>
        <v>0.63042009394845044</v>
      </c>
      <c r="X9089" s="2">
        <f ca="1"/>
        <v>48.566256343866392</v>
      </c>
      <c r="AG9089" s="2">
        <f ca="1"/>
        <v>0.68261203277383076</v>
      </c>
      <c r="AH9089" s="2" t="str">
        <f ca="1"/>
        <v>Bad</v>
      </c>
    </row>
    <row r="9090" spans="2:34" x14ac:dyDescent="0.2">
      <c r="B9090" s="2">
        <f ca="1"/>
        <v>0.54451553798900876</v>
      </c>
      <c r="O9090" s="2">
        <f ca="1"/>
        <v>-0.8164140929074557</v>
      </c>
      <c r="X9090" s="2">
        <f ca="1"/>
        <v>46.634802114287204</v>
      </c>
      <c r="AG9090" s="2">
        <f ca="1"/>
        <v>0.39160344895265187</v>
      </c>
      <c r="AH9090" s="2" t="str">
        <f ca="1"/>
        <v>OK</v>
      </c>
    </row>
    <row r="9091" spans="2:34" x14ac:dyDescent="0.2">
      <c r="B9091" s="2">
        <f ca="1"/>
        <v>0.19600534004171877</v>
      </c>
      <c r="O9091" s="2">
        <f ca="1"/>
        <v>-1.4888268380233485</v>
      </c>
      <c r="X9091" s="2">
        <f ca="1"/>
        <v>23.920991323702875</v>
      </c>
      <c r="AG9091" s="2">
        <f ca="1"/>
        <v>0.30552584532020388</v>
      </c>
      <c r="AH9091" s="2" t="str">
        <f ca="1"/>
        <v>OK</v>
      </c>
    </row>
    <row r="9092" spans="2:34" x14ac:dyDescent="0.2">
      <c r="B9092" s="2">
        <f ca="1"/>
        <v>0.60536783029047903</v>
      </c>
      <c r="O9092" s="2">
        <f ca="1"/>
        <v>0.81713295418905518</v>
      </c>
      <c r="X9092" s="2">
        <f ca="1"/>
        <v>48.815615905359707</v>
      </c>
      <c r="AG9092" s="2">
        <f ca="1"/>
        <v>0.43769614271047774</v>
      </c>
      <c r="AH9092" s="2" t="str">
        <f ca="1"/>
        <v>Bad</v>
      </c>
    </row>
    <row r="9093" spans="2:34" x14ac:dyDescent="0.2">
      <c r="B9093" s="2">
        <f ca="1"/>
        <v>0.15854527052720013</v>
      </c>
      <c r="O9093" s="2">
        <f ca="1"/>
        <v>0.36489905187770078</v>
      </c>
      <c r="X9093" s="2">
        <f ca="1"/>
        <v>34.014264264825123</v>
      </c>
      <c r="AG9093" s="2">
        <f ca="1"/>
        <v>0.67734670981477052</v>
      </c>
      <c r="AH9093" s="2" t="str">
        <f ca="1"/>
        <v>Bad</v>
      </c>
    </row>
    <row r="9094" spans="2:34" x14ac:dyDescent="0.2">
      <c r="B9094" s="2">
        <f ca="1"/>
        <v>6.0885003788715863E-2</v>
      </c>
      <c r="O9094" s="2">
        <f ca="1"/>
        <v>0.86180797464318581</v>
      </c>
      <c r="X9094" s="2">
        <f ca="1"/>
        <v>65.987529383524304</v>
      </c>
      <c r="AG9094" s="2">
        <f ca="1"/>
        <v>0.31247248904304481</v>
      </c>
      <c r="AH9094" s="2" t="str">
        <f ca="1"/>
        <v>OK</v>
      </c>
    </row>
    <row r="9095" spans="2:34" x14ac:dyDescent="0.2">
      <c r="B9095" s="2">
        <f ca="1"/>
        <v>0.11158849788987779</v>
      </c>
      <c r="O9095" s="2">
        <f ca="1"/>
        <v>0.65923125965714702</v>
      </c>
      <c r="X9095" s="2">
        <f ca="1"/>
        <v>38.684060675922616</v>
      </c>
      <c r="AG9095" s="2">
        <f ca="1"/>
        <v>0.79072668281890568</v>
      </c>
      <c r="AH9095" s="2" t="str">
        <f ca="1"/>
        <v>Bad</v>
      </c>
    </row>
    <row r="9096" spans="2:34" x14ac:dyDescent="0.2">
      <c r="B9096" s="2">
        <f ca="1"/>
        <v>0.69411073004215362</v>
      </c>
      <c r="O9096" s="2">
        <f ca="1"/>
        <v>2.1281003487363384</v>
      </c>
      <c r="X9096" s="2">
        <f ca="1"/>
        <v>34.771074284850208</v>
      </c>
      <c r="AG9096" s="2">
        <f ca="1"/>
        <v>0.12824595005769646</v>
      </c>
      <c r="AH9096" s="2" t="str">
        <f ca="1"/>
        <v>OK</v>
      </c>
    </row>
    <row r="9097" spans="2:34" x14ac:dyDescent="0.2">
      <c r="B9097" s="2">
        <f ca="1"/>
        <v>9.2293919074463604E-2</v>
      </c>
      <c r="O9097" s="2">
        <f ca="1"/>
        <v>1.3115018044550728</v>
      </c>
      <c r="X9097" s="2">
        <f ca="1"/>
        <v>46.050335195789167</v>
      </c>
      <c r="AG9097" s="2">
        <f ca="1"/>
        <v>0.26589169082594277</v>
      </c>
      <c r="AH9097" s="2" t="str">
        <f ca="1"/>
        <v>OK</v>
      </c>
    </row>
    <row r="9098" spans="2:34" x14ac:dyDescent="0.2">
      <c r="B9098" s="2">
        <f ca="1"/>
        <v>0.72822329059446589</v>
      </c>
      <c r="O9098" s="2">
        <f ca="1"/>
        <v>-0.91088863800316788</v>
      </c>
      <c r="X9098" s="2">
        <f ca="1"/>
        <v>25.186206303781354</v>
      </c>
      <c r="AG9098" s="2">
        <f ca="1"/>
        <v>0.21361535825154121</v>
      </c>
      <c r="AH9098" s="2" t="str">
        <f ca="1"/>
        <v>OK</v>
      </c>
    </row>
    <row r="9099" spans="2:34" x14ac:dyDescent="0.2">
      <c r="B9099" s="2">
        <f ca="1"/>
        <v>0.80458006205414567</v>
      </c>
      <c r="O9099" s="2">
        <f ca="1"/>
        <v>-0.19208180411375472</v>
      </c>
      <c r="X9099" s="2">
        <f ca="1"/>
        <v>39.531634875580231</v>
      </c>
      <c r="AG9099" s="2">
        <f ca="1"/>
        <v>0.55134892971512706</v>
      </c>
      <c r="AH9099" s="2" t="str">
        <f ca="1"/>
        <v>Bad</v>
      </c>
    </row>
    <row r="9100" spans="2:34" x14ac:dyDescent="0.2">
      <c r="B9100" s="2">
        <f ca="1"/>
        <v>0.71770390087885705</v>
      </c>
      <c r="O9100" s="2">
        <f ca="1"/>
        <v>1.0702844412022965</v>
      </c>
      <c r="X9100" s="2">
        <f ca="1"/>
        <v>30.365245618691382</v>
      </c>
      <c r="AG9100" s="2">
        <f ca="1"/>
        <v>9.3096372541804806E-2</v>
      </c>
      <c r="AH9100" s="2" t="str">
        <f ca="1"/>
        <v>OK</v>
      </c>
    </row>
    <row r="9101" spans="2:34" x14ac:dyDescent="0.2">
      <c r="B9101" s="2">
        <f ca="1"/>
        <v>0.39758539528223369</v>
      </c>
      <c r="O9101" s="2">
        <f ca="1"/>
        <v>1.0280980305003184</v>
      </c>
      <c r="X9101" s="2">
        <f ca="1"/>
        <v>51.432103705114322</v>
      </c>
      <c r="AG9101" s="2">
        <f ca="1"/>
        <v>0.38792216987678407</v>
      </c>
      <c r="AH9101" s="2" t="str">
        <f ca="1"/>
        <v>OK</v>
      </c>
    </row>
    <row r="9102" spans="2:34" x14ac:dyDescent="0.2">
      <c r="B9102" s="2">
        <f ca="1"/>
        <v>0.89052214707472022</v>
      </c>
      <c r="O9102" s="2">
        <f ca="1"/>
        <v>0.28029714848364962</v>
      </c>
      <c r="X9102" s="2">
        <f ca="1"/>
        <v>38.60531474413267</v>
      </c>
      <c r="AG9102" s="2">
        <f ca="1"/>
        <v>0.15594063097094213</v>
      </c>
      <c r="AH9102" s="2" t="str">
        <f ca="1"/>
        <v>OK</v>
      </c>
    </row>
    <row r="9103" spans="2:34" x14ac:dyDescent="0.2">
      <c r="B9103" s="2">
        <f ca="1"/>
        <v>0.7359984825475645</v>
      </c>
      <c r="O9103" s="2">
        <f ca="1"/>
        <v>-0.92424169478399698</v>
      </c>
      <c r="X9103" s="2">
        <f ca="1"/>
        <v>68.822058933812016</v>
      </c>
      <c r="AG9103" s="2">
        <f ca="1"/>
        <v>0.11857764471758792</v>
      </c>
      <c r="AH9103" s="2" t="str">
        <f ca="1"/>
        <v>OK</v>
      </c>
    </row>
    <row r="9104" spans="2:34" x14ac:dyDescent="0.2">
      <c r="B9104" s="2">
        <f ca="1"/>
        <v>0.30127353034186011</v>
      </c>
      <c r="O9104" s="2">
        <f ca="1"/>
        <v>-0.51591293941752991</v>
      </c>
      <c r="X9104" s="2">
        <f ca="1"/>
        <v>48.155298280628301</v>
      </c>
      <c r="AG9104" s="2">
        <f ca="1"/>
        <v>0.1669549805031727</v>
      </c>
      <c r="AH9104" s="2" t="str">
        <f ca="1"/>
        <v>OK</v>
      </c>
    </row>
    <row r="9105" spans="2:34" x14ac:dyDescent="0.2">
      <c r="B9105" s="2">
        <f ca="1"/>
        <v>0.90973831892384682</v>
      </c>
      <c r="O9105" s="2">
        <f ca="1"/>
        <v>-0.74463885465651392</v>
      </c>
      <c r="X9105" s="2">
        <f ca="1"/>
        <v>23.678991578391035</v>
      </c>
      <c r="AG9105" s="2">
        <f ca="1"/>
        <v>3.9766180691900299E-2</v>
      </c>
      <c r="AH9105" s="2" t="str">
        <f ca="1"/>
        <v>Good</v>
      </c>
    </row>
    <row r="9106" spans="2:34" x14ac:dyDescent="0.2">
      <c r="B9106" s="2">
        <f ca="1"/>
        <v>0.70835385769383064</v>
      </c>
      <c r="O9106" s="2">
        <f ca="1"/>
        <v>-0.26022581935749767</v>
      </c>
      <c r="X9106" s="2">
        <f ca="1"/>
        <v>55.263572215187537</v>
      </c>
      <c r="AG9106" s="2">
        <f ca="1"/>
        <v>0.85726370939820162</v>
      </c>
      <c r="AH9106" s="2" t="str">
        <f ca="1"/>
        <v>Bad</v>
      </c>
    </row>
    <row r="9107" spans="2:34" x14ac:dyDescent="0.2">
      <c r="B9107" s="2">
        <f ca="1"/>
        <v>0.71247252081540879</v>
      </c>
      <c r="O9107" s="2">
        <f ca="1"/>
        <v>-0.20306748261864047</v>
      </c>
      <c r="X9107" s="2">
        <f ca="1"/>
        <v>59.906410752388268</v>
      </c>
      <c r="AG9107" s="2">
        <f ca="1"/>
        <v>0.11426971508514705</v>
      </c>
      <c r="AH9107" s="2" t="str">
        <f ca="1"/>
        <v>OK</v>
      </c>
    </row>
    <row r="9108" spans="2:34" x14ac:dyDescent="0.2">
      <c r="B9108" s="2">
        <f ca="1"/>
        <v>0.69136896076935273</v>
      </c>
      <c r="O9108" s="2">
        <f ca="1"/>
        <v>0.66244355149572454</v>
      </c>
      <c r="X9108" s="2">
        <f ca="1"/>
        <v>75.976708031557664</v>
      </c>
      <c r="AG9108" s="2">
        <f ca="1"/>
        <v>0.57647132997830863</v>
      </c>
      <c r="AH9108" s="2" t="str">
        <f ca="1"/>
        <v>Bad</v>
      </c>
    </row>
    <row r="9109" spans="2:34" x14ac:dyDescent="0.2">
      <c r="B9109" s="2">
        <f ca="1"/>
        <v>4.5447327869984511E-2</v>
      </c>
      <c r="O9109" s="2">
        <f ca="1"/>
        <v>0.34225477427714251</v>
      </c>
      <c r="X9109" s="2">
        <f ca="1"/>
        <v>54.349268190361499</v>
      </c>
      <c r="AG9109" s="2">
        <f ca="1"/>
        <v>0.5145029601846256</v>
      </c>
      <c r="AH9109" s="2" t="str">
        <f ca="1"/>
        <v>Bad</v>
      </c>
    </row>
    <row r="9110" spans="2:34" x14ac:dyDescent="0.2">
      <c r="B9110" s="2">
        <f ca="1"/>
        <v>5.6018503831894106E-2</v>
      </c>
      <c r="O9110" s="2">
        <f ca="1"/>
        <v>1.7331784337403264</v>
      </c>
      <c r="X9110" s="2">
        <f ca="1"/>
        <v>47.998412066972939</v>
      </c>
      <c r="AG9110" s="2">
        <f ca="1"/>
        <v>0.85510394760867503</v>
      </c>
      <c r="AH9110" s="2" t="str">
        <f ca="1"/>
        <v>Bad</v>
      </c>
    </row>
    <row r="9111" spans="2:34" x14ac:dyDescent="0.2">
      <c r="B9111" s="2">
        <f ca="1"/>
        <v>0.38734906822854631</v>
      </c>
      <c r="O9111" s="2">
        <f ca="1"/>
        <v>-1.5010827000261855</v>
      </c>
      <c r="X9111" s="2">
        <f ca="1"/>
        <v>46.529051452018841</v>
      </c>
      <c r="AG9111" s="2">
        <f ca="1"/>
        <v>0.66323804790236318</v>
      </c>
      <c r="AH9111" s="2" t="str">
        <f ca="1"/>
        <v>Bad</v>
      </c>
    </row>
    <row r="9112" spans="2:34" x14ac:dyDescent="0.2">
      <c r="B9112" s="2">
        <f ca="1"/>
        <v>0.59371130010416984</v>
      </c>
      <c r="O9112" s="2">
        <f ca="1"/>
        <v>0.69514979995508186</v>
      </c>
      <c r="X9112" s="2">
        <f ca="1"/>
        <v>66.181537141484938</v>
      </c>
      <c r="AG9112" s="2">
        <f ca="1"/>
        <v>0.61242528629826043</v>
      </c>
      <c r="AH9112" s="2" t="str">
        <f ca="1"/>
        <v>Bad</v>
      </c>
    </row>
    <row r="9113" spans="2:34" x14ac:dyDescent="0.2">
      <c r="B9113" s="2">
        <f ca="1"/>
        <v>0.83566562617625184</v>
      </c>
      <c r="O9113" s="2">
        <f ca="1"/>
        <v>0.29464435874942951</v>
      </c>
      <c r="X9113" s="2">
        <f ca="1"/>
        <v>75.546681115917352</v>
      </c>
      <c r="AG9113" s="2">
        <f ca="1"/>
        <v>0.51769039610035184</v>
      </c>
      <c r="AH9113" s="2" t="str">
        <f ca="1"/>
        <v>Bad</v>
      </c>
    </row>
    <row r="9114" spans="2:34" x14ac:dyDescent="0.2">
      <c r="B9114" s="2">
        <f ca="1"/>
        <v>0.79431251737649955</v>
      </c>
      <c r="O9114" s="2">
        <f ca="1"/>
        <v>-0.81551877355255664</v>
      </c>
      <c r="X9114" s="2">
        <f ca="1"/>
        <v>42.357248160014237</v>
      </c>
      <c r="AG9114" s="2">
        <f ca="1"/>
        <v>0.72271642113634238</v>
      </c>
      <c r="AH9114" s="2" t="str">
        <f ca="1"/>
        <v>Bad</v>
      </c>
    </row>
    <row r="9115" spans="2:34" x14ac:dyDescent="0.2">
      <c r="B9115" s="2">
        <f ca="1"/>
        <v>0.500441778698965</v>
      </c>
      <c r="O9115" s="2">
        <f ca="1"/>
        <v>-0.34454605964487073</v>
      </c>
      <c r="X9115" s="2">
        <f ca="1"/>
        <v>41.718475138641338</v>
      </c>
      <c r="AG9115" s="2">
        <f ca="1"/>
        <v>0.51312402022910319</v>
      </c>
      <c r="AH9115" s="2" t="str">
        <f ca="1"/>
        <v>Bad</v>
      </c>
    </row>
    <row r="9116" spans="2:34" x14ac:dyDescent="0.2">
      <c r="B9116" s="2">
        <f ca="1"/>
        <v>0.82103550240963186</v>
      </c>
      <c r="O9116" s="2">
        <f ca="1"/>
        <v>0.41987160965260278</v>
      </c>
      <c r="X9116" s="2">
        <f ca="1"/>
        <v>78.871290939714413</v>
      </c>
      <c r="AG9116" s="2">
        <f ca="1"/>
        <v>0.40010996742306637</v>
      </c>
      <c r="AH9116" s="2" t="str">
        <f ca="1"/>
        <v>Bad</v>
      </c>
    </row>
    <row r="9117" spans="2:34" x14ac:dyDescent="0.2">
      <c r="B9117" s="2">
        <f ca="1"/>
        <v>0.16220005507458923</v>
      </c>
      <c r="O9117" s="2">
        <f ca="1"/>
        <v>-0.80449294640686875</v>
      </c>
      <c r="X9117" s="2">
        <f ca="1"/>
        <v>46.451651201610638</v>
      </c>
      <c r="AG9117" s="2">
        <f ca="1"/>
        <v>0.82976726097031173</v>
      </c>
      <c r="AH9117" s="2" t="str">
        <f ca="1"/>
        <v>Bad</v>
      </c>
    </row>
    <row r="9118" spans="2:34" x14ac:dyDescent="0.2">
      <c r="B9118" s="2">
        <f ca="1"/>
        <v>0.80340143772299588</v>
      </c>
      <c r="O9118" s="2">
        <f ca="1"/>
        <v>1.4315803662276803</v>
      </c>
      <c r="X9118" s="2">
        <f ca="1"/>
        <v>33.823240812601519</v>
      </c>
      <c r="AG9118" s="2">
        <f ca="1"/>
        <v>0.43189830572680643</v>
      </c>
      <c r="AH9118" s="2" t="str">
        <f ca="1"/>
        <v>Bad</v>
      </c>
    </row>
    <row r="9119" spans="2:34" x14ac:dyDescent="0.2">
      <c r="B9119" s="2">
        <f ca="1"/>
        <v>5.8434731177966048E-2</v>
      </c>
      <c r="O9119" s="2">
        <f ca="1"/>
        <v>1.0714344022348028</v>
      </c>
      <c r="X9119" s="2">
        <f ca="1"/>
        <v>37.56091087124743</v>
      </c>
      <c r="AG9119" s="2">
        <f ca="1"/>
        <v>0.37265925466085048</v>
      </c>
      <c r="AH9119" s="2" t="str">
        <f ca="1"/>
        <v>OK</v>
      </c>
    </row>
    <row r="9120" spans="2:34" x14ac:dyDescent="0.2">
      <c r="B9120" s="2">
        <f ca="1"/>
        <v>9.0803905012088793E-2</v>
      </c>
      <c r="O9120" s="2">
        <f ca="1"/>
        <v>1.2699504964229922</v>
      </c>
      <c r="X9120" s="2">
        <f ca="1"/>
        <v>31.995234390835602</v>
      </c>
      <c r="AG9120" s="2">
        <f ca="1"/>
        <v>0.32545894207100057</v>
      </c>
      <c r="AH9120" s="2" t="str">
        <f ca="1"/>
        <v>OK</v>
      </c>
    </row>
    <row r="9121" spans="2:34" x14ac:dyDescent="0.2">
      <c r="B9121" s="2">
        <f ca="1"/>
        <v>0.16273411479471989</v>
      </c>
      <c r="O9121" s="2">
        <f ca="1"/>
        <v>0.65810372033761289</v>
      </c>
      <c r="X9121" s="2">
        <f ca="1"/>
        <v>30.667038203560388</v>
      </c>
      <c r="AG9121" s="2">
        <f ca="1"/>
        <v>0.17043353256848448</v>
      </c>
      <c r="AH9121" s="2" t="str">
        <f ca="1"/>
        <v>OK</v>
      </c>
    </row>
    <row r="9122" spans="2:34" x14ac:dyDescent="0.2">
      <c r="B9122" s="2">
        <f ca="1"/>
        <v>0.10524319153037731</v>
      </c>
      <c r="O9122" s="2">
        <f ca="1"/>
        <v>-0.75900533946505144</v>
      </c>
      <c r="X9122" s="2">
        <f ca="1"/>
        <v>46.074125595867017</v>
      </c>
      <c r="AG9122" s="2">
        <f ca="1"/>
        <v>0.45905558987771555</v>
      </c>
      <c r="AH9122" s="2" t="str">
        <f ca="1"/>
        <v>Bad</v>
      </c>
    </row>
    <row r="9123" spans="2:34" x14ac:dyDescent="0.2">
      <c r="B9123" s="2">
        <f ca="1"/>
        <v>0.12902063112298556</v>
      </c>
      <c r="O9123" s="2">
        <f ca="1"/>
        <v>-0.63327225090628414</v>
      </c>
      <c r="X9123" s="2">
        <f ca="1"/>
        <v>77.622972499412214</v>
      </c>
      <c r="AG9123" s="2">
        <f ca="1"/>
        <v>0.58084074986651757</v>
      </c>
      <c r="AH9123" s="2" t="str">
        <f ca="1"/>
        <v>Bad</v>
      </c>
    </row>
    <row r="9124" spans="2:34" x14ac:dyDescent="0.2">
      <c r="B9124" s="2">
        <f ca="1"/>
        <v>4.5596998429958013E-2</v>
      </c>
      <c r="O9124" s="2">
        <f ca="1"/>
        <v>7.7495697223067206E-2</v>
      </c>
      <c r="X9124" s="2">
        <f ca="1"/>
        <v>61.454217627220977</v>
      </c>
      <c r="AG9124" s="2">
        <f ca="1"/>
        <v>0.22455805514842209</v>
      </c>
      <c r="AH9124" s="2" t="str">
        <f ca="1"/>
        <v>OK</v>
      </c>
    </row>
    <row r="9125" spans="2:34" x14ac:dyDescent="0.2">
      <c r="B9125" s="2">
        <f ca="1"/>
        <v>0.88470006293425318</v>
      </c>
      <c r="O9125" s="2">
        <f ca="1"/>
        <v>0.7257553148734831</v>
      </c>
      <c r="X9125" s="2">
        <f ca="1"/>
        <v>71.637362936943163</v>
      </c>
      <c r="AG9125" s="2">
        <f ca="1"/>
        <v>0.60324573270758686</v>
      </c>
      <c r="AH9125" s="2" t="str">
        <f ca="1"/>
        <v>Bad</v>
      </c>
    </row>
    <row r="9126" spans="2:34" x14ac:dyDescent="0.2">
      <c r="B9126" s="2">
        <f ca="1"/>
        <v>0.74906893911672134</v>
      </c>
      <c r="O9126" s="2">
        <f ca="1"/>
        <v>1.9129069181316387</v>
      </c>
      <c r="X9126" s="2">
        <f ca="1"/>
        <v>78.239388661746347</v>
      </c>
      <c r="AG9126" s="2">
        <f ca="1"/>
        <v>0.26622123074614001</v>
      </c>
      <c r="AH9126" s="2" t="str">
        <f ca="1"/>
        <v>OK</v>
      </c>
    </row>
    <row r="9127" spans="2:34" x14ac:dyDescent="0.2">
      <c r="B9127" s="2">
        <f ca="1"/>
        <v>0.91156650133188255</v>
      </c>
      <c r="O9127" s="2">
        <f ca="1"/>
        <v>0.94119985019866526</v>
      </c>
      <c r="X9127" s="2">
        <f ca="1"/>
        <v>45.188381387997019</v>
      </c>
      <c r="AG9127" s="2">
        <f ca="1"/>
        <v>0.35105756514314734</v>
      </c>
      <c r="AH9127" s="2" t="str">
        <f ca="1"/>
        <v>OK</v>
      </c>
    </row>
    <row r="9128" spans="2:34" x14ac:dyDescent="0.2">
      <c r="B9128" s="2">
        <f ca="1"/>
        <v>0.36331770287833143</v>
      </c>
      <c r="O9128" s="2">
        <f ca="1"/>
        <v>0.9158482381225862</v>
      </c>
      <c r="X9128" s="2">
        <f ca="1"/>
        <v>54.005494970559702</v>
      </c>
      <c r="AG9128" s="2">
        <f ca="1"/>
        <v>9.3118934587252733E-2</v>
      </c>
      <c r="AH9128" s="2" t="str">
        <f ca="1"/>
        <v>OK</v>
      </c>
    </row>
    <row r="9129" spans="2:34" x14ac:dyDescent="0.2">
      <c r="B9129" s="2">
        <f ca="1"/>
        <v>0.58851126888854099</v>
      </c>
      <c r="O9129" s="2">
        <f ca="1"/>
        <v>0.61505689694055155</v>
      </c>
      <c r="X9129" s="2">
        <f ca="1"/>
        <v>24.441966334839979</v>
      </c>
      <c r="AG9129" s="2">
        <f ca="1"/>
        <v>0.55943471063887751</v>
      </c>
      <c r="AH9129" s="2" t="str">
        <f ca="1"/>
        <v>Bad</v>
      </c>
    </row>
    <row r="9130" spans="2:34" x14ac:dyDescent="0.2">
      <c r="B9130" s="2">
        <f ca="1"/>
        <v>0.57384300093993867</v>
      </c>
      <c r="O9130" s="2">
        <f ca="1"/>
        <v>-0.53799199403759712</v>
      </c>
      <c r="X9130" s="2">
        <f ca="1"/>
        <v>55.943438648020589</v>
      </c>
      <c r="AG9130" s="2">
        <f ca="1"/>
        <v>0.23858564294548934</v>
      </c>
      <c r="AH9130" s="2" t="str">
        <f ca="1"/>
        <v>OK</v>
      </c>
    </row>
    <row r="9131" spans="2:34" x14ac:dyDescent="0.2">
      <c r="B9131" s="2">
        <f ca="1"/>
        <v>0.16781460709788543</v>
      </c>
      <c r="O9131" s="2">
        <f ca="1"/>
        <v>-1.2300606072784093</v>
      </c>
      <c r="X9131" s="2">
        <f ca="1"/>
        <v>62.168727218721223</v>
      </c>
      <c r="AG9131" s="2">
        <f ca="1"/>
        <v>0.99392339462023527</v>
      </c>
      <c r="AH9131" s="2" t="str">
        <f ca="1"/>
        <v>Bad</v>
      </c>
    </row>
    <row r="9132" spans="2:34" x14ac:dyDescent="0.2">
      <c r="B9132" s="2">
        <f ca="1"/>
        <v>0.46946288238394107</v>
      </c>
      <c r="O9132" s="2">
        <f ca="1"/>
        <v>1.3233907042642254</v>
      </c>
      <c r="X9132" s="2">
        <f ca="1"/>
        <v>76.356237294606956</v>
      </c>
      <c r="AG9132" s="2">
        <f ca="1"/>
        <v>6.2918241418583154E-2</v>
      </c>
      <c r="AH9132" s="2" t="str">
        <f ca="1"/>
        <v>OK</v>
      </c>
    </row>
    <row r="9133" spans="2:34" x14ac:dyDescent="0.2">
      <c r="B9133" s="2">
        <f ca="1"/>
        <v>0.78550333366664038</v>
      </c>
      <c r="O9133" s="2">
        <f ca="1"/>
        <v>0.99802681517864533</v>
      </c>
      <c r="X9133" s="2">
        <f ca="1"/>
        <v>51.177181005060639</v>
      </c>
      <c r="AG9133" s="2">
        <f ca="1"/>
        <v>5.2711654817889642E-3</v>
      </c>
      <c r="AH9133" s="2" t="str">
        <f ca="1"/>
        <v>Good</v>
      </c>
    </row>
    <row r="9134" spans="2:34" x14ac:dyDescent="0.2">
      <c r="B9134" s="2">
        <f ca="1"/>
        <v>3.0560875667699161E-2</v>
      </c>
      <c r="O9134" s="2">
        <f ca="1"/>
        <v>-0.95849451837462696</v>
      </c>
      <c r="X9134" s="2">
        <f ca="1"/>
        <v>56.147981343628274</v>
      </c>
      <c r="AG9134" s="2">
        <f ca="1"/>
        <v>0.79295590691012019</v>
      </c>
      <c r="AH9134" s="2" t="str">
        <f ca="1"/>
        <v>Bad</v>
      </c>
    </row>
    <row r="9135" spans="2:34" x14ac:dyDescent="0.2">
      <c r="B9135" s="2">
        <f ca="1"/>
        <v>0.67848038036400582</v>
      </c>
      <c r="O9135" s="2">
        <f ca="1"/>
        <v>1.7051912723304614</v>
      </c>
      <c r="X9135" s="2">
        <f ca="1"/>
        <v>43.495790741015583</v>
      </c>
      <c r="AG9135" s="2">
        <f ca="1"/>
        <v>0.53365893112183893</v>
      </c>
      <c r="AH9135" s="2" t="str">
        <f ca="1"/>
        <v>Bad</v>
      </c>
    </row>
    <row r="9136" spans="2:34" x14ac:dyDescent="0.2">
      <c r="B9136" s="2">
        <f ca="1"/>
        <v>0.50743519233618439</v>
      </c>
      <c r="O9136" s="2">
        <f ca="1"/>
        <v>-0.64020780973577718</v>
      </c>
      <c r="X9136" s="2">
        <f ca="1"/>
        <v>42.435451090303914</v>
      </c>
      <c r="AG9136" s="2">
        <f ca="1"/>
        <v>0.74221826861462548</v>
      </c>
      <c r="AH9136" s="2" t="str">
        <f ca="1"/>
        <v>Bad</v>
      </c>
    </row>
    <row r="9137" spans="2:34" x14ac:dyDescent="0.2">
      <c r="B9137" s="2">
        <f ca="1"/>
        <v>0.82577377235738103</v>
      </c>
      <c r="O9137" s="2">
        <f ca="1"/>
        <v>-0.12089658172623292</v>
      </c>
      <c r="X9137" s="2">
        <f ca="1"/>
        <v>35.451846807299901</v>
      </c>
      <c r="AG9137" s="2">
        <f ca="1"/>
        <v>0.40976973442852183</v>
      </c>
      <c r="AH9137" s="2" t="str">
        <f ca="1"/>
        <v>Bad</v>
      </c>
    </row>
    <row r="9138" spans="2:34" x14ac:dyDescent="0.2">
      <c r="B9138" s="2">
        <f ca="1"/>
        <v>0.41382073971750111</v>
      </c>
      <c r="O9138" s="2">
        <f ca="1"/>
        <v>0.10269835764439987</v>
      </c>
      <c r="X9138" s="2">
        <f ca="1"/>
        <v>63.939503500255775</v>
      </c>
      <c r="AG9138" s="2">
        <f ca="1"/>
        <v>7.4642107799745228E-2</v>
      </c>
      <c r="AH9138" s="2" t="str">
        <f ca="1"/>
        <v>OK</v>
      </c>
    </row>
    <row r="9139" spans="2:34" x14ac:dyDescent="0.2">
      <c r="B9139" s="2">
        <f ca="1"/>
        <v>0.46594043861286782</v>
      </c>
      <c r="O9139" s="2">
        <f ca="1"/>
        <v>0.33918481220187674</v>
      </c>
      <c r="X9139" s="2">
        <f ca="1"/>
        <v>47.599544336263158</v>
      </c>
      <c r="AG9139" s="2">
        <f ca="1"/>
        <v>0.35622068102581239</v>
      </c>
      <c r="AH9139" s="2" t="str">
        <f ca="1"/>
        <v>OK</v>
      </c>
    </row>
    <row r="9140" spans="2:34" x14ac:dyDescent="0.2">
      <c r="B9140" s="2">
        <f ca="1"/>
        <v>0.8095909531061618</v>
      </c>
      <c r="O9140" s="2">
        <f ca="1"/>
        <v>4.0650396456002209</v>
      </c>
      <c r="X9140" s="2">
        <f ca="1"/>
        <v>53.997735708454087</v>
      </c>
      <c r="AG9140" s="2">
        <f ca="1"/>
        <v>0.1006474209406798</v>
      </c>
      <c r="AH9140" s="2" t="str">
        <f ca="1"/>
        <v>OK</v>
      </c>
    </row>
    <row r="9141" spans="2:34" x14ac:dyDescent="0.2">
      <c r="B9141" s="2">
        <f ca="1"/>
        <v>0.72700372469286956</v>
      </c>
      <c r="O9141" s="2">
        <f ca="1"/>
        <v>-0.53047423880870814</v>
      </c>
      <c r="X9141" s="2">
        <f ca="1"/>
        <v>61.56517695866291</v>
      </c>
      <c r="AG9141" s="2">
        <f ca="1"/>
        <v>0.99582434934255559</v>
      </c>
      <c r="AH9141" s="2" t="str">
        <f ca="1"/>
        <v>Bad</v>
      </c>
    </row>
    <row r="9142" spans="2:34" x14ac:dyDescent="0.2">
      <c r="B9142" s="2">
        <f ca="1"/>
        <v>0.11114680708875291</v>
      </c>
      <c r="O9142" s="2">
        <f ca="1"/>
        <v>0.34891274687121432</v>
      </c>
      <c r="X9142" s="2">
        <f ca="1"/>
        <v>39.709923394041631</v>
      </c>
      <c r="AG9142" s="2">
        <f ca="1"/>
        <v>0.44487856856258778</v>
      </c>
      <c r="AH9142" s="2" t="str">
        <f ca="1"/>
        <v>Bad</v>
      </c>
    </row>
    <row r="9143" spans="2:34" x14ac:dyDescent="0.2">
      <c r="B9143" s="2">
        <f ca="1"/>
        <v>0.37275474006010878</v>
      </c>
      <c r="O9143" s="2">
        <f ca="1"/>
        <v>0.72001336956319206</v>
      </c>
      <c r="X9143" s="2">
        <f ca="1"/>
        <v>22.609505288397806</v>
      </c>
      <c r="AG9143" s="2">
        <f ca="1"/>
        <v>0.41682839654959891</v>
      </c>
      <c r="AH9143" s="2" t="str">
        <f ca="1"/>
        <v>Bad</v>
      </c>
    </row>
    <row r="9144" spans="2:34" x14ac:dyDescent="0.2">
      <c r="B9144" s="2">
        <f ca="1"/>
        <v>0.88577564410025</v>
      </c>
      <c r="O9144" s="2">
        <f ca="1"/>
        <v>-0.27139181862313266</v>
      </c>
      <c r="X9144" s="2">
        <f ca="1"/>
        <v>65.977529094856749</v>
      </c>
      <c r="AG9144" s="2">
        <f ca="1"/>
        <v>0.82770921960941224</v>
      </c>
      <c r="AH9144" s="2" t="str">
        <f ca="1"/>
        <v>Bad</v>
      </c>
    </row>
    <row r="9145" spans="2:34" x14ac:dyDescent="0.2">
      <c r="B9145" s="2">
        <f ca="1"/>
        <v>0.67630924270821891</v>
      </c>
      <c r="O9145" s="2">
        <f ca="1"/>
        <v>0.53594466490977621</v>
      </c>
      <c r="X9145" s="2">
        <f ca="1"/>
        <v>45.456316305621215</v>
      </c>
      <c r="AG9145" s="2">
        <f ca="1"/>
        <v>0.91845003996432339</v>
      </c>
      <c r="AH9145" s="2" t="str">
        <f ca="1"/>
        <v>Bad</v>
      </c>
    </row>
    <row r="9146" spans="2:34" x14ac:dyDescent="0.2">
      <c r="B9146" s="2">
        <f ca="1"/>
        <v>5.9935030917533494E-2</v>
      </c>
      <c r="O9146" s="2">
        <f ca="1"/>
        <v>-1.1999331223557888</v>
      </c>
      <c r="X9146" s="2">
        <f ca="1"/>
        <v>29.898741968121531</v>
      </c>
      <c r="AG9146" s="2">
        <f ca="1"/>
        <v>0.53308692509198607</v>
      </c>
      <c r="AH9146" s="2" t="str">
        <f ca="1"/>
        <v>Bad</v>
      </c>
    </row>
    <row r="9147" spans="2:34" x14ac:dyDescent="0.2">
      <c r="B9147" s="2">
        <f ca="1"/>
        <v>0.53149059532858867</v>
      </c>
      <c r="O9147" s="2">
        <f ca="1"/>
        <v>-0.76591722831886033</v>
      </c>
      <c r="X9147" s="2">
        <f ca="1"/>
        <v>45.236737578906094</v>
      </c>
      <c r="AG9147" s="2">
        <f ca="1"/>
        <v>0.37105716486425222</v>
      </c>
      <c r="AH9147" s="2" t="str">
        <f ca="1"/>
        <v>OK</v>
      </c>
    </row>
    <row r="9148" spans="2:34" x14ac:dyDescent="0.2">
      <c r="B9148" s="2">
        <f ca="1"/>
        <v>7.9019104850941657E-2</v>
      </c>
      <c r="O9148" s="2">
        <f ca="1"/>
        <v>0.83862669057278916</v>
      </c>
      <c r="X9148" s="2">
        <f ca="1"/>
        <v>43.005416550204728</v>
      </c>
      <c r="AG9148" s="2">
        <f ca="1"/>
        <v>0.17467123574175347</v>
      </c>
      <c r="AH9148" s="2" t="str">
        <f ca="1"/>
        <v>OK</v>
      </c>
    </row>
    <row r="9149" spans="2:34" x14ac:dyDescent="0.2">
      <c r="B9149" s="2">
        <f ca="1"/>
        <v>0.99816994587067098</v>
      </c>
      <c r="O9149" s="2">
        <f ca="1"/>
        <v>1.6425812342338693</v>
      </c>
      <c r="X9149" s="2">
        <f ca="1"/>
        <v>59.36831301847085</v>
      </c>
      <c r="AG9149" s="2">
        <f ca="1"/>
        <v>0.34125589458979722</v>
      </c>
      <c r="AH9149" s="2" t="str">
        <f ca="1"/>
        <v>OK</v>
      </c>
    </row>
    <row r="9150" spans="2:34" x14ac:dyDescent="0.2">
      <c r="B9150" s="2">
        <f ca="1"/>
        <v>0.68974276634847209</v>
      </c>
      <c r="O9150" s="2">
        <f ca="1"/>
        <v>0.83170947250257532</v>
      </c>
      <c r="X9150" s="2">
        <f ca="1"/>
        <v>36.933393240312206</v>
      </c>
      <c r="AG9150" s="2">
        <f ca="1"/>
        <v>0.12845684591089013</v>
      </c>
      <c r="AH9150" s="2" t="str">
        <f ca="1"/>
        <v>OK</v>
      </c>
    </row>
    <row r="9151" spans="2:34" x14ac:dyDescent="0.2">
      <c r="B9151" s="2">
        <f ca="1"/>
        <v>0.46016462727674168</v>
      </c>
      <c r="O9151" s="2">
        <f ca="1"/>
        <v>0.32098086381395813</v>
      </c>
      <c r="X9151" s="2">
        <f ca="1"/>
        <v>65.446135223867685</v>
      </c>
      <c r="AG9151" s="2">
        <f ca="1"/>
        <v>0.36195723333051677</v>
      </c>
      <c r="AH9151" s="2" t="str">
        <f ca="1"/>
        <v>OK</v>
      </c>
    </row>
    <row r="9152" spans="2:34" x14ac:dyDescent="0.2">
      <c r="B9152" s="2">
        <f ca="1"/>
        <v>0.62190095895180053</v>
      </c>
      <c r="O9152" s="2">
        <f ca="1"/>
        <v>-0.38208559750043736</v>
      </c>
      <c r="X9152" s="2">
        <f ca="1"/>
        <v>37.186198823195106</v>
      </c>
      <c r="AG9152" s="2">
        <f ca="1"/>
        <v>0.33266612894744685</v>
      </c>
      <c r="AH9152" s="2" t="str">
        <f ca="1"/>
        <v>OK</v>
      </c>
    </row>
    <row r="9153" spans="2:34" x14ac:dyDescent="0.2">
      <c r="B9153" s="2">
        <f ca="1"/>
        <v>0.16070197266152264</v>
      </c>
      <c r="O9153" s="2">
        <f ca="1"/>
        <v>-0.39178060417460647</v>
      </c>
      <c r="X9153" s="2">
        <f ca="1"/>
        <v>69.078776151918447</v>
      </c>
      <c r="AG9153" s="2">
        <f ca="1"/>
        <v>0.31811433365563246</v>
      </c>
      <c r="AH9153" s="2" t="str">
        <f ca="1"/>
        <v>OK</v>
      </c>
    </row>
    <row r="9154" spans="2:34" x14ac:dyDescent="0.2">
      <c r="B9154" s="2">
        <f ca="1"/>
        <v>0.48707805006683436</v>
      </c>
      <c r="O9154" s="2">
        <f ca="1"/>
        <v>-2.9922862816304827E-2</v>
      </c>
      <c r="X9154" s="2">
        <f ca="1"/>
        <v>55.720395222563951</v>
      </c>
      <c r="AG9154" s="2">
        <f ca="1"/>
        <v>0.71939793145915076</v>
      </c>
      <c r="AH9154" s="2" t="str">
        <f ca="1"/>
        <v>Bad</v>
      </c>
    </row>
    <row r="9155" spans="2:34" x14ac:dyDescent="0.2">
      <c r="B9155" s="2">
        <f ca="1"/>
        <v>0.60966609673935923</v>
      </c>
      <c r="O9155" s="2">
        <f ca="1"/>
        <v>1.0378226290987926</v>
      </c>
      <c r="X9155" s="2">
        <f ca="1"/>
        <v>68.252473020201194</v>
      </c>
      <c r="AG9155" s="2">
        <f ca="1"/>
        <v>0.44858155215540907</v>
      </c>
      <c r="AH9155" s="2" t="str">
        <f ca="1"/>
        <v>Bad</v>
      </c>
    </row>
    <row r="9156" spans="2:34" x14ac:dyDescent="0.2">
      <c r="B9156" s="2">
        <f ca="1"/>
        <v>6.3113609689891659E-2</v>
      </c>
      <c r="O9156" s="2">
        <f ca="1"/>
        <v>0.89121596823815086</v>
      </c>
      <c r="X9156" s="2">
        <f ca="1"/>
        <v>46.903329087532427</v>
      </c>
      <c r="AG9156" s="2">
        <f ca="1"/>
        <v>2.6322869280161365E-2</v>
      </c>
      <c r="AH9156" s="2" t="str">
        <f ca="1"/>
        <v>Good</v>
      </c>
    </row>
    <row r="9157" spans="2:34" x14ac:dyDescent="0.2">
      <c r="B9157" s="2">
        <f ca="1"/>
        <v>0.42676794471290291</v>
      </c>
      <c r="O9157" s="2">
        <f ca="1"/>
        <v>1.7189203885230646</v>
      </c>
      <c r="X9157" s="2">
        <f ca="1"/>
        <v>29.068964747098228</v>
      </c>
      <c r="AG9157" s="2">
        <f ca="1"/>
        <v>0.40209545080364739</v>
      </c>
      <c r="AH9157" s="2" t="str">
        <f ca="1"/>
        <v>Bad</v>
      </c>
    </row>
    <row r="9158" spans="2:34" x14ac:dyDescent="0.2">
      <c r="B9158" s="2">
        <f ca="1"/>
        <v>0.17277980602487353</v>
      </c>
      <c r="O9158" s="2">
        <f ca="1"/>
        <v>-2.5228971657635797</v>
      </c>
      <c r="X9158" s="2">
        <f ca="1"/>
        <v>42.2081492584011</v>
      </c>
      <c r="AG9158" s="2">
        <f ca="1"/>
        <v>0.80246642970893478</v>
      </c>
      <c r="AH9158" s="2" t="str">
        <f ca="1"/>
        <v>Bad</v>
      </c>
    </row>
    <row r="9159" spans="2:34" x14ac:dyDescent="0.2">
      <c r="B9159" s="2">
        <f ca="1"/>
        <v>0.57972335885892901</v>
      </c>
      <c r="O9159" s="2">
        <f ca="1"/>
        <v>-3.6765978769426957E-2</v>
      </c>
      <c r="X9159" s="2">
        <f ca="1"/>
        <v>31.901791258557417</v>
      </c>
      <c r="AG9159" s="2">
        <f ca="1"/>
        <v>8.0508074639093152E-2</v>
      </c>
      <c r="AH9159" s="2" t="str">
        <f ca="1"/>
        <v>OK</v>
      </c>
    </row>
    <row r="9160" spans="2:34" x14ac:dyDescent="0.2">
      <c r="B9160" s="2">
        <f ca="1"/>
        <v>0.34814371978389058</v>
      </c>
      <c r="O9160" s="2">
        <f ca="1"/>
        <v>4.2239569913226735E-2</v>
      </c>
      <c r="X9160" s="2">
        <f ca="1"/>
        <v>53.462712111043309</v>
      </c>
      <c r="AG9160" s="2">
        <f ca="1"/>
        <v>0.70677116717862676</v>
      </c>
      <c r="AH9160" s="2" t="str">
        <f ca="1"/>
        <v>Bad</v>
      </c>
    </row>
    <row r="9161" spans="2:34" x14ac:dyDescent="0.2">
      <c r="B9161" s="2">
        <f ca="1"/>
        <v>0.13986427653068301</v>
      </c>
      <c r="O9161" s="2">
        <f ca="1"/>
        <v>0.24001833541733994</v>
      </c>
      <c r="X9161" s="2">
        <f ca="1"/>
        <v>53.327105376095567</v>
      </c>
      <c r="AG9161" s="2">
        <f ca="1"/>
        <v>7.0072178156729947E-2</v>
      </c>
      <c r="AH9161" s="2" t="str">
        <f ca="1"/>
        <v>OK</v>
      </c>
    </row>
    <row r="9162" spans="2:34" x14ac:dyDescent="0.2">
      <c r="B9162" s="2">
        <f ca="1"/>
        <v>0.67959037647725884</v>
      </c>
      <c r="O9162" s="2">
        <f ca="1"/>
        <v>1.0334378707680085</v>
      </c>
      <c r="X9162" s="2">
        <f ca="1"/>
        <v>59.87890986583929</v>
      </c>
      <c r="AG9162" s="2">
        <f ca="1"/>
        <v>0.77804772636934194</v>
      </c>
      <c r="AH9162" s="2" t="str">
        <f ca="1"/>
        <v>Bad</v>
      </c>
    </row>
    <row r="9163" spans="2:34" x14ac:dyDescent="0.2">
      <c r="B9163" s="2">
        <f ca="1"/>
        <v>0.51573364543822531</v>
      </c>
      <c r="O9163" s="2">
        <f ca="1"/>
        <v>1.2825714617705037</v>
      </c>
      <c r="X9163" s="2">
        <f ca="1"/>
        <v>60.649320870055199</v>
      </c>
      <c r="AG9163" s="2">
        <f ca="1"/>
        <v>0.62300041368816883</v>
      </c>
      <c r="AH9163" s="2" t="str">
        <f ca="1"/>
        <v>Bad</v>
      </c>
    </row>
    <row r="9164" spans="2:34" x14ac:dyDescent="0.2">
      <c r="B9164" s="2">
        <f ca="1"/>
        <v>0.4900188873598359</v>
      </c>
      <c r="O9164" s="2">
        <f ca="1"/>
        <v>-0.2147266280460054</v>
      </c>
      <c r="X9164" s="2">
        <f ca="1"/>
        <v>53.09792214420338</v>
      </c>
      <c r="AG9164" s="2">
        <f ca="1"/>
        <v>0.52555568501383632</v>
      </c>
      <c r="AH9164" s="2" t="str">
        <f ca="1"/>
        <v>Bad</v>
      </c>
    </row>
    <row r="9165" spans="2:34" x14ac:dyDescent="0.2">
      <c r="B9165" s="2">
        <f ca="1"/>
        <v>0.19217843782004862</v>
      </c>
      <c r="O9165" s="2">
        <f ca="1"/>
        <v>-0.79944730488484927</v>
      </c>
      <c r="X9165" s="2">
        <f ca="1"/>
        <v>70.378253337876302</v>
      </c>
      <c r="AG9165" s="2">
        <f ca="1"/>
        <v>4.4904699309643803E-2</v>
      </c>
      <c r="AH9165" s="2" t="str">
        <f ca="1"/>
        <v>Good</v>
      </c>
    </row>
    <row r="9166" spans="2:34" x14ac:dyDescent="0.2">
      <c r="B9166" s="2">
        <f ca="1"/>
        <v>0.3480231709351711</v>
      </c>
      <c r="O9166" s="2">
        <f ca="1"/>
        <v>0.49720131500001846</v>
      </c>
      <c r="X9166" s="2">
        <f ca="1"/>
        <v>40.067879612328099</v>
      </c>
      <c r="AG9166" s="2">
        <f ca="1"/>
        <v>6.0009850971290524E-2</v>
      </c>
      <c r="AH9166" s="2" t="str">
        <f ca="1"/>
        <v>OK</v>
      </c>
    </row>
    <row r="9167" spans="2:34" x14ac:dyDescent="0.2">
      <c r="B9167" s="2">
        <f ca="1"/>
        <v>0.72322983251533124</v>
      </c>
      <c r="O9167" s="2">
        <f ca="1"/>
        <v>-1.1279253192380885</v>
      </c>
      <c r="X9167" s="2">
        <f ca="1"/>
        <v>60.69867365831783</v>
      </c>
      <c r="AG9167" s="2">
        <f ca="1"/>
        <v>0.3145193578941714</v>
      </c>
      <c r="AH9167" s="2" t="str">
        <f ca="1"/>
        <v>OK</v>
      </c>
    </row>
    <row r="9168" spans="2:34" x14ac:dyDescent="0.2">
      <c r="B9168" s="2">
        <f ca="1"/>
        <v>0.58192925088435032</v>
      </c>
      <c r="O9168" s="2">
        <f ca="1"/>
        <v>-0.26067886754754921</v>
      </c>
      <c r="X9168" s="2">
        <f ca="1"/>
        <v>43.2579047272243</v>
      </c>
      <c r="AG9168" s="2">
        <f ca="1"/>
        <v>0.54163105286610103</v>
      </c>
      <c r="AH9168" s="2" t="str">
        <f ca="1"/>
        <v>Bad</v>
      </c>
    </row>
    <row r="9169" spans="2:34" x14ac:dyDescent="0.2">
      <c r="B9169" s="2">
        <f ca="1"/>
        <v>0.58421726939482554</v>
      </c>
      <c r="O9169" s="2">
        <f ca="1"/>
        <v>-1.2223563716743748</v>
      </c>
      <c r="X9169" s="2">
        <f ca="1"/>
        <v>36.975866561566065</v>
      </c>
      <c r="AG9169" s="2">
        <f ca="1"/>
        <v>0.44919337603073339</v>
      </c>
      <c r="AH9169" s="2" t="str">
        <f ca="1"/>
        <v>Bad</v>
      </c>
    </row>
    <row r="9170" spans="2:34" x14ac:dyDescent="0.2">
      <c r="B9170" s="2">
        <f ca="1"/>
        <v>0.57424411716875734</v>
      </c>
      <c r="O9170" s="2">
        <f ca="1"/>
        <v>-0.84891175503503435</v>
      </c>
      <c r="X9170" s="2">
        <f ca="1"/>
        <v>66.439771693270785</v>
      </c>
      <c r="AG9170" s="2">
        <f ca="1"/>
        <v>0.17439169912733221</v>
      </c>
      <c r="AH9170" s="2" t="str">
        <f ca="1"/>
        <v>OK</v>
      </c>
    </row>
    <row r="9171" spans="2:34" x14ac:dyDescent="0.2">
      <c r="B9171" s="2">
        <f ca="1"/>
        <v>0.49101572537855653</v>
      </c>
      <c r="O9171" s="2">
        <f ca="1"/>
        <v>0.26880482592442151</v>
      </c>
      <c r="X9171" s="2">
        <f ca="1"/>
        <v>71.238184905113485</v>
      </c>
      <c r="AG9171" s="2">
        <f ca="1"/>
        <v>0.95543938593188948</v>
      </c>
      <c r="AH9171" s="2" t="str">
        <f ca="1"/>
        <v>Bad</v>
      </c>
    </row>
    <row r="9172" spans="2:34" x14ac:dyDescent="0.2">
      <c r="B9172" s="2">
        <f ca="1"/>
        <v>0.755203401050069</v>
      </c>
      <c r="O9172" s="2">
        <f ca="1"/>
        <v>1.0911528756044107</v>
      </c>
      <c r="X9172" s="2">
        <f ca="1"/>
        <v>42.688964975824113</v>
      </c>
      <c r="AG9172" s="2">
        <f ca="1"/>
        <v>0.67573063207565376</v>
      </c>
      <c r="AH9172" s="2" t="str">
        <f ca="1"/>
        <v>Bad</v>
      </c>
    </row>
    <row r="9173" spans="2:34" x14ac:dyDescent="0.2">
      <c r="B9173" s="2">
        <f ca="1"/>
        <v>0.36488398258147137</v>
      </c>
      <c r="O9173" s="2">
        <f ca="1"/>
        <v>1.4445649000349801</v>
      </c>
      <c r="X9173" s="2">
        <f ca="1"/>
        <v>59.934035209406119</v>
      </c>
      <c r="AG9173" s="2">
        <f ca="1"/>
        <v>0.38361858382560743</v>
      </c>
      <c r="AH9173" s="2" t="str">
        <f ca="1"/>
        <v>OK</v>
      </c>
    </row>
    <row r="9174" spans="2:34" x14ac:dyDescent="0.2">
      <c r="B9174" s="2">
        <f ca="1"/>
        <v>0.95749761596420258</v>
      </c>
      <c r="O9174" s="2">
        <f ca="1"/>
        <v>-1.1107492775032444</v>
      </c>
      <c r="X9174" s="2">
        <f ca="1"/>
        <v>35.07389151504951</v>
      </c>
      <c r="AG9174" s="2">
        <f ca="1"/>
        <v>0.83302801411106753</v>
      </c>
      <c r="AH9174" s="2" t="str">
        <f ca="1"/>
        <v>Bad</v>
      </c>
    </row>
    <row r="9175" spans="2:34" x14ac:dyDescent="0.2">
      <c r="B9175" s="2">
        <f ca="1"/>
        <v>0.61462452693131153</v>
      </c>
      <c r="O9175" s="2">
        <f ca="1"/>
        <v>-1.275352472708897</v>
      </c>
      <c r="X9175" s="2">
        <f ca="1"/>
        <v>66.285052044875329</v>
      </c>
      <c r="AG9175" s="2">
        <f ca="1"/>
        <v>4.6919511324753582E-2</v>
      </c>
      <c r="AH9175" s="2" t="str">
        <f ca="1"/>
        <v>Good</v>
      </c>
    </row>
    <row r="9176" spans="2:34" x14ac:dyDescent="0.2">
      <c r="B9176" s="2">
        <f ca="1"/>
        <v>0.31401322611401072</v>
      </c>
      <c r="O9176" s="2">
        <f ca="1"/>
        <v>-1.9272790073582133</v>
      </c>
      <c r="X9176" s="2">
        <f ca="1"/>
        <v>61.455346480110393</v>
      </c>
      <c r="AG9176" s="2">
        <f ca="1"/>
        <v>0.45542416590261237</v>
      </c>
      <c r="AH9176" s="2" t="str">
        <f ca="1"/>
        <v>Bad</v>
      </c>
    </row>
    <row r="9177" spans="2:34" x14ac:dyDescent="0.2">
      <c r="B9177" s="2">
        <f ca="1"/>
        <v>0.2906416422119269</v>
      </c>
      <c r="O9177" s="2">
        <f ca="1"/>
        <v>-1.0041048218749657</v>
      </c>
      <c r="X9177" s="2">
        <f ca="1"/>
        <v>69.744247515533274</v>
      </c>
      <c r="AG9177" s="2">
        <f ca="1"/>
        <v>0.65922509027587139</v>
      </c>
      <c r="AH9177" s="2" t="str">
        <f ca="1"/>
        <v>Bad</v>
      </c>
    </row>
    <row r="9178" spans="2:34" x14ac:dyDescent="0.2">
      <c r="B9178" s="2">
        <f ca="1"/>
        <v>0.73690259975401773</v>
      </c>
      <c r="O9178" s="2">
        <f ca="1"/>
        <v>-0.15895559841801901</v>
      </c>
      <c r="X9178" s="2">
        <f ca="1"/>
        <v>22.96872785653472</v>
      </c>
      <c r="AG9178" s="2">
        <f ca="1"/>
        <v>0.64791874607172995</v>
      </c>
      <c r="AH9178" s="2" t="str">
        <f ca="1"/>
        <v>Bad</v>
      </c>
    </row>
    <row r="9179" spans="2:34" x14ac:dyDescent="0.2">
      <c r="B9179" s="2">
        <f ca="1"/>
        <v>0.35754715015398841</v>
      </c>
      <c r="O9179" s="2">
        <f ca="1"/>
        <v>-0.28363035207137788</v>
      </c>
      <c r="X9179" s="2">
        <f ca="1"/>
        <v>46.382214778148175</v>
      </c>
      <c r="AG9179" s="2">
        <f ca="1"/>
        <v>0.82558636628251469</v>
      </c>
      <c r="AH9179" s="2" t="str">
        <f ca="1"/>
        <v>Bad</v>
      </c>
    </row>
    <row r="9180" spans="2:34" x14ac:dyDescent="0.2">
      <c r="B9180" s="2">
        <f ca="1"/>
        <v>0.67166929491118599</v>
      </c>
      <c r="O9180" s="2">
        <f ca="1"/>
        <v>0.42904452757885631</v>
      </c>
      <c r="X9180" s="2">
        <f ca="1"/>
        <v>50.968618705660383</v>
      </c>
      <c r="AG9180" s="2">
        <f ca="1"/>
        <v>0.91849944580737075</v>
      </c>
      <c r="AH9180" s="2" t="str">
        <f ca="1"/>
        <v>Bad</v>
      </c>
    </row>
    <row r="9181" spans="2:34" x14ac:dyDescent="0.2">
      <c r="B9181" s="2">
        <f ca="1"/>
        <v>0.9742089799536644</v>
      </c>
      <c r="O9181" s="2">
        <f ca="1"/>
        <v>1.0428865767727458</v>
      </c>
      <c r="X9181" s="2">
        <f ca="1"/>
        <v>60.76847447937989</v>
      </c>
      <c r="AG9181" s="2">
        <f ca="1"/>
        <v>0.6688470512164717</v>
      </c>
      <c r="AH9181" s="2" t="str">
        <f ca="1"/>
        <v>Bad</v>
      </c>
    </row>
    <row r="9182" spans="2:34" x14ac:dyDescent="0.2">
      <c r="B9182" s="2">
        <f ca="1"/>
        <v>0.30366756976030662</v>
      </c>
      <c r="O9182" s="2">
        <f ca="1"/>
        <v>1.1683131793173949</v>
      </c>
      <c r="X9182" s="2">
        <f ca="1"/>
        <v>49.200255508906039</v>
      </c>
      <c r="AG9182" s="2">
        <f ca="1"/>
        <v>0.33874477998016328</v>
      </c>
      <c r="AH9182" s="2" t="str">
        <f ca="1"/>
        <v>OK</v>
      </c>
    </row>
    <row r="9183" spans="2:34" x14ac:dyDescent="0.2">
      <c r="B9183" s="2">
        <f ca="1"/>
        <v>0.37267126834885778</v>
      </c>
      <c r="O9183" s="2">
        <f ca="1"/>
        <v>-0.28527004780162368</v>
      </c>
      <c r="X9183" s="2">
        <f ca="1"/>
        <v>31.541660724627452</v>
      </c>
      <c r="AG9183" s="2">
        <f ca="1"/>
        <v>0.48330888776857428</v>
      </c>
      <c r="AH9183" s="2" t="str">
        <f ca="1"/>
        <v>Bad</v>
      </c>
    </row>
    <row r="9184" spans="2:34" x14ac:dyDescent="0.2">
      <c r="B9184" s="2">
        <f ca="1"/>
        <v>0.5529415291836568</v>
      </c>
      <c r="O9184" s="2">
        <f ca="1"/>
        <v>-1.0417014760660144</v>
      </c>
      <c r="X9184" s="2">
        <f ca="1"/>
        <v>70.770688071655002</v>
      </c>
      <c r="AG9184" s="2">
        <f ca="1"/>
        <v>0.22778115641661367</v>
      </c>
      <c r="AH9184" s="2" t="str">
        <f ca="1"/>
        <v>OK</v>
      </c>
    </row>
    <row r="9185" spans="2:34" x14ac:dyDescent="0.2">
      <c r="B9185" s="2">
        <f ca="1"/>
        <v>0.64378424459382089</v>
      </c>
      <c r="O9185" s="2">
        <f ca="1"/>
        <v>0.19536005793407227</v>
      </c>
      <c r="X9185" s="2">
        <f ca="1"/>
        <v>31.058058798046574</v>
      </c>
      <c r="AG9185" s="2">
        <f ca="1"/>
        <v>2.8667168061513371E-2</v>
      </c>
      <c r="AH9185" s="2" t="str">
        <f ca="1"/>
        <v>Good</v>
      </c>
    </row>
    <row r="9186" spans="2:34" x14ac:dyDescent="0.2">
      <c r="B9186" s="2">
        <f ca="1"/>
        <v>0.71006120383118509</v>
      </c>
      <c r="O9186" s="2">
        <f ca="1"/>
        <v>0.65379225976683286</v>
      </c>
      <c r="X9186" s="2">
        <f ca="1"/>
        <v>34.537649381255044</v>
      </c>
      <c r="AG9186" s="2">
        <f ca="1"/>
        <v>0.97293565925021763</v>
      </c>
      <c r="AH9186" s="2" t="str">
        <f ca="1"/>
        <v>Bad</v>
      </c>
    </row>
    <row r="9187" spans="2:34" x14ac:dyDescent="0.2">
      <c r="B9187" s="2">
        <f ca="1"/>
        <v>0.45306820676080917</v>
      </c>
      <c r="O9187" s="2">
        <f ca="1"/>
        <v>-0.44655941770853635</v>
      </c>
      <c r="X9187" s="2">
        <f ca="1"/>
        <v>62.03991964324166</v>
      </c>
      <c r="AG9187" s="2">
        <f ca="1"/>
        <v>0.66662107596544251</v>
      </c>
      <c r="AH9187" s="2" t="str">
        <f ca="1"/>
        <v>Bad</v>
      </c>
    </row>
    <row r="9188" spans="2:34" x14ac:dyDescent="0.2">
      <c r="B9188" s="2">
        <f ca="1"/>
        <v>0.77149207247339713</v>
      </c>
      <c r="O9188" s="2">
        <f ca="1"/>
        <v>1.1047916567665164</v>
      </c>
      <c r="X9188" s="2">
        <f ca="1"/>
        <v>36.681666103789638</v>
      </c>
      <c r="AG9188" s="2">
        <f ca="1"/>
        <v>0.1706696903778866</v>
      </c>
      <c r="AH9188" s="2" t="str">
        <f ca="1"/>
        <v>OK</v>
      </c>
    </row>
    <row r="9189" spans="2:34" x14ac:dyDescent="0.2">
      <c r="B9189" s="2">
        <f ca="1"/>
        <v>0.37246471961594696</v>
      </c>
      <c r="O9189" s="2">
        <f ca="1"/>
        <v>2.4118972304884618</v>
      </c>
      <c r="X9189" s="2">
        <f ca="1"/>
        <v>46.856845743432586</v>
      </c>
      <c r="AG9189" s="2">
        <f ca="1"/>
        <v>0.49953184127946781</v>
      </c>
      <c r="AH9189" s="2" t="str">
        <f ca="1"/>
        <v>Bad</v>
      </c>
    </row>
    <row r="9190" spans="2:34" x14ac:dyDescent="0.2">
      <c r="B9190" s="2">
        <f ca="1"/>
        <v>0.16261145047508552</v>
      </c>
      <c r="O9190" s="2">
        <f ca="1"/>
        <v>0.25824670985286668</v>
      </c>
      <c r="X9190" s="2">
        <f ca="1"/>
        <v>61.51576302391053</v>
      </c>
      <c r="AG9190" s="2">
        <f ca="1"/>
        <v>0.7443072442119929</v>
      </c>
      <c r="AH9190" s="2" t="str">
        <f ca="1"/>
        <v>Bad</v>
      </c>
    </row>
    <row r="9191" spans="2:34" x14ac:dyDescent="0.2">
      <c r="B9191" s="2">
        <f ca="1"/>
        <v>0.40735124435653325</v>
      </c>
      <c r="O9191" s="2">
        <f ca="1"/>
        <v>-1.1573391939628923</v>
      </c>
      <c r="X9191" s="2">
        <f ca="1"/>
        <v>57.67160691518913</v>
      </c>
      <c r="AG9191" s="2">
        <f ca="1"/>
        <v>0.81898000723695219</v>
      </c>
      <c r="AH9191" s="2" t="str">
        <f ca="1"/>
        <v>Bad</v>
      </c>
    </row>
    <row r="9192" spans="2:34" x14ac:dyDescent="0.2">
      <c r="B9192" s="2">
        <f ca="1"/>
        <v>1.221278879863319E-2</v>
      </c>
      <c r="O9192" s="2">
        <f ca="1"/>
        <v>0.21641839420984729</v>
      </c>
      <c r="X9192" s="2">
        <f ca="1"/>
        <v>70.607624953826885</v>
      </c>
      <c r="AG9192" s="2">
        <f ca="1"/>
        <v>6.2774032551967229E-2</v>
      </c>
      <c r="AH9192" s="2" t="str">
        <f ca="1"/>
        <v>OK</v>
      </c>
    </row>
    <row r="9193" spans="2:34" x14ac:dyDescent="0.2">
      <c r="B9193" s="2">
        <f ca="1"/>
        <v>0.71422582264530154</v>
      </c>
      <c r="O9193" s="2">
        <f ca="1"/>
        <v>-0.61372452459865801</v>
      </c>
      <c r="X9193" s="2">
        <f ca="1"/>
        <v>47.508737329053631</v>
      </c>
      <c r="AG9193" s="2">
        <f ca="1"/>
        <v>0.30736036360541741</v>
      </c>
      <c r="AH9193" s="2" t="str">
        <f ca="1"/>
        <v>OK</v>
      </c>
    </row>
    <row r="9194" spans="2:34" x14ac:dyDescent="0.2">
      <c r="B9194" s="2">
        <f ca="1"/>
        <v>0.39946113956075879</v>
      </c>
      <c r="O9194" s="2">
        <f ca="1"/>
        <v>1.1398553206305022</v>
      </c>
      <c r="X9194" s="2">
        <f ca="1"/>
        <v>68.653204991131702</v>
      </c>
      <c r="AG9194" s="2">
        <f ca="1"/>
        <v>0.46067982948371156</v>
      </c>
      <c r="AH9194" s="2" t="str">
        <f ca="1"/>
        <v>Bad</v>
      </c>
    </row>
    <row r="9195" spans="2:34" x14ac:dyDescent="0.2">
      <c r="B9195" s="2">
        <f ca="1"/>
        <v>0.71853203853543168</v>
      </c>
      <c r="O9195" s="2">
        <f ca="1"/>
        <v>7.8169269553820309E-2</v>
      </c>
      <c r="X9195" s="2">
        <f ca="1"/>
        <v>37.592991157424692</v>
      </c>
      <c r="AG9195" s="2">
        <f ca="1"/>
        <v>0.79447640795454766</v>
      </c>
      <c r="AH9195" s="2" t="str">
        <f ca="1"/>
        <v>Bad</v>
      </c>
    </row>
    <row r="9196" spans="2:34" x14ac:dyDescent="0.2">
      <c r="B9196" s="2">
        <f ca="1"/>
        <v>0.10420145706424444</v>
      </c>
      <c r="O9196" s="2">
        <f ca="1"/>
        <v>-0.90936265597228527</v>
      </c>
      <c r="X9196" s="2">
        <f ca="1"/>
        <v>49.478257479124878</v>
      </c>
      <c r="AG9196" s="2">
        <f ca="1"/>
        <v>0.76951108956344472</v>
      </c>
      <c r="AH9196" s="2" t="str">
        <f ca="1"/>
        <v>Bad</v>
      </c>
    </row>
    <row r="9197" spans="2:34" x14ac:dyDescent="0.2">
      <c r="B9197" s="2">
        <f ca="1"/>
        <v>0.42094945800661421</v>
      </c>
      <c r="O9197" s="2">
        <f ca="1"/>
        <v>-1.9009963493556803</v>
      </c>
      <c r="X9197" s="2">
        <f ca="1"/>
        <v>25.09199644624465</v>
      </c>
      <c r="AG9197" s="2">
        <f ca="1"/>
        <v>0.3648391998391618</v>
      </c>
      <c r="AH9197" s="2" t="str">
        <f ca="1"/>
        <v>OK</v>
      </c>
    </row>
    <row r="9198" spans="2:34" x14ac:dyDescent="0.2">
      <c r="B9198" s="2">
        <f ca="1"/>
        <v>0.1126853016901066</v>
      </c>
      <c r="O9198" s="2">
        <f ca="1"/>
        <v>-0.29896037959456212</v>
      </c>
      <c r="X9198" s="2">
        <f ca="1"/>
        <v>41.690085498063219</v>
      </c>
      <c r="AG9198" s="2">
        <f ca="1"/>
        <v>0.2335187536590857</v>
      </c>
      <c r="AH9198" s="2" t="str">
        <f ca="1"/>
        <v>OK</v>
      </c>
    </row>
    <row r="9199" spans="2:34" x14ac:dyDescent="0.2">
      <c r="B9199" s="2">
        <f ca="1"/>
        <v>0.49565031656507474</v>
      </c>
      <c r="O9199" s="2">
        <f ca="1"/>
        <v>0.60160870918498033</v>
      </c>
      <c r="X9199" s="2">
        <f ca="1"/>
        <v>45.562515487256775</v>
      </c>
      <c r="AG9199" s="2">
        <f ca="1"/>
        <v>0.8415859415369058</v>
      </c>
      <c r="AH9199" s="2" t="str">
        <f ca="1"/>
        <v>Bad</v>
      </c>
    </row>
    <row r="9200" spans="2:34" x14ac:dyDescent="0.2">
      <c r="B9200" s="2">
        <f ca="1"/>
        <v>0.25559426658984341</v>
      </c>
      <c r="O9200" s="2">
        <f ca="1"/>
        <v>-1.3529511428404257</v>
      </c>
      <c r="X9200" s="2">
        <f ca="1"/>
        <v>47.885066297235667</v>
      </c>
      <c r="AG9200" s="2">
        <f ca="1"/>
        <v>0.95660729397253919</v>
      </c>
      <c r="AH9200" s="2" t="str">
        <f ca="1"/>
        <v>Bad</v>
      </c>
    </row>
    <row r="9201" spans="2:34" x14ac:dyDescent="0.2">
      <c r="B9201" s="2">
        <f ca="1"/>
        <v>0.9053017582264955</v>
      </c>
      <c r="O9201" s="2">
        <f ca="1"/>
        <v>0.38577384405950271</v>
      </c>
      <c r="X9201" s="2">
        <f ca="1"/>
        <v>24.018859393483019</v>
      </c>
      <c r="AG9201" s="2">
        <f ca="1"/>
        <v>0.50941876877439762</v>
      </c>
      <c r="AH9201" s="2" t="str">
        <f ca="1"/>
        <v>Bad</v>
      </c>
    </row>
    <row r="9202" spans="2:34" x14ac:dyDescent="0.2">
      <c r="B9202" s="2">
        <f ca="1"/>
        <v>0.28822656112545908</v>
      </c>
      <c r="O9202" s="2">
        <f ca="1"/>
        <v>0.53182894821774096</v>
      </c>
      <c r="X9202" s="2">
        <f ca="1"/>
        <v>35.72221163916381</v>
      </c>
      <c r="AG9202" s="2">
        <f ca="1"/>
        <v>0.66486310925860748</v>
      </c>
      <c r="AH9202" s="2" t="str">
        <f ca="1"/>
        <v>Bad</v>
      </c>
    </row>
    <row r="9203" spans="2:34" x14ac:dyDescent="0.2">
      <c r="B9203" s="2">
        <f ca="1"/>
        <v>0.86504662985175629</v>
      </c>
      <c r="O9203" s="2">
        <f ca="1"/>
        <v>-0.59435437407125957</v>
      </c>
      <c r="X9203" s="2">
        <f ca="1"/>
        <v>57.484549556424938</v>
      </c>
      <c r="AG9203" s="2">
        <f ca="1"/>
        <v>0.2583994626803241</v>
      </c>
      <c r="AH9203" s="2" t="str">
        <f ca="1"/>
        <v>OK</v>
      </c>
    </row>
    <row r="9204" spans="2:34" x14ac:dyDescent="0.2">
      <c r="B9204" s="2">
        <f ca="1"/>
        <v>0.52518010993555397</v>
      </c>
      <c r="O9204" s="2">
        <f ca="1"/>
        <v>-0.30793156387769122</v>
      </c>
      <c r="X9204" s="2">
        <f ca="1"/>
        <v>45.40961298105421</v>
      </c>
      <c r="AG9204" s="2">
        <f ca="1"/>
        <v>0.87367140480483618</v>
      </c>
      <c r="AH9204" s="2" t="str">
        <f ca="1"/>
        <v>Bad</v>
      </c>
    </row>
    <row r="9205" spans="2:34" x14ac:dyDescent="0.2">
      <c r="B9205" s="2">
        <f ca="1"/>
        <v>7.7789997761202656E-2</v>
      </c>
      <c r="O9205" s="2">
        <f ca="1"/>
        <v>-0.94045338901891862</v>
      </c>
      <c r="X9205" s="2">
        <f ca="1"/>
        <v>38.10947821761993</v>
      </c>
      <c r="AG9205" s="2">
        <f ca="1"/>
        <v>0.25696867151146452</v>
      </c>
      <c r="AH9205" s="2" t="str">
        <f ca="1"/>
        <v>OK</v>
      </c>
    </row>
    <row r="9206" spans="2:34" x14ac:dyDescent="0.2">
      <c r="B9206" s="2">
        <f ca="1"/>
        <v>9.5983385188092019E-3</v>
      </c>
      <c r="O9206" s="2">
        <f ca="1"/>
        <v>-1.3245671644995225</v>
      </c>
      <c r="X9206" s="2">
        <f ca="1"/>
        <v>53.177654188215556</v>
      </c>
      <c r="AG9206" s="2">
        <f ca="1"/>
        <v>0.19235738219561282</v>
      </c>
      <c r="AH9206" s="2" t="str">
        <f ca="1"/>
        <v>OK</v>
      </c>
    </row>
    <row r="9207" spans="2:34" x14ac:dyDescent="0.2">
      <c r="B9207" s="2">
        <f ca="1"/>
        <v>0.5830893059246347</v>
      </c>
      <c r="O9207" s="2">
        <f ca="1"/>
        <v>-0.24720407201513822</v>
      </c>
      <c r="X9207" s="2">
        <f ca="1"/>
        <v>81.364118261705016</v>
      </c>
      <c r="AG9207" s="2">
        <f ca="1"/>
        <v>0.23053715652355455</v>
      </c>
      <c r="AH9207" s="2" t="str">
        <f ca="1"/>
        <v>OK</v>
      </c>
    </row>
    <row r="9208" spans="2:34" x14ac:dyDescent="0.2">
      <c r="B9208" s="2">
        <f ca="1"/>
        <v>0.56097803166835458</v>
      </c>
      <c r="O9208" s="2">
        <f ca="1"/>
        <v>-1.1213990712382371</v>
      </c>
      <c r="X9208" s="2">
        <f ca="1"/>
        <v>54.579956780515801</v>
      </c>
      <c r="AG9208" s="2">
        <f ca="1"/>
        <v>0.47466010672989145</v>
      </c>
      <c r="AH9208" s="2" t="str">
        <f ca="1"/>
        <v>Bad</v>
      </c>
    </row>
    <row r="9209" spans="2:34" x14ac:dyDescent="0.2">
      <c r="B9209" s="2">
        <f ca="1"/>
        <v>0.80523956990840007</v>
      </c>
      <c r="O9209" s="2">
        <f ca="1"/>
        <v>5.9713680251696086E-2</v>
      </c>
      <c r="X9209" s="2">
        <f ca="1"/>
        <v>30.688015449577541</v>
      </c>
      <c r="AG9209" s="2">
        <f ca="1"/>
        <v>0.3885448387062993</v>
      </c>
      <c r="AH9209" s="2" t="str">
        <f ca="1"/>
        <v>OK</v>
      </c>
    </row>
    <row r="9210" spans="2:34" x14ac:dyDescent="0.2">
      <c r="B9210" s="2">
        <f ca="1"/>
        <v>0.31659638007617863</v>
      </c>
      <c r="O9210" s="2">
        <f ca="1"/>
        <v>0.99321039461238803</v>
      </c>
      <c r="X9210" s="2">
        <f ca="1"/>
        <v>39.131928088201946</v>
      </c>
      <c r="AG9210" s="2">
        <f ca="1"/>
        <v>0.62177247638130151</v>
      </c>
      <c r="AH9210" s="2" t="str">
        <f ca="1"/>
        <v>Bad</v>
      </c>
    </row>
    <row r="9211" spans="2:34" x14ac:dyDescent="0.2">
      <c r="B9211" s="2">
        <f ca="1"/>
        <v>0.41740097932752174</v>
      </c>
      <c r="O9211" s="2">
        <f ca="1"/>
        <v>5.2026880448315216E-2</v>
      </c>
      <c r="X9211" s="2">
        <f ca="1"/>
        <v>41.731438619496728</v>
      </c>
      <c r="AG9211" s="2">
        <f ca="1"/>
        <v>0.48843819118295118</v>
      </c>
      <c r="AH9211" s="2" t="str">
        <f ca="1"/>
        <v>Bad</v>
      </c>
    </row>
    <row r="9212" spans="2:34" x14ac:dyDescent="0.2">
      <c r="B9212" s="2">
        <f ca="1"/>
        <v>0.3077778770231272</v>
      </c>
      <c r="O9212" s="2">
        <f ca="1"/>
        <v>0.54161846069414865</v>
      </c>
      <c r="X9212" s="2">
        <f ca="1"/>
        <v>57.959295586468073</v>
      </c>
      <c r="AG9212" s="2">
        <f ca="1"/>
        <v>0.2612745189010599</v>
      </c>
      <c r="AH9212" s="2" t="str">
        <f ca="1"/>
        <v>OK</v>
      </c>
    </row>
    <row r="9213" spans="2:34" x14ac:dyDescent="0.2">
      <c r="B9213" s="2">
        <f ca="1"/>
        <v>0.29551811473358613</v>
      </c>
      <c r="O9213" s="2">
        <f ca="1"/>
        <v>0.82813291157835622</v>
      </c>
      <c r="X9213" s="2">
        <f ca="1"/>
        <v>33.051013410086568</v>
      </c>
      <c r="AG9213" s="2">
        <f ca="1"/>
        <v>0.96185788260224991</v>
      </c>
      <c r="AH9213" s="2" t="str">
        <f ca="1"/>
        <v>Bad</v>
      </c>
    </row>
    <row r="9214" spans="2:34" x14ac:dyDescent="0.2">
      <c r="B9214" s="2">
        <f ca="1"/>
        <v>0.13934618579434854</v>
      </c>
      <c r="O9214" s="2">
        <f ca="1"/>
        <v>1.5310861451837425</v>
      </c>
      <c r="X9214" s="2">
        <f ca="1"/>
        <v>49.449373869671255</v>
      </c>
      <c r="AG9214" s="2">
        <f ca="1"/>
        <v>0.58187415608102877</v>
      </c>
      <c r="AH9214" s="2" t="str">
        <f ca="1"/>
        <v>Bad</v>
      </c>
    </row>
    <row r="9215" spans="2:34" x14ac:dyDescent="0.2">
      <c r="B9215" s="2">
        <f ca="1"/>
        <v>0.8875077833538294</v>
      </c>
      <c r="O9215" s="2">
        <f ca="1"/>
        <v>-0.21760962120971664</v>
      </c>
      <c r="X9215" s="2">
        <f ca="1"/>
        <v>38.164457994363666</v>
      </c>
      <c r="AG9215" s="2">
        <f ca="1"/>
        <v>0.66497944664406461</v>
      </c>
      <c r="AH9215" s="2" t="str">
        <f ca="1"/>
        <v>Bad</v>
      </c>
    </row>
    <row r="9216" spans="2:34" x14ac:dyDescent="0.2">
      <c r="B9216" s="2">
        <f ca="1"/>
        <v>0.50498398909135211</v>
      </c>
      <c r="O9216" s="2">
        <f ca="1"/>
        <v>-1.1608460874137634</v>
      </c>
      <c r="X9216" s="2">
        <f ca="1"/>
        <v>63.008243274087945</v>
      </c>
      <c r="AG9216" s="2">
        <f ca="1"/>
        <v>6.8674450816934129E-2</v>
      </c>
      <c r="AH9216" s="2" t="str">
        <f ca="1"/>
        <v>OK</v>
      </c>
    </row>
    <row r="9217" spans="2:34" x14ac:dyDescent="0.2">
      <c r="B9217" s="2">
        <f ca="1"/>
        <v>0.90269628869393914</v>
      </c>
      <c r="O9217" s="2">
        <f ca="1"/>
        <v>1.0586022011297314</v>
      </c>
      <c r="X9217" s="2">
        <f ca="1"/>
        <v>64.31941297863338</v>
      </c>
      <c r="AG9217" s="2">
        <f ca="1"/>
        <v>0.87671776913605415</v>
      </c>
      <c r="AH9217" s="2" t="str">
        <f ca="1"/>
        <v>Bad</v>
      </c>
    </row>
    <row r="9218" spans="2:34" x14ac:dyDescent="0.2">
      <c r="B9218" s="2">
        <f ca="1"/>
        <v>0.52359646288066464</v>
      </c>
      <c r="O9218" s="2">
        <f ca="1"/>
        <v>-0.18681379528816508</v>
      </c>
      <c r="X9218" s="2">
        <f ca="1"/>
        <v>42.311588570577499</v>
      </c>
      <c r="AG9218" s="2">
        <f ca="1"/>
        <v>0.45722614338000001</v>
      </c>
      <c r="AH9218" s="2" t="str">
        <f ca="1"/>
        <v>Bad</v>
      </c>
    </row>
    <row r="9219" spans="2:34" x14ac:dyDescent="0.2">
      <c r="B9219" s="2">
        <f ca="1"/>
        <v>0.54409953979342207</v>
      </c>
      <c r="O9219" s="2">
        <f ca="1"/>
        <v>-1.9165421101149303</v>
      </c>
      <c r="X9219" s="2">
        <f ca="1"/>
        <v>46.952705313207915</v>
      </c>
      <c r="AG9219" s="2">
        <f ca="1"/>
        <v>0.6415362359675354</v>
      </c>
      <c r="AH9219" s="2" t="str">
        <f ca="1"/>
        <v>Bad</v>
      </c>
    </row>
    <row r="9220" spans="2:34" x14ac:dyDescent="0.2">
      <c r="B9220" s="2">
        <f ca="1"/>
        <v>0.78297361599200688</v>
      </c>
      <c r="O9220" s="2">
        <f ca="1"/>
        <v>0.36166623575666068</v>
      </c>
      <c r="X9220" s="2">
        <f ca="1"/>
        <v>58.037924258834657</v>
      </c>
      <c r="AG9220" s="2">
        <f ca="1"/>
        <v>0.27047628974296645</v>
      </c>
      <c r="AH9220" s="2" t="str">
        <f ca="1"/>
        <v>OK</v>
      </c>
    </row>
    <row r="9221" spans="2:34" x14ac:dyDescent="0.2">
      <c r="B9221" s="2">
        <f ca="1"/>
        <v>0.40825710792092162</v>
      </c>
      <c r="O9221" s="2">
        <f ca="1"/>
        <v>0.38355881397255437</v>
      </c>
      <c r="X9221" s="2">
        <f ca="1"/>
        <v>29.499105263973892</v>
      </c>
      <c r="AG9221" s="2">
        <f ca="1"/>
        <v>0.47517601516527286</v>
      </c>
      <c r="AH9221" s="2" t="str">
        <f ca="1"/>
        <v>Bad</v>
      </c>
    </row>
    <row r="9222" spans="2:34" x14ac:dyDescent="0.2">
      <c r="B9222" s="2">
        <f ca="1"/>
        <v>0.14485225534099944</v>
      </c>
      <c r="O9222" s="2">
        <f ca="1"/>
        <v>-0.77240319493876275</v>
      </c>
      <c r="X9222" s="2">
        <f ca="1"/>
        <v>34.847545147307443</v>
      </c>
      <c r="AG9222" s="2">
        <f ca="1"/>
        <v>0.48845836714477575</v>
      </c>
      <c r="AH9222" s="2" t="str">
        <f ca="1"/>
        <v>Bad</v>
      </c>
    </row>
    <row r="9223" spans="2:34" x14ac:dyDescent="0.2">
      <c r="B9223" s="2">
        <f ca="1"/>
        <v>0.5455563325228181</v>
      </c>
      <c r="O9223" s="2">
        <f ca="1"/>
        <v>1.1774572469798155</v>
      </c>
      <c r="X9223" s="2">
        <f ca="1"/>
        <v>65.340478462858542</v>
      </c>
      <c r="AG9223" s="2">
        <f ca="1"/>
        <v>0.59129421435332308</v>
      </c>
      <c r="AH9223" s="2" t="str">
        <f ca="1"/>
        <v>Bad</v>
      </c>
    </row>
    <row r="9224" spans="2:34" x14ac:dyDescent="0.2">
      <c r="B9224" s="2">
        <f ca="1"/>
        <v>0.68706926396956658</v>
      </c>
      <c r="O9224" s="2">
        <f ca="1"/>
        <v>-0.23007108366655288</v>
      </c>
      <c r="X9224" s="2">
        <f ca="1"/>
        <v>38.500401874129359</v>
      </c>
      <c r="AG9224" s="2">
        <f ca="1"/>
        <v>0.95946851762318452</v>
      </c>
      <c r="AH9224" s="2" t="str">
        <f ca="1"/>
        <v>Bad</v>
      </c>
    </row>
    <row r="9225" spans="2:34" x14ac:dyDescent="0.2">
      <c r="B9225" s="2">
        <f ca="1"/>
        <v>0.60484392688951205</v>
      </c>
      <c r="O9225" s="2">
        <f ca="1"/>
        <v>0.16387178099209371</v>
      </c>
      <c r="X9225" s="2">
        <f ca="1"/>
        <v>66.519643770469401</v>
      </c>
      <c r="AG9225" s="2">
        <f ca="1"/>
        <v>0.40433870990658471</v>
      </c>
      <c r="AH9225" s="2" t="str">
        <f ca="1"/>
        <v>Bad</v>
      </c>
    </row>
    <row r="9226" spans="2:34" x14ac:dyDescent="0.2">
      <c r="B9226" s="2">
        <f ca="1"/>
        <v>0.24700572455408065</v>
      </c>
      <c r="O9226" s="2">
        <f ca="1"/>
        <v>-1.0605554820364409</v>
      </c>
      <c r="X9226" s="2">
        <f ca="1"/>
        <v>71.672892778361458</v>
      </c>
      <c r="AG9226" s="2">
        <f ca="1"/>
        <v>0.18868455173471643</v>
      </c>
      <c r="AH9226" s="2" t="str">
        <f ca="1"/>
        <v>OK</v>
      </c>
    </row>
    <row r="9227" spans="2:34" x14ac:dyDescent="0.2">
      <c r="B9227" s="2">
        <f ca="1"/>
        <v>0.74751797181510371</v>
      </c>
      <c r="O9227" s="2">
        <f ca="1"/>
        <v>-0.27045573131786838</v>
      </c>
      <c r="X9227" s="2">
        <f ca="1"/>
        <v>49.707144291004155</v>
      </c>
      <c r="AG9227" s="2">
        <f ca="1"/>
        <v>0.24456860630115052</v>
      </c>
      <c r="AH9227" s="2" t="str">
        <f ca="1"/>
        <v>OK</v>
      </c>
    </row>
    <row r="9228" spans="2:34" x14ac:dyDescent="0.2">
      <c r="B9228" s="2">
        <f ca="1"/>
        <v>0.67826525709190766</v>
      </c>
      <c r="O9228" s="2">
        <f ca="1"/>
        <v>-6.5205978288590122E-2</v>
      </c>
      <c r="X9228" s="2">
        <f ca="1"/>
        <v>56.528717095720296</v>
      </c>
      <c r="AG9228" s="2">
        <f ca="1"/>
        <v>0.7613830118992746</v>
      </c>
      <c r="AH9228" s="2" t="str">
        <f ca="1"/>
        <v>Bad</v>
      </c>
    </row>
    <row r="9229" spans="2:34" x14ac:dyDescent="0.2">
      <c r="B9229" s="2">
        <f ca="1"/>
        <v>0.83579525341809391</v>
      </c>
      <c r="O9229" s="2">
        <f ca="1"/>
        <v>8.200426979081573E-3</v>
      </c>
      <c r="X9229" s="2">
        <f ca="1"/>
        <v>67.630023778366024</v>
      </c>
      <c r="AG9229" s="2">
        <f ca="1"/>
        <v>1.4876282461415258E-2</v>
      </c>
      <c r="AH9229" s="2" t="str">
        <f ca="1"/>
        <v>Good</v>
      </c>
    </row>
    <row r="9230" spans="2:34" x14ac:dyDescent="0.2">
      <c r="B9230" s="2">
        <f ca="1"/>
        <v>0.39111895952291453</v>
      </c>
      <c r="O9230" s="2">
        <f ca="1"/>
        <v>-0.57338300477390514</v>
      </c>
      <c r="X9230" s="2">
        <f ca="1"/>
        <v>46.328013452902056</v>
      </c>
      <c r="AG9230" s="2">
        <f ca="1"/>
        <v>0.88589482635109329</v>
      </c>
      <c r="AH9230" s="2" t="str">
        <f ca="1"/>
        <v>Bad</v>
      </c>
    </row>
    <row r="9231" spans="2:34" x14ac:dyDescent="0.2">
      <c r="B9231" s="2">
        <f ca="1"/>
        <v>0.78004531163938196</v>
      </c>
      <c r="O9231" s="2">
        <f ca="1"/>
        <v>-0.50325914455538301</v>
      </c>
      <c r="X9231" s="2">
        <f ca="1"/>
        <v>55.738109594848808</v>
      </c>
      <c r="AG9231" s="2">
        <f ca="1"/>
        <v>0.41211314095768259</v>
      </c>
      <c r="AH9231" s="2" t="str">
        <f ca="1"/>
        <v>Bad</v>
      </c>
    </row>
    <row r="9232" spans="2:34" x14ac:dyDescent="0.2">
      <c r="B9232" s="2">
        <f ca="1"/>
        <v>4.3798654212959809E-2</v>
      </c>
      <c r="O9232" s="2">
        <f ca="1"/>
        <v>-1.1066161818129296</v>
      </c>
      <c r="X9232" s="2">
        <f ca="1"/>
        <v>19.821119062884321</v>
      </c>
      <c r="AG9232" s="2">
        <f ca="1"/>
        <v>0.84962554605724305</v>
      </c>
      <c r="AH9232" s="2" t="str">
        <f ca="1"/>
        <v>Bad</v>
      </c>
    </row>
    <row r="9233" spans="2:34" x14ac:dyDescent="0.2">
      <c r="B9233" s="2">
        <f ca="1"/>
        <v>0.31267061037866073</v>
      </c>
      <c r="O9233" s="2">
        <f ca="1"/>
        <v>-1.3837629077486104</v>
      </c>
      <c r="X9233" s="2">
        <f ca="1"/>
        <v>47.462091433139278</v>
      </c>
      <c r="AG9233" s="2">
        <f ca="1"/>
        <v>0.46465613073570267</v>
      </c>
      <c r="AH9233" s="2" t="str">
        <f ca="1"/>
        <v>Bad</v>
      </c>
    </row>
    <row r="9234" spans="2:34" x14ac:dyDescent="0.2">
      <c r="B9234" s="2">
        <f ca="1"/>
        <v>0.39465130243320257</v>
      </c>
      <c r="O9234" s="2">
        <f ca="1"/>
        <v>0.20571689982434735</v>
      </c>
      <c r="X9234" s="2">
        <f ca="1"/>
        <v>40.558627638300877</v>
      </c>
      <c r="AG9234" s="2">
        <f ca="1"/>
        <v>7.7635291316005883E-2</v>
      </c>
      <c r="AH9234" s="2" t="str">
        <f ca="1"/>
        <v>OK</v>
      </c>
    </row>
    <row r="9235" spans="2:34" x14ac:dyDescent="0.2">
      <c r="B9235" s="2">
        <f ca="1"/>
        <v>0.99812037542065357</v>
      </c>
      <c r="O9235" s="2">
        <f ca="1"/>
        <v>-1.1065811507154963</v>
      </c>
      <c r="X9235" s="2">
        <f ca="1"/>
        <v>37.215772582211805</v>
      </c>
      <c r="AG9235" s="2">
        <f ca="1"/>
        <v>2.4375607822880951E-2</v>
      </c>
      <c r="AH9235" s="2" t="str">
        <f ca="1"/>
        <v>Good</v>
      </c>
    </row>
    <row r="9236" spans="2:34" x14ac:dyDescent="0.2">
      <c r="B9236" s="2">
        <f ca="1"/>
        <v>0.8382046644270047</v>
      </c>
      <c r="O9236" s="2">
        <f ca="1"/>
        <v>0.15596640483585877</v>
      </c>
      <c r="X9236" s="2">
        <f ca="1"/>
        <v>40.604398812461604</v>
      </c>
      <c r="AG9236" s="2">
        <f ca="1"/>
        <v>0.1904950769412137</v>
      </c>
      <c r="AH9236" s="2" t="str">
        <f ca="1"/>
        <v>OK</v>
      </c>
    </row>
    <row r="9237" spans="2:34" x14ac:dyDescent="0.2">
      <c r="B9237" s="2">
        <f ca="1"/>
        <v>0.47334103066552879</v>
      </c>
      <c r="O9237" s="2">
        <f ca="1"/>
        <v>6.3292746933486771E-2</v>
      </c>
      <c r="X9237" s="2">
        <f ca="1"/>
        <v>54.411867204256254</v>
      </c>
      <c r="AG9237" s="2">
        <f ca="1"/>
        <v>0.22874585966056005</v>
      </c>
      <c r="AH9237" s="2" t="str">
        <f ca="1"/>
        <v>OK</v>
      </c>
    </row>
    <row r="9238" spans="2:34" x14ac:dyDescent="0.2">
      <c r="B9238" s="2">
        <f ca="1"/>
        <v>0.88098968624098783</v>
      </c>
      <c r="O9238" s="2">
        <f ca="1"/>
        <v>-0.51357910149378194</v>
      </c>
      <c r="X9238" s="2">
        <f ca="1"/>
        <v>60.050473806874308</v>
      </c>
      <c r="AG9238" s="2">
        <f ca="1"/>
        <v>0.38741414989661749</v>
      </c>
      <c r="AH9238" s="2" t="str">
        <f ca="1"/>
        <v>OK</v>
      </c>
    </row>
    <row r="9239" spans="2:34" x14ac:dyDescent="0.2">
      <c r="B9239" s="2">
        <f ca="1"/>
        <v>0.89194999694779398</v>
      </c>
      <c r="O9239" s="2">
        <f ca="1"/>
        <v>-1.5361684254931156</v>
      </c>
      <c r="X9239" s="2">
        <f ca="1"/>
        <v>47.939948245072905</v>
      </c>
      <c r="AG9239" s="2">
        <f ca="1"/>
        <v>0.27299478881179451</v>
      </c>
      <c r="AH9239" s="2" t="str">
        <f ca="1"/>
        <v>OK</v>
      </c>
    </row>
    <row r="9240" spans="2:34" x14ac:dyDescent="0.2">
      <c r="B9240" s="2">
        <f ca="1"/>
        <v>0.3382073836664643</v>
      </c>
      <c r="O9240" s="2">
        <f ca="1"/>
        <v>-0.72147761539595057</v>
      </c>
      <c r="X9240" s="2">
        <f ca="1"/>
        <v>38.830870111316798</v>
      </c>
      <c r="AG9240" s="2">
        <f ca="1"/>
        <v>0.53834570093116629</v>
      </c>
      <c r="AH9240" s="2" t="str">
        <f ca="1"/>
        <v>Bad</v>
      </c>
    </row>
    <row r="9241" spans="2:34" x14ac:dyDescent="0.2">
      <c r="B9241" s="2">
        <f ca="1"/>
        <v>0.86561657557016636</v>
      </c>
      <c r="O9241" s="2">
        <f ca="1"/>
        <v>-0.28941714881108616</v>
      </c>
      <c r="X9241" s="2">
        <f ca="1"/>
        <v>34.738519207266322</v>
      </c>
      <c r="AG9241" s="2">
        <f ca="1"/>
        <v>0.1072354842836194</v>
      </c>
      <c r="AH9241" s="2" t="str">
        <f ca="1"/>
        <v>OK</v>
      </c>
    </row>
    <row r="9242" spans="2:34" x14ac:dyDescent="0.2">
      <c r="B9242" s="2">
        <f ca="1"/>
        <v>0.98927311363103465</v>
      </c>
      <c r="O9242" s="2">
        <f ca="1"/>
        <v>0.58970856643592329</v>
      </c>
      <c r="X9242" s="2">
        <f ca="1"/>
        <v>68.777137735035353</v>
      </c>
      <c r="AG9242" s="2">
        <f ca="1"/>
        <v>0.89508050205295842</v>
      </c>
      <c r="AH9242" s="2" t="str">
        <f ca="1"/>
        <v>Bad</v>
      </c>
    </row>
    <row r="9243" spans="2:34" x14ac:dyDescent="0.2">
      <c r="B9243" s="2">
        <f ca="1"/>
        <v>0.99970108488032494</v>
      </c>
      <c r="O9243" s="2">
        <f ca="1"/>
        <v>0.74971007987665461</v>
      </c>
      <c r="X9243" s="2">
        <f ca="1"/>
        <v>27.509998924200247</v>
      </c>
      <c r="AG9243" s="2">
        <f ca="1"/>
        <v>0.90844492893480977</v>
      </c>
      <c r="AH9243" s="2" t="str">
        <f ca="1"/>
        <v>Bad</v>
      </c>
    </row>
    <row r="9244" spans="2:34" x14ac:dyDescent="0.2">
      <c r="B9244" s="2">
        <f ca="1"/>
        <v>0.9224664295191638</v>
      </c>
      <c r="O9244" s="2">
        <f ca="1"/>
        <v>0.20119409304193964</v>
      </c>
      <c r="X9244" s="2">
        <f ca="1"/>
        <v>40.966402154416947</v>
      </c>
      <c r="AG9244" s="2">
        <f ca="1"/>
        <v>2.3181180408922586E-2</v>
      </c>
      <c r="AH9244" s="2" t="str">
        <f ca="1"/>
        <v>Good</v>
      </c>
    </row>
    <row r="9245" spans="2:34" x14ac:dyDescent="0.2">
      <c r="B9245" s="2">
        <f ca="1"/>
        <v>0.18867291366696048</v>
      </c>
      <c r="O9245" s="2">
        <f ca="1"/>
        <v>1.2281972160387087</v>
      </c>
      <c r="X9245" s="2">
        <f ca="1"/>
        <v>79.389218268571994</v>
      </c>
      <c r="AG9245" s="2">
        <f ca="1"/>
        <v>0.77980447149317311</v>
      </c>
      <c r="AH9245" s="2" t="str">
        <f ca="1"/>
        <v>Bad</v>
      </c>
    </row>
    <row r="9246" spans="2:34" x14ac:dyDescent="0.2">
      <c r="B9246" s="2">
        <f ca="1"/>
        <v>4.5587240148052155E-2</v>
      </c>
      <c r="O9246" s="2">
        <f ca="1"/>
        <v>-0.83771889945056122</v>
      </c>
      <c r="X9246" s="2">
        <f ca="1"/>
        <v>79.139695145023808</v>
      </c>
      <c r="AG9246" s="2">
        <f ca="1"/>
        <v>0.63483581392190125</v>
      </c>
      <c r="AH9246" s="2" t="str">
        <f ca="1"/>
        <v>Bad</v>
      </c>
    </row>
    <row r="9247" spans="2:34" x14ac:dyDescent="0.2">
      <c r="B9247" s="2">
        <f ca="1"/>
        <v>0.82813912414385338</v>
      </c>
      <c r="O9247" s="2">
        <f ca="1"/>
        <v>0.81097277461414874</v>
      </c>
      <c r="X9247" s="2">
        <f ca="1"/>
        <v>20.869901394149828</v>
      </c>
      <c r="AG9247" s="2">
        <f ca="1"/>
        <v>0.34883391885337534</v>
      </c>
      <c r="AH9247" s="2" t="str">
        <f ca="1"/>
        <v>OK</v>
      </c>
    </row>
    <row r="9248" spans="2:34" x14ac:dyDescent="0.2">
      <c r="B9248" s="2">
        <f ca="1"/>
        <v>0.32311461679270703</v>
      </c>
      <c r="O9248" s="2">
        <f ca="1"/>
        <v>2.2355313636563241</v>
      </c>
      <c r="X9248" s="2">
        <f ca="1"/>
        <v>68.218886106905273</v>
      </c>
      <c r="AG9248" s="2">
        <f ca="1"/>
        <v>0.50606868063883148</v>
      </c>
      <c r="AH9248" s="2" t="str">
        <f ca="1"/>
        <v>Bad</v>
      </c>
    </row>
    <row r="9249" spans="2:34" x14ac:dyDescent="0.2">
      <c r="B9249" s="2">
        <f ca="1"/>
        <v>0.2138662179351194</v>
      </c>
      <c r="O9249" s="2">
        <f ca="1"/>
        <v>-0.70997501644832961</v>
      </c>
      <c r="X9249" s="2">
        <f ca="1"/>
        <v>29.005755912539733</v>
      </c>
      <c r="AG9249" s="2">
        <f ca="1"/>
        <v>0.65916406351111601</v>
      </c>
      <c r="AH9249" s="2" t="str">
        <f ca="1"/>
        <v>Bad</v>
      </c>
    </row>
    <row r="9250" spans="2:34" x14ac:dyDescent="0.2">
      <c r="B9250" s="2">
        <f ca="1"/>
        <v>0.71791301404359498</v>
      </c>
      <c r="O9250" s="2">
        <f ca="1"/>
        <v>-0.66118924730954542</v>
      </c>
      <c r="X9250" s="2">
        <f ca="1"/>
        <v>40.890921284180344</v>
      </c>
      <c r="AG9250" s="2">
        <f ca="1"/>
        <v>0.98148928558953807</v>
      </c>
      <c r="AH9250" s="2" t="str">
        <f ca="1"/>
        <v>Bad</v>
      </c>
    </row>
    <row r="9251" spans="2:34" x14ac:dyDescent="0.2">
      <c r="B9251" s="2">
        <f ca="1"/>
        <v>0.94708211670433995</v>
      </c>
      <c r="O9251" s="2">
        <f ca="1"/>
        <v>-4.2896553378996963E-2</v>
      </c>
      <c r="X9251" s="2">
        <f ca="1"/>
        <v>66.271604144691935</v>
      </c>
      <c r="AG9251" s="2">
        <f ca="1"/>
        <v>0.74405255423990191</v>
      </c>
      <c r="AH9251" s="2" t="str">
        <f ca="1"/>
        <v>Bad</v>
      </c>
    </row>
    <row r="9252" spans="2:34" x14ac:dyDescent="0.2">
      <c r="B9252" s="2">
        <f ca="1"/>
        <v>0.8459223173173398</v>
      </c>
      <c r="O9252" s="2">
        <f ca="1"/>
        <v>1.3659101793709629</v>
      </c>
      <c r="X9252" s="2">
        <f ca="1"/>
        <v>33.6942844520945</v>
      </c>
      <c r="AG9252" s="2">
        <f ca="1"/>
        <v>0.36060361293470145</v>
      </c>
      <c r="AH9252" s="2" t="str">
        <f ca="1"/>
        <v>OK</v>
      </c>
    </row>
    <row r="9253" spans="2:34" x14ac:dyDescent="0.2">
      <c r="B9253" s="2">
        <f ca="1"/>
        <v>0.41530959626460939</v>
      </c>
      <c r="O9253" s="2">
        <f ca="1"/>
        <v>0.12511968492259737</v>
      </c>
      <c r="X9253" s="2">
        <f ca="1"/>
        <v>49.901175096689727</v>
      </c>
      <c r="AG9253" s="2">
        <f ca="1"/>
        <v>0.1757511284881017</v>
      </c>
      <c r="AH9253" s="2" t="str">
        <f ca="1"/>
        <v>OK</v>
      </c>
    </row>
    <row r="9254" spans="2:34" x14ac:dyDescent="0.2">
      <c r="B9254" s="2">
        <f ca="1"/>
        <v>0.78903684541871022</v>
      </c>
      <c r="O9254" s="2">
        <f ca="1"/>
        <v>0.47952087582523406</v>
      </c>
      <c r="X9254" s="2">
        <f ca="1"/>
        <v>58.270198309888656</v>
      </c>
      <c r="AG9254" s="2">
        <f ca="1"/>
        <v>5.6056676282478568E-2</v>
      </c>
      <c r="AH9254" s="2" t="str">
        <f ca="1"/>
        <v>OK</v>
      </c>
    </row>
    <row r="9255" spans="2:34" x14ac:dyDescent="0.2">
      <c r="B9255" s="2">
        <f ca="1"/>
        <v>0.61319444611253537</v>
      </c>
      <c r="O9255" s="2">
        <f ca="1"/>
        <v>0.79649072582817071</v>
      </c>
      <c r="X9255" s="2">
        <f ca="1"/>
        <v>54.693657525559367</v>
      </c>
      <c r="AG9255" s="2">
        <f ca="1"/>
        <v>0.80726030537927085</v>
      </c>
      <c r="AH9255" s="2" t="str">
        <f ca="1"/>
        <v>Bad</v>
      </c>
    </row>
    <row r="9256" spans="2:34" x14ac:dyDescent="0.2">
      <c r="B9256" s="2">
        <f ca="1"/>
        <v>0.92222509235178385</v>
      </c>
      <c r="O9256" s="2">
        <f ca="1"/>
        <v>2.6894310269835819</v>
      </c>
      <c r="X9256" s="2">
        <f ca="1"/>
        <v>44.584192005324653</v>
      </c>
      <c r="AG9256" s="2">
        <f ca="1"/>
        <v>0.30438615823572079</v>
      </c>
      <c r="AH9256" s="2" t="str">
        <f ca="1"/>
        <v>OK</v>
      </c>
    </row>
    <row r="9257" spans="2:34" x14ac:dyDescent="0.2">
      <c r="B9257" s="2">
        <f ca="1"/>
        <v>0.60833414985052925</v>
      </c>
      <c r="O9257" s="2">
        <f ca="1"/>
        <v>0.21544740431203901</v>
      </c>
      <c r="X9257" s="2">
        <f ca="1"/>
        <v>51.783885263089353</v>
      </c>
      <c r="AG9257" s="2">
        <f ca="1"/>
        <v>0.23134163767635108</v>
      </c>
      <c r="AH9257" s="2" t="str">
        <f ca="1"/>
        <v>OK</v>
      </c>
    </row>
    <row r="9258" spans="2:34" x14ac:dyDescent="0.2">
      <c r="B9258" s="2">
        <f ca="1"/>
        <v>0.57642846601062603</v>
      </c>
      <c r="O9258" s="2">
        <f ca="1"/>
        <v>-0.1340356855594847</v>
      </c>
      <c r="X9258" s="2">
        <f ca="1"/>
        <v>41.22533198044551</v>
      </c>
      <c r="AG9258" s="2">
        <f ca="1"/>
        <v>0.73932132350971425</v>
      </c>
      <c r="AH9258" s="2" t="str">
        <f ca="1"/>
        <v>Bad</v>
      </c>
    </row>
    <row r="9259" spans="2:34" x14ac:dyDescent="0.2">
      <c r="B9259" s="2">
        <f ca="1"/>
        <v>0.43513049292274175</v>
      </c>
      <c r="O9259" s="2">
        <f ca="1"/>
        <v>0.45683928246945366</v>
      </c>
      <c r="X9259" s="2">
        <f ca="1"/>
        <v>27.581857432659259</v>
      </c>
      <c r="AG9259" s="2">
        <f ca="1"/>
        <v>2.5617610999361551E-2</v>
      </c>
      <c r="AH9259" s="2" t="str">
        <f ca="1"/>
        <v>Good</v>
      </c>
    </row>
    <row r="9260" spans="2:34" x14ac:dyDescent="0.2">
      <c r="B9260" s="2">
        <f ca="1"/>
        <v>0.45305027539539977</v>
      </c>
      <c r="O9260" s="2">
        <f ca="1"/>
        <v>-0.61375002090549347</v>
      </c>
      <c r="X9260" s="2">
        <f ca="1"/>
        <v>59.414911473226425</v>
      </c>
      <c r="AG9260" s="2">
        <f ca="1"/>
        <v>9.6543070811675014E-2</v>
      </c>
      <c r="AH9260" s="2" t="str">
        <f ca="1"/>
        <v>OK</v>
      </c>
    </row>
    <row r="9261" spans="2:34" x14ac:dyDescent="0.2">
      <c r="B9261" s="2">
        <f ca="1"/>
        <v>0.97246238741686497</v>
      </c>
      <c r="O9261" s="2">
        <f ca="1"/>
        <v>0.2718404505859357</v>
      </c>
      <c r="X9261" s="2">
        <f ca="1"/>
        <v>42.927919256954155</v>
      </c>
      <c r="AG9261" s="2">
        <f ca="1"/>
        <v>0.8024292384955769</v>
      </c>
      <c r="AH9261" s="2" t="str">
        <f ca="1"/>
        <v>Bad</v>
      </c>
    </row>
    <row r="9262" spans="2:34" x14ac:dyDescent="0.2">
      <c r="B9262" s="2">
        <f ca="1"/>
        <v>0.42767433516697029</v>
      </c>
      <c r="O9262" s="2">
        <f ca="1"/>
        <v>1.0185168269905636</v>
      </c>
      <c r="X9262" s="2">
        <f ca="1"/>
        <v>75.163538891896508</v>
      </c>
      <c r="AG9262" s="2">
        <f ca="1"/>
        <v>0.36591407570273993</v>
      </c>
      <c r="AH9262" s="2" t="str">
        <f ca="1"/>
        <v>OK</v>
      </c>
    </row>
    <row r="9263" spans="2:34" x14ac:dyDescent="0.2">
      <c r="B9263" s="2">
        <f ca="1"/>
        <v>0.21847870621184562</v>
      </c>
      <c r="O9263" s="2">
        <f ca="1"/>
        <v>7.9154917260419774E-2</v>
      </c>
      <c r="X9263" s="2">
        <f ca="1"/>
        <v>52.087179913532189</v>
      </c>
      <c r="AG9263" s="2">
        <f ca="1"/>
        <v>0.52047114146038287</v>
      </c>
      <c r="AH9263" s="2" t="str">
        <f ca="1"/>
        <v>Bad</v>
      </c>
    </row>
    <row r="9264" spans="2:34" x14ac:dyDescent="0.2">
      <c r="B9264" s="2">
        <f ca="1"/>
        <v>5.6597367127583231E-2</v>
      </c>
      <c r="O9264" s="2">
        <f ca="1"/>
        <v>-1.4167672516120158</v>
      </c>
      <c r="X9264" s="2">
        <f ca="1"/>
        <v>38.831932364431921</v>
      </c>
      <c r="AG9264" s="2">
        <f ca="1"/>
        <v>0.36237165598612275</v>
      </c>
      <c r="AH9264" s="2" t="str">
        <f ca="1"/>
        <v>OK</v>
      </c>
    </row>
    <row r="9265" spans="2:34" x14ac:dyDescent="0.2">
      <c r="B9265" s="2">
        <f ca="1"/>
        <v>0.64444943682235922</v>
      </c>
      <c r="O9265" s="2">
        <f ca="1"/>
        <v>-1.1373236995052514</v>
      </c>
      <c r="X9265" s="2">
        <f ca="1"/>
        <v>54.821180076197081</v>
      </c>
      <c r="AG9265" s="2">
        <f ca="1"/>
        <v>0.38746159061676311</v>
      </c>
      <c r="AH9265" s="2" t="str">
        <f ca="1"/>
        <v>OK</v>
      </c>
    </row>
    <row r="9266" spans="2:34" x14ac:dyDescent="0.2">
      <c r="B9266" s="2">
        <f ca="1"/>
        <v>0.30375988575697499</v>
      </c>
      <c r="O9266" s="2">
        <f ca="1"/>
        <v>1.1571531412505156</v>
      </c>
      <c r="X9266" s="2">
        <f ca="1"/>
        <v>40.760883657744714</v>
      </c>
      <c r="AG9266" s="2">
        <f ca="1"/>
        <v>0.53592442513720884</v>
      </c>
      <c r="AH9266" s="2" t="str">
        <f ca="1"/>
        <v>Bad</v>
      </c>
    </row>
    <row r="9267" spans="2:34" x14ac:dyDescent="0.2">
      <c r="B9267" s="2">
        <f ca="1"/>
        <v>0.45312757440243345</v>
      </c>
      <c r="O9267" s="2">
        <f ca="1"/>
        <v>-0.35767759871650112</v>
      </c>
      <c r="X9267" s="2">
        <f ca="1"/>
        <v>59.956281719536413</v>
      </c>
      <c r="AG9267" s="2">
        <f ca="1"/>
        <v>0.70562665699451244</v>
      </c>
      <c r="AH9267" s="2" t="str">
        <f ca="1"/>
        <v>Bad</v>
      </c>
    </row>
    <row r="9268" spans="2:34" x14ac:dyDescent="0.2">
      <c r="B9268" s="2">
        <f ca="1"/>
        <v>0.46664551424008383</v>
      </c>
      <c r="O9268" s="2">
        <f ca="1"/>
        <v>0.34501461524385357</v>
      </c>
      <c r="X9268" s="2">
        <f ca="1"/>
        <v>51.144210054851548</v>
      </c>
      <c r="AG9268" s="2">
        <f ca="1"/>
        <v>0.53037445539979045</v>
      </c>
      <c r="AH9268" s="2" t="str">
        <f ca="1"/>
        <v>Bad</v>
      </c>
    </row>
    <row r="9269" spans="2:34" x14ac:dyDescent="0.2">
      <c r="B9269" s="2">
        <f ca="1"/>
        <v>0.42049299175974042</v>
      </c>
      <c r="O9269" s="2">
        <f ca="1"/>
        <v>-1.2300943274370888</v>
      </c>
      <c r="X9269" s="2">
        <f ca="1"/>
        <v>78.639394371494205</v>
      </c>
      <c r="AG9269" s="2">
        <f ca="1"/>
        <v>0.66167533996937822</v>
      </c>
      <c r="AH9269" s="2" t="str">
        <f ca="1"/>
        <v>Bad</v>
      </c>
    </row>
    <row r="9270" spans="2:34" x14ac:dyDescent="0.2">
      <c r="B9270" s="2">
        <f ca="1"/>
        <v>0.81405936479562668</v>
      </c>
      <c r="O9270" s="2">
        <f ca="1"/>
        <v>0.29361288938697339</v>
      </c>
      <c r="X9270" s="2">
        <f ca="1"/>
        <v>57.413052812092985</v>
      </c>
      <c r="AG9270" s="2">
        <f ca="1"/>
        <v>0.87986580085054333</v>
      </c>
      <c r="AH9270" s="2" t="str">
        <f ca="1"/>
        <v>Bad</v>
      </c>
    </row>
    <row r="9271" spans="2:34" x14ac:dyDescent="0.2">
      <c r="B9271" s="2">
        <f ca="1"/>
        <v>0.89760728983027316</v>
      </c>
      <c r="O9271" s="2">
        <f ca="1"/>
        <v>0.38932787908632921</v>
      </c>
      <c r="X9271" s="2">
        <f ca="1"/>
        <v>31.877238685247193</v>
      </c>
      <c r="AG9271" s="2">
        <f ca="1"/>
        <v>0.91668336410463214</v>
      </c>
      <c r="AH9271" s="2" t="str">
        <f ca="1"/>
        <v>Bad</v>
      </c>
    </row>
    <row r="9272" spans="2:34" x14ac:dyDescent="0.2">
      <c r="B9272" s="2">
        <f ca="1"/>
        <v>0.56101250748353459</v>
      </c>
      <c r="O9272" s="2">
        <f ca="1"/>
        <v>-1.1080184554582719</v>
      </c>
      <c r="X9272" s="2">
        <f ca="1"/>
        <v>36.390516765352338</v>
      </c>
      <c r="AG9272" s="2">
        <f ca="1"/>
        <v>0.9395063895433422</v>
      </c>
      <c r="AH9272" s="2" t="str">
        <f ca="1"/>
        <v>Bad</v>
      </c>
    </row>
    <row r="9273" spans="2:34" x14ac:dyDescent="0.2">
      <c r="B9273" s="2">
        <f ca="1"/>
        <v>0.46064455190540721</v>
      </c>
      <c r="O9273" s="2">
        <f ca="1"/>
        <v>0.70861193941739486</v>
      </c>
      <c r="X9273" s="2">
        <f ca="1"/>
        <v>62.651721003564056</v>
      </c>
      <c r="AG9273" s="2">
        <f ca="1"/>
        <v>0.77649695744858227</v>
      </c>
      <c r="AH9273" s="2" t="str">
        <f ca="1"/>
        <v>Bad</v>
      </c>
    </row>
    <row r="9274" spans="2:34" x14ac:dyDescent="0.2">
      <c r="B9274" s="2">
        <f ca="1"/>
        <v>0.90358663360662783</v>
      </c>
      <c r="O9274" s="2">
        <f ca="1"/>
        <v>-1.794846167818112</v>
      </c>
      <c r="X9274" s="2">
        <f ca="1"/>
        <v>47.616261847050609</v>
      </c>
      <c r="AG9274" s="2">
        <f ca="1"/>
        <v>0.47867831298987773</v>
      </c>
      <c r="AH9274" s="2" t="str">
        <f ca="1"/>
        <v>Bad</v>
      </c>
    </row>
    <row r="9275" spans="2:34" x14ac:dyDescent="0.2">
      <c r="B9275" s="2">
        <f ca="1"/>
        <v>0.32885597211680784</v>
      </c>
      <c r="O9275" s="2">
        <f ca="1"/>
        <v>0.13425494698280305</v>
      </c>
      <c r="X9275" s="2">
        <f ca="1"/>
        <v>105.32695408234373</v>
      </c>
      <c r="AG9275" s="2">
        <f ca="1"/>
        <v>0.92774455098373609</v>
      </c>
      <c r="AH9275" s="2" t="str">
        <f ca="1"/>
        <v>Bad</v>
      </c>
    </row>
    <row r="9276" spans="2:34" x14ac:dyDescent="0.2">
      <c r="B9276" s="2">
        <f ca="1"/>
        <v>0.42186009035547167</v>
      </c>
      <c r="O9276" s="2">
        <f ca="1"/>
        <v>6.8432263828006851E-2</v>
      </c>
      <c r="X9276" s="2">
        <f ca="1"/>
        <v>44.400014308921328</v>
      </c>
      <c r="AG9276" s="2">
        <f ca="1"/>
        <v>0.71923983014757886</v>
      </c>
      <c r="AH9276" s="2" t="str">
        <f ca="1"/>
        <v>Bad</v>
      </c>
    </row>
    <row r="9277" spans="2:34" x14ac:dyDescent="0.2">
      <c r="B9277" s="2">
        <f ca="1"/>
        <v>0.89005944547171301</v>
      </c>
      <c r="O9277" s="2">
        <f ca="1"/>
        <v>0.74469397065949505</v>
      </c>
      <c r="X9277" s="2">
        <f ca="1"/>
        <v>54.612885554002176</v>
      </c>
      <c r="AG9277" s="2">
        <f ca="1"/>
        <v>0.71841563440048262</v>
      </c>
      <c r="AH9277" s="2" t="str">
        <f ca="1"/>
        <v>Bad</v>
      </c>
    </row>
    <row r="9278" spans="2:34" x14ac:dyDescent="0.2">
      <c r="B9278" s="2">
        <f ca="1"/>
        <v>0.34803151753183292</v>
      </c>
      <c r="O9278" s="2">
        <f ca="1"/>
        <v>0.66683568268881932</v>
      </c>
      <c r="X9278" s="2">
        <f ca="1"/>
        <v>52.647134617117537</v>
      </c>
      <c r="AG9278" s="2">
        <f ca="1"/>
        <v>0.50597271945663502</v>
      </c>
      <c r="AH9278" s="2" t="str">
        <f ca="1"/>
        <v>Bad</v>
      </c>
    </row>
    <row r="9279" spans="2:34" x14ac:dyDescent="0.2">
      <c r="B9279" s="2">
        <f ca="1"/>
        <v>0.62491241626327043</v>
      </c>
      <c r="O9279" s="2">
        <f ca="1"/>
        <v>0.96917450933851068</v>
      </c>
      <c r="X9279" s="2">
        <f ca="1"/>
        <v>41.963258507213325</v>
      </c>
      <c r="AG9279" s="2">
        <f ca="1"/>
        <v>0.45006406673725285</v>
      </c>
      <c r="AH9279" s="2" t="str">
        <f ca="1"/>
        <v>Bad</v>
      </c>
    </row>
    <row r="9280" spans="2:34" x14ac:dyDescent="0.2">
      <c r="B9280" s="2">
        <f ca="1"/>
        <v>0.30496833333207141</v>
      </c>
      <c r="O9280" s="2">
        <f ca="1"/>
        <v>0.10727673253736308</v>
      </c>
      <c r="X9280" s="2">
        <f ca="1"/>
        <v>43.426338725897523</v>
      </c>
      <c r="AG9280" s="2">
        <f ca="1"/>
        <v>0.49578086149454093</v>
      </c>
      <c r="AH9280" s="2" t="str">
        <f ca="1"/>
        <v>Bad</v>
      </c>
    </row>
    <row r="9281" spans="2:34" x14ac:dyDescent="0.2">
      <c r="B9281" s="2">
        <f ca="1"/>
        <v>7.2349322187194698E-2</v>
      </c>
      <c r="O9281" s="2">
        <f ca="1"/>
        <v>-0.88513776836608105</v>
      </c>
      <c r="X9281" s="2">
        <f ca="1"/>
        <v>41.568192994034789</v>
      </c>
      <c r="AG9281" s="2">
        <f ca="1"/>
        <v>0.93358903033732599</v>
      </c>
      <c r="AH9281" s="2" t="str">
        <f ca="1"/>
        <v>Bad</v>
      </c>
    </row>
    <row r="9282" spans="2:34" x14ac:dyDescent="0.2">
      <c r="B9282" s="2">
        <f ca="1"/>
        <v>0.93935983947418178</v>
      </c>
      <c r="O9282" s="2">
        <f ca="1"/>
        <v>-0.50398283961328516</v>
      </c>
      <c r="X9282" s="2">
        <f ca="1"/>
        <v>29.89903124993376</v>
      </c>
      <c r="AG9282" s="2">
        <f ca="1"/>
        <v>7.5196466628603575E-2</v>
      </c>
      <c r="AH9282" s="2" t="str">
        <f ca="1"/>
        <v>OK</v>
      </c>
    </row>
    <row r="9283" spans="2:34" x14ac:dyDescent="0.2">
      <c r="B9283" s="2">
        <f ca="1"/>
        <v>6.1043530478245067E-2</v>
      </c>
      <c r="O9283" s="2">
        <f ca="1"/>
        <v>-2.1589358585738414</v>
      </c>
      <c r="X9283" s="2">
        <f ca="1"/>
        <v>48.19972328478449</v>
      </c>
      <c r="AG9283" s="2">
        <f ca="1"/>
        <v>0.77021545904083677</v>
      </c>
      <c r="AH9283" s="2" t="str">
        <f ca="1"/>
        <v>Bad</v>
      </c>
    </row>
    <row r="9284" spans="2:34" x14ac:dyDescent="0.2">
      <c r="B9284" s="2">
        <f ca="1"/>
        <v>0.42586008853704782</v>
      </c>
      <c r="O9284" s="2">
        <f ca="1"/>
        <v>9.0416261656225877E-2</v>
      </c>
      <c r="X9284" s="2">
        <f ca="1"/>
        <v>50.089940990952968</v>
      </c>
      <c r="AG9284" s="2">
        <f ca="1"/>
        <v>0.82371494846148097</v>
      </c>
      <c r="AH9284" s="2" t="str">
        <f ca="1"/>
        <v>Bad</v>
      </c>
    </row>
    <row r="9285" spans="2:34" x14ac:dyDescent="0.2">
      <c r="B9285" s="2">
        <f ca="1"/>
        <v>0.24529998405519904</v>
      </c>
      <c r="O9285" s="2">
        <f ca="1"/>
        <v>1.7610868659015066E-2</v>
      </c>
      <c r="X9285" s="2">
        <f ca="1"/>
        <v>28.003573126776992</v>
      </c>
      <c r="AG9285" s="2">
        <f ca="1"/>
        <v>9.6451484532568355E-2</v>
      </c>
      <c r="AH9285" s="2" t="str">
        <f ca="1"/>
        <v>OK</v>
      </c>
    </row>
    <row r="9286" spans="2:34" x14ac:dyDescent="0.2">
      <c r="B9286" s="2">
        <f ca="1"/>
        <v>0.73855172447933382</v>
      </c>
      <c r="O9286" s="2">
        <f ca="1"/>
        <v>-0.23629598907372024</v>
      </c>
      <c r="X9286" s="2">
        <f ca="1"/>
        <v>69.881291991356107</v>
      </c>
      <c r="AG9286" s="2">
        <f ca="1"/>
        <v>0.50175922821400687</v>
      </c>
      <c r="AH9286" s="2" t="str">
        <f ca="1"/>
        <v>Bad</v>
      </c>
    </row>
    <row r="9287" spans="2:34" x14ac:dyDescent="0.2">
      <c r="B9287" s="2">
        <f ca="1"/>
        <v>0.44657891209531897</v>
      </c>
      <c r="O9287" s="2">
        <f ca="1"/>
        <v>-0.27312776161491426</v>
      </c>
      <c r="X9287" s="2">
        <f ca="1"/>
        <v>77.254422748452527</v>
      </c>
      <c r="AG9287" s="2">
        <f ca="1"/>
        <v>0.29801690779677892</v>
      </c>
      <c r="AH9287" s="2" t="str">
        <f ca="1"/>
        <v>OK</v>
      </c>
    </row>
    <row r="9288" spans="2:34" x14ac:dyDescent="0.2">
      <c r="B9288" s="2">
        <f ca="1"/>
        <v>0.56345282756008785</v>
      </c>
      <c r="O9288" s="2">
        <f ca="1"/>
        <v>-1.4433918730656152</v>
      </c>
      <c r="X9288" s="2">
        <f ca="1"/>
        <v>47.50485130994231</v>
      </c>
      <c r="AG9288" s="2">
        <f ca="1"/>
        <v>0.73518556956483261</v>
      </c>
      <c r="AH9288" s="2" t="str">
        <f ca="1"/>
        <v>Bad</v>
      </c>
    </row>
    <row r="9289" spans="2:34" x14ac:dyDescent="0.2">
      <c r="B9289" s="2">
        <f ca="1"/>
        <v>0.13721257746869009</v>
      </c>
      <c r="O9289" s="2">
        <f ca="1"/>
        <v>6.0769183853943066E-2</v>
      </c>
      <c r="X9289" s="2">
        <f ca="1"/>
        <v>31.483740333824507</v>
      </c>
      <c r="AG9289" s="2">
        <f ca="1"/>
        <v>0.94252875758303922</v>
      </c>
      <c r="AH9289" s="2" t="str">
        <f ca="1"/>
        <v>Bad</v>
      </c>
    </row>
    <row r="9290" spans="2:34" x14ac:dyDescent="0.2">
      <c r="B9290" s="2">
        <f ca="1"/>
        <v>8.0816279759073906E-2</v>
      </c>
      <c r="O9290" s="2">
        <f ca="1"/>
        <v>0.8901689501918495</v>
      </c>
      <c r="X9290" s="2">
        <f ca="1"/>
        <v>66.740953844690182</v>
      </c>
      <c r="AG9290" s="2">
        <f ca="1"/>
        <v>0.62289107761985241</v>
      </c>
      <c r="AH9290" s="2" t="str">
        <f ca="1"/>
        <v>Bad</v>
      </c>
    </row>
    <row r="9291" spans="2:34" x14ac:dyDescent="0.2">
      <c r="B9291" s="2">
        <f ca="1"/>
        <v>0.35545227202439178</v>
      </c>
      <c r="O9291" s="2">
        <f ca="1"/>
        <v>0.67202122456553282</v>
      </c>
      <c r="X9291" s="2">
        <f ca="1"/>
        <v>75.541272762369232</v>
      </c>
      <c r="AG9291" s="2">
        <f ca="1"/>
        <v>0.44541275740054842</v>
      </c>
      <c r="AH9291" s="2" t="str">
        <f ca="1"/>
        <v>Bad</v>
      </c>
    </row>
    <row r="9292" spans="2:34" x14ac:dyDescent="0.2">
      <c r="B9292" s="2">
        <f ca="1"/>
        <v>7.9016909477820585E-2</v>
      </c>
      <c r="O9292" s="2">
        <f ca="1"/>
        <v>-0.2254695653566671</v>
      </c>
      <c r="X9292" s="2">
        <f ca="1"/>
        <v>54.467406743915831</v>
      </c>
      <c r="AG9292" s="2">
        <f ca="1"/>
        <v>0.14359042644933773</v>
      </c>
      <c r="AH9292" s="2" t="str">
        <f ca="1"/>
        <v>OK</v>
      </c>
    </row>
    <row r="9293" spans="2:34" x14ac:dyDescent="0.2">
      <c r="B9293" s="2">
        <f ca="1"/>
        <v>0.49977803138424748</v>
      </c>
      <c r="O9293" s="2">
        <f ca="1"/>
        <v>-0.76667870733515386</v>
      </c>
      <c r="X9293" s="2">
        <f ca="1"/>
        <v>35.117092783286701</v>
      </c>
      <c r="AG9293" s="2">
        <f ca="1"/>
        <v>2.0628148014574466E-2</v>
      </c>
      <c r="AH9293" s="2" t="str">
        <f ca="1"/>
        <v>Good</v>
      </c>
    </row>
    <row r="9294" spans="2:34" x14ac:dyDescent="0.2">
      <c r="B9294" s="2">
        <f ca="1"/>
        <v>0.44682872773901061</v>
      </c>
      <c r="O9294" s="2">
        <f ca="1"/>
        <v>-1.6335504754511616</v>
      </c>
      <c r="X9294" s="2">
        <f ca="1"/>
        <v>50.736036970691025</v>
      </c>
      <c r="AG9294" s="2">
        <f ca="1"/>
        <v>0.15677150140819318</v>
      </c>
      <c r="AH9294" s="2" t="str">
        <f ca="1"/>
        <v>OK</v>
      </c>
    </row>
    <row r="9295" spans="2:34" x14ac:dyDescent="0.2">
      <c r="B9295" s="2">
        <f ca="1"/>
        <v>0.31274977877469134</v>
      </c>
      <c r="O9295" s="2">
        <f ca="1"/>
        <v>0.83155752314023201</v>
      </c>
      <c r="X9295" s="2">
        <f ca="1"/>
        <v>40.466267058269878</v>
      </c>
      <c r="AG9295" s="2">
        <f ca="1"/>
        <v>0.32342521014031211</v>
      </c>
      <c r="AH9295" s="2" t="str">
        <f ca="1"/>
        <v>OK</v>
      </c>
    </row>
    <row r="9296" spans="2:34" x14ac:dyDescent="0.2">
      <c r="B9296" s="2">
        <f ca="1"/>
        <v>0.3154901597599189</v>
      </c>
      <c r="O9296" s="2">
        <f ca="1"/>
        <v>-0.46632576530860337</v>
      </c>
      <c r="X9296" s="2">
        <f ca="1"/>
        <v>76.939425165994692</v>
      </c>
      <c r="AG9296" s="2">
        <f ca="1"/>
        <v>0.35308575961040556</v>
      </c>
      <c r="AH9296" s="2" t="str">
        <f ca="1"/>
        <v>OK</v>
      </c>
    </row>
    <row r="9297" spans="2:34" x14ac:dyDescent="0.2">
      <c r="B9297" s="2">
        <f ca="1"/>
        <v>0.9136042964210207</v>
      </c>
      <c r="O9297" s="2">
        <f ca="1"/>
        <v>-1.6723750558362664</v>
      </c>
      <c r="X9297" s="2">
        <f ca="1"/>
        <v>71.634800028579832</v>
      </c>
      <c r="AG9297" s="2">
        <f ca="1"/>
        <v>0.95327219125679741</v>
      </c>
      <c r="AH9297" s="2" t="str">
        <f ca="1"/>
        <v>Bad</v>
      </c>
    </row>
    <row r="9298" spans="2:34" x14ac:dyDescent="0.2">
      <c r="B9298" s="2">
        <f ca="1"/>
        <v>0.73583138776822032</v>
      </c>
      <c r="O9298" s="2">
        <f ca="1"/>
        <v>-2.2617328653865502E-2</v>
      </c>
      <c r="X9298" s="2">
        <f ca="1"/>
        <v>76.252179056108588</v>
      </c>
      <c r="AG9298" s="2">
        <f ca="1"/>
        <v>0.31830036722119215</v>
      </c>
      <c r="AH9298" s="2" t="str">
        <f ca="1"/>
        <v>OK</v>
      </c>
    </row>
    <row r="9299" spans="2:34" x14ac:dyDescent="0.2">
      <c r="B9299" s="2">
        <f ca="1"/>
        <v>0.12870967332557304</v>
      </c>
      <c r="O9299" s="2">
        <f ca="1"/>
        <v>-1.1534854419613036</v>
      </c>
      <c r="X9299" s="2">
        <f ca="1"/>
        <v>26.51480451635728</v>
      </c>
      <c r="AG9299" s="2">
        <f ca="1"/>
        <v>0.11833634705299545</v>
      </c>
      <c r="AH9299" s="2" t="str">
        <f ca="1"/>
        <v>OK</v>
      </c>
    </row>
    <row r="9300" spans="2:34" x14ac:dyDescent="0.2">
      <c r="B9300" s="2">
        <f ca="1"/>
        <v>0.26010448078255011</v>
      </c>
      <c r="O9300" s="2">
        <f ca="1"/>
        <v>7.8683795223935829E-2</v>
      </c>
      <c r="X9300" s="2">
        <f ca="1"/>
        <v>64.423075734380276</v>
      </c>
      <c r="AG9300" s="2">
        <f ca="1"/>
        <v>0.66382486398602625</v>
      </c>
      <c r="AH9300" s="2" t="str">
        <f ca="1"/>
        <v>Bad</v>
      </c>
    </row>
    <row r="9301" spans="2:34" x14ac:dyDescent="0.2">
      <c r="B9301" s="2">
        <f ca="1"/>
        <v>0.62623961023559449</v>
      </c>
      <c r="O9301" s="2">
        <f ca="1"/>
        <v>0.57668571106220667</v>
      </c>
      <c r="X9301" s="2">
        <f ca="1"/>
        <v>35.797922446185012</v>
      </c>
      <c r="AG9301" s="2">
        <f ca="1"/>
        <v>0.21933882663210391</v>
      </c>
      <c r="AH9301" s="2" t="str">
        <f ca="1"/>
        <v>OK</v>
      </c>
    </row>
    <row r="9302" spans="2:34" x14ac:dyDescent="0.2">
      <c r="B9302" s="2">
        <f ca="1"/>
        <v>0.35489865513223062</v>
      </c>
      <c r="O9302" s="2">
        <f ca="1"/>
        <v>0.14297231640069363</v>
      </c>
      <c r="X9302" s="2">
        <f ca="1"/>
        <v>32.496132916653636</v>
      </c>
      <c r="AG9302" s="2">
        <f ca="1"/>
        <v>0.74926654387502012</v>
      </c>
      <c r="AH9302" s="2" t="str">
        <f ca="1"/>
        <v>Bad</v>
      </c>
    </row>
    <row r="9303" spans="2:34" x14ac:dyDescent="0.2">
      <c r="B9303" s="2">
        <f ca="1"/>
        <v>0.96593360451493981</v>
      </c>
      <c r="O9303" s="2">
        <f ca="1"/>
        <v>0.4287886364523113</v>
      </c>
      <c r="X9303" s="2">
        <f ca="1"/>
        <v>99.007799626179619</v>
      </c>
      <c r="AG9303" s="2">
        <f ca="1"/>
        <v>2.4174259647955276E-2</v>
      </c>
      <c r="AH9303" s="2" t="str">
        <f ca="1"/>
        <v>Good</v>
      </c>
    </row>
    <row r="9304" spans="2:34" x14ac:dyDescent="0.2">
      <c r="B9304" s="2">
        <f ca="1"/>
        <v>0.4869098649475625</v>
      </c>
      <c r="O9304" s="2">
        <f ca="1"/>
        <v>-0.76858429174977105</v>
      </c>
      <c r="X9304" s="2">
        <f ca="1"/>
        <v>28.804417196475264</v>
      </c>
      <c r="AG9304" s="2">
        <f ca="1"/>
        <v>0.60670497394757628</v>
      </c>
      <c r="AH9304" s="2" t="str">
        <f ca="1"/>
        <v>Bad</v>
      </c>
    </row>
    <row r="9305" spans="2:34" x14ac:dyDescent="0.2">
      <c r="B9305" s="2">
        <f ca="1"/>
        <v>0.85225186998708535</v>
      </c>
      <c r="O9305" s="2">
        <f ca="1"/>
        <v>-0.8547678023334333</v>
      </c>
      <c r="X9305" s="2">
        <f ca="1"/>
        <v>54.174458427494763</v>
      </c>
      <c r="AG9305" s="2">
        <f ca="1"/>
        <v>0.79593981887591547</v>
      </c>
      <c r="AH9305" s="2" t="str">
        <f ca="1"/>
        <v>Bad</v>
      </c>
    </row>
    <row r="9306" spans="2:34" x14ac:dyDescent="0.2">
      <c r="B9306" s="2">
        <f ca="1"/>
        <v>0.53723242946935867</v>
      </c>
      <c r="O9306" s="2">
        <f ca="1"/>
        <v>0.50610304831351982</v>
      </c>
      <c r="X9306" s="2">
        <f ca="1"/>
        <v>38.981079505809369</v>
      </c>
      <c r="AG9306" s="2">
        <f ca="1"/>
        <v>5.2252464187024783E-2</v>
      </c>
      <c r="AH9306" s="2" t="str">
        <f ca="1"/>
        <v>OK</v>
      </c>
    </row>
    <row r="9307" spans="2:34" x14ac:dyDescent="0.2">
      <c r="B9307" s="2">
        <f ca="1"/>
        <v>0.5352334659990905</v>
      </c>
      <c r="O9307" s="2">
        <f ca="1"/>
        <v>-0.68793498393718844</v>
      </c>
      <c r="X9307" s="2">
        <f ca="1"/>
        <v>64.152557540527752</v>
      </c>
      <c r="AG9307" s="2">
        <f ca="1"/>
        <v>0.16106133859211758</v>
      </c>
      <c r="AH9307" s="2" t="str">
        <f ca="1"/>
        <v>OK</v>
      </c>
    </row>
    <row r="9308" spans="2:34" x14ac:dyDescent="0.2">
      <c r="B9308" s="2">
        <f ca="1"/>
        <v>0.28217189535731291</v>
      </c>
      <c r="O9308" s="2">
        <f ca="1"/>
        <v>-0.1113649508647224</v>
      </c>
      <c r="X9308" s="2">
        <f ca="1"/>
        <v>48.775059548290955</v>
      </c>
      <c r="AG9308" s="2">
        <f ca="1"/>
        <v>0.13387205414183945</v>
      </c>
      <c r="AH9308" s="2" t="str">
        <f ca="1"/>
        <v>OK</v>
      </c>
    </row>
    <row r="9309" spans="2:34" x14ac:dyDescent="0.2">
      <c r="B9309" s="2">
        <f ca="1"/>
        <v>0.3580981935358587</v>
      </c>
      <c r="O9309" s="2">
        <f ca="1"/>
        <v>0.25157659457600823</v>
      </c>
      <c r="X9309" s="2">
        <f ca="1"/>
        <v>61.406380188051671</v>
      </c>
      <c r="AG9309" s="2">
        <f ca="1"/>
        <v>0.66435413464450965</v>
      </c>
      <c r="AH9309" s="2" t="str">
        <f ca="1"/>
        <v>Bad</v>
      </c>
    </row>
    <row r="9310" spans="2:34" x14ac:dyDescent="0.2">
      <c r="B9310" s="2">
        <f ca="1"/>
        <v>0.7623287568388224</v>
      </c>
      <c r="O9310" s="2">
        <f ca="1"/>
        <v>0.72496873970257592</v>
      </c>
      <c r="X9310" s="2">
        <f ca="1"/>
        <v>106.99554291962977</v>
      </c>
      <c r="AG9310" s="2">
        <f ca="1"/>
        <v>0.24062100422881105</v>
      </c>
      <c r="AH9310" s="2" t="str">
        <f ca="1"/>
        <v>OK</v>
      </c>
    </row>
    <row r="9311" spans="2:34" x14ac:dyDescent="0.2">
      <c r="B9311" s="2">
        <f ca="1"/>
        <v>0.38035284974805372</v>
      </c>
      <c r="O9311" s="2">
        <f ca="1"/>
        <v>1.6660643469574266</v>
      </c>
      <c r="X9311" s="2">
        <f ca="1"/>
        <v>45.558248199894294</v>
      </c>
      <c r="AG9311" s="2">
        <f ca="1"/>
        <v>0.48825111954793243</v>
      </c>
      <c r="AH9311" s="2" t="str">
        <f ca="1"/>
        <v>Bad</v>
      </c>
    </row>
    <row r="9312" spans="2:34" x14ac:dyDescent="0.2">
      <c r="B9312" s="2">
        <f ca="1"/>
        <v>0.54862059765647997</v>
      </c>
      <c r="O9312" s="2">
        <f ca="1"/>
        <v>-0.34786231510951865</v>
      </c>
      <c r="X9312" s="2">
        <f ca="1"/>
        <v>41.272264693462574</v>
      </c>
      <c r="AG9312" s="2">
        <f ca="1"/>
        <v>8.5934626361746425E-2</v>
      </c>
      <c r="AH9312" s="2" t="str">
        <f ca="1"/>
        <v>OK</v>
      </c>
    </row>
    <row r="9313" spans="2:34" x14ac:dyDescent="0.2">
      <c r="B9313" s="2">
        <f ca="1"/>
        <v>0.8268038130051143</v>
      </c>
      <c r="O9313" s="2">
        <f ca="1"/>
        <v>0.1726208691731225</v>
      </c>
      <c r="X9313" s="2">
        <f ca="1"/>
        <v>40.049908741959996</v>
      </c>
      <c r="AG9313" s="2">
        <f ca="1"/>
        <v>0.19648781710876895</v>
      </c>
      <c r="AH9313" s="2" t="str">
        <f ca="1"/>
        <v>OK</v>
      </c>
    </row>
    <row r="9314" spans="2:34" x14ac:dyDescent="0.2">
      <c r="B9314" s="2">
        <f ca="1"/>
        <v>0.23800756816234903</v>
      </c>
      <c r="O9314" s="2">
        <f ca="1"/>
        <v>-1.222742946483995</v>
      </c>
      <c r="X9314" s="2">
        <f ca="1"/>
        <v>49.635169263242304</v>
      </c>
      <c r="AG9314" s="2">
        <f ca="1"/>
        <v>0.67996848598858217</v>
      </c>
      <c r="AH9314" s="2" t="str">
        <f ca="1"/>
        <v>Bad</v>
      </c>
    </row>
    <row r="9315" spans="2:34" x14ac:dyDescent="0.2">
      <c r="B9315" s="2">
        <f ca="1"/>
        <v>0.82044432748811968</v>
      </c>
      <c r="O9315" s="2">
        <f ca="1"/>
        <v>-1.4538383661114211</v>
      </c>
      <c r="X9315" s="2">
        <f ca="1"/>
        <v>36.70098325537942</v>
      </c>
      <c r="AG9315" s="2">
        <f ca="1"/>
        <v>3.6388869079073238E-2</v>
      </c>
      <c r="AH9315" s="2" t="str">
        <f ca="1"/>
        <v>Good</v>
      </c>
    </row>
    <row r="9316" spans="2:34" x14ac:dyDescent="0.2">
      <c r="B9316" s="2">
        <f ca="1"/>
        <v>0.49303364999364163</v>
      </c>
      <c r="O9316" s="2">
        <f ca="1"/>
        <v>-0.71829952880861647</v>
      </c>
      <c r="X9316" s="2">
        <f ca="1"/>
        <v>45.041505535343695</v>
      </c>
      <c r="AG9316" s="2">
        <f ca="1"/>
        <v>0.78673734287119967</v>
      </c>
      <c r="AH9316" s="2" t="str">
        <f ca="1"/>
        <v>Bad</v>
      </c>
    </row>
    <row r="9317" spans="2:34" x14ac:dyDescent="0.2">
      <c r="B9317" s="2">
        <f ca="1"/>
        <v>0.96248029508488897</v>
      </c>
      <c r="O9317" s="2">
        <f ca="1"/>
        <v>-0.21484245541506211</v>
      </c>
      <c r="X9317" s="2">
        <f ca="1"/>
        <v>54.939560705420405</v>
      </c>
      <c r="AG9317" s="2">
        <f ca="1"/>
        <v>0.87532575428416126</v>
      </c>
      <c r="AH9317" s="2" t="str">
        <f ca="1"/>
        <v>Bad</v>
      </c>
    </row>
    <row r="9318" spans="2:34" x14ac:dyDescent="0.2">
      <c r="B9318" s="2">
        <f ca="1"/>
        <v>0.13339458879734423</v>
      </c>
      <c r="O9318" s="2">
        <f ca="1"/>
        <v>2.1788762513821758</v>
      </c>
      <c r="X9318" s="2">
        <f ca="1"/>
        <v>67.541279397598203</v>
      </c>
      <c r="AG9318" s="2">
        <f ca="1"/>
        <v>0.7391928167483437</v>
      </c>
      <c r="AH9318" s="2" t="str">
        <f ca="1"/>
        <v>Bad</v>
      </c>
    </row>
    <row r="9319" spans="2:34" x14ac:dyDescent="0.2">
      <c r="B9319" s="2">
        <f ca="1"/>
        <v>0.40641191857179915</v>
      </c>
      <c r="O9319" s="2">
        <f ca="1"/>
        <v>-0.92567061146618013</v>
      </c>
      <c r="X9319" s="2">
        <f ca="1"/>
        <v>59.119077638119421</v>
      </c>
      <c r="AG9319" s="2">
        <f ca="1"/>
        <v>0.68692361505329114</v>
      </c>
      <c r="AH9319" s="2" t="str">
        <f ca="1"/>
        <v>Bad</v>
      </c>
    </row>
    <row r="9320" spans="2:34" x14ac:dyDescent="0.2">
      <c r="B9320" s="2">
        <f ca="1"/>
        <v>0.35965200274209908</v>
      </c>
      <c r="O9320" s="2">
        <f ca="1"/>
        <v>0.24197605844745268</v>
      </c>
      <c r="X9320" s="2">
        <f ca="1"/>
        <v>30.238082418658596</v>
      </c>
      <c r="AG9320" s="2">
        <f ca="1"/>
        <v>0.65420532402987197</v>
      </c>
      <c r="AH9320" s="2" t="str">
        <f ca="1"/>
        <v>Bad</v>
      </c>
    </row>
    <row r="9321" spans="2:34" x14ac:dyDescent="0.2">
      <c r="B9321" s="2">
        <f ca="1"/>
        <v>0.56264055295578763</v>
      </c>
      <c r="O9321" s="2">
        <f ca="1"/>
        <v>-1.0941577443468637</v>
      </c>
      <c r="X9321" s="2">
        <f ca="1"/>
        <v>60.663804115941815</v>
      </c>
      <c r="AG9321" s="2">
        <f ca="1"/>
        <v>0.96789870562674851</v>
      </c>
      <c r="AH9321" s="2" t="str">
        <f ca="1"/>
        <v>Bad</v>
      </c>
    </row>
    <row r="9322" spans="2:34" x14ac:dyDescent="0.2">
      <c r="B9322" s="2">
        <f ca="1"/>
        <v>0.23801284978972448</v>
      </c>
      <c r="O9322" s="2">
        <f ca="1"/>
        <v>-0.48871973635677096</v>
      </c>
      <c r="X9322" s="2">
        <f ca="1"/>
        <v>43.624098343131138</v>
      </c>
      <c r="AG9322" s="2">
        <f ca="1"/>
        <v>0.37452298272964346</v>
      </c>
      <c r="AH9322" s="2" t="str">
        <f ca="1"/>
        <v>OK</v>
      </c>
    </row>
    <row r="9323" spans="2:34" x14ac:dyDescent="0.2">
      <c r="B9323" s="2">
        <f ca="1"/>
        <v>0.68206038105666544</v>
      </c>
      <c r="O9323" s="2">
        <f ca="1"/>
        <v>-0.34869901699734301</v>
      </c>
      <c r="X9323" s="2">
        <f ca="1"/>
        <v>29.855113067962193</v>
      </c>
      <c r="AG9323" s="2">
        <f ca="1"/>
        <v>0.56041820144799903</v>
      </c>
      <c r="AH9323" s="2" t="str">
        <f ca="1"/>
        <v>Bad</v>
      </c>
    </row>
    <row r="9324" spans="2:34" x14ac:dyDescent="0.2">
      <c r="B9324" s="2">
        <f ca="1"/>
        <v>0.32510291994475748</v>
      </c>
      <c r="O9324" s="2">
        <f ca="1"/>
        <v>-0.16347813937833097</v>
      </c>
      <c r="X9324" s="2">
        <f ca="1"/>
        <v>33.765927914721921</v>
      </c>
      <c r="AG9324" s="2">
        <f ca="1"/>
        <v>0.56537588004072648</v>
      </c>
      <c r="AH9324" s="2" t="str">
        <f ca="1"/>
        <v>Bad</v>
      </c>
    </row>
    <row r="9325" spans="2:34" x14ac:dyDescent="0.2">
      <c r="B9325" s="2">
        <f ca="1"/>
        <v>0.5925364655578278</v>
      </c>
      <c r="O9325" s="2">
        <f ca="1"/>
        <v>0.59096389232144464</v>
      </c>
      <c r="X9325" s="2">
        <f ca="1"/>
        <v>56.741420715824006</v>
      </c>
      <c r="AG9325" s="2">
        <f ca="1"/>
        <v>0.58180186576007009</v>
      </c>
      <c r="AH9325" s="2" t="str">
        <f ca="1"/>
        <v>Bad</v>
      </c>
    </row>
    <row r="9326" spans="2:34" x14ac:dyDescent="0.2">
      <c r="B9326" s="2">
        <f ca="1"/>
        <v>5.5792196432044028E-2</v>
      </c>
      <c r="O9326" s="2">
        <f ca="1"/>
        <v>-5.4475712646764388E-2</v>
      </c>
      <c r="X9326" s="2">
        <f ca="1"/>
        <v>66.454476050197314</v>
      </c>
      <c r="AG9326" s="2">
        <f ca="1"/>
        <v>0.89270137596229993</v>
      </c>
      <c r="AH9326" s="2" t="str">
        <f ca="1"/>
        <v>Bad</v>
      </c>
    </row>
    <row r="9327" spans="2:34" x14ac:dyDescent="0.2">
      <c r="B9327" s="2">
        <f ca="1"/>
        <v>0.84571971518837041</v>
      </c>
      <c r="O9327" s="2">
        <f ca="1"/>
        <v>-0.85441661488732712</v>
      </c>
      <c r="X9327" s="2">
        <f ca="1"/>
        <v>31.372240372854009</v>
      </c>
      <c r="AG9327" s="2">
        <f ca="1"/>
        <v>0.34774123789842792</v>
      </c>
      <c r="AH9327" s="2" t="str">
        <f ca="1"/>
        <v>OK</v>
      </c>
    </row>
    <row r="9328" spans="2:34" x14ac:dyDescent="0.2">
      <c r="B9328" s="2">
        <f ca="1"/>
        <v>0.10497037340795545</v>
      </c>
      <c r="O9328" s="2">
        <f ca="1"/>
        <v>-0.77566856653348726</v>
      </c>
      <c r="X9328" s="2">
        <f ca="1"/>
        <v>37.893202829015699</v>
      </c>
      <c r="AG9328" s="2">
        <f ca="1"/>
        <v>0.88446571609729396</v>
      </c>
      <c r="AH9328" s="2" t="str">
        <f ca="1"/>
        <v>Bad</v>
      </c>
    </row>
    <row r="9329" spans="2:34" x14ac:dyDescent="0.2">
      <c r="B9329" s="2">
        <f ca="1"/>
        <v>0.19000812740644268</v>
      </c>
      <c r="O9329" s="2">
        <f ca="1"/>
        <v>-0.91395520267049446</v>
      </c>
      <c r="X9329" s="2">
        <f ca="1"/>
        <v>40.838039143810775</v>
      </c>
      <c r="AG9329" s="2">
        <f ca="1"/>
        <v>0.31687772092894217</v>
      </c>
      <c r="AH9329" s="2" t="str">
        <f ca="1"/>
        <v>OK</v>
      </c>
    </row>
    <row r="9330" spans="2:34" x14ac:dyDescent="0.2">
      <c r="B9330" s="2">
        <f ca="1"/>
        <v>0.72491625140673999</v>
      </c>
      <c r="O9330" s="2">
        <f ca="1"/>
        <v>-0.94116778495561637</v>
      </c>
      <c r="X9330" s="2">
        <f ca="1"/>
        <v>76.362971438347046</v>
      </c>
      <c r="AG9330" s="2">
        <f ca="1"/>
        <v>0.6959573180908043</v>
      </c>
      <c r="AH9330" s="2" t="str">
        <f ca="1"/>
        <v>Bad</v>
      </c>
    </row>
    <row r="9331" spans="2:34" x14ac:dyDescent="0.2">
      <c r="B9331" s="2">
        <f ca="1"/>
        <v>0.9569594498450531</v>
      </c>
      <c r="O9331" s="2">
        <f ca="1"/>
        <v>2.0953151038792979</v>
      </c>
      <c r="X9331" s="2">
        <f ca="1"/>
        <v>60.28231995379069</v>
      </c>
      <c r="AG9331" s="2">
        <f ca="1"/>
        <v>7.7935341468770014E-2</v>
      </c>
      <c r="AH9331" s="2" t="str">
        <f ca="1"/>
        <v>OK</v>
      </c>
    </row>
    <row r="9332" spans="2:34" x14ac:dyDescent="0.2">
      <c r="B9332" s="2">
        <f ca="1"/>
        <v>0.55389082276554968</v>
      </c>
      <c r="O9332" s="2">
        <f ca="1"/>
        <v>-2.3691749326309441</v>
      </c>
      <c r="X9332" s="2">
        <f ca="1"/>
        <v>28.93971214037191</v>
      </c>
      <c r="AG9332" s="2">
        <f ca="1"/>
        <v>0.450256206391761</v>
      </c>
      <c r="AH9332" s="2" t="str">
        <f ca="1"/>
        <v>Bad</v>
      </c>
    </row>
    <row r="9333" spans="2:34" x14ac:dyDescent="0.2">
      <c r="B9333" s="2">
        <f ca="1"/>
        <v>0.18855340566398682</v>
      </c>
      <c r="O9333" s="2">
        <f ca="1"/>
        <v>0.50556431265889235</v>
      </c>
      <c r="X9333" s="2">
        <f ca="1"/>
        <v>58.521672817296704</v>
      </c>
      <c r="AG9333" s="2">
        <f ca="1"/>
        <v>0.36245144870765267</v>
      </c>
      <c r="AH9333" s="2" t="str">
        <f ca="1"/>
        <v>OK</v>
      </c>
    </row>
    <row r="9334" spans="2:34" x14ac:dyDescent="0.2">
      <c r="B9334" s="2">
        <f ca="1"/>
        <v>0.71993076873559403</v>
      </c>
      <c r="O9334" s="2">
        <f ca="1"/>
        <v>-0.54269109770098556</v>
      </c>
      <c r="X9334" s="2">
        <f ca="1"/>
        <v>27.29237983124839</v>
      </c>
      <c r="AG9334" s="2">
        <f ca="1"/>
        <v>0.20523899561605385</v>
      </c>
      <c r="AH9334" s="2" t="str">
        <f ca="1"/>
        <v>OK</v>
      </c>
    </row>
    <row r="9335" spans="2:34" x14ac:dyDescent="0.2">
      <c r="B9335" s="2">
        <f ca="1"/>
        <v>0.63552003803071755</v>
      </c>
      <c r="O9335" s="2">
        <f ca="1"/>
        <v>0.73140145355926589</v>
      </c>
      <c r="X9335" s="2">
        <f ca="1"/>
        <v>38.158222146282185</v>
      </c>
      <c r="AG9335" s="2">
        <f ca="1"/>
        <v>3.5376449716883807E-2</v>
      </c>
      <c r="AH9335" s="2" t="str">
        <f ca="1"/>
        <v>Good</v>
      </c>
    </row>
    <row r="9336" spans="2:34" x14ac:dyDescent="0.2">
      <c r="B9336" s="2">
        <f ca="1"/>
        <v>0.29194582308691652</v>
      </c>
      <c r="O9336" s="2">
        <f ca="1"/>
        <v>-1.3095143188970662</v>
      </c>
      <c r="X9336" s="2">
        <f ca="1"/>
        <v>51.525988752562455</v>
      </c>
      <c r="AG9336" s="2">
        <f ca="1"/>
        <v>0.53501770979990404</v>
      </c>
      <c r="AH9336" s="2" t="str">
        <f ca="1"/>
        <v>Bad</v>
      </c>
    </row>
    <row r="9337" spans="2:34" x14ac:dyDescent="0.2">
      <c r="B9337" s="2">
        <f ca="1"/>
        <v>0.72997035802129107</v>
      </c>
      <c r="O9337" s="2">
        <f ca="1"/>
        <v>6.0538420354099877E-2</v>
      </c>
      <c r="X9337" s="2">
        <f ca="1"/>
        <v>43.047711753280709</v>
      </c>
      <c r="AG9337" s="2">
        <f ca="1"/>
        <v>0.41028207690485097</v>
      </c>
      <c r="AH9337" s="2" t="str">
        <f ca="1"/>
        <v>Bad</v>
      </c>
    </row>
    <row r="9338" spans="2:34" x14ac:dyDescent="0.2">
      <c r="B9338" s="2">
        <f ca="1"/>
        <v>7.2348410071769731E-2</v>
      </c>
      <c r="O9338" s="2">
        <f ca="1"/>
        <v>-0.34211139726865614</v>
      </c>
      <c r="X9338" s="2">
        <f ca="1"/>
        <v>100.09546418969393</v>
      </c>
      <c r="AG9338" s="2">
        <f ca="1"/>
        <v>0.60869465980263682</v>
      </c>
      <c r="AH9338" s="2" t="str">
        <f ca="1"/>
        <v>Bad</v>
      </c>
    </row>
    <row r="9339" spans="2:34" x14ac:dyDescent="0.2">
      <c r="B9339" s="2">
        <f ca="1"/>
        <v>1.2951751510110299E-2</v>
      </c>
      <c r="O9339" s="2">
        <f ca="1"/>
        <v>0.64511775675521421</v>
      </c>
      <c r="X9339" s="2">
        <f ca="1"/>
        <v>43.621764212322603</v>
      </c>
      <c r="AG9339" s="2">
        <f ca="1"/>
        <v>0.22234946157141589</v>
      </c>
      <c r="AH9339" s="2" t="str">
        <f ca="1"/>
        <v>OK</v>
      </c>
    </row>
    <row r="9340" spans="2:34" x14ac:dyDescent="0.2">
      <c r="B9340" s="2">
        <f ca="1"/>
        <v>0.24936635611408176</v>
      </c>
      <c r="O9340" s="2">
        <f ca="1"/>
        <v>-1.9756005699743302</v>
      </c>
      <c r="X9340" s="2">
        <f ca="1"/>
        <v>21.933313987328642</v>
      </c>
      <c r="AG9340" s="2">
        <f ca="1"/>
        <v>0.50073892398848474</v>
      </c>
      <c r="AH9340" s="2" t="str">
        <f ca="1"/>
        <v>Bad</v>
      </c>
    </row>
    <row r="9341" spans="2:34" x14ac:dyDescent="0.2">
      <c r="B9341" s="2">
        <f ca="1"/>
        <v>7.029385647533104E-2</v>
      </c>
      <c r="O9341" s="2">
        <f ca="1"/>
        <v>-0.72360076051524114</v>
      </c>
      <c r="X9341" s="2">
        <f ca="1"/>
        <v>70.737056109099171</v>
      </c>
      <c r="AG9341" s="2">
        <f ca="1"/>
        <v>0.57653660202005153</v>
      </c>
      <c r="AH9341" s="2" t="str">
        <f ca="1"/>
        <v>Bad</v>
      </c>
    </row>
    <row r="9342" spans="2:34" x14ac:dyDescent="0.2">
      <c r="B9342" s="2">
        <f ca="1"/>
        <v>0.91989637043065065</v>
      </c>
      <c r="O9342" s="2">
        <f ca="1"/>
        <v>-1.4507770674306155</v>
      </c>
      <c r="X9342" s="2">
        <f ca="1"/>
        <v>51.661439488589949</v>
      </c>
      <c r="AG9342" s="2">
        <f ca="1"/>
        <v>0.77310410135866348</v>
      </c>
      <c r="AH9342" s="2" t="str">
        <f ca="1"/>
        <v>Bad</v>
      </c>
    </row>
    <row r="9343" spans="2:34" x14ac:dyDescent="0.2">
      <c r="B9343" s="2">
        <f ca="1"/>
        <v>0.94023576670487752</v>
      </c>
      <c r="O9343" s="2">
        <f ca="1"/>
        <v>0.61165261195811127</v>
      </c>
      <c r="X9343" s="2">
        <f ca="1"/>
        <v>53.673443456541776</v>
      </c>
      <c r="AG9343" s="2">
        <f ca="1"/>
        <v>0.56693860190016787</v>
      </c>
      <c r="AH9343" s="2" t="str">
        <f ca="1"/>
        <v>Bad</v>
      </c>
    </row>
    <row r="9344" spans="2:34" x14ac:dyDescent="0.2">
      <c r="B9344" s="2">
        <f ca="1"/>
        <v>0.93305679856985457</v>
      </c>
      <c r="O9344" s="2">
        <f ca="1"/>
        <v>-1.3821138401905535</v>
      </c>
      <c r="X9344" s="2">
        <f ca="1"/>
        <v>36.282181642145261</v>
      </c>
      <c r="AG9344" s="2">
        <f ca="1"/>
        <v>0.4966247754707116</v>
      </c>
      <c r="AH9344" s="2" t="str">
        <f ca="1"/>
        <v>Bad</v>
      </c>
    </row>
    <row r="9345" spans="2:34" x14ac:dyDescent="0.2">
      <c r="B9345" s="2">
        <f ca="1"/>
        <v>0.42563693969848648</v>
      </c>
      <c r="O9345" s="2">
        <f ca="1"/>
        <v>1.0564149026776832</v>
      </c>
      <c r="X9345" s="2">
        <f ca="1"/>
        <v>58.408770674562163</v>
      </c>
      <c r="AG9345" s="2">
        <f ca="1"/>
        <v>0.54758952897349977</v>
      </c>
      <c r="AH9345" s="2" t="str">
        <f ca="1"/>
        <v>Bad</v>
      </c>
    </row>
    <row r="9346" spans="2:34" x14ac:dyDescent="0.2">
      <c r="B9346" s="2">
        <f ca="1"/>
        <v>0.91679636423313049</v>
      </c>
      <c r="O9346" s="2">
        <f ca="1"/>
        <v>-1.151214735309694</v>
      </c>
      <c r="X9346" s="2">
        <f ca="1"/>
        <v>31.541745877985786</v>
      </c>
      <c r="AG9346" s="2">
        <f ca="1"/>
        <v>0.18170670435465031</v>
      </c>
      <c r="AH9346" s="2" t="str">
        <f ca="1"/>
        <v>OK</v>
      </c>
    </row>
    <row r="9347" spans="2:34" x14ac:dyDescent="0.2">
      <c r="B9347" s="2">
        <f ca="1"/>
        <v>0.78068498801634156</v>
      </c>
      <c r="O9347" s="2">
        <f ca="1"/>
        <v>-0.58901104050070618</v>
      </c>
      <c r="X9347" s="2">
        <f ca="1"/>
        <v>32.379565837032118</v>
      </c>
      <c r="AG9347" s="2">
        <f ca="1"/>
        <v>1.7624877427762087E-2</v>
      </c>
      <c r="AH9347" s="2" t="str">
        <f ca="1"/>
        <v>Good</v>
      </c>
    </row>
    <row r="9348" spans="2:34" x14ac:dyDescent="0.2">
      <c r="B9348" s="2">
        <f ca="1"/>
        <v>0.54011435888903137</v>
      </c>
      <c r="O9348" s="2">
        <f ca="1"/>
        <v>0.82210591423462953</v>
      </c>
      <c r="X9348" s="2">
        <f ca="1"/>
        <v>48.931564336907307</v>
      </c>
      <c r="AG9348" s="2">
        <f ca="1"/>
        <v>0.96385179203766569</v>
      </c>
      <c r="AH9348" s="2" t="str">
        <f ca="1"/>
        <v>Bad</v>
      </c>
    </row>
    <row r="9349" spans="2:34" x14ac:dyDescent="0.2">
      <c r="B9349" s="2">
        <f ca="1"/>
        <v>0.90200948251184121</v>
      </c>
      <c r="O9349" s="2">
        <f ca="1"/>
        <v>0.42447144601877029</v>
      </c>
      <c r="X9349" s="2">
        <f ca="1"/>
        <v>28.06054526491944</v>
      </c>
      <c r="AG9349" s="2">
        <f ca="1"/>
        <v>0.39482920475734984</v>
      </c>
      <c r="AH9349" s="2" t="str">
        <f ca="1"/>
        <v>OK</v>
      </c>
    </row>
    <row r="9350" spans="2:34" x14ac:dyDescent="0.2">
      <c r="B9350" s="2">
        <f ca="1"/>
        <v>0.98706392114404462</v>
      </c>
      <c r="O9350" s="2">
        <f ca="1"/>
        <v>0.12359026724103124</v>
      </c>
      <c r="X9350" s="2">
        <f ca="1"/>
        <v>79.932903103311673</v>
      </c>
      <c r="AG9350" s="2">
        <f ca="1"/>
        <v>0.58272693844319878</v>
      </c>
      <c r="AH9350" s="2" t="str">
        <f ca="1"/>
        <v>Bad</v>
      </c>
    </row>
    <row r="9351" spans="2:34" x14ac:dyDescent="0.2">
      <c r="B9351" s="2">
        <f ca="1"/>
        <v>0.58488495962868536</v>
      </c>
      <c r="O9351" s="2">
        <f ca="1"/>
        <v>-0.87552999711614854</v>
      </c>
      <c r="X9351" s="2">
        <f ca="1"/>
        <v>45.771902971327762</v>
      </c>
      <c r="AG9351" s="2">
        <f ca="1"/>
        <v>0.67947264150356279</v>
      </c>
      <c r="AH9351" s="2" t="str">
        <f ca="1"/>
        <v>Bad</v>
      </c>
    </row>
    <row r="9352" spans="2:34" x14ac:dyDescent="0.2">
      <c r="B9352" s="2">
        <f ca="1"/>
        <v>0.72919478129262227</v>
      </c>
      <c r="O9352" s="2">
        <f ca="1"/>
        <v>-0.39347443708289598</v>
      </c>
      <c r="X9352" s="2">
        <f ca="1"/>
        <v>31.965809212042299</v>
      </c>
      <c r="AG9352" s="2">
        <f ca="1"/>
        <v>0.10205891397418676</v>
      </c>
      <c r="AH9352" s="2" t="str">
        <f ca="1"/>
        <v>OK</v>
      </c>
    </row>
    <row r="9353" spans="2:34" x14ac:dyDescent="0.2">
      <c r="B9353" s="2">
        <f ca="1"/>
        <v>0.18445446740343496</v>
      </c>
      <c r="O9353" s="2">
        <f ca="1"/>
        <v>-0.80897179108166073</v>
      </c>
      <c r="X9353" s="2">
        <f ca="1"/>
        <v>36.097454671022845</v>
      </c>
      <c r="AG9353" s="2">
        <f ca="1"/>
        <v>0.59041374368802257</v>
      </c>
      <c r="AH9353" s="2" t="str">
        <f ca="1"/>
        <v>Bad</v>
      </c>
    </row>
    <row r="9354" spans="2:34" x14ac:dyDescent="0.2">
      <c r="B9354" s="2">
        <f ca="1"/>
        <v>0.79867980781370163</v>
      </c>
      <c r="O9354" s="2">
        <f ca="1"/>
        <v>0.17133516484849046</v>
      </c>
      <c r="X9354" s="2">
        <f ca="1"/>
        <v>38.287294983428922</v>
      </c>
      <c r="AG9354" s="2">
        <f ca="1"/>
        <v>0.28733847269069068</v>
      </c>
      <c r="AH9354" s="2" t="str">
        <f ca="1"/>
        <v>OK</v>
      </c>
    </row>
    <row r="9355" spans="2:34" x14ac:dyDescent="0.2">
      <c r="B9355" s="2">
        <f ca="1"/>
        <v>0.48054449938634147</v>
      </c>
      <c r="O9355" s="2">
        <f ca="1"/>
        <v>-0.36191348878645824</v>
      </c>
      <c r="X9355" s="2">
        <f ca="1"/>
        <v>30.763081465190119</v>
      </c>
      <c r="AG9355" s="2">
        <f ca="1"/>
        <v>0.96910026504992075</v>
      </c>
      <c r="AH9355" s="2" t="str">
        <f ca="1"/>
        <v>Bad</v>
      </c>
    </row>
    <row r="9356" spans="2:34" x14ac:dyDescent="0.2">
      <c r="B9356" s="2">
        <f ca="1"/>
        <v>0.73477193746575264</v>
      </c>
      <c r="O9356" s="2">
        <f ca="1"/>
        <v>1.8396620312948395</v>
      </c>
      <c r="X9356" s="2">
        <f ca="1"/>
        <v>39.373503525413874</v>
      </c>
      <c r="AG9356" s="2">
        <f ca="1"/>
        <v>7.2563657410597227E-2</v>
      </c>
      <c r="AH9356" s="2" t="str">
        <f ca="1"/>
        <v>OK</v>
      </c>
    </row>
    <row r="9357" spans="2:34" x14ac:dyDescent="0.2">
      <c r="B9357" s="2">
        <f ca="1"/>
        <v>0.18241661509379026</v>
      </c>
      <c r="O9357" s="2">
        <f ca="1"/>
        <v>1.6994966847962489</v>
      </c>
      <c r="X9357" s="2">
        <f ca="1"/>
        <v>44.067420808876818</v>
      </c>
      <c r="AG9357" s="2">
        <f ca="1"/>
        <v>0.64232847442736962</v>
      </c>
      <c r="AH9357" s="2" t="str">
        <f ca="1"/>
        <v>Bad</v>
      </c>
    </row>
    <row r="9358" spans="2:34" x14ac:dyDescent="0.2">
      <c r="B9358" s="2">
        <f ca="1"/>
        <v>0.16395411548540073</v>
      </c>
      <c r="O9358" s="2">
        <f ca="1"/>
        <v>-0.82924493543898981</v>
      </c>
      <c r="X9358" s="2">
        <f ca="1"/>
        <v>71.408986392683275</v>
      </c>
      <c r="AG9358" s="2">
        <f ca="1"/>
        <v>0.53152210224419649</v>
      </c>
      <c r="AH9358" s="2" t="str">
        <f ca="1"/>
        <v>Bad</v>
      </c>
    </row>
    <row r="9359" spans="2:34" x14ac:dyDescent="0.2">
      <c r="B9359" s="2">
        <f ca="1"/>
        <v>0.90574627268514818</v>
      </c>
      <c r="O9359" s="2">
        <f ca="1"/>
        <v>0.11490757029899644</v>
      </c>
      <c r="X9359" s="2">
        <f ca="1"/>
        <v>28.541660634492885</v>
      </c>
      <c r="AG9359" s="2">
        <f ca="1"/>
        <v>0.47819143458741586</v>
      </c>
      <c r="AH9359" s="2" t="str">
        <f ca="1"/>
        <v>Bad</v>
      </c>
    </row>
    <row r="9360" spans="2:34" x14ac:dyDescent="0.2">
      <c r="B9360" s="2">
        <f ca="1"/>
        <v>0.94133562551759575</v>
      </c>
      <c r="O9360" s="2">
        <f ca="1"/>
        <v>3.6281469335446417E-2</v>
      </c>
      <c r="X9360" s="2">
        <f ca="1"/>
        <v>37.727002362769028</v>
      </c>
      <c r="AG9360" s="2">
        <f ca="1"/>
        <v>5.7282850181414213E-2</v>
      </c>
      <c r="AH9360" s="2" t="str">
        <f ca="1"/>
        <v>OK</v>
      </c>
    </row>
    <row r="9361" spans="2:34" x14ac:dyDescent="0.2">
      <c r="B9361" s="2">
        <f ca="1"/>
        <v>0.21879705524822812</v>
      </c>
      <c r="O9361" s="2">
        <f ca="1"/>
        <v>-1.5687469597024564</v>
      </c>
      <c r="X9361" s="2">
        <f ca="1"/>
        <v>36.493678951139763</v>
      </c>
      <c r="AG9361" s="2">
        <f ca="1"/>
        <v>0.85073274976489599</v>
      </c>
      <c r="AH9361" s="2" t="str">
        <f ca="1"/>
        <v>Bad</v>
      </c>
    </row>
    <row r="9362" spans="2:34" x14ac:dyDescent="0.2">
      <c r="B9362" s="2">
        <f ca="1"/>
        <v>0.67881672319629338</v>
      </c>
      <c r="O9362" s="2">
        <f ca="1"/>
        <v>0.12125691413756506</v>
      </c>
      <c r="X9362" s="2">
        <f ca="1"/>
        <v>32.240700377805013</v>
      </c>
      <c r="AG9362" s="2">
        <f ca="1"/>
        <v>7.0564908630944556E-2</v>
      </c>
      <c r="AH9362" s="2" t="str">
        <f ca="1"/>
        <v>OK</v>
      </c>
    </row>
    <row r="9363" spans="2:34" x14ac:dyDescent="0.2">
      <c r="B9363" s="2">
        <f ca="1"/>
        <v>0.357074779125093</v>
      </c>
      <c r="O9363" s="2">
        <f ca="1"/>
        <v>-1.668710721410845</v>
      </c>
      <c r="X9363" s="2">
        <f ca="1"/>
        <v>33.65073347757378</v>
      </c>
      <c r="AG9363" s="2">
        <f ca="1"/>
        <v>0.48758456969220032</v>
      </c>
      <c r="AH9363" s="2" t="str">
        <f ca="1"/>
        <v>Bad</v>
      </c>
    </row>
    <row r="9364" spans="2:34" x14ac:dyDescent="0.2">
      <c r="B9364" s="2">
        <f ca="1"/>
        <v>0.97782280923600262</v>
      </c>
      <c r="O9364" s="2">
        <f ca="1"/>
        <v>-1.2998362054880472</v>
      </c>
      <c r="X9364" s="2">
        <f ca="1"/>
        <v>50.595728957070875</v>
      </c>
      <c r="AG9364" s="2">
        <f ca="1"/>
        <v>0.64007974674349821</v>
      </c>
      <c r="AH9364" s="2" t="str">
        <f ca="1"/>
        <v>Bad</v>
      </c>
    </row>
    <row r="9365" spans="2:34" x14ac:dyDescent="0.2">
      <c r="B9365" s="2">
        <f ca="1"/>
        <v>7.4210927773799229E-2</v>
      </c>
      <c r="O9365" s="2">
        <f ca="1"/>
        <v>-2.124369183097039</v>
      </c>
      <c r="X9365" s="2">
        <f ca="1"/>
        <v>99.98178628734928</v>
      </c>
      <c r="AG9365" s="2">
        <f ca="1"/>
        <v>0.56257843895070159</v>
      </c>
      <c r="AH9365" s="2" t="str">
        <f ca="1"/>
        <v>Bad</v>
      </c>
    </row>
    <row r="9366" spans="2:34" x14ac:dyDescent="0.2">
      <c r="B9366" s="2">
        <f ca="1"/>
        <v>0.59978683645589492</v>
      </c>
      <c r="O9366" s="2">
        <f ca="1"/>
        <v>1.4832716672573971</v>
      </c>
      <c r="X9366" s="2">
        <f ca="1"/>
        <v>47.484811560956253</v>
      </c>
      <c r="AG9366" s="2">
        <f ca="1"/>
        <v>0.54056955486298763</v>
      </c>
      <c r="AH9366" s="2" t="str">
        <f ca="1"/>
        <v>Bad</v>
      </c>
    </row>
    <row r="9367" spans="2:34" x14ac:dyDescent="0.2">
      <c r="B9367" s="2">
        <f ca="1"/>
        <v>3.7173906252873978E-2</v>
      </c>
      <c r="O9367" s="2">
        <f ca="1"/>
        <v>0.51485658230311959</v>
      </c>
      <c r="X9367" s="2">
        <f ca="1"/>
        <v>46.944870829586598</v>
      </c>
      <c r="AG9367" s="2">
        <f ca="1"/>
        <v>8.7191428981913344E-2</v>
      </c>
      <c r="AH9367" s="2" t="str">
        <f ca="1"/>
        <v>OK</v>
      </c>
    </row>
    <row r="9368" spans="2:34" x14ac:dyDescent="0.2">
      <c r="B9368" s="2">
        <f ca="1"/>
        <v>0.86768833633491393</v>
      </c>
      <c r="O9368" s="2">
        <f ca="1"/>
        <v>0.18822484656820662</v>
      </c>
      <c r="X9368" s="2">
        <f ca="1"/>
        <v>43.362791135837817</v>
      </c>
      <c r="AG9368" s="2">
        <f ca="1"/>
        <v>0.77621885816514147</v>
      </c>
      <c r="AH9368" s="2" t="str">
        <f ca="1"/>
        <v>Bad</v>
      </c>
    </row>
    <row r="9369" spans="2:34" x14ac:dyDescent="0.2">
      <c r="B9369" s="2">
        <f ca="1"/>
        <v>8.1160385763953125E-2</v>
      </c>
      <c r="O9369" s="2">
        <f ca="1"/>
        <v>0.40624626093730309</v>
      </c>
      <c r="X9369" s="2">
        <f ca="1"/>
        <v>78.693016402302419</v>
      </c>
      <c r="AG9369" s="2">
        <f ca="1"/>
        <v>0.73771464544314513</v>
      </c>
      <c r="AH9369" s="2" t="str">
        <f ca="1"/>
        <v>Bad</v>
      </c>
    </row>
    <row r="9370" spans="2:34" x14ac:dyDescent="0.2">
      <c r="B9370" s="2">
        <f ca="1"/>
        <v>0.5605668409959299</v>
      </c>
      <c r="O9370" s="2">
        <f ca="1"/>
        <v>1.0586502045945492</v>
      </c>
      <c r="X9370" s="2">
        <f ca="1"/>
        <v>38.62541174893876</v>
      </c>
      <c r="AG9370" s="2">
        <f ca="1"/>
        <v>0.95055998202728142</v>
      </c>
      <c r="AH9370" s="2" t="str">
        <f ca="1"/>
        <v>Bad</v>
      </c>
    </row>
    <row r="9371" spans="2:34" x14ac:dyDescent="0.2">
      <c r="B9371" s="2">
        <f ca="1"/>
        <v>0.44230297447037281</v>
      </c>
      <c r="O9371" s="2">
        <f ca="1"/>
        <v>-0.10990001939005609</v>
      </c>
      <c r="X9371" s="2">
        <f ca="1"/>
        <v>49.339926485554301</v>
      </c>
      <c r="AG9371" s="2">
        <f ca="1"/>
        <v>0.77518533176760673</v>
      </c>
      <c r="AH9371" s="2" t="str">
        <f ca="1"/>
        <v>Bad</v>
      </c>
    </row>
    <row r="9372" spans="2:34" x14ac:dyDescent="0.2">
      <c r="B9372" s="2">
        <f ca="1"/>
        <v>0.6959617277477177</v>
      </c>
      <c r="O9372" s="2">
        <f ca="1"/>
        <v>1.873501240264307</v>
      </c>
      <c r="X9372" s="2">
        <f ca="1"/>
        <v>30.473899391457458</v>
      </c>
      <c r="AG9372" s="2">
        <f ca="1"/>
        <v>0.22054863943759639</v>
      </c>
      <c r="AH9372" s="2" t="str">
        <f ca="1"/>
        <v>OK</v>
      </c>
    </row>
    <row r="9373" spans="2:34" x14ac:dyDescent="0.2">
      <c r="B9373" s="2">
        <f ca="1"/>
        <v>0.69201299965180074</v>
      </c>
      <c r="O9373" s="2">
        <f ca="1"/>
        <v>-2.3950262887046083</v>
      </c>
      <c r="X9373" s="2">
        <f ca="1"/>
        <v>45.315593694730076</v>
      </c>
      <c r="AG9373" s="2">
        <f ca="1"/>
        <v>0.61261409075518025</v>
      </c>
      <c r="AH9373" s="2" t="str">
        <f ca="1"/>
        <v>Bad</v>
      </c>
    </row>
    <row r="9374" spans="2:34" x14ac:dyDescent="0.2">
      <c r="B9374" s="2">
        <f ca="1"/>
        <v>0.39205761953934881</v>
      </c>
      <c r="O9374" s="2">
        <f ca="1"/>
        <v>-0.36457963205615807</v>
      </c>
      <c r="X9374" s="2">
        <f ca="1"/>
        <v>48.166913075643393</v>
      </c>
      <c r="AG9374" s="2">
        <f ca="1"/>
        <v>0.77732959766906684</v>
      </c>
      <c r="AH9374" s="2" t="str">
        <f ca="1"/>
        <v>Bad</v>
      </c>
    </row>
    <row r="9375" spans="2:34" x14ac:dyDescent="0.2">
      <c r="B9375" s="2">
        <f ca="1"/>
        <v>0.6338244295706843</v>
      </c>
      <c r="O9375" s="2">
        <f ca="1"/>
        <v>0.36949765253815836</v>
      </c>
      <c r="X9375" s="2">
        <f ca="1"/>
        <v>58.565340439828397</v>
      </c>
      <c r="AG9375" s="2">
        <f ca="1"/>
        <v>0.90009684316024807</v>
      </c>
      <c r="AH9375" s="2" t="str">
        <f ca="1"/>
        <v>Bad</v>
      </c>
    </row>
    <row r="9376" spans="2:34" x14ac:dyDescent="0.2">
      <c r="B9376" s="2">
        <f ca="1"/>
        <v>0.48630506966426479</v>
      </c>
      <c r="O9376" s="2">
        <f ca="1"/>
        <v>-5.9322757866071212E-2</v>
      </c>
      <c r="X9376" s="2">
        <f ca="1"/>
        <v>47.076045165559002</v>
      </c>
      <c r="AG9376" s="2">
        <f ca="1"/>
        <v>0.42908600353885351</v>
      </c>
      <c r="AH9376" s="2" t="str">
        <f ca="1"/>
        <v>Bad</v>
      </c>
    </row>
    <row r="9377" spans="2:34" x14ac:dyDescent="0.2">
      <c r="B9377" s="2">
        <f ca="1"/>
        <v>0.50106340025995855</v>
      </c>
      <c r="O9377" s="2">
        <f ca="1"/>
        <v>1.38039327858803</v>
      </c>
      <c r="X9377" s="2">
        <f ca="1"/>
        <v>42.096839900395494</v>
      </c>
      <c r="AG9377" s="2">
        <f ca="1"/>
        <v>0.61757576270671599</v>
      </c>
      <c r="AH9377" s="2" t="str">
        <f ca="1"/>
        <v>Bad</v>
      </c>
    </row>
    <row r="9378" spans="2:34" x14ac:dyDescent="0.2">
      <c r="B9378" s="2">
        <f ca="1"/>
        <v>0.25831127802206177</v>
      </c>
      <c r="O9378" s="2">
        <f ca="1"/>
        <v>-1.1198134961627288</v>
      </c>
      <c r="X9378" s="2">
        <f ca="1"/>
        <v>15.211691002856348</v>
      </c>
      <c r="AG9378" s="2">
        <f ca="1"/>
        <v>0.47852531497397965</v>
      </c>
      <c r="AH9378" s="2" t="str">
        <f ca="1"/>
        <v>Bad</v>
      </c>
    </row>
    <row r="9379" spans="2:34" x14ac:dyDescent="0.2">
      <c r="B9379" s="2">
        <f ca="1"/>
        <v>0.56650690232658785</v>
      </c>
      <c r="O9379" s="2">
        <f ca="1"/>
        <v>-0.90500498876562518</v>
      </c>
      <c r="X9379" s="2">
        <f ca="1"/>
        <v>52.168584083390847</v>
      </c>
      <c r="AG9379" s="2">
        <f ca="1"/>
        <v>0.94074654651019274</v>
      </c>
      <c r="AH9379" s="2" t="str">
        <f ca="1"/>
        <v>Bad</v>
      </c>
    </row>
    <row r="9380" spans="2:34" x14ac:dyDescent="0.2">
      <c r="B9380" s="2">
        <f ca="1"/>
        <v>0.45358503577083864</v>
      </c>
      <c r="O9380" s="2">
        <f ca="1"/>
        <v>0.67907196593092278</v>
      </c>
      <c r="X9380" s="2">
        <f ca="1"/>
        <v>51.514886833672087</v>
      </c>
      <c r="AG9380" s="2">
        <f ca="1"/>
        <v>0.99002335988232182</v>
      </c>
      <c r="AH9380" s="2" t="str">
        <f ca="1"/>
        <v>Bad</v>
      </c>
    </row>
    <row r="9381" spans="2:34" x14ac:dyDescent="0.2">
      <c r="B9381" s="2">
        <f ca="1"/>
        <v>0.30546097268312034</v>
      </c>
      <c r="O9381" s="2">
        <f ca="1"/>
        <v>0.73548459801423383</v>
      </c>
      <c r="X9381" s="2">
        <f ca="1"/>
        <v>63.457096172430084</v>
      </c>
      <c r="AG9381" s="2">
        <f ca="1"/>
        <v>0.45775484322000604</v>
      </c>
      <c r="AH9381" s="2" t="str">
        <f ca="1"/>
        <v>Bad</v>
      </c>
    </row>
    <row r="9382" spans="2:34" x14ac:dyDescent="0.2">
      <c r="B9382" s="2">
        <f ca="1"/>
        <v>0.52891727927325172</v>
      </c>
      <c r="O9382" s="2">
        <f ca="1"/>
        <v>1.4711022440968458</v>
      </c>
      <c r="X9382" s="2">
        <f ca="1"/>
        <v>54.216896123802357</v>
      </c>
      <c r="AG9382" s="2">
        <f ca="1"/>
        <v>0.71489618538457211</v>
      </c>
      <c r="AH9382" s="2" t="str">
        <f ca="1"/>
        <v>Bad</v>
      </c>
    </row>
    <row r="9383" spans="2:34" x14ac:dyDescent="0.2">
      <c r="B9383" s="2">
        <f ca="1"/>
        <v>0.16447071558680437</v>
      </c>
      <c r="O9383" s="2">
        <f ca="1"/>
        <v>0.76254765233591715</v>
      </c>
      <c r="X9383" s="2">
        <f ca="1"/>
        <v>29.991748862322197</v>
      </c>
      <c r="AG9383" s="2">
        <f ca="1"/>
        <v>3.074973818393878E-2</v>
      </c>
      <c r="AH9383" s="2" t="str">
        <f ca="1"/>
        <v>Good</v>
      </c>
    </row>
    <row r="9384" spans="2:34" x14ac:dyDescent="0.2">
      <c r="B9384" s="2">
        <f ca="1"/>
        <v>0.55755903055992451</v>
      </c>
      <c r="O9384" s="2">
        <f ca="1"/>
        <v>4.4326691978525512E-2</v>
      </c>
      <c r="X9384" s="2">
        <f ca="1"/>
        <v>39.125957281446141</v>
      </c>
      <c r="AG9384" s="2">
        <f ca="1"/>
        <v>0.88677521965059403</v>
      </c>
      <c r="AH9384" s="2" t="str">
        <f ca="1"/>
        <v>Bad</v>
      </c>
    </row>
    <row r="9385" spans="2:34" x14ac:dyDescent="0.2">
      <c r="B9385" s="2">
        <f ca="1"/>
        <v>0.22013912193701635</v>
      </c>
      <c r="O9385" s="2">
        <f ca="1"/>
        <v>1.1963162003899148</v>
      </c>
      <c r="X9385" s="2">
        <f ca="1"/>
        <v>44.989555071102671</v>
      </c>
      <c r="AG9385" s="2">
        <f ca="1"/>
        <v>0.3339946923159558</v>
      </c>
      <c r="AH9385" s="2" t="str">
        <f ca="1"/>
        <v>OK</v>
      </c>
    </row>
    <row r="9386" spans="2:34" x14ac:dyDescent="0.2">
      <c r="B9386" s="2">
        <f ca="1"/>
        <v>0.17550322824288966</v>
      </c>
      <c r="O9386" s="2">
        <f ca="1"/>
        <v>1.4269594961738119</v>
      </c>
      <c r="X9386" s="2">
        <f ca="1"/>
        <v>24.749197117790214</v>
      </c>
      <c r="AG9386" s="2">
        <f ca="1"/>
        <v>0.46825420226133385</v>
      </c>
      <c r="AH9386" s="2" t="str">
        <f ca="1"/>
        <v>Bad</v>
      </c>
    </row>
    <row r="9387" spans="2:34" x14ac:dyDescent="0.2">
      <c r="B9387" s="2">
        <f ca="1"/>
        <v>0.16637907227783266</v>
      </c>
      <c r="O9387" s="2">
        <f ca="1"/>
        <v>0.66356106688389016</v>
      </c>
      <c r="X9387" s="2">
        <f ca="1"/>
        <v>46.061845409282284</v>
      </c>
      <c r="AG9387" s="2">
        <f ca="1"/>
        <v>0.90669020310846316</v>
      </c>
      <c r="AH9387" s="2" t="str">
        <f ca="1"/>
        <v>Bad</v>
      </c>
    </row>
    <row r="9388" spans="2:34" x14ac:dyDescent="0.2">
      <c r="B9388" s="2">
        <f ca="1"/>
        <v>0.1476933790703403</v>
      </c>
      <c r="O9388" s="2">
        <f ca="1"/>
        <v>5.946535291385141E-2</v>
      </c>
      <c r="X9388" s="2">
        <f ca="1"/>
        <v>42.49460747494625</v>
      </c>
      <c r="AG9388" s="2">
        <f ca="1"/>
        <v>0.56640487893276514</v>
      </c>
      <c r="AH9388" s="2" t="str">
        <f ca="1"/>
        <v>Bad</v>
      </c>
    </row>
    <row r="9389" spans="2:34" x14ac:dyDescent="0.2">
      <c r="B9389" s="2">
        <f ca="1"/>
        <v>0.69498311552402137</v>
      </c>
      <c r="O9389" s="2">
        <f ca="1"/>
        <v>-0.84506498463815249</v>
      </c>
      <c r="X9389" s="2">
        <f ca="1"/>
        <v>67.280504510313833</v>
      </c>
      <c r="AG9389" s="2">
        <f ca="1"/>
        <v>0.2091394388023522</v>
      </c>
      <c r="AH9389" s="2" t="str">
        <f ca="1"/>
        <v>OK</v>
      </c>
    </row>
    <row r="9390" spans="2:34" x14ac:dyDescent="0.2">
      <c r="B9390" s="2">
        <f ca="1"/>
        <v>0.40936544522374096</v>
      </c>
      <c r="O9390" s="2">
        <f ca="1"/>
        <v>1.5762830794172539E-2</v>
      </c>
      <c r="X9390" s="2">
        <f ca="1"/>
        <v>57.726818057991352</v>
      </c>
      <c r="AG9390" s="2">
        <f ca="1"/>
        <v>4.5984051980896279E-3</v>
      </c>
      <c r="AH9390" s="2" t="str">
        <f ca="1"/>
        <v>Good</v>
      </c>
    </row>
    <row r="9391" spans="2:34" x14ac:dyDescent="0.2">
      <c r="B9391" s="2">
        <f ca="1"/>
        <v>0.59350211238667239</v>
      </c>
      <c r="O9391" s="2">
        <f ca="1"/>
        <v>0.58806112537588762</v>
      </c>
      <c r="X9391" s="2">
        <f ca="1"/>
        <v>41.59089515035366</v>
      </c>
      <c r="AG9391" s="2">
        <f ca="1"/>
        <v>0.7609314826654876</v>
      </c>
      <c r="AH9391" s="2" t="str">
        <f ca="1"/>
        <v>Bad</v>
      </c>
    </row>
    <row r="9392" spans="2:34" x14ac:dyDescent="0.2">
      <c r="B9392" s="2">
        <f ca="1"/>
        <v>9.930701466805969E-2</v>
      </c>
      <c r="O9392" s="2">
        <f ca="1"/>
        <v>-0.14321602551537363</v>
      </c>
      <c r="X9392" s="2">
        <f ca="1"/>
        <v>44.879084675115131</v>
      </c>
      <c r="AG9392" s="2">
        <f ca="1"/>
        <v>0.41275939285205476</v>
      </c>
      <c r="AH9392" s="2" t="str">
        <f ca="1"/>
        <v>Bad</v>
      </c>
    </row>
    <row r="9393" spans="2:34" x14ac:dyDescent="0.2">
      <c r="B9393" s="2">
        <f ca="1"/>
        <v>0.11674906067777191</v>
      </c>
      <c r="O9393" s="2">
        <f ca="1"/>
        <v>0.68110404629544008</v>
      </c>
      <c r="X9393" s="2">
        <f ca="1"/>
        <v>57.465084783758151</v>
      </c>
      <c r="AG9393" s="2">
        <f ca="1"/>
        <v>0.72385432412087058</v>
      </c>
      <c r="AH9393" s="2" t="str">
        <f ca="1"/>
        <v>Bad</v>
      </c>
    </row>
    <row r="9394" spans="2:34" x14ac:dyDescent="0.2">
      <c r="B9394" s="2">
        <f ca="1"/>
        <v>0.90555149848746308</v>
      </c>
      <c r="O9394" s="2">
        <f ca="1"/>
        <v>4.5264865562499683E-4</v>
      </c>
      <c r="X9394" s="2">
        <f ca="1"/>
        <v>47.321013074954372</v>
      </c>
      <c r="AG9394" s="2">
        <f ca="1"/>
        <v>0.77424776451802968</v>
      </c>
      <c r="AH9394" s="2" t="str">
        <f ca="1"/>
        <v>Bad</v>
      </c>
    </row>
    <row r="9395" spans="2:34" x14ac:dyDescent="0.2">
      <c r="B9395" s="2">
        <f ca="1"/>
        <v>4.1384354764897102E-2</v>
      </c>
      <c r="O9395" s="2">
        <f ca="1"/>
        <v>-0.71579554801912282</v>
      </c>
      <c r="X9395" s="2">
        <f ca="1"/>
        <v>63.713625758267128</v>
      </c>
      <c r="AG9395" s="2">
        <f ca="1"/>
        <v>5.5300896364129271E-2</v>
      </c>
      <c r="AH9395" s="2" t="str">
        <f ca="1"/>
        <v>OK</v>
      </c>
    </row>
    <row r="9396" spans="2:34" x14ac:dyDescent="0.2">
      <c r="B9396" s="2">
        <f ca="1"/>
        <v>0.36249966413811108</v>
      </c>
      <c r="O9396" s="2">
        <f ca="1"/>
        <v>1.5198707921846732</v>
      </c>
      <c r="X9396" s="2">
        <f ca="1"/>
        <v>23.133761953065616</v>
      </c>
      <c r="AG9396" s="2">
        <f ca="1"/>
        <v>0.90020513373593714</v>
      </c>
      <c r="AH9396" s="2" t="str">
        <f ca="1"/>
        <v>Bad</v>
      </c>
    </row>
    <row r="9397" spans="2:34" x14ac:dyDescent="0.2">
      <c r="B9397" s="2">
        <f ca="1"/>
        <v>0.80546775823281358</v>
      </c>
      <c r="O9397" s="2">
        <f ca="1"/>
        <v>0.91644307441020079</v>
      </c>
      <c r="X9397" s="2">
        <f ca="1"/>
        <v>65.418829659795122</v>
      </c>
      <c r="AG9397" s="2">
        <f ca="1"/>
        <v>0.48861038648829402</v>
      </c>
      <c r="AH9397" s="2" t="str">
        <f ca="1"/>
        <v>Bad</v>
      </c>
    </row>
    <row r="9398" spans="2:34" x14ac:dyDescent="0.2">
      <c r="B9398" s="2">
        <f ca="1"/>
        <v>0.23643114378502683</v>
      </c>
      <c r="O9398" s="2">
        <f ca="1"/>
        <v>-1.8049842502774462</v>
      </c>
      <c r="X9398" s="2">
        <f ca="1"/>
        <v>39.512756427125836</v>
      </c>
      <c r="AG9398" s="2">
        <f ca="1"/>
        <v>0.5085720136698122</v>
      </c>
      <c r="AH9398" s="2" t="str">
        <f ca="1"/>
        <v>Bad</v>
      </c>
    </row>
    <row r="9399" spans="2:34" x14ac:dyDescent="0.2">
      <c r="B9399" s="2">
        <f ca="1"/>
        <v>0.4957939691114055</v>
      </c>
      <c r="O9399" s="2">
        <f ca="1"/>
        <v>0.51408956489493429</v>
      </c>
      <c r="X9399" s="2">
        <f ca="1"/>
        <v>63.910655994974064</v>
      </c>
      <c r="AG9399" s="2">
        <f ca="1"/>
        <v>0.92432455404307556</v>
      </c>
      <c r="AH9399" s="2" t="str">
        <f ca="1"/>
        <v>Bad</v>
      </c>
    </row>
    <row r="9400" spans="2:34" x14ac:dyDescent="0.2">
      <c r="B9400" s="2">
        <f ca="1"/>
        <v>0.90540404961952081</v>
      </c>
      <c r="O9400" s="2">
        <f ca="1"/>
        <v>0.67951022827446717</v>
      </c>
      <c r="X9400" s="2">
        <f ca="1"/>
        <v>75.712555644516399</v>
      </c>
      <c r="AG9400" s="2">
        <f ca="1"/>
        <v>0.70719259276595592</v>
      </c>
      <c r="AH9400" s="2" t="str">
        <f ca="1"/>
        <v>Bad</v>
      </c>
    </row>
    <row r="9401" spans="2:34" x14ac:dyDescent="0.2">
      <c r="B9401" s="2">
        <f ca="1"/>
        <v>0.70119175768904896</v>
      </c>
      <c r="O9401" s="2">
        <f ca="1"/>
        <v>-0.22359407329261519</v>
      </c>
      <c r="X9401" s="2">
        <f ca="1"/>
        <v>20.473013950346637</v>
      </c>
      <c r="AG9401" s="2">
        <f ca="1"/>
        <v>0.28195165950906875</v>
      </c>
      <c r="AH9401" s="2" t="str">
        <f ca="1"/>
        <v>OK</v>
      </c>
    </row>
    <row r="9402" spans="2:34" x14ac:dyDescent="0.2">
      <c r="B9402" s="2">
        <f ca="1"/>
        <v>0.69344371467692101</v>
      </c>
      <c r="O9402" s="2">
        <f ca="1"/>
        <v>-0.22909265293867467</v>
      </c>
      <c r="X9402" s="2">
        <f ca="1"/>
        <v>31.188430895220982</v>
      </c>
      <c r="AG9402" s="2">
        <f ca="1"/>
        <v>0.59701768124090426</v>
      </c>
      <c r="AH9402" s="2" t="str">
        <f ca="1"/>
        <v>Bad</v>
      </c>
    </row>
    <row r="9403" spans="2:34" x14ac:dyDescent="0.2">
      <c r="B9403" s="2">
        <f ca="1"/>
        <v>0.60322000015506116</v>
      </c>
      <c r="O9403" s="2">
        <f ca="1"/>
        <v>0.34958662627329401</v>
      </c>
      <c r="X9403" s="2">
        <f ca="1"/>
        <v>68.436186804415485</v>
      </c>
      <c r="AG9403" s="2">
        <f ca="1"/>
        <v>0.1395020707708774</v>
      </c>
      <c r="AH9403" s="2" t="str">
        <f ca="1"/>
        <v>OK</v>
      </c>
    </row>
    <row r="9404" spans="2:34" x14ac:dyDescent="0.2">
      <c r="B9404" s="2">
        <f ca="1"/>
        <v>0.17316833578105051</v>
      </c>
      <c r="O9404" s="2">
        <f ca="1"/>
        <v>-1.2938290886090287</v>
      </c>
      <c r="X9404" s="2">
        <f ca="1"/>
        <v>62.738014912331209</v>
      </c>
      <c r="AG9404" s="2">
        <f ca="1"/>
        <v>0.85754068368785585</v>
      </c>
      <c r="AH9404" s="2" t="str">
        <f ca="1"/>
        <v>Bad</v>
      </c>
    </row>
    <row r="9405" spans="2:34" x14ac:dyDescent="0.2">
      <c r="B9405" s="2">
        <f ca="1"/>
        <v>0.14265949169672765</v>
      </c>
      <c r="O9405" s="2">
        <f ca="1"/>
        <v>-0.2935628918798962</v>
      </c>
      <c r="X9405" s="2">
        <f ca="1"/>
        <v>54.15755862602019</v>
      </c>
      <c r="AG9405" s="2">
        <f ca="1"/>
        <v>0.55349104727199183</v>
      </c>
      <c r="AH9405" s="2" t="str">
        <f ca="1"/>
        <v>Bad</v>
      </c>
    </row>
    <row r="9406" spans="2:34" x14ac:dyDescent="0.2">
      <c r="B9406" s="2">
        <f ca="1"/>
        <v>0.91709498190972871</v>
      </c>
      <c r="O9406" s="2">
        <f ca="1"/>
        <v>-0.18236955760889859</v>
      </c>
      <c r="X9406" s="2">
        <f ca="1"/>
        <v>33.96774612447166</v>
      </c>
      <c r="AG9406" s="2">
        <f ca="1"/>
        <v>0.34127235538935929</v>
      </c>
      <c r="AH9406" s="2" t="str">
        <f ca="1"/>
        <v>OK</v>
      </c>
    </row>
    <row r="9407" spans="2:34" x14ac:dyDescent="0.2">
      <c r="B9407" s="2">
        <f ca="1"/>
        <v>0.70832728916872023</v>
      </c>
      <c r="O9407" s="2">
        <f ca="1"/>
        <v>-0.42354832052713204</v>
      </c>
      <c r="X9407" s="2">
        <f ca="1"/>
        <v>54.245736233525349</v>
      </c>
      <c r="AG9407" s="2">
        <f ca="1"/>
        <v>0.24366214256823326</v>
      </c>
      <c r="AH9407" s="2" t="str">
        <f ca="1"/>
        <v>OK</v>
      </c>
    </row>
    <row r="9408" spans="2:34" x14ac:dyDescent="0.2">
      <c r="B9408" s="2">
        <f ca="1"/>
        <v>0.88206474394659851</v>
      </c>
      <c r="O9408" s="2">
        <f ca="1"/>
        <v>1.0915405244685141</v>
      </c>
      <c r="X9408" s="2">
        <f ca="1"/>
        <v>68.661490064038475</v>
      </c>
      <c r="AG9408" s="2">
        <f ca="1"/>
        <v>0.83915441100340327</v>
      </c>
      <c r="AH9408" s="2" t="str">
        <f ca="1"/>
        <v>Bad</v>
      </c>
    </row>
    <row r="9409" spans="2:34" x14ac:dyDescent="0.2">
      <c r="B9409" s="2">
        <f ca="1"/>
        <v>0.81319607203762323</v>
      </c>
      <c r="O9409" s="2">
        <f ca="1"/>
        <v>-0.40762904150654194</v>
      </c>
      <c r="X9409" s="2">
        <f ca="1"/>
        <v>50.070246593595087</v>
      </c>
      <c r="AG9409" s="2">
        <f ca="1"/>
        <v>0.55169116786690897</v>
      </c>
      <c r="AH9409" s="2" t="str">
        <f ca="1"/>
        <v>Bad</v>
      </c>
    </row>
    <row r="9410" spans="2:34" x14ac:dyDescent="0.2">
      <c r="B9410" s="2">
        <f ca="1"/>
        <v>0.88005886147289125</v>
      </c>
      <c r="O9410" s="2">
        <f ca="1"/>
        <v>-0.78229467727959945</v>
      </c>
      <c r="X9410" s="2">
        <f ca="1"/>
        <v>36.158709723508579</v>
      </c>
      <c r="AG9410" s="2">
        <f ca="1"/>
        <v>0.79646550894787316</v>
      </c>
      <c r="AH9410" s="2" t="str">
        <f ca="1"/>
        <v>Bad</v>
      </c>
    </row>
    <row r="9411" spans="2:34" x14ac:dyDescent="0.2">
      <c r="B9411" s="2">
        <f ca="1"/>
        <v>0.52128041793252788</v>
      </c>
      <c r="O9411" s="2">
        <f ca="1"/>
        <v>0.34401688673923575</v>
      </c>
      <c r="X9411" s="2">
        <f ca="1"/>
        <v>75.074292218063022</v>
      </c>
      <c r="AG9411" s="2">
        <f ca="1"/>
        <v>0.43148509335364915</v>
      </c>
      <c r="AH9411" s="2" t="str">
        <f ca="1"/>
        <v>Bad</v>
      </c>
    </row>
    <row r="9412" spans="2:34" x14ac:dyDescent="0.2">
      <c r="B9412" s="2">
        <f ca="1"/>
        <v>0.20878796942535449</v>
      </c>
      <c r="O9412" s="2">
        <f ca="1"/>
        <v>0.13985844528832192</v>
      </c>
      <c r="X9412" s="2">
        <f ca="1"/>
        <v>35.086119243485044</v>
      </c>
      <c r="AG9412" s="2">
        <f ca="1"/>
        <v>5.50757525004264E-3</v>
      </c>
      <c r="AH9412" s="2" t="str">
        <f ca="1"/>
        <v>Good</v>
      </c>
    </row>
    <row r="9413" spans="2:34" x14ac:dyDescent="0.2">
      <c r="B9413" s="2">
        <f ca="1"/>
        <v>0.41902718662541405</v>
      </c>
      <c r="O9413" s="2">
        <f ca="1"/>
        <v>7.6773457593934266E-2</v>
      </c>
      <c r="X9413" s="2">
        <f ca="1"/>
        <v>43.372793258759401</v>
      </c>
      <c r="AG9413" s="2">
        <f ca="1"/>
        <v>0.67015329874740392</v>
      </c>
      <c r="AH9413" s="2" t="str">
        <f ca="1"/>
        <v>Bad</v>
      </c>
    </row>
    <row r="9414" spans="2:34" x14ac:dyDescent="0.2">
      <c r="B9414" s="2">
        <f ca="1"/>
        <v>0.37727646847182661</v>
      </c>
      <c r="O9414" s="2">
        <f ca="1"/>
        <v>0.83094574670445753</v>
      </c>
      <c r="X9414" s="2">
        <f ca="1"/>
        <v>52.011168112638416</v>
      </c>
      <c r="AG9414" s="2">
        <f ca="1"/>
        <v>0.70678189603859365</v>
      </c>
      <c r="AH9414" s="2" t="str">
        <f ca="1"/>
        <v>Bad</v>
      </c>
    </row>
    <row r="9415" spans="2:34" x14ac:dyDescent="0.2">
      <c r="B9415" s="2">
        <f ca="1"/>
        <v>0.63191686488407917</v>
      </c>
      <c r="O9415" s="2">
        <f ca="1"/>
        <v>0.9775958146580731</v>
      </c>
      <c r="X9415" s="2">
        <f ca="1"/>
        <v>32.810856198641993</v>
      </c>
      <c r="AG9415" s="2">
        <f ca="1"/>
        <v>0.54657665613603101</v>
      </c>
      <c r="AH9415" s="2" t="str">
        <f ca="1"/>
        <v>Bad</v>
      </c>
    </row>
    <row r="9416" spans="2:34" x14ac:dyDescent="0.2">
      <c r="B9416" s="2">
        <f ca="1"/>
        <v>0.6923969863188999</v>
      </c>
      <c r="O9416" s="2">
        <f ca="1"/>
        <v>8.2336842456585416E-2</v>
      </c>
      <c r="X9416" s="2">
        <f ca="1"/>
        <v>40.556940078443581</v>
      </c>
      <c r="AG9416" s="2">
        <f ca="1"/>
        <v>0.79970309265002548</v>
      </c>
      <c r="AH9416" s="2" t="str">
        <f ca="1"/>
        <v>Bad</v>
      </c>
    </row>
    <row r="9417" spans="2:34" x14ac:dyDescent="0.2">
      <c r="B9417" s="2">
        <f ca="1"/>
        <v>0.76039971604589729</v>
      </c>
      <c r="O9417" s="2">
        <f ca="1"/>
        <v>0.99175299081013191</v>
      </c>
      <c r="X9417" s="2">
        <f ca="1"/>
        <v>62.418943720047977</v>
      </c>
      <c r="AG9417" s="2">
        <f ca="1"/>
        <v>0.34609600094341775</v>
      </c>
      <c r="AH9417" s="2" t="str">
        <f ca="1"/>
        <v>OK</v>
      </c>
    </row>
    <row r="9418" spans="2:34" x14ac:dyDescent="0.2">
      <c r="B9418" s="2">
        <f ca="1"/>
        <v>0.67924083492032095</v>
      </c>
      <c r="O9418" s="2">
        <f ca="1"/>
        <v>1.1247617500524763</v>
      </c>
      <c r="X9418" s="2">
        <f ca="1"/>
        <v>31.699518232810391</v>
      </c>
      <c r="AG9418" s="2">
        <f ca="1"/>
        <v>0.43741233469398488</v>
      </c>
      <c r="AH9418" s="2" t="str">
        <f ca="1"/>
        <v>Bad</v>
      </c>
    </row>
    <row r="9419" spans="2:34" x14ac:dyDescent="0.2">
      <c r="B9419" s="2">
        <f ca="1"/>
        <v>0.85005239664703858</v>
      </c>
      <c r="O9419" s="2">
        <f ca="1"/>
        <v>0.21675615291102948</v>
      </c>
      <c r="X9419" s="2">
        <f ca="1"/>
        <v>27.685011144876796</v>
      </c>
      <c r="AG9419" s="2">
        <f ca="1"/>
        <v>0.35876182520345923</v>
      </c>
      <c r="AH9419" s="2" t="str">
        <f ca="1"/>
        <v>OK</v>
      </c>
    </row>
    <row r="9420" spans="2:34" x14ac:dyDescent="0.2">
      <c r="B9420" s="2">
        <f ca="1"/>
        <v>0.19783907771105591</v>
      </c>
      <c r="O9420" s="2">
        <f ca="1"/>
        <v>-1.5208009183701194</v>
      </c>
      <c r="X9420" s="2">
        <f ca="1"/>
        <v>36.647966045958292</v>
      </c>
      <c r="AG9420" s="2">
        <f ca="1"/>
        <v>0.71508127353076878</v>
      </c>
      <c r="AH9420" s="2" t="str">
        <f ca="1"/>
        <v>Bad</v>
      </c>
    </row>
    <row r="9421" spans="2:34" x14ac:dyDescent="0.2">
      <c r="B9421" s="2">
        <f ca="1"/>
        <v>0.44167532795719744</v>
      </c>
      <c r="O9421" s="2">
        <f ca="1"/>
        <v>-0.56332599426678198</v>
      </c>
      <c r="X9421" s="2">
        <f ca="1"/>
        <v>42.162448752962632</v>
      </c>
      <c r="AG9421" s="2">
        <f ca="1"/>
        <v>0.46270966555065751</v>
      </c>
      <c r="AH9421" s="2" t="str">
        <f ca="1"/>
        <v>Bad</v>
      </c>
    </row>
    <row r="9422" spans="2:34" x14ac:dyDescent="0.2">
      <c r="B9422" s="2">
        <f ca="1"/>
        <v>9.7901568964028352E-2</v>
      </c>
      <c r="O9422" s="2">
        <f ca="1"/>
        <v>0.38631965929781115</v>
      </c>
      <c r="X9422" s="2">
        <f ca="1"/>
        <v>62.184987300022684</v>
      </c>
      <c r="AG9422" s="2">
        <f ca="1"/>
        <v>0.66316812275711423</v>
      </c>
      <c r="AH9422" s="2" t="str">
        <f ca="1"/>
        <v>Bad</v>
      </c>
    </row>
    <row r="9423" spans="2:34" x14ac:dyDescent="0.2">
      <c r="B9423" s="2">
        <f ca="1"/>
        <v>0.39193400181418725</v>
      </c>
      <c r="O9423" s="2">
        <f ca="1"/>
        <v>-0.85849795596802403</v>
      </c>
      <c r="X9423" s="2">
        <f ca="1"/>
        <v>35.556468562693063</v>
      </c>
      <c r="AG9423" s="2">
        <f ca="1"/>
        <v>0.5177647086385937</v>
      </c>
      <c r="AH9423" s="2" t="str">
        <f ca="1"/>
        <v>Bad</v>
      </c>
    </row>
    <row r="9424" spans="2:34" x14ac:dyDescent="0.2">
      <c r="B9424" s="2">
        <f ca="1"/>
        <v>0.86173077080826288</v>
      </c>
      <c r="O9424" s="2">
        <f ca="1"/>
        <v>-3.3186109786793714</v>
      </c>
      <c r="X9424" s="2">
        <f ca="1"/>
        <v>63.617425503778634</v>
      </c>
      <c r="AG9424" s="2">
        <f ca="1"/>
        <v>0.14741964583903799</v>
      </c>
      <c r="AH9424" s="2" t="str">
        <f ca="1"/>
        <v>OK</v>
      </c>
    </row>
    <row r="9425" spans="2:34" x14ac:dyDescent="0.2">
      <c r="B9425" s="2">
        <f ca="1"/>
        <v>0.97396955739247115</v>
      </c>
      <c r="O9425" s="2">
        <f ca="1"/>
        <v>2.0228124664749325</v>
      </c>
      <c r="X9425" s="2">
        <f ca="1"/>
        <v>44.959202995210717</v>
      </c>
      <c r="AG9425" s="2">
        <f ca="1"/>
        <v>0.80015523866957694</v>
      </c>
      <c r="AH9425" s="2" t="str">
        <f ca="1"/>
        <v>Bad</v>
      </c>
    </row>
    <row r="9426" spans="2:34" x14ac:dyDescent="0.2">
      <c r="B9426" s="2">
        <f ca="1"/>
        <v>0.75882510848095919</v>
      </c>
      <c r="O9426" s="2">
        <f ca="1"/>
        <v>-1.5050118658254035</v>
      </c>
      <c r="X9426" s="2">
        <f ca="1"/>
        <v>42.342092974467903</v>
      </c>
      <c r="AG9426" s="2">
        <f ca="1"/>
        <v>0.71471812480071861</v>
      </c>
      <c r="AH9426" s="2" t="str">
        <f ca="1"/>
        <v>Bad</v>
      </c>
    </row>
    <row r="9427" spans="2:34" x14ac:dyDescent="0.2">
      <c r="B9427" s="2">
        <f ca="1"/>
        <v>0.58001629118159048</v>
      </c>
      <c r="O9427" s="2">
        <f ca="1"/>
        <v>-1.2025460226512696</v>
      </c>
      <c r="X9427" s="2">
        <f ca="1"/>
        <v>42.018900392429259</v>
      </c>
      <c r="AG9427" s="2">
        <f ca="1"/>
        <v>0.2483276959451155</v>
      </c>
      <c r="AH9427" s="2" t="str">
        <f ca="1"/>
        <v>OK</v>
      </c>
    </row>
    <row r="9428" spans="2:34" x14ac:dyDescent="0.2">
      <c r="B9428" s="2">
        <f ca="1"/>
        <v>0.93309323120461563</v>
      </c>
      <c r="O9428" s="2">
        <f ca="1"/>
        <v>-0.46406078095913011</v>
      </c>
      <c r="X9428" s="2">
        <f ca="1"/>
        <v>32.804993101480861</v>
      </c>
      <c r="AG9428" s="2">
        <f ca="1"/>
        <v>0.82110712620868775</v>
      </c>
      <c r="AH9428" s="2" t="str">
        <f ca="1"/>
        <v>Bad</v>
      </c>
    </row>
    <row r="9429" spans="2:34" x14ac:dyDescent="0.2">
      <c r="B9429" s="2">
        <f ca="1"/>
        <v>0.94748137086257378</v>
      </c>
      <c r="O9429" s="2">
        <f ca="1"/>
        <v>-0.54483126882226529</v>
      </c>
      <c r="X9429" s="2">
        <f ca="1"/>
        <v>28.570339951878626</v>
      </c>
      <c r="AG9429" s="2">
        <f ca="1"/>
        <v>0.83047384860435991</v>
      </c>
      <c r="AH9429" s="2" t="str">
        <f ca="1"/>
        <v>Bad</v>
      </c>
    </row>
    <row r="9430" spans="2:34" x14ac:dyDescent="0.2">
      <c r="B9430" s="2">
        <f ca="1"/>
        <v>0.50055065500351636</v>
      </c>
      <c r="O9430" s="2">
        <f ca="1"/>
        <v>1.2308886958465814E-3</v>
      </c>
      <c r="X9430" s="2">
        <f ca="1"/>
        <v>50.989588980820805</v>
      </c>
      <c r="AG9430" s="2">
        <f ca="1"/>
        <v>0.45372181726920591</v>
      </c>
      <c r="AH9430" s="2" t="str">
        <f ca="1"/>
        <v>Bad</v>
      </c>
    </row>
    <row r="9431" spans="2:34" x14ac:dyDescent="0.2">
      <c r="B9431" s="2">
        <f ca="1"/>
        <v>0.518570730292508</v>
      </c>
      <c r="O9431" s="2">
        <f ca="1"/>
        <v>-0.58192309384116381</v>
      </c>
      <c r="X9431" s="2">
        <f ca="1"/>
        <v>30.277769075706573</v>
      </c>
      <c r="AG9431" s="2">
        <f ca="1"/>
        <v>0.32560783197465404</v>
      </c>
      <c r="AH9431" s="2" t="str">
        <f ca="1"/>
        <v>OK</v>
      </c>
    </row>
    <row r="9432" spans="2:34" x14ac:dyDescent="0.2">
      <c r="B9432" s="2">
        <f ca="1"/>
        <v>0.62850912040174478</v>
      </c>
      <c r="O9432" s="2">
        <f ca="1"/>
        <v>-0.53206834344433063</v>
      </c>
      <c r="X9432" s="2">
        <f ca="1"/>
        <v>69.851800990228895</v>
      </c>
      <c r="AG9432" s="2">
        <f ca="1"/>
        <v>0.84719596070490621</v>
      </c>
      <c r="AH9432" s="2" t="str">
        <f ca="1"/>
        <v>Bad</v>
      </c>
    </row>
    <row r="9433" spans="2:34" x14ac:dyDescent="0.2">
      <c r="B9433" s="2">
        <f ca="1"/>
        <v>0.98679011137889394</v>
      </c>
      <c r="O9433" s="2">
        <f ca="1"/>
        <v>2.047645822106273</v>
      </c>
      <c r="X9433" s="2">
        <f ca="1"/>
        <v>80.681850408802447</v>
      </c>
      <c r="AG9433" s="2">
        <f ca="1"/>
        <v>0.51987057069531994</v>
      </c>
      <c r="AH9433" s="2" t="str">
        <f ca="1"/>
        <v>Bad</v>
      </c>
    </row>
    <row r="9434" spans="2:34" x14ac:dyDescent="0.2">
      <c r="B9434" s="2">
        <f ca="1"/>
        <v>0.88349405689525717</v>
      </c>
      <c r="O9434" s="2">
        <f ca="1"/>
        <v>2.685464999220522</v>
      </c>
      <c r="X9434" s="2">
        <f ca="1"/>
        <v>67.125379681379258</v>
      </c>
      <c r="AG9434" s="2">
        <f ca="1"/>
        <v>0.28603446711379155</v>
      </c>
      <c r="AH9434" s="2" t="str">
        <f ca="1"/>
        <v>OK</v>
      </c>
    </row>
    <row r="9435" spans="2:34" x14ac:dyDescent="0.2">
      <c r="B9435" s="2">
        <f ca="1"/>
        <v>0.5258113225956289</v>
      </c>
      <c r="O9435" s="2">
        <f ca="1"/>
        <v>1.0672989146356167</v>
      </c>
      <c r="X9435" s="2">
        <f ca="1"/>
        <v>68.054391954491351</v>
      </c>
      <c r="AG9435" s="2">
        <f ca="1"/>
        <v>8.5760897513665668E-2</v>
      </c>
      <c r="AH9435" s="2" t="str">
        <f ca="1"/>
        <v>OK</v>
      </c>
    </row>
    <row r="9436" spans="2:34" x14ac:dyDescent="0.2">
      <c r="B9436" s="2">
        <f ca="1"/>
        <v>0.72416746616059946</v>
      </c>
      <c r="O9436" s="2">
        <f ca="1"/>
        <v>-0.24805902349953837</v>
      </c>
      <c r="X9436" s="2">
        <f ca="1"/>
        <v>72.130273308832813</v>
      </c>
      <c r="AG9436" s="2">
        <f ca="1"/>
        <v>0.46095849152645374</v>
      </c>
      <c r="AH9436" s="2" t="str">
        <f ca="1"/>
        <v>Bad</v>
      </c>
    </row>
    <row r="9437" spans="2:34" x14ac:dyDescent="0.2">
      <c r="B9437" s="2">
        <f ca="1"/>
        <v>0.51202338229857425</v>
      </c>
      <c r="O9437" s="2">
        <f ca="1"/>
        <v>-0.43428031439991999</v>
      </c>
      <c r="X9437" s="2">
        <f ca="1"/>
        <v>67.664768765267837</v>
      </c>
      <c r="AG9437" s="2">
        <f ca="1"/>
        <v>0.64593035375498786</v>
      </c>
      <c r="AH9437" s="2" t="str">
        <f ca="1"/>
        <v>Bad</v>
      </c>
    </row>
    <row r="9438" spans="2:34" x14ac:dyDescent="0.2">
      <c r="B9438" s="2">
        <f ca="1"/>
        <v>0.4149556585554921</v>
      </c>
      <c r="O9438" s="2">
        <f ca="1"/>
        <v>-0.55014751708710041</v>
      </c>
      <c r="X9438" s="2">
        <f ca="1"/>
        <v>49.265181254489775</v>
      </c>
      <c r="AG9438" s="2">
        <f ca="1"/>
        <v>0.12260100887273384</v>
      </c>
      <c r="AH9438" s="2" t="str">
        <f ca="1"/>
        <v>OK</v>
      </c>
    </row>
    <row r="9439" spans="2:34" x14ac:dyDescent="0.2">
      <c r="B9439" s="2">
        <f ca="1"/>
        <v>0.75467403318577375</v>
      </c>
      <c r="O9439" s="2">
        <f ca="1"/>
        <v>0.83619059864419487</v>
      </c>
      <c r="X9439" s="2">
        <f ca="1"/>
        <v>35.07149794124566</v>
      </c>
      <c r="AG9439" s="2">
        <f ca="1"/>
        <v>0.15355850393114578</v>
      </c>
      <c r="AH9439" s="2" t="str">
        <f ca="1"/>
        <v>OK</v>
      </c>
    </row>
    <row r="9440" spans="2:34" x14ac:dyDescent="0.2">
      <c r="B9440" s="2">
        <f ca="1"/>
        <v>0.1091669227490859</v>
      </c>
      <c r="O9440" s="2">
        <f ca="1"/>
        <v>-0.75830076939947755</v>
      </c>
      <c r="X9440" s="2">
        <f ca="1"/>
        <v>34.613676633551229</v>
      </c>
      <c r="AG9440" s="2">
        <f ca="1"/>
        <v>0.35172500938901452</v>
      </c>
      <c r="AH9440" s="2" t="str">
        <f ca="1"/>
        <v>OK</v>
      </c>
    </row>
    <row r="9441" spans="2:34" x14ac:dyDescent="0.2">
      <c r="B9441" s="2">
        <f ca="1"/>
        <v>0.51271742324099634</v>
      </c>
      <c r="O9441" s="2">
        <f ca="1"/>
        <v>0.97789075964153493</v>
      </c>
      <c r="X9441" s="2">
        <f ca="1"/>
        <v>58.221974817829746</v>
      </c>
      <c r="AG9441" s="2">
        <f ca="1"/>
        <v>0.11453176627615003</v>
      </c>
      <c r="AH9441" s="2" t="str">
        <f ca="1"/>
        <v>OK</v>
      </c>
    </row>
    <row r="9442" spans="2:34" x14ac:dyDescent="0.2">
      <c r="B9442" s="2">
        <f ca="1"/>
        <v>0.52992028921565182</v>
      </c>
      <c r="O9442" s="2">
        <f ca="1"/>
        <v>0.29663962702636898</v>
      </c>
      <c r="X9442" s="2">
        <f ca="1"/>
        <v>56.136186355999939</v>
      </c>
      <c r="AG9442" s="2">
        <f ca="1"/>
        <v>0.87723271202893072</v>
      </c>
      <c r="AH9442" s="2" t="str">
        <f ca="1"/>
        <v>Bad</v>
      </c>
    </row>
    <row r="9443" spans="2:34" x14ac:dyDescent="0.2">
      <c r="B9443" s="2">
        <f ca="1"/>
        <v>0.44722160607073302</v>
      </c>
      <c r="O9443" s="2">
        <f ca="1"/>
        <v>-0.37800459443115852</v>
      </c>
      <c r="X9443" s="2">
        <f ca="1"/>
        <v>28.597292209494228</v>
      </c>
      <c r="AG9443" s="2">
        <f ca="1"/>
        <v>0.78996574143227405</v>
      </c>
      <c r="AH9443" s="2" t="str">
        <f ca="1"/>
        <v>Bad</v>
      </c>
    </row>
    <row r="9444" spans="2:34" x14ac:dyDescent="0.2">
      <c r="B9444" s="2">
        <f ca="1"/>
        <v>0.11900405487876542</v>
      </c>
      <c r="O9444" s="2">
        <f ca="1"/>
        <v>0.46741343252737227</v>
      </c>
      <c r="X9444" s="2">
        <f ca="1"/>
        <v>39.488092055883961</v>
      </c>
      <c r="AG9444" s="2">
        <f ca="1"/>
        <v>0.17067083666297123</v>
      </c>
      <c r="AH9444" s="2" t="str">
        <f ca="1"/>
        <v>OK</v>
      </c>
    </row>
    <row r="9445" spans="2:34" x14ac:dyDescent="0.2">
      <c r="B9445" s="2">
        <f ca="1"/>
        <v>0.92874181536235301</v>
      </c>
      <c r="O9445" s="2">
        <f ca="1"/>
        <v>-0.20147496029234516</v>
      </c>
      <c r="X9445" s="2">
        <f ca="1"/>
        <v>32.481690780107115</v>
      </c>
      <c r="AG9445" s="2">
        <f ca="1"/>
        <v>0.50124516648772954</v>
      </c>
      <c r="AH9445" s="2" t="str">
        <f ca="1"/>
        <v>Bad</v>
      </c>
    </row>
    <row r="9446" spans="2:34" x14ac:dyDescent="0.2">
      <c r="B9446" s="2">
        <f ca="1"/>
        <v>0.42769984464908539</v>
      </c>
      <c r="O9446" s="2">
        <f ca="1"/>
        <v>-0.11050792349284656</v>
      </c>
      <c r="X9446" s="2">
        <f ca="1"/>
        <v>54.860028388853479</v>
      </c>
      <c r="AG9446" s="2">
        <f ca="1"/>
        <v>0.3844258119602364</v>
      </c>
      <c r="AH9446" s="2" t="str">
        <f ca="1"/>
        <v>OK</v>
      </c>
    </row>
    <row r="9447" spans="2:34" x14ac:dyDescent="0.2">
      <c r="B9447" s="2">
        <f ca="1"/>
        <v>8.7830107759307996E-2</v>
      </c>
      <c r="O9447" s="2">
        <f ca="1"/>
        <v>-0.56641044942395036</v>
      </c>
      <c r="X9447" s="2">
        <f ca="1"/>
        <v>40.721591759638414</v>
      </c>
      <c r="AG9447" s="2">
        <f ca="1"/>
        <v>0.69321484443257675</v>
      </c>
      <c r="AH9447" s="2" t="str">
        <f ca="1"/>
        <v>Bad</v>
      </c>
    </row>
    <row r="9448" spans="2:34" x14ac:dyDescent="0.2">
      <c r="B9448" s="2">
        <f ca="1"/>
        <v>0.71363654739420168</v>
      </c>
      <c r="O9448" s="2">
        <f ca="1"/>
        <v>-2.0135307880235325</v>
      </c>
      <c r="X9448" s="2">
        <f ca="1"/>
        <v>37.527754005964951</v>
      </c>
      <c r="AG9448" s="2">
        <f ca="1"/>
        <v>0.60433903848229509</v>
      </c>
      <c r="AH9448" s="2" t="str">
        <f ca="1"/>
        <v>Bad</v>
      </c>
    </row>
    <row r="9449" spans="2:34" x14ac:dyDescent="0.2">
      <c r="B9449" s="2">
        <f ca="1"/>
        <v>0.91252055500957097</v>
      </c>
      <c r="O9449" s="2">
        <f ca="1"/>
        <v>0.48156225945837766</v>
      </c>
      <c r="X9449" s="2">
        <f ca="1"/>
        <v>58.317645559406458</v>
      </c>
      <c r="AG9449" s="2">
        <f ca="1"/>
        <v>0.97241346541112295</v>
      </c>
      <c r="AH9449" s="2" t="str">
        <f ca="1"/>
        <v>Bad</v>
      </c>
    </row>
    <row r="9450" spans="2:34" x14ac:dyDescent="0.2">
      <c r="B9450" s="2">
        <f ca="1"/>
        <v>0.84866254076416636</v>
      </c>
      <c r="O9450" s="2">
        <f ca="1"/>
        <v>0.75870336979861952</v>
      </c>
      <c r="X9450" s="2">
        <f ca="1"/>
        <v>40.45560846447674</v>
      </c>
      <c r="AG9450" s="2">
        <f ca="1"/>
        <v>7.0800519043979548E-2</v>
      </c>
      <c r="AH9450" s="2" t="str">
        <f ca="1"/>
        <v>OK</v>
      </c>
    </row>
    <row r="9451" spans="2:34" x14ac:dyDescent="0.2">
      <c r="B9451" s="2">
        <f ca="1"/>
        <v>0.18307430599822605</v>
      </c>
      <c r="O9451" s="2">
        <f ca="1"/>
        <v>0.36603005485565276</v>
      </c>
      <c r="X9451" s="2">
        <f ca="1"/>
        <v>35.818032137332594</v>
      </c>
      <c r="AG9451" s="2">
        <f ca="1"/>
        <v>0.80853759289918692</v>
      </c>
      <c r="AH9451" s="2" t="str">
        <f ca="1"/>
        <v>Bad</v>
      </c>
    </row>
    <row r="9452" spans="2:34" x14ac:dyDescent="0.2">
      <c r="B9452" s="2">
        <f ca="1"/>
        <v>0.7891596291807168</v>
      </c>
      <c r="O9452" s="2">
        <f ca="1"/>
        <v>-0.21424520195474284</v>
      </c>
      <c r="X9452" s="2">
        <f ca="1"/>
        <v>83.004309829816677</v>
      </c>
      <c r="AG9452" s="2">
        <f ca="1"/>
        <v>0.36545186728831847</v>
      </c>
      <c r="AH9452" s="2" t="str">
        <f ca="1"/>
        <v>OK</v>
      </c>
    </row>
    <row r="9453" spans="2:34" x14ac:dyDescent="0.2">
      <c r="B9453" s="2">
        <f ca="1"/>
        <v>0.67365702147341278</v>
      </c>
      <c r="O9453" s="2">
        <f ca="1"/>
        <v>1.4371533064903614</v>
      </c>
      <c r="X9453" s="2">
        <f ca="1"/>
        <v>49.407804904785166</v>
      </c>
      <c r="AG9453" s="2">
        <f ca="1"/>
        <v>0.37078656461546844</v>
      </c>
      <c r="AH9453" s="2" t="str">
        <f ca="1"/>
        <v>OK</v>
      </c>
    </row>
    <row r="9454" spans="2:34" x14ac:dyDescent="0.2">
      <c r="B9454" s="2">
        <f ca="1"/>
        <v>0.92083118549072651</v>
      </c>
      <c r="O9454" s="2">
        <f ca="1"/>
        <v>0.16996913259426724</v>
      </c>
      <c r="X9454" s="2">
        <f ca="1"/>
        <v>68.63759933710709</v>
      </c>
      <c r="AG9454" s="2">
        <f ca="1"/>
        <v>0.63812442816080717</v>
      </c>
      <c r="AH9454" s="2" t="str">
        <f ca="1"/>
        <v>Bad</v>
      </c>
    </row>
    <row r="9455" spans="2:34" x14ac:dyDescent="0.2">
      <c r="B9455" s="2">
        <f ca="1"/>
        <v>0.89015256012228994</v>
      </c>
      <c r="O9455" s="2">
        <f ca="1"/>
        <v>-0.21640989630915353</v>
      </c>
      <c r="X9455" s="2">
        <f ca="1"/>
        <v>67.132223432114685</v>
      </c>
      <c r="AG9455" s="2">
        <f ca="1"/>
        <v>0.71469355980948079</v>
      </c>
      <c r="AH9455" s="2" t="str">
        <f ca="1"/>
        <v>Bad</v>
      </c>
    </row>
    <row r="9456" spans="2:34" x14ac:dyDescent="0.2">
      <c r="B9456" s="2">
        <f ca="1"/>
        <v>0.91963511726915725</v>
      </c>
      <c r="O9456" s="2">
        <f ca="1"/>
        <v>-1.2438417089198905</v>
      </c>
      <c r="X9456" s="2">
        <f ca="1"/>
        <v>59.567988758811836</v>
      </c>
      <c r="AG9456" s="2">
        <f ca="1"/>
        <v>0.44164534943215683</v>
      </c>
      <c r="AH9456" s="2" t="str">
        <f ca="1"/>
        <v>Bad</v>
      </c>
    </row>
    <row r="9457" spans="2:34" x14ac:dyDescent="0.2">
      <c r="B9457" s="2">
        <f ca="1"/>
        <v>7.3015841740355025E-2</v>
      </c>
      <c r="O9457" s="2">
        <f ca="1"/>
        <v>0.85627294164655943</v>
      </c>
      <c r="X9457" s="2">
        <f ca="1"/>
        <v>48.780610539109276</v>
      </c>
      <c r="AG9457" s="2">
        <f ca="1"/>
        <v>0.19095849003495435</v>
      </c>
      <c r="AH9457" s="2" t="str">
        <f ca="1"/>
        <v>OK</v>
      </c>
    </row>
    <row r="9458" spans="2:34" x14ac:dyDescent="0.2">
      <c r="B9458" s="2">
        <f ca="1"/>
        <v>0.60666809776115183</v>
      </c>
      <c r="O9458" s="2">
        <f ca="1"/>
        <v>-1.2717156785163686E-2</v>
      </c>
      <c r="X9458" s="2">
        <f ca="1"/>
        <v>46.817673208312421</v>
      </c>
      <c r="AG9458" s="2">
        <f ca="1"/>
        <v>0.99912355423500743</v>
      </c>
      <c r="AH9458" s="2" t="str">
        <f ca="1"/>
        <v>Bad</v>
      </c>
    </row>
    <row r="9459" spans="2:34" x14ac:dyDescent="0.2">
      <c r="B9459" s="2">
        <f ca="1"/>
        <v>9.4157930222063424E-2</v>
      </c>
      <c r="O9459" s="2">
        <f ca="1"/>
        <v>7.2322402275260517E-2</v>
      </c>
      <c r="X9459" s="2">
        <f ca="1"/>
        <v>33.051773502926437</v>
      </c>
      <c r="AG9459" s="2">
        <f ca="1"/>
        <v>0.29813803073344114</v>
      </c>
      <c r="AH9459" s="2" t="str">
        <f ca="1"/>
        <v>OK</v>
      </c>
    </row>
    <row r="9460" spans="2:34" x14ac:dyDescent="0.2">
      <c r="B9460" s="2">
        <f ca="1"/>
        <v>7.4615821582066477E-2</v>
      </c>
      <c r="O9460" s="2">
        <f ca="1"/>
        <v>-1.1987050433755226</v>
      </c>
      <c r="X9460" s="2">
        <f ca="1"/>
        <v>70.319214101290029</v>
      </c>
      <c r="AG9460" s="2">
        <f ca="1"/>
        <v>0.88554103899154035</v>
      </c>
      <c r="AH9460" s="2" t="str">
        <f ca="1"/>
        <v>Bad</v>
      </c>
    </row>
    <row r="9461" spans="2:34" x14ac:dyDescent="0.2">
      <c r="B9461" s="2">
        <f ca="1"/>
        <v>0.69465691221056125</v>
      </c>
      <c r="O9461" s="2">
        <f ca="1"/>
        <v>-0.55809696521482743</v>
      </c>
      <c r="X9461" s="2">
        <f ca="1"/>
        <v>32.265451848715507</v>
      </c>
      <c r="AG9461" s="2">
        <f ca="1"/>
        <v>0.43431384333110223</v>
      </c>
      <c r="AH9461" s="2" t="str">
        <f ca="1"/>
        <v>Bad</v>
      </c>
    </row>
    <row r="9462" spans="2:34" x14ac:dyDescent="0.2">
      <c r="B9462" s="2">
        <f ca="1"/>
        <v>0.77615399272210062</v>
      </c>
      <c r="O9462" s="2">
        <f ca="1"/>
        <v>-0.27532075598347899</v>
      </c>
      <c r="X9462" s="2">
        <f ca="1"/>
        <v>49.009572094367968</v>
      </c>
      <c r="AG9462" s="2">
        <f ca="1"/>
        <v>0.98406237652529271</v>
      </c>
      <c r="AH9462" s="2" t="str">
        <f ca="1"/>
        <v>Bad</v>
      </c>
    </row>
    <row r="9463" spans="2:34" x14ac:dyDescent="0.2">
      <c r="B9463" s="2">
        <f ca="1"/>
        <v>0.59835772630720707</v>
      </c>
      <c r="O9463" s="2">
        <f ca="1"/>
        <v>-1.8897020330283731E-2</v>
      </c>
      <c r="X9463" s="2">
        <f ca="1"/>
        <v>44.20059994258358</v>
      </c>
      <c r="AG9463" s="2">
        <f ca="1"/>
        <v>0.69072251795059025</v>
      </c>
      <c r="AH9463" s="2" t="str">
        <f ca="1"/>
        <v>Bad</v>
      </c>
    </row>
    <row r="9464" spans="2:34" x14ac:dyDescent="0.2">
      <c r="B9464" s="2">
        <f ca="1"/>
        <v>0.71953061420606579</v>
      </c>
      <c r="O9464" s="2">
        <f ca="1"/>
        <v>-0.44095098280731765</v>
      </c>
      <c r="X9464" s="2">
        <f ca="1"/>
        <v>29.382799531633449</v>
      </c>
      <c r="AG9464" s="2">
        <f ca="1"/>
        <v>0.48452135988136669</v>
      </c>
      <c r="AH9464" s="2" t="str">
        <f ca="1"/>
        <v>Bad</v>
      </c>
    </row>
    <row r="9465" spans="2:34" x14ac:dyDescent="0.2">
      <c r="B9465" s="2">
        <f ca="1"/>
        <v>0.89493928317879434</v>
      </c>
      <c r="O9465" s="2">
        <f ca="1"/>
        <v>-0.93587668452689698</v>
      </c>
      <c r="X9465" s="2">
        <f ca="1"/>
        <v>45.66169295717031</v>
      </c>
      <c r="AG9465" s="2">
        <f ca="1"/>
        <v>0.38215102600209527</v>
      </c>
      <c r="AH9465" s="2" t="str">
        <f ca="1"/>
        <v>OK</v>
      </c>
    </row>
    <row r="9466" spans="2:34" x14ac:dyDescent="0.2">
      <c r="B9466" s="2">
        <f ca="1"/>
        <v>0.84819382746275629</v>
      </c>
      <c r="O9466" s="2">
        <f ca="1"/>
        <v>0.24755373948129272</v>
      </c>
      <c r="X9466" s="2">
        <f ca="1"/>
        <v>38.382908907033872</v>
      </c>
      <c r="AG9466" s="2">
        <f ca="1"/>
        <v>0.68335361072054335</v>
      </c>
      <c r="AH9466" s="2" t="str">
        <f ca="1"/>
        <v>Bad</v>
      </c>
    </row>
    <row r="9467" spans="2:34" x14ac:dyDescent="0.2">
      <c r="B9467" s="2">
        <f ca="1"/>
        <v>0.60011673210437699</v>
      </c>
      <c r="O9467" s="2">
        <f ca="1"/>
        <v>0.45787173945608678</v>
      </c>
      <c r="X9467" s="2">
        <f ca="1"/>
        <v>34.88741980181198</v>
      </c>
      <c r="AG9467" s="2">
        <f ca="1"/>
        <v>0.92778839150616688</v>
      </c>
      <c r="AH9467" s="2" t="str">
        <f ca="1"/>
        <v>Bad</v>
      </c>
    </row>
    <row r="9468" spans="2:34" x14ac:dyDescent="0.2">
      <c r="B9468" s="2">
        <f ca="1"/>
        <v>0.4800011203876593</v>
      </c>
      <c r="O9468" s="2">
        <f ca="1"/>
        <v>0.28558965790999302</v>
      </c>
      <c r="X9468" s="2">
        <f ca="1"/>
        <v>29.147233844634641</v>
      </c>
      <c r="AG9468" s="2">
        <f ca="1"/>
        <v>0.50049288890215715</v>
      </c>
      <c r="AH9468" s="2" t="str">
        <f ca="1"/>
        <v>Bad</v>
      </c>
    </row>
    <row r="9469" spans="2:34" x14ac:dyDescent="0.2">
      <c r="B9469" s="2">
        <f ca="1"/>
        <v>0.36994396251581829</v>
      </c>
      <c r="O9469" s="2">
        <f ca="1"/>
        <v>-2.0150808471856529</v>
      </c>
      <c r="X9469" s="2">
        <f ca="1"/>
        <v>39.227353551566594</v>
      </c>
      <c r="AG9469" s="2">
        <f ca="1"/>
        <v>0.61248016254040194</v>
      </c>
      <c r="AH9469" s="2" t="str">
        <f ca="1"/>
        <v>Bad</v>
      </c>
    </row>
    <row r="9470" spans="2:34" x14ac:dyDescent="0.2">
      <c r="B9470" s="2">
        <f ca="1"/>
        <v>0.69234412349543617</v>
      </c>
      <c r="O9470" s="2">
        <f ca="1"/>
        <v>1.1107390183012802</v>
      </c>
      <c r="X9470" s="2">
        <f ca="1"/>
        <v>40.779878491496646</v>
      </c>
      <c r="AG9470" s="2">
        <f ca="1"/>
        <v>6.9116265513728958E-2</v>
      </c>
      <c r="AH9470" s="2" t="str">
        <f ca="1"/>
        <v>OK</v>
      </c>
    </row>
    <row r="9471" spans="2:34" x14ac:dyDescent="0.2">
      <c r="B9471" s="2">
        <f ca="1"/>
        <v>0.2455648754846147</v>
      </c>
      <c r="O9471" s="2">
        <f ca="1"/>
        <v>1.1359379520076962</v>
      </c>
      <c r="X9471" s="2">
        <f ca="1"/>
        <v>50.197240061104921</v>
      </c>
      <c r="AG9471" s="2">
        <f ca="1"/>
        <v>0.74754766473916923</v>
      </c>
      <c r="AH9471" s="2" t="str">
        <f ca="1"/>
        <v>Bad</v>
      </c>
    </row>
    <row r="9472" spans="2:34" x14ac:dyDescent="0.2">
      <c r="B9472" s="2">
        <f ca="1"/>
        <v>0.47894169498957462</v>
      </c>
      <c r="O9472" s="2">
        <f ca="1"/>
        <v>0.53295009719697395</v>
      </c>
      <c r="X9472" s="2">
        <f ca="1"/>
        <v>38.292676659351379</v>
      </c>
      <c r="AG9472" s="2">
        <f ca="1"/>
        <v>0.68939571073885175</v>
      </c>
      <c r="AH9472" s="2" t="str">
        <f ca="1"/>
        <v>Bad</v>
      </c>
    </row>
    <row r="9473" spans="2:34" x14ac:dyDescent="0.2">
      <c r="B9473" s="2">
        <f ca="1"/>
        <v>0.85094687204253017</v>
      </c>
      <c r="O9473" s="2">
        <f ca="1"/>
        <v>-0.74326652847924624</v>
      </c>
      <c r="X9473" s="2">
        <f ca="1"/>
        <v>74.111897080066271</v>
      </c>
      <c r="AG9473" s="2">
        <f ca="1"/>
        <v>0.6369360991496682</v>
      </c>
      <c r="AH9473" s="2" t="str">
        <f ca="1"/>
        <v>Bad</v>
      </c>
    </row>
    <row r="9474" spans="2:34" x14ac:dyDescent="0.2">
      <c r="B9474" s="2">
        <f ca="1"/>
        <v>0.29209604162083491</v>
      </c>
      <c r="O9474" s="2">
        <f ca="1"/>
        <v>1.0325736137936434</v>
      </c>
      <c r="X9474" s="2">
        <f ca="1"/>
        <v>57.959643276612091</v>
      </c>
      <c r="AG9474" s="2">
        <f ca="1"/>
        <v>0.39133727210209179</v>
      </c>
      <c r="AH9474" s="2" t="str">
        <f ca="1"/>
        <v>OK</v>
      </c>
    </row>
    <row r="9475" spans="2:34" x14ac:dyDescent="0.2">
      <c r="B9475" s="2">
        <f ca="1"/>
        <v>0.42415036239989057</v>
      </c>
      <c r="O9475" s="2">
        <f ca="1"/>
        <v>-0.58788571910460319</v>
      </c>
      <c r="X9475" s="2">
        <f ca="1"/>
        <v>51.706684564584286</v>
      </c>
      <c r="AG9475" s="2">
        <f ca="1"/>
        <v>0.27729133027432917</v>
      </c>
      <c r="AH9475" s="2" t="str">
        <f ca="1"/>
        <v>OK</v>
      </c>
    </row>
    <row r="9476" spans="2:34" x14ac:dyDescent="0.2">
      <c r="B9476" s="2">
        <f ca="1"/>
        <v>0.63937207569925514</v>
      </c>
      <c r="O9476" s="2">
        <f ca="1"/>
        <v>-2.2362003401304908E-2</v>
      </c>
      <c r="X9476" s="2">
        <f ca="1"/>
        <v>38.920278190165298</v>
      </c>
      <c r="AG9476" s="2">
        <f ca="1"/>
        <v>0.36871710545738812</v>
      </c>
      <c r="AH9476" s="2" t="str">
        <f ca="1"/>
        <v>OK</v>
      </c>
    </row>
    <row r="9477" spans="2:34" x14ac:dyDescent="0.2">
      <c r="B9477" s="2">
        <f ca="1"/>
        <v>0.97231037678207066</v>
      </c>
      <c r="O9477" s="2">
        <f ca="1"/>
        <v>7.4203543721312645E-2</v>
      </c>
      <c r="X9477" s="2">
        <f ca="1"/>
        <v>25.513457292524638</v>
      </c>
      <c r="AG9477" s="2">
        <f ca="1"/>
        <v>0.66917667100027223</v>
      </c>
      <c r="AH9477" s="2" t="str">
        <f ca="1"/>
        <v>Bad</v>
      </c>
    </row>
    <row r="9478" spans="2:34" x14ac:dyDescent="0.2">
      <c r="B9478" s="2">
        <f ca="1"/>
        <v>0.75101135132671226</v>
      </c>
      <c r="O9478" s="2">
        <f ca="1"/>
        <v>0.28651736500063196</v>
      </c>
      <c r="X9478" s="2">
        <f ca="1"/>
        <v>77.891043381675175</v>
      </c>
      <c r="AG9478" s="2">
        <f ca="1"/>
        <v>0.26800834610272561</v>
      </c>
      <c r="AH9478" s="2" t="str">
        <f ca="1"/>
        <v>OK</v>
      </c>
    </row>
    <row r="9479" spans="2:34" x14ac:dyDescent="0.2">
      <c r="B9479" s="2">
        <f ca="1"/>
        <v>0.37815715316131304</v>
      </c>
      <c r="O9479" s="2">
        <f ca="1"/>
        <v>-1.1352691461412148</v>
      </c>
      <c r="X9479" s="2">
        <f ca="1"/>
        <v>47.011369818662942</v>
      </c>
      <c r="AG9479" s="2">
        <f ca="1"/>
        <v>0.41289955481633389</v>
      </c>
      <c r="AH9479" s="2" t="str">
        <f ca="1"/>
        <v>Bad</v>
      </c>
    </row>
    <row r="9480" spans="2:34" x14ac:dyDescent="0.2">
      <c r="B9480" s="2">
        <f ca="1"/>
        <v>0.45268338124073204</v>
      </c>
      <c r="O9480" s="2">
        <f ca="1"/>
        <v>0.11720142950516274</v>
      </c>
      <c r="X9480" s="2">
        <f ca="1"/>
        <v>57.322519008347214</v>
      </c>
      <c r="AG9480" s="2">
        <f ca="1"/>
        <v>1.6710902874471634E-2</v>
      </c>
      <c r="AH9480" s="2" t="str">
        <f ca="1"/>
        <v>Good</v>
      </c>
    </row>
    <row r="9481" spans="2:34" x14ac:dyDescent="0.2">
      <c r="B9481" s="2">
        <f ca="1"/>
        <v>0.65850407023655655</v>
      </c>
      <c r="O9481" s="2">
        <f ca="1"/>
        <v>-1.4635227502990713</v>
      </c>
      <c r="X9481" s="2">
        <f ca="1"/>
        <v>32.861831509726699</v>
      </c>
      <c r="AG9481" s="2">
        <f ca="1"/>
        <v>0.77059737538074979</v>
      </c>
      <c r="AH9481" s="2" t="str">
        <f ca="1"/>
        <v>Bad</v>
      </c>
    </row>
    <row r="9482" spans="2:34" x14ac:dyDescent="0.2">
      <c r="B9482" s="2">
        <f ca="1"/>
        <v>0.37341153499554092</v>
      </c>
      <c r="O9482" s="2">
        <f ca="1"/>
        <v>-1.7331158552678485</v>
      </c>
      <c r="X9482" s="2">
        <f ca="1"/>
        <v>50.143390967013339</v>
      </c>
      <c r="AG9482" s="2">
        <f ca="1"/>
        <v>0.42244185833184078</v>
      </c>
      <c r="AH9482" s="2" t="str">
        <f ca="1"/>
        <v>Bad</v>
      </c>
    </row>
    <row r="9483" spans="2:34" x14ac:dyDescent="0.2">
      <c r="B9483" s="2">
        <f ca="1"/>
        <v>0.34479399875626848</v>
      </c>
      <c r="O9483" s="2">
        <f ca="1"/>
        <v>-0.2005761483020238</v>
      </c>
      <c r="X9483" s="2">
        <f ca="1"/>
        <v>39.584475973865921</v>
      </c>
      <c r="AG9483" s="2">
        <f ca="1"/>
        <v>0.96423430427515866</v>
      </c>
      <c r="AH9483" s="2" t="str">
        <f ca="1"/>
        <v>Bad</v>
      </c>
    </row>
    <row r="9484" spans="2:34" x14ac:dyDescent="0.2">
      <c r="B9484" s="2">
        <f ca="1"/>
        <v>0.11470545840031088</v>
      </c>
      <c r="O9484" s="2">
        <f ca="1"/>
        <v>-0.97506434454168533</v>
      </c>
      <c r="X9484" s="2">
        <f ca="1"/>
        <v>55.385066413373863</v>
      </c>
      <c r="AG9484" s="2">
        <f ca="1"/>
        <v>0.36423803162422996</v>
      </c>
      <c r="AH9484" s="2" t="str">
        <f ca="1"/>
        <v>OK</v>
      </c>
    </row>
    <row r="9485" spans="2:34" x14ac:dyDescent="0.2">
      <c r="B9485" s="2">
        <f ca="1"/>
        <v>0.27763574426010518</v>
      </c>
      <c r="O9485" s="2">
        <f ca="1"/>
        <v>-4.0730161591645674E-3</v>
      </c>
      <c r="X9485" s="2">
        <f ca="1"/>
        <v>39.466039489971905</v>
      </c>
      <c r="AG9485" s="2">
        <f ca="1"/>
        <v>0.29569436203523747</v>
      </c>
      <c r="AH9485" s="2" t="str">
        <f ca="1"/>
        <v>OK</v>
      </c>
    </row>
    <row r="9486" spans="2:34" x14ac:dyDescent="0.2">
      <c r="B9486" s="2">
        <f ca="1"/>
        <v>0.74864076097010668</v>
      </c>
      <c r="O9486" s="2">
        <f ca="1"/>
        <v>-0.33740853820684402</v>
      </c>
      <c r="X9486" s="2">
        <f ca="1"/>
        <v>68.612562920719739</v>
      </c>
      <c r="AG9486" s="2">
        <f ca="1"/>
        <v>0.49410807135472679</v>
      </c>
      <c r="AH9486" s="2" t="str">
        <f ca="1"/>
        <v>Bad</v>
      </c>
    </row>
    <row r="9487" spans="2:34" x14ac:dyDescent="0.2">
      <c r="B9487" s="2">
        <f ca="1"/>
        <v>0.51581304504010017</v>
      </c>
      <c r="O9487" s="2">
        <f ca="1"/>
        <v>1.8402058539001096</v>
      </c>
      <c r="X9487" s="2">
        <f ca="1"/>
        <v>46.818571764310313</v>
      </c>
      <c r="AG9487" s="2">
        <f ca="1"/>
        <v>0.28261651698016999</v>
      </c>
      <c r="AH9487" s="2" t="str">
        <f ca="1"/>
        <v>OK</v>
      </c>
    </row>
    <row r="9488" spans="2:34" x14ac:dyDescent="0.2">
      <c r="B9488" s="2">
        <f ca="1"/>
        <v>4.3161144172717769E-2</v>
      </c>
      <c r="O9488" s="2">
        <f ca="1"/>
        <v>-0.23907463747076191</v>
      </c>
      <c r="X9488" s="2">
        <f ca="1"/>
        <v>50.618486000385332</v>
      </c>
      <c r="AG9488" s="2">
        <f ca="1"/>
        <v>0.45214483983599996</v>
      </c>
      <c r="AH9488" s="2" t="str">
        <f ca="1"/>
        <v>Bad</v>
      </c>
    </row>
    <row r="9489" spans="2:34" x14ac:dyDescent="0.2">
      <c r="B9489" s="2">
        <f ca="1"/>
        <v>3.5170642858681767E-2</v>
      </c>
      <c r="O9489" s="2">
        <f ca="1"/>
        <v>0.5889634424647342</v>
      </c>
      <c r="X9489" s="2">
        <f ca="1"/>
        <v>32.686191886774502</v>
      </c>
      <c r="AG9489" s="2">
        <f ca="1"/>
        <v>0.67708792588113131</v>
      </c>
      <c r="AH9489" s="2" t="str">
        <f ca="1"/>
        <v>Bad</v>
      </c>
    </row>
    <row r="9490" spans="2:34" x14ac:dyDescent="0.2">
      <c r="B9490" s="2">
        <f ca="1"/>
        <v>0.88197669254219768</v>
      </c>
      <c r="O9490" s="2">
        <f ca="1"/>
        <v>0.60054476646762744</v>
      </c>
      <c r="X9490" s="2">
        <f ca="1"/>
        <v>83.341604123663743</v>
      </c>
      <c r="AG9490" s="2">
        <f ca="1"/>
        <v>0.84953725801479152</v>
      </c>
      <c r="AH9490" s="2" t="str">
        <f ca="1"/>
        <v>Bad</v>
      </c>
    </row>
    <row r="9491" spans="2:34" x14ac:dyDescent="0.2">
      <c r="B9491" s="2">
        <f ca="1"/>
        <v>0.53083981036709416</v>
      </c>
      <c r="O9491" s="2">
        <f ca="1"/>
        <v>0.65480244208413318</v>
      </c>
      <c r="X9491" s="2">
        <f ca="1"/>
        <v>83.710505096997338</v>
      </c>
      <c r="AG9491" s="2">
        <f ca="1"/>
        <v>0.2601886648647489</v>
      </c>
      <c r="AH9491" s="2" t="str">
        <f ca="1"/>
        <v>OK</v>
      </c>
    </row>
    <row r="9492" spans="2:34" x14ac:dyDescent="0.2">
      <c r="B9492" s="2">
        <f ca="1"/>
        <v>0.3734649108256558</v>
      </c>
      <c r="O9492" s="2">
        <f ca="1"/>
        <v>-0.86618253463518347</v>
      </c>
      <c r="X9492" s="2">
        <f ca="1"/>
        <v>58.043151404365922</v>
      </c>
      <c r="AG9492" s="2">
        <f ca="1"/>
        <v>3.6029882050687467E-2</v>
      </c>
      <c r="AH9492" s="2" t="str">
        <f ca="1"/>
        <v>Good</v>
      </c>
    </row>
    <row r="9493" spans="2:34" x14ac:dyDescent="0.2">
      <c r="B9493" s="2">
        <f ca="1"/>
        <v>0.87750748443091253</v>
      </c>
      <c r="O9493" s="2">
        <f ca="1"/>
        <v>-2.7190889695711901E-2</v>
      </c>
      <c r="X9493" s="2">
        <f ca="1"/>
        <v>36.083447090871658</v>
      </c>
      <c r="AG9493" s="2">
        <f ca="1"/>
        <v>0.88324256280736568</v>
      </c>
      <c r="AH9493" s="2" t="str">
        <f ca="1"/>
        <v>Bad</v>
      </c>
    </row>
    <row r="9494" spans="2:34" x14ac:dyDescent="0.2">
      <c r="B9494" s="2">
        <f ca="1"/>
        <v>0.23385036020896544</v>
      </c>
      <c r="O9494" s="2">
        <f ca="1"/>
        <v>1.2416643939113126</v>
      </c>
      <c r="X9494" s="2">
        <f ca="1"/>
        <v>36.316871158982451</v>
      </c>
      <c r="AG9494" s="2">
        <f ca="1"/>
        <v>0.87122445115321878</v>
      </c>
      <c r="AH9494" s="2" t="str">
        <f ca="1"/>
        <v>Bad</v>
      </c>
    </row>
    <row r="9495" spans="2:34" x14ac:dyDescent="0.2">
      <c r="B9495" s="2">
        <f ca="1"/>
        <v>0.90732142277882999</v>
      </c>
      <c r="O9495" s="2">
        <f ca="1"/>
        <v>0.14836794501857578</v>
      </c>
      <c r="X9495" s="2">
        <f ca="1"/>
        <v>83.881965107131023</v>
      </c>
      <c r="AG9495" s="2">
        <f ca="1"/>
        <v>0.9306468943668651</v>
      </c>
      <c r="AH9495" s="2" t="str">
        <f ca="1"/>
        <v>Bad</v>
      </c>
    </row>
    <row r="9496" spans="2:34" x14ac:dyDescent="0.2">
      <c r="B9496" s="2">
        <f ca="1"/>
        <v>0.48294967115905663</v>
      </c>
      <c r="O9496" s="2">
        <f ca="1"/>
        <v>-5.5012056902481184E-2</v>
      </c>
      <c r="X9496" s="2">
        <f ca="1"/>
        <v>60.104416331869913</v>
      </c>
      <c r="AG9496" s="2">
        <f ca="1"/>
        <v>0.38745246331525762</v>
      </c>
      <c r="AH9496" s="2" t="str">
        <f ca="1"/>
        <v>OK</v>
      </c>
    </row>
    <row r="9497" spans="2:34" x14ac:dyDescent="0.2">
      <c r="B9497" s="2">
        <f ca="1"/>
        <v>4.6532925958594928E-2</v>
      </c>
      <c r="O9497" s="2">
        <f ca="1"/>
        <v>6.2884901956870243E-2</v>
      </c>
      <c r="X9497" s="2">
        <f ca="1"/>
        <v>39.444996011041681</v>
      </c>
      <c r="AG9497" s="2">
        <f ca="1"/>
        <v>2.3049406128711425E-2</v>
      </c>
      <c r="AH9497" s="2" t="str">
        <f ca="1"/>
        <v>Good</v>
      </c>
    </row>
    <row r="9498" spans="2:34" x14ac:dyDescent="0.2">
      <c r="B9498" s="2">
        <f ca="1"/>
        <v>0.79071002928236722</v>
      </c>
      <c r="O9498" s="2">
        <f ca="1"/>
        <v>-1.1099322723333513</v>
      </c>
      <c r="X9498" s="2">
        <f ca="1"/>
        <v>30.860009440389167</v>
      </c>
      <c r="AG9498" s="2">
        <f ca="1"/>
        <v>0.94750238343161697</v>
      </c>
      <c r="AH9498" s="2" t="str">
        <f ca="1"/>
        <v>Bad</v>
      </c>
    </row>
    <row r="9499" spans="2:34" x14ac:dyDescent="0.2">
      <c r="B9499" s="2">
        <f ca="1"/>
        <v>0.28695153487408942</v>
      </c>
      <c r="O9499" s="2">
        <f ca="1"/>
        <v>0.59122332591998406</v>
      </c>
      <c r="X9499" s="2">
        <f ca="1"/>
        <v>42.673483438229312</v>
      </c>
      <c r="AG9499" s="2">
        <f ca="1"/>
        <v>1.487973923839947E-2</v>
      </c>
      <c r="AH9499" s="2" t="str">
        <f ca="1"/>
        <v>Good</v>
      </c>
    </row>
    <row r="9500" spans="2:34" x14ac:dyDescent="0.2">
      <c r="B9500" s="2">
        <f ca="1"/>
        <v>0.5805145531080973</v>
      </c>
      <c r="O9500" s="2">
        <f ca="1"/>
        <v>0.28287292699082167</v>
      </c>
      <c r="X9500" s="2">
        <f ca="1"/>
        <v>32.97859787210222</v>
      </c>
      <c r="AG9500" s="2">
        <f ca="1"/>
        <v>2.5956674310171124E-2</v>
      </c>
      <c r="AH9500" s="2" t="str">
        <f ca="1"/>
        <v>Good</v>
      </c>
    </row>
    <row r="9501" spans="2:34" x14ac:dyDescent="0.2">
      <c r="B9501" s="2">
        <f ca="1"/>
        <v>2.6167634101475379E-2</v>
      </c>
      <c r="O9501" s="2">
        <f ca="1"/>
        <v>-0.59414318489830653</v>
      </c>
      <c r="X9501" s="2">
        <f ca="1"/>
        <v>44.151744641520921</v>
      </c>
      <c r="AG9501" s="2">
        <f ca="1"/>
        <v>0.58797606845736672</v>
      </c>
      <c r="AH9501" s="2" t="str">
        <f ca="1"/>
        <v>Bad</v>
      </c>
    </row>
    <row r="9502" spans="2:34" x14ac:dyDescent="0.2">
      <c r="B9502" s="2">
        <f ca="1"/>
        <v>0.27169777020727581</v>
      </c>
      <c r="O9502" s="2">
        <f ca="1"/>
        <v>-0.4378116584994094</v>
      </c>
      <c r="X9502" s="2">
        <f ca="1"/>
        <v>56.906160926836719</v>
      </c>
      <c r="AG9502" s="2">
        <f ca="1"/>
        <v>0.4460488547704542</v>
      </c>
      <c r="AH9502" s="2" t="str">
        <f ca="1"/>
        <v>Bad</v>
      </c>
    </row>
    <row r="9503" spans="2:34" x14ac:dyDescent="0.2">
      <c r="B9503" s="2">
        <f ca="1"/>
        <v>9.3463504622958826E-2</v>
      </c>
      <c r="O9503" s="2">
        <f ca="1"/>
        <v>1.7947490197523166</v>
      </c>
      <c r="X9503" s="2">
        <f ca="1"/>
        <v>53.835557564228921</v>
      </c>
      <c r="AG9503" s="2">
        <f ca="1"/>
        <v>5.6971418653383621E-2</v>
      </c>
      <c r="AH9503" s="2" t="str">
        <f ca="1"/>
        <v>OK</v>
      </c>
    </row>
    <row r="9504" spans="2:34" x14ac:dyDescent="0.2">
      <c r="B9504" s="2">
        <f ca="1"/>
        <v>0.76936674303936026</v>
      </c>
      <c r="O9504" s="2">
        <f ca="1"/>
        <v>0.3922236326739702</v>
      </c>
      <c r="X9504" s="2">
        <f ca="1"/>
        <v>42.320035027900069</v>
      </c>
      <c r="AG9504" s="2">
        <f ca="1"/>
        <v>0.48785097631689478</v>
      </c>
      <c r="AH9504" s="2" t="str">
        <f ca="1"/>
        <v>Bad</v>
      </c>
    </row>
    <row r="9505" spans="2:34" x14ac:dyDescent="0.2">
      <c r="B9505" s="2">
        <f ca="1"/>
        <v>0.16918552293595224</v>
      </c>
      <c r="O9505" s="2">
        <f ca="1"/>
        <v>-0.21711018318861153</v>
      </c>
      <c r="X9505" s="2">
        <f ca="1"/>
        <v>37.619886185997714</v>
      </c>
      <c r="AG9505" s="2">
        <f ca="1"/>
        <v>0.27057764524119921</v>
      </c>
      <c r="AH9505" s="2" t="str">
        <f ca="1"/>
        <v>OK</v>
      </c>
    </row>
    <row r="9506" spans="2:34" x14ac:dyDescent="0.2">
      <c r="B9506" s="2">
        <f ca="1"/>
        <v>0.17189238731597012</v>
      </c>
      <c r="O9506" s="2">
        <f ca="1"/>
        <v>-0.5006437381944715</v>
      </c>
      <c r="X9506" s="2">
        <f ca="1"/>
        <v>90.05433219861429</v>
      </c>
      <c r="AG9506" s="2">
        <f ca="1"/>
        <v>0.10056509003399472</v>
      </c>
      <c r="AH9506" s="2" t="str">
        <f ca="1"/>
        <v>OK</v>
      </c>
    </row>
    <row r="9507" spans="2:34" x14ac:dyDescent="0.2">
      <c r="B9507" s="2">
        <f ca="1"/>
        <v>0.86469678012745788</v>
      </c>
      <c r="O9507" s="2">
        <f ca="1"/>
        <v>0.62372728286866785</v>
      </c>
      <c r="X9507" s="2">
        <f ca="1"/>
        <v>62.106227135509258</v>
      </c>
      <c r="AG9507" s="2">
        <f ca="1"/>
        <v>0.12329783103500414</v>
      </c>
      <c r="AH9507" s="2" t="str">
        <f ca="1"/>
        <v>OK</v>
      </c>
    </row>
    <row r="9508" spans="2:34" x14ac:dyDescent="0.2">
      <c r="B9508" s="2">
        <f ca="1"/>
        <v>0.95357761177728961</v>
      </c>
      <c r="O9508" s="2">
        <f ca="1"/>
        <v>-0.18560262039026684</v>
      </c>
      <c r="X9508" s="2">
        <f ca="1"/>
        <v>55.150843606437306</v>
      </c>
      <c r="AG9508" s="2">
        <f ca="1"/>
        <v>0.86401905054912009</v>
      </c>
      <c r="AH9508" s="2" t="str">
        <f ca="1"/>
        <v>Bad</v>
      </c>
    </row>
    <row r="9509" spans="2:34" x14ac:dyDescent="0.2">
      <c r="B9509" s="2">
        <f ca="1"/>
        <v>0.49699462832669328</v>
      </c>
      <c r="O9509" s="2">
        <f ca="1"/>
        <v>0.74543847693359522</v>
      </c>
      <c r="X9509" s="2">
        <f ca="1"/>
        <v>60.479004877028252</v>
      </c>
      <c r="AG9509" s="2">
        <f ca="1"/>
        <v>8.496070601307526E-3</v>
      </c>
      <c r="AH9509" s="2" t="str">
        <f ca="1"/>
        <v>Good</v>
      </c>
    </row>
    <row r="9510" spans="2:34" x14ac:dyDescent="0.2">
      <c r="B9510" s="2">
        <f ca="1"/>
        <v>0.31198214990492734</v>
      </c>
      <c r="O9510" s="2">
        <f ca="1"/>
        <v>0.82123454264915086</v>
      </c>
      <c r="X9510" s="2">
        <f ca="1"/>
        <v>63.474252355642584</v>
      </c>
      <c r="AG9510" s="2">
        <f ca="1"/>
        <v>0.67581758920795787</v>
      </c>
      <c r="AH9510" s="2" t="str">
        <f ca="1"/>
        <v>Bad</v>
      </c>
    </row>
    <row r="9511" spans="2:34" x14ac:dyDescent="0.2">
      <c r="B9511" s="2">
        <f ca="1"/>
        <v>1.7964475760967824E-2</v>
      </c>
      <c r="O9511" s="2">
        <f ca="1"/>
        <v>-0.70619841930026617</v>
      </c>
      <c r="X9511" s="2">
        <f ca="1"/>
        <v>54.919953722283651</v>
      </c>
      <c r="AG9511" s="2">
        <f ca="1"/>
        <v>0.63711035239222835</v>
      </c>
      <c r="AH9511" s="2" t="str">
        <f ca="1"/>
        <v>Bad</v>
      </c>
    </row>
    <row r="9512" spans="2:34" x14ac:dyDescent="0.2">
      <c r="B9512" s="2">
        <f ca="1"/>
        <v>0.64356083648420115</v>
      </c>
      <c r="O9512" s="2">
        <f ca="1"/>
        <v>-1.2109894567270629</v>
      </c>
      <c r="X9512" s="2">
        <f ca="1"/>
        <v>54.607466846230388</v>
      </c>
      <c r="AG9512" s="2">
        <f ca="1"/>
        <v>0.3905708438739286</v>
      </c>
      <c r="AH9512" s="2" t="str">
        <f ca="1"/>
        <v>OK</v>
      </c>
    </row>
    <row r="9513" spans="2:34" x14ac:dyDescent="0.2">
      <c r="B9513" s="2">
        <f ca="1"/>
        <v>8.0307430744823938E-2</v>
      </c>
      <c r="O9513" s="2">
        <f ca="1"/>
        <v>0.72966312873144368</v>
      </c>
      <c r="X9513" s="2">
        <f ca="1"/>
        <v>36.154135952550789</v>
      </c>
      <c r="AG9513" s="2">
        <f ca="1"/>
        <v>0.14883267896272612</v>
      </c>
      <c r="AH9513" s="2" t="str">
        <f ca="1"/>
        <v>OK</v>
      </c>
    </row>
    <row r="9514" spans="2:34" x14ac:dyDescent="0.2">
      <c r="B9514" s="2">
        <f ca="1"/>
        <v>0.48311668784083217</v>
      </c>
      <c r="O9514" s="2">
        <f ca="1"/>
        <v>1.1715933126656264</v>
      </c>
      <c r="X9514" s="2">
        <f ca="1"/>
        <v>42.904657997576976</v>
      </c>
      <c r="AG9514" s="2">
        <f ca="1"/>
        <v>0.7482520711665841</v>
      </c>
      <c r="AH9514" s="2" t="str">
        <f ca="1"/>
        <v>Bad</v>
      </c>
    </row>
    <row r="9515" spans="2:34" x14ac:dyDescent="0.2">
      <c r="B9515" s="2">
        <f ca="1"/>
        <v>0.27323156907415691</v>
      </c>
      <c r="O9515" s="2">
        <f ca="1"/>
        <v>-1.1392369383790943</v>
      </c>
      <c r="X9515" s="2">
        <f ca="1"/>
        <v>59.613749534894929</v>
      </c>
      <c r="AG9515" s="2">
        <f ca="1"/>
        <v>0.11254057035300846</v>
      </c>
      <c r="AH9515" s="2" t="str">
        <f ca="1"/>
        <v>OK</v>
      </c>
    </row>
    <row r="9516" spans="2:34" x14ac:dyDescent="0.2">
      <c r="B9516" s="2">
        <f ca="1"/>
        <v>2.9901890984101787E-2</v>
      </c>
      <c r="O9516" s="2">
        <f ca="1"/>
        <v>-4.9253677768000999E-2</v>
      </c>
      <c r="X9516" s="2">
        <f ca="1"/>
        <v>44.123608186666445</v>
      </c>
      <c r="AG9516" s="2">
        <f ca="1"/>
        <v>0.16406874978971597</v>
      </c>
      <c r="AH9516" s="2" t="str">
        <f ca="1"/>
        <v>OK</v>
      </c>
    </row>
    <row r="9517" spans="2:34" x14ac:dyDescent="0.2">
      <c r="B9517" s="2">
        <f ca="1"/>
        <v>0.57011739507475778</v>
      </c>
      <c r="O9517" s="2">
        <f ca="1"/>
        <v>1.338096525516413</v>
      </c>
      <c r="X9517" s="2">
        <f ca="1"/>
        <v>45.448114128626223</v>
      </c>
      <c r="AG9517" s="2">
        <f ca="1"/>
        <v>0.87993183084989757</v>
      </c>
      <c r="AH9517" s="2" t="str">
        <f ca="1"/>
        <v>Bad</v>
      </c>
    </row>
    <row r="9518" spans="2:34" x14ac:dyDescent="0.2">
      <c r="B9518" s="2">
        <f ca="1"/>
        <v>0.32364763380664585</v>
      </c>
      <c r="O9518" s="2">
        <f ca="1"/>
        <v>-0.35471361358690628</v>
      </c>
      <c r="X9518" s="2">
        <f ca="1"/>
        <v>35.309073125028839</v>
      </c>
      <c r="AG9518" s="2">
        <f ca="1"/>
        <v>9.2749977416824114E-2</v>
      </c>
      <c r="AH9518" s="2" t="str">
        <f ca="1"/>
        <v>OK</v>
      </c>
    </row>
    <row r="9519" spans="2:34" x14ac:dyDescent="0.2">
      <c r="B9519" s="2">
        <f ca="1"/>
        <v>1.3223625599987576E-2</v>
      </c>
      <c r="O9519" s="2">
        <f ca="1"/>
        <v>1.0561680501216648</v>
      </c>
      <c r="X9519" s="2">
        <f ca="1"/>
        <v>40.309503459246173</v>
      </c>
      <c r="AG9519" s="2">
        <f ca="1"/>
        <v>0.81209000937301679</v>
      </c>
      <c r="AH9519" s="2" t="str">
        <f ca="1"/>
        <v>Bad</v>
      </c>
    </row>
    <row r="9520" spans="2:34" x14ac:dyDescent="0.2">
      <c r="B9520" s="2">
        <f ca="1"/>
        <v>0.50759860143565105</v>
      </c>
      <c r="O9520" s="2">
        <f ca="1"/>
        <v>-1.0394860411792042</v>
      </c>
      <c r="X9520" s="2">
        <f ca="1"/>
        <v>73.612909221012387</v>
      </c>
      <c r="AG9520" s="2">
        <f ca="1"/>
        <v>0.54257143590392443</v>
      </c>
      <c r="AH9520" s="2" t="str">
        <f ca="1"/>
        <v>Bad</v>
      </c>
    </row>
    <row r="9521" spans="2:34" x14ac:dyDescent="0.2">
      <c r="B9521" s="2">
        <f ca="1"/>
        <v>0.27686516471004086</v>
      </c>
      <c r="O9521" s="2">
        <f ca="1"/>
        <v>-0.6896399441067691</v>
      </c>
      <c r="X9521" s="2">
        <f ca="1"/>
        <v>38.907075296147184</v>
      </c>
      <c r="AG9521" s="2">
        <f ca="1"/>
        <v>0.65244940191921352</v>
      </c>
      <c r="AH9521" s="2" t="str">
        <f ca="1"/>
        <v>Bad</v>
      </c>
    </row>
    <row r="9522" spans="2:34" x14ac:dyDescent="0.2">
      <c r="B9522" s="2">
        <f ca="1"/>
        <v>0.6920710273287336</v>
      </c>
      <c r="O9522" s="2">
        <f ca="1"/>
        <v>0.66343558499712385</v>
      </c>
      <c r="X9522" s="2">
        <f ca="1"/>
        <v>65.484835755250572</v>
      </c>
      <c r="AG9522" s="2">
        <f ca="1"/>
        <v>0.83483534104188895</v>
      </c>
      <c r="AH9522" s="2" t="str">
        <f ca="1"/>
        <v>Bad</v>
      </c>
    </row>
    <row r="9523" spans="2:34" x14ac:dyDescent="0.2">
      <c r="B9523" s="2">
        <f ca="1"/>
        <v>0.75812910002593292</v>
      </c>
      <c r="O9523" s="2">
        <f ca="1"/>
        <v>-0.31234152985813896</v>
      </c>
      <c r="X9523" s="2">
        <f ca="1"/>
        <v>48.639213435628641</v>
      </c>
      <c r="AG9523" s="2">
        <f ca="1"/>
        <v>0.35687313522434061</v>
      </c>
      <c r="AH9523" s="2" t="str">
        <f ca="1"/>
        <v>OK</v>
      </c>
    </row>
    <row r="9524" spans="2:34" x14ac:dyDescent="0.2">
      <c r="B9524" s="2">
        <f ca="1"/>
        <v>0.35351993949981364</v>
      </c>
      <c r="O9524" s="2">
        <f ca="1"/>
        <v>-0.48131001657122546</v>
      </c>
      <c r="X9524" s="2">
        <f ca="1"/>
        <v>50.588218326371972</v>
      </c>
      <c r="AG9524" s="2">
        <f ca="1"/>
        <v>0.66907680715791829</v>
      </c>
      <c r="AH9524" s="2" t="str">
        <f ca="1"/>
        <v>Bad</v>
      </c>
    </row>
    <row r="9525" spans="2:34" x14ac:dyDescent="0.2">
      <c r="B9525" s="2">
        <f ca="1"/>
        <v>0.89073131578438347</v>
      </c>
      <c r="O9525" s="2">
        <f ca="1"/>
        <v>-8.9769967348364718E-2</v>
      </c>
      <c r="X9525" s="2">
        <f ca="1"/>
        <v>46.989252414278162</v>
      </c>
      <c r="AG9525" s="2">
        <f ca="1"/>
        <v>0.21357888017209548</v>
      </c>
      <c r="AH9525" s="2" t="str">
        <f ca="1"/>
        <v>OK</v>
      </c>
    </row>
    <row r="9526" spans="2:34" x14ac:dyDescent="0.2">
      <c r="B9526" s="2">
        <f ca="1"/>
        <v>0.20823083567582268</v>
      </c>
      <c r="O9526" s="2">
        <f ca="1"/>
        <v>9.5023799197503159E-2</v>
      </c>
      <c r="X9526" s="2">
        <f ca="1"/>
        <v>53.566955843873252</v>
      </c>
      <c r="AG9526" s="2">
        <f ca="1"/>
        <v>0.79810137858921859</v>
      </c>
      <c r="AH9526" s="2" t="str">
        <f ca="1"/>
        <v>Bad</v>
      </c>
    </row>
    <row r="9527" spans="2:34" x14ac:dyDescent="0.2">
      <c r="B9527" s="2">
        <f ca="1"/>
        <v>0.17094129390374735</v>
      </c>
      <c r="O9527" s="2">
        <f ca="1"/>
        <v>1.436189165774066</v>
      </c>
      <c r="X9527" s="2">
        <f ca="1"/>
        <v>40.845699663040662</v>
      </c>
      <c r="AG9527" s="2">
        <f ca="1"/>
        <v>0.83965596638344708</v>
      </c>
      <c r="AH9527" s="2" t="str">
        <f ca="1"/>
        <v>Bad</v>
      </c>
    </row>
    <row r="9528" spans="2:34" x14ac:dyDescent="0.2">
      <c r="B9528" s="2">
        <f ca="1"/>
        <v>0.47321292934507619</v>
      </c>
      <c r="O9528" s="2">
        <f ca="1"/>
        <v>0.51293518913150871</v>
      </c>
      <c r="X9528" s="2">
        <f ca="1"/>
        <v>77.360843179245066</v>
      </c>
      <c r="AG9528" s="2">
        <f ca="1"/>
        <v>0.7751551579347864</v>
      </c>
      <c r="AH9528" s="2" t="str">
        <f ca="1"/>
        <v>Bad</v>
      </c>
    </row>
    <row r="9529" spans="2:34" x14ac:dyDescent="0.2">
      <c r="B9529" s="2">
        <f ca="1"/>
        <v>7.4487925922310128E-2</v>
      </c>
      <c r="O9529" s="2">
        <f ca="1"/>
        <v>0.88188699802311787</v>
      </c>
      <c r="X9529" s="2">
        <f ca="1"/>
        <v>60.630452509750413</v>
      </c>
      <c r="AG9529" s="2">
        <f ca="1"/>
        <v>8.3414076138819571E-2</v>
      </c>
      <c r="AH9529" s="2" t="str">
        <f ca="1"/>
        <v>OK</v>
      </c>
    </row>
    <row r="9530" spans="2:34" x14ac:dyDescent="0.2">
      <c r="B9530" s="2">
        <f ca="1"/>
        <v>7.1553439247436845E-2</v>
      </c>
      <c r="O9530" s="2">
        <f ca="1"/>
        <v>-2.0228075806372634</v>
      </c>
      <c r="X9530" s="2">
        <f ca="1"/>
        <v>41.789365416928916</v>
      </c>
      <c r="AG9530" s="2">
        <f ca="1"/>
        <v>0.96803263420002494</v>
      </c>
      <c r="AH9530" s="2" t="str">
        <f ca="1"/>
        <v>Bad</v>
      </c>
    </row>
    <row r="9531" spans="2:34" x14ac:dyDescent="0.2">
      <c r="B9531" s="2">
        <f ca="1"/>
        <v>0.83296847396477403</v>
      </c>
      <c r="O9531" s="2">
        <f ca="1"/>
        <v>-0.95792995395208169</v>
      </c>
      <c r="X9531" s="2">
        <f ca="1"/>
        <v>55.904017280505386</v>
      </c>
      <c r="AG9531" s="2">
        <f ca="1"/>
        <v>0.63542036366591015</v>
      </c>
      <c r="AH9531" s="2" t="str">
        <f ca="1"/>
        <v>Bad</v>
      </c>
    </row>
    <row r="9532" spans="2:34" x14ac:dyDescent="0.2">
      <c r="B9532" s="2">
        <f ca="1"/>
        <v>5.9766193026364656E-2</v>
      </c>
      <c r="O9532" s="2">
        <f ca="1"/>
        <v>1.2274196450676982</v>
      </c>
      <c r="X9532" s="2">
        <f ca="1"/>
        <v>35.867326249709365</v>
      </c>
      <c r="AG9532" s="2">
        <f ca="1"/>
        <v>0.92066654137568626</v>
      </c>
      <c r="AH9532" s="2" t="str">
        <f ca="1"/>
        <v>Bad</v>
      </c>
    </row>
    <row r="9533" spans="2:34" x14ac:dyDescent="0.2">
      <c r="B9533" s="2">
        <f ca="1"/>
        <v>0.85571226014196378</v>
      </c>
      <c r="O9533" s="2">
        <f ca="1"/>
        <v>0.73288485011366611</v>
      </c>
      <c r="X9533" s="2">
        <f ca="1"/>
        <v>39.891164843725477</v>
      </c>
      <c r="AG9533" s="2">
        <f ca="1"/>
        <v>0.83244794364221719</v>
      </c>
      <c r="AH9533" s="2" t="str">
        <f ca="1"/>
        <v>Bad</v>
      </c>
    </row>
    <row r="9534" spans="2:34" x14ac:dyDescent="0.2">
      <c r="B9534" s="2">
        <f ca="1"/>
        <v>0.48225914689815585</v>
      </c>
      <c r="O9534" s="2">
        <f ca="1"/>
        <v>0.74693622571208784</v>
      </c>
      <c r="X9534" s="2">
        <f ca="1"/>
        <v>44.952794315509834</v>
      </c>
      <c r="AG9534" s="2">
        <f ca="1"/>
        <v>0.59531205427752965</v>
      </c>
      <c r="AH9534" s="2" t="str">
        <f ca="1"/>
        <v>Bad</v>
      </c>
    </row>
    <row r="9535" spans="2:34" x14ac:dyDescent="0.2">
      <c r="B9535" s="2">
        <f ca="1"/>
        <v>0.31987453829226276</v>
      </c>
      <c r="O9535" s="2">
        <f ca="1"/>
        <v>-0.26853496368437968</v>
      </c>
      <c r="X9535" s="2">
        <f ca="1"/>
        <v>72.082503927083806</v>
      </c>
      <c r="AG9535" s="2">
        <f ca="1"/>
        <v>0.40227182508481052</v>
      </c>
      <c r="AH9535" s="2" t="str">
        <f ca="1"/>
        <v>Bad</v>
      </c>
    </row>
    <row r="9536" spans="2:34" x14ac:dyDescent="0.2">
      <c r="B9536" s="2">
        <f ca="1"/>
        <v>0.14429909408730213</v>
      </c>
      <c r="O9536" s="2">
        <f ca="1"/>
        <v>-0.33539747763482836</v>
      </c>
      <c r="X9536" s="2">
        <f ca="1"/>
        <v>48.347647975766002</v>
      </c>
      <c r="AG9536" s="2">
        <f ca="1"/>
        <v>0.20974015899845333</v>
      </c>
      <c r="AH9536" s="2" t="str">
        <f ca="1"/>
        <v>OK</v>
      </c>
    </row>
    <row r="9537" spans="2:34" x14ac:dyDescent="0.2">
      <c r="B9537" s="2">
        <f ca="1"/>
        <v>0.14767105477402653</v>
      </c>
      <c r="O9537" s="2">
        <f ca="1"/>
        <v>-1.1222709645329036</v>
      </c>
      <c r="X9537" s="2">
        <f ca="1"/>
        <v>56.126053836067733</v>
      </c>
      <c r="AG9537" s="2">
        <f ca="1"/>
        <v>1.8744356923067862E-2</v>
      </c>
      <c r="AH9537" s="2" t="str">
        <f ca="1"/>
        <v>Good</v>
      </c>
    </row>
    <row r="9538" spans="2:34" x14ac:dyDescent="0.2">
      <c r="B9538" s="2">
        <f ca="1"/>
        <v>0.87445714952944598</v>
      </c>
      <c r="O9538" s="2">
        <f ca="1"/>
        <v>0.7729062333872383</v>
      </c>
      <c r="X9538" s="2">
        <f ca="1"/>
        <v>52.464792335251104</v>
      </c>
      <c r="AG9538" s="2">
        <f ca="1"/>
        <v>8.9419139710437356E-2</v>
      </c>
      <c r="AH9538" s="2" t="str">
        <f ca="1"/>
        <v>OK</v>
      </c>
    </row>
    <row r="9539" spans="2:34" x14ac:dyDescent="0.2">
      <c r="B9539" s="2">
        <f ca="1"/>
        <v>0.29773049419209463</v>
      </c>
      <c r="O9539" s="2">
        <f ca="1"/>
        <v>-1.2719098613759257</v>
      </c>
      <c r="X9539" s="2">
        <f ca="1"/>
        <v>41.049667596280941</v>
      </c>
      <c r="AG9539" s="2">
        <f ca="1"/>
        <v>0.67780789328155611</v>
      </c>
      <c r="AH9539" s="2" t="str">
        <f ca="1"/>
        <v>Bad</v>
      </c>
    </row>
    <row r="9540" spans="2:34" x14ac:dyDescent="0.2">
      <c r="B9540" s="2">
        <f ca="1"/>
        <v>0.7883469717604572</v>
      </c>
      <c r="O9540" s="2">
        <f ca="1"/>
        <v>-2.0566298912255725</v>
      </c>
      <c r="X9540" s="2">
        <f ca="1"/>
        <v>57.497977830497867</v>
      </c>
      <c r="AG9540" s="2">
        <f ca="1"/>
        <v>0.6896515447829934</v>
      </c>
      <c r="AH9540" s="2" t="str">
        <f ca="1"/>
        <v>Bad</v>
      </c>
    </row>
    <row r="9541" spans="2:34" x14ac:dyDescent="0.2">
      <c r="B9541" s="2">
        <f ca="1"/>
        <v>2.229917433231865E-2</v>
      </c>
      <c r="O9541" s="2">
        <f ca="1"/>
        <v>1.386431937629498</v>
      </c>
      <c r="X9541" s="2">
        <f ca="1"/>
        <v>49.360899577384799</v>
      </c>
      <c r="AG9541" s="2">
        <f ca="1"/>
        <v>0.86201110979253359</v>
      </c>
      <c r="AH9541" s="2" t="str">
        <f ca="1"/>
        <v>Bad</v>
      </c>
    </row>
    <row r="9542" spans="2:34" x14ac:dyDescent="0.2">
      <c r="B9542" s="2">
        <f ca="1"/>
        <v>0.32337727522295734</v>
      </c>
      <c r="O9542" s="2">
        <f ca="1"/>
        <v>0.51724149071273184</v>
      </c>
      <c r="X9542" s="2">
        <f ca="1"/>
        <v>48.208976065515124</v>
      </c>
      <c r="AG9542" s="2">
        <f ca="1"/>
        <v>0.97224577595033557</v>
      </c>
      <c r="AH9542" s="2" t="str">
        <f ca="1"/>
        <v>Bad</v>
      </c>
    </row>
    <row r="9543" spans="2:34" x14ac:dyDescent="0.2">
      <c r="B9543" s="2">
        <f ca="1"/>
        <v>0.126261932771774</v>
      </c>
      <c r="O9543" s="2">
        <f ca="1"/>
        <v>0.57807424129999485</v>
      </c>
      <c r="X9543" s="2">
        <f ca="1"/>
        <v>53.503952792315147</v>
      </c>
      <c r="AG9543" s="2">
        <f ca="1"/>
        <v>0.74920134703158836</v>
      </c>
      <c r="AH9543" s="2" t="str">
        <f ca="1"/>
        <v>Bad</v>
      </c>
    </row>
    <row r="9544" spans="2:34" x14ac:dyDescent="0.2">
      <c r="B9544" s="2">
        <f ca="1"/>
        <v>0.30978370105880004</v>
      </c>
      <c r="O9544" s="2">
        <f ca="1"/>
        <v>0.13773637444774042</v>
      </c>
      <c r="X9544" s="2">
        <f ca="1"/>
        <v>68.605848261987788</v>
      </c>
      <c r="AG9544" s="2">
        <f ca="1"/>
        <v>7.7159906756038676E-2</v>
      </c>
      <c r="AH9544" s="2" t="str">
        <f ca="1"/>
        <v>OK</v>
      </c>
    </row>
    <row r="9545" spans="2:34" x14ac:dyDescent="0.2">
      <c r="B9545" s="2">
        <f ca="1"/>
        <v>0.14228886042635147</v>
      </c>
      <c r="O9545" s="2">
        <f ca="1"/>
        <v>0.54788944985753285</v>
      </c>
      <c r="X9545" s="2">
        <f ca="1"/>
        <v>72.172432553336961</v>
      </c>
      <c r="AG9545" s="2">
        <f ca="1"/>
        <v>0.27648887033909242</v>
      </c>
      <c r="AH9545" s="2" t="str">
        <f ca="1"/>
        <v>OK</v>
      </c>
    </row>
    <row r="9546" spans="2:34" x14ac:dyDescent="0.2">
      <c r="B9546" s="2">
        <f ca="1"/>
        <v>0.23645699060170466</v>
      </c>
      <c r="O9546" s="2">
        <f ca="1"/>
        <v>0.74241555213296406</v>
      </c>
      <c r="X9546" s="2">
        <f ca="1"/>
        <v>22.384950182280519</v>
      </c>
      <c r="AG9546" s="2">
        <f ca="1"/>
        <v>0.36981776634757679</v>
      </c>
      <c r="AH9546" s="2" t="str">
        <f ca="1"/>
        <v>OK</v>
      </c>
    </row>
    <row r="9547" spans="2:34" x14ac:dyDescent="0.2">
      <c r="B9547" s="2">
        <f ca="1"/>
        <v>0.50527277168406193</v>
      </c>
      <c r="O9547" s="2">
        <f ca="1"/>
        <v>-0.52068879383808675</v>
      </c>
      <c r="X9547" s="2">
        <f ca="1"/>
        <v>41.352400703777327</v>
      </c>
      <c r="AG9547" s="2">
        <f ca="1"/>
        <v>0.92851565477309927</v>
      </c>
      <c r="AH9547" s="2" t="str">
        <f ca="1"/>
        <v>Bad</v>
      </c>
    </row>
    <row r="9548" spans="2:34" x14ac:dyDescent="0.2">
      <c r="B9548" s="2">
        <f ca="1"/>
        <v>0.85696185621536158</v>
      </c>
      <c r="O9548" s="2">
        <f ca="1"/>
        <v>-0.16530112183460743</v>
      </c>
      <c r="X9548" s="2">
        <f ca="1"/>
        <v>28.125818862259159</v>
      </c>
      <c r="AG9548" s="2">
        <f ca="1"/>
        <v>0.17853562520150246</v>
      </c>
      <c r="AH9548" s="2" t="str">
        <f ca="1"/>
        <v>OK</v>
      </c>
    </row>
    <row r="9549" spans="2:34" x14ac:dyDescent="0.2">
      <c r="B9549" s="2">
        <f ca="1"/>
        <v>0.76071683863479223</v>
      </c>
      <c r="O9549" s="2">
        <f ca="1"/>
        <v>-0.11326434875764632</v>
      </c>
      <c r="X9549" s="2">
        <f ca="1"/>
        <v>87.481568470865625</v>
      </c>
      <c r="AG9549" s="2">
        <f ca="1"/>
        <v>0.71274739187478953</v>
      </c>
      <c r="AH9549" s="2" t="str">
        <f ca="1"/>
        <v>Bad</v>
      </c>
    </row>
    <row r="9550" spans="2:34" x14ac:dyDescent="0.2">
      <c r="B9550" s="2">
        <f ca="1"/>
        <v>0.1543683877753359</v>
      </c>
      <c r="O9550" s="2">
        <f ca="1"/>
        <v>2.0166615425273644</v>
      </c>
      <c r="X9550" s="2">
        <f ca="1"/>
        <v>41.169014868868381</v>
      </c>
      <c r="AG9550" s="2">
        <f ca="1"/>
        <v>0.95018049375963032</v>
      </c>
      <c r="AH9550" s="2" t="str">
        <f ca="1"/>
        <v>Bad</v>
      </c>
    </row>
    <row r="9551" spans="2:34" x14ac:dyDescent="0.2">
      <c r="B9551" s="2">
        <f ca="1"/>
        <v>0.66255809276800592</v>
      </c>
      <c r="O9551" s="2">
        <f ca="1"/>
        <v>4.6954795183082642E-3</v>
      </c>
      <c r="X9551" s="2">
        <f ca="1"/>
        <v>73.288075861244167</v>
      </c>
      <c r="AG9551" s="2">
        <f ca="1"/>
        <v>0.28743766478595378</v>
      </c>
      <c r="AH9551" s="2" t="str">
        <f ca="1"/>
        <v>OK</v>
      </c>
    </row>
    <row r="9552" spans="2:34" x14ac:dyDescent="0.2">
      <c r="B9552" s="2">
        <f ca="1"/>
        <v>0.25215313533300332</v>
      </c>
      <c r="O9552" s="2">
        <f ca="1"/>
        <v>0.32509391164542301</v>
      </c>
      <c r="X9552" s="2">
        <f ca="1"/>
        <v>41.837989091561212</v>
      </c>
      <c r="AG9552" s="2">
        <f ca="1"/>
        <v>0.24427958957763418</v>
      </c>
      <c r="AH9552" s="2" t="str">
        <f ca="1"/>
        <v>OK</v>
      </c>
    </row>
    <row r="9553" spans="2:34" x14ac:dyDescent="0.2">
      <c r="B9553" s="2">
        <f ca="1"/>
        <v>0.4782524486097568</v>
      </c>
      <c r="O9553" s="2">
        <f ca="1"/>
        <v>2.5404988953301472E-2</v>
      </c>
      <c r="X9553" s="2">
        <f ca="1"/>
        <v>35.959960798884659</v>
      </c>
      <c r="AG9553" s="2">
        <f ca="1"/>
        <v>0.29331619898638484</v>
      </c>
      <c r="AH9553" s="2" t="str">
        <f ca="1"/>
        <v>OK</v>
      </c>
    </row>
    <row r="9554" spans="2:34" x14ac:dyDescent="0.2">
      <c r="B9554" s="2">
        <f ca="1"/>
        <v>0.42181909803001227</v>
      </c>
      <c r="O9554" s="2">
        <f ca="1"/>
        <v>-1.1657973763581939</v>
      </c>
      <c r="X9554" s="2">
        <f ca="1"/>
        <v>49.665080472861675</v>
      </c>
      <c r="AG9554" s="2">
        <f ca="1"/>
        <v>4.9448251861985426E-2</v>
      </c>
      <c r="AH9554" s="2" t="str">
        <f ca="1"/>
        <v>Good</v>
      </c>
    </row>
    <row r="9555" spans="2:34" x14ac:dyDescent="0.2">
      <c r="B9555" s="2">
        <f ca="1"/>
        <v>0.70536318697878353</v>
      </c>
      <c r="O9555" s="2">
        <f ca="1"/>
        <v>0.72372381145456499</v>
      </c>
      <c r="X9555" s="2">
        <f ca="1"/>
        <v>101.73413692765297</v>
      </c>
      <c r="AG9555" s="2">
        <f ca="1"/>
        <v>0.9541388235559769</v>
      </c>
      <c r="AH9555" s="2" t="str">
        <f ca="1"/>
        <v>Bad</v>
      </c>
    </row>
    <row r="9556" spans="2:34" x14ac:dyDescent="0.2">
      <c r="B9556" s="2">
        <f ca="1"/>
        <v>0.67623896085802282</v>
      </c>
      <c r="O9556" s="2">
        <f ca="1"/>
        <v>-1.6645855201156492</v>
      </c>
      <c r="X9556" s="2">
        <f ca="1"/>
        <v>68.947030621447553</v>
      </c>
      <c r="AG9556" s="2">
        <f ca="1"/>
        <v>0.40693307056285022</v>
      </c>
      <c r="AH9556" s="2" t="str">
        <f ca="1"/>
        <v>Bad</v>
      </c>
    </row>
    <row r="9557" spans="2:34" x14ac:dyDescent="0.2">
      <c r="B9557" s="2">
        <f ca="1"/>
        <v>0.77974738304078905</v>
      </c>
      <c r="O9557" s="2">
        <f ca="1"/>
        <v>-0.24881836631390625</v>
      </c>
      <c r="X9557" s="2">
        <f ca="1"/>
        <v>45.972157219153793</v>
      </c>
      <c r="AG9557" s="2">
        <f ca="1"/>
        <v>0.35709888387848077</v>
      </c>
      <c r="AH9557" s="2" t="str">
        <f ca="1"/>
        <v>OK</v>
      </c>
    </row>
    <row r="9558" spans="2:34" x14ac:dyDescent="0.2">
      <c r="B9558" s="2">
        <f ca="1"/>
        <v>0.55513142272610616</v>
      </c>
      <c r="O9558" s="2">
        <f ca="1"/>
        <v>-1.3973970123784221</v>
      </c>
      <c r="X9558" s="2">
        <f ca="1"/>
        <v>44.639934317849509</v>
      </c>
      <c r="AG9558" s="2">
        <f ca="1"/>
        <v>0.15346016419883601</v>
      </c>
      <c r="AH9558" s="2" t="str">
        <f ca="1"/>
        <v>OK</v>
      </c>
    </row>
    <row r="9559" spans="2:34" x14ac:dyDescent="0.2">
      <c r="B9559" s="2">
        <f ca="1"/>
        <v>0.26096367558492717</v>
      </c>
      <c r="O9559" s="2">
        <f ca="1"/>
        <v>-0.89140338361806559</v>
      </c>
      <c r="X9559" s="2">
        <f ca="1"/>
        <v>40.21908657105304</v>
      </c>
      <c r="AG9559" s="2">
        <f ca="1"/>
        <v>0.29043652200309134</v>
      </c>
      <c r="AH9559" s="2" t="str">
        <f ca="1"/>
        <v>OK</v>
      </c>
    </row>
    <row r="9560" spans="2:34" x14ac:dyDescent="0.2">
      <c r="B9560" s="2">
        <f ca="1"/>
        <v>0.92647713653064923</v>
      </c>
      <c r="O9560" s="2">
        <f ca="1"/>
        <v>0.15184770152189087</v>
      </c>
      <c r="X9560" s="2">
        <f ca="1"/>
        <v>50.451854959052028</v>
      </c>
      <c r="AG9560" s="2">
        <f ca="1"/>
        <v>0.15864430882854896</v>
      </c>
      <c r="AH9560" s="2" t="str">
        <f ca="1"/>
        <v>OK</v>
      </c>
    </row>
    <row r="9561" spans="2:34" x14ac:dyDescent="0.2">
      <c r="B9561" s="2">
        <f ca="1"/>
        <v>0.36010755424013841</v>
      </c>
      <c r="O9561" s="2">
        <f ca="1"/>
        <v>1.3762961201709234</v>
      </c>
      <c r="X9561" s="2">
        <f ca="1"/>
        <v>63.962765427532261</v>
      </c>
      <c r="AG9561" s="2">
        <f ca="1"/>
        <v>0.47589788541132716</v>
      </c>
      <c r="AH9561" s="2" t="str">
        <f ca="1"/>
        <v>Bad</v>
      </c>
    </row>
    <row r="9562" spans="2:34" x14ac:dyDescent="0.2">
      <c r="B9562" s="2">
        <f ca="1"/>
        <v>0.87590231914147432</v>
      </c>
      <c r="O9562" s="2">
        <f ca="1"/>
        <v>-2.889476922537591E-2</v>
      </c>
      <c r="X9562" s="2">
        <f ca="1"/>
        <v>102.13622293884848</v>
      </c>
      <c r="AG9562" s="2">
        <f ca="1"/>
        <v>0.51927598373544148</v>
      </c>
      <c r="AH9562" s="2" t="str">
        <f ca="1"/>
        <v>Bad</v>
      </c>
    </row>
    <row r="9563" spans="2:34" x14ac:dyDescent="0.2">
      <c r="B9563" s="2">
        <f ca="1"/>
        <v>0.38473534275052779</v>
      </c>
      <c r="O9563" s="2">
        <f ca="1"/>
        <v>-0.62181944756668417</v>
      </c>
      <c r="X9563" s="2">
        <f ca="1"/>
        <v>53.909907767376701</v>
      </c>
      <c r="AG9563" s="2">
        <f ca="1"/>
        <v>0.1318082260759017</v>
      </c>
      <c r="AH9563" s="2" t="str">
        <f ca="1"/>
        <v>OK</v>
      </c>
    </row>
    <row r="9564" spans="2:34" x14ac:dyDescent="0.2">
      <c r="B9564" s="2">
        <f ca="1"/>
        <v>0.93542606438804454</v>
      </c>
      <c r="O9564" s="2">
        <f ca="1"/>
        <v>1.5516435532553203</v>
      </c>
      <c r="X9564" s="2">
        <f ca="1"/>
        <v>53.33827934518937</v>
      </c>
      <c r="AG9564" s="2">
        <f ca="1"/>
        <v>0.75028552811589266</v>
      </c>
      <c r="AH9564" s="2" t="str">
        <f ca="1"/>
        <v>Bad</v>
      </c>
    </row>
    <row r="9565" spans="2:34" x14ac:dyDescent="0.2">
      <c r="B9565" s="2">
        <f ca="1"/>
        <v>0.89422327566788518</v>
      </c>
      <c r="O9565" s="2">
        <f ca="1"/>
        <v>-5.9534573255642639E-2</v>
      </c>
      <c r="X9565" s="2">
        <f ca="1"/>
        <v>62.761444454367457</v>
      </c>
      <c r="AG9565" s="2">
        <f ca="1"/>
        <v>0.28612037150018743</v>
      </c>
      <c r="AH9565" s="2" t="str">
        <f ca="1"/>
        <v>OK</v>
      </c>
    </row>
    <row r="9566" spans="2:34" x14ac:dyDescent="0.2">
      <c r="B9566" s="2">
        <f ca="1"/>
        <v>0.74084911583571778</v>
      </c>
      <c r="O9566" s="2">
        <f ca="1"/>
        <v>-5.108148404643819E-2</v>
      </c>
      <c r="X9566" s="2">
        <f ca="1"/>
        <v>48.34128938095099</v>
      </c>
      <c r="AG9566" s="2">
        <f ca="1"/>
        <v>0.14311560112461219</v>
      </c>
      <c r="AH9566" s="2" t="str">
        <f ca="1"/>
        <v>OK</v>
      </c>
    </row>
    <row r="9567" spans="2:34" x14ac:dyDescent="0.2">
      <c r="B9567" s="2">
        <f ca="1"/>
        <v>0.93641817041599307</v>
      </c>
      <c r="O9567" s="2">
        <f ca="1"/>
        <v>0.53965104949361731</v>
      </c>
      <c r="X9567" s="2">
        <f ca="1"/>
        <v>86.718064741405357</v>
      </c>
      <c r="AG9567" s="2">
        <f ca="1"/>
        <v>0.46936954353474758</v>
      </c>
      <c r="AH9567" s="2" t="str">
        <f ca="1"/>
        <v>Bad</v>
      </c>
    </row>
    <row r="9568" spans="2:34" x14ac:dyDescent="0.2">
      <c r="B9568" s="2">
        <f ca="1"/>
        <v>0.53234361616818715</v>
      </c>
      <c r="O9568" s="2">
        <f ca="1"/>
        <v>0.40986687247969072</v>
      </c>
      <c r="X9568" s="2">
        <f ca="1"/>
        <v>80.747678311091306</v>
      </c>
      <c r="AG9568" s="2">
        <f ca="1"/>
        <v>0.52209032706876179</v>
      </c>
      <c r="AH9568" s="2" t="str">
        <f ca="1"/>
        <v>Bad</v>
      </c>
    </row>
    <row r="9569" spans="2:34" x14ac:dyDescent="0.2">
      <c r="B9569" s="2">
        <f ca="1"/>
        <v>0.84887379048128242</v>
      </c>
      <c r="O9569" s="2">
        <f ca="1"/>
        <v>1.2248187645189823</v>
      </c>
      <c r="X9569" s="2">
        <f ca="1"/>
        <v>69.996085956783361</v>
      </c>
      <c r="AG9569" s="2">
        <f ca="1"/>
        <v>0.66888335728627513</v>
      </c>
      <c r="AH9569" s="2" t="str">
        <f ca="1"/>
        <v>Bad</v>
      </c>
    </row>
    <row r="9570" spans="2:34" x14ac:dyDescent="0.2">
      <c r="B9570" s="2">
        <f ca="1"/>
        <v>0.19934667990573329</v>
      </c>
      <c r="O9570" s="2">
        <f ca="1"/>
        <v>0.39420147430717917</v>
      </c>
      <c r="X9570" s="2">
        <f ca="1"/>
        <v>52.263185421536598</v>
      </c>
      <c r="AG9570" s="2">
        <f ca="1"/>
        <v>0.30317679534163378</v>
      </c>
      <c r="AH9570" s="2" t="str">
        <f ca="1"/>
        <v>OK</v>
      </c>
    </row>
    <row r="9571" spans="2:34" x14ac:dyDescent="0.2">
      <c r="B9571" s="2">
        <f ca="1"/>
        <v>0.27544194688156654</v>
      </c>
      <c r="O9571" s="2">
        <f ca="1"/>
        <v>0.19034315913706171</v>
      </c>
      <c r="X9571" s="2">
        <f ca="1"/>
        <v>39.419738178379717</v>
      </c>
      <c r="AG9571" s="2">
        <f ca="1"/>
        <v>0.27565863966560222</v>
      </c>
      <c r="AH9571" s="2" t="str">
        <f ca="1"/>
        <v>OK</v>
      </c>
    </row>
    <row r="9572" spans="2:34" x14ac:dyDescent="0.2">
      <c r="B9572" s="2">
        <f ca="1"/>
        <v>0.31204226056323514</v>
      </c>
      <c r="O9572" s="2">
        <f ca="1"/>
        <v>0.68669574251730625</v>
      </c>
      <c r="X9572" s="2">
        <f ca="1"/>
        <v>74.530716654688064</v>
      </c>
      <c r="AG9572" s="2">
        <f ca="1"/>
        <v>0.24040902231459937</v>
      </c>
      <c r="AH9572" s="2" t="str">
        <f ca="1"/>
        <v>OK</v>
      </c>
    </row>
    <row r="9573" spans="2:34" x14ac:dyDescent="0.2">
      <c r="B9573" s="2">
        <f ca="1"/>
        <v>6.6147288819038863E-2</v>
      </c>
      <c r="O9573" s="2">
        <f ca="1"/>
        <v>-2.0420328257237972</v>
      </c>
      <c r="X9573" s="2">
        <f ca="1"/>
        <v>42.93487380588364</v>
      </c>
      <c r="AG9573" s="2">
        <f ca="1"/>
        <v>0.83609804462596116</v>
      </c>
      <c r="AH9573" s="2" t="str">
        <f ca="1"/>
        <v>Bad</v>
      </c>
    </row>
    <row r="9574" spans="2:34" x14ac:dyDescent="0.2">
      <c r="B9574" s="2">
        <f ca="1"/>
        <v>0.3658104620567646</v>
      </c>
      <c r="O9574" s="2">
        <f ca="1"/>
        <v>1.1774975417779396</v>
      </c>
      <c r="X9574" s="2">
        <f ca="1"/>
        <v>64.170023323556833</v>
      </c>
      <c r="AG9574" s="2">
        <f ca="1"/>
        <v>0.37175551504818127</v>
      </c>
      <c r="AH9574" s="2" t="str">
        <f ca="1"/>
        <v>OK</v>
      </c>
    </row>
    <row r="9575" spans="2:34" x14ac:dyDescent="0.2">
      <c r="B9575" s="2">
        <f ca="1"/>
        <v>0.23559250828418432</v>
      </c>
      <c r="O9575" s="2">
        <f ca="1"/>
        <v>-0.56894025585497643</v>
      </c>
      <c r="X9575" s="2">
        <f ca="1"/>
        <v>50.450217680677881</v>
      </c>
      <c r="AG9575" s="2">
        <f ca="1"/>
        <v>0.26266952454820824</v>
      </c>
      <c r="AH9575" s="2" t="str">
        <f ca="1"/>
        <v>OK</v>
      </c>
    </row>
    <row r="9576" spans="2:34" x14ac:dyDescent="0.2">
      <c r="B9576" s="2">
        <f ca="1"/>
        <v>0.98756759305520903</v>
      </c>
      <c r="O9576" s="2">
        <f ca="1"/>
        <v>0.71123982203383918</v>
      </c>
      <c r="X9576" s="2">
        <f ca="1"/>
        <v>38.613252911430081</v>
      </c>
      <c r="AG9576" s="2">
        <f ca="1"/>
        <v>0.85611201246658486</v>
      </c>
      <c r="AH9576" s="2" t="str">
        <f ca="1"/>
        <v>Bad</v>
      </c>
    </row>
    <row r="9577" spans="2:34" x14ac:dyDescent="0.2">
      <c r="B9577" s="2">
        <f ca="1"/>
        <v>0.61090801327887356</v>
      </c>
      <c r="O9577" s="2">
        <f ca="1"/>
        <v>-2.0248202611706216</v>
      </c>
      <c r="X9577" s="2">
        <f ca="1"/>
        <v>70.764464470048239</v>
      </c>
      <c r="AG9577" s="2">
        <f ca="1"/>
        <v>0.98255893639171221</v>
      </c>
      <c r="AH9577" s="2" t="str">
        <f ca="1"/>
        <v>Bad</v>
      </c>
    </row>
    <row r="9578" spans="2:34" x14ac:dyDescent="0.2">
      <c r="B9578" s="2">
        <f ca="1"/>
        <v>0.21669046798117164</v>
      </c>
      <c r="O9578" s="2">
        <f ca="1"/>
        <v>0.73360846305382998</v>
      </c>
      <c r="X9578" s="2">
        <f ca="1"/>
        <v>43.788756284928084</v>
      </c>
      <c r="AG9578" s="2">
        <f ca="1"/>
        <v>0.72869436773323892</v>
      </c>
      <c r="AH9578" s="2" t="str">
        <f ca="1"/>
        <v>Bad</v>
      </c>
    </row>
    <row r="9579" spans="2:34" x14ac:dyDescent="0.2">
      <c r="B9579" s="2">
        <f ca="1"/>
        <v>0.15410602888942782</v>
      </c>
      <c r="O9579" s="2">
        <f ca="1"/>
        <v>6.4414655510323687E-2</v>
      </c>
      <c r="X9579" s="2">
        <f ca="1"/>
        <v>55.85054121410824</v>
      </c>
      <c r="AG9579" s="2">
        <f ca="1"/>
        <v>0.89103377725502386</v>
      </c>
      <c r="AH9579" s="2" t="str">
        <f ca="1"/>
        <v>Bad</v>
      </c>
    </row>
    <row r="9580" spans="2:34" x14ac:dyDescent="0.2">
      <c r="B9580" s="2">
        <f ca="1"/>
        <v>0.6262597335177793</v>
      </c>
      <c r="O9580" s="2">
        <f ca="1"/>
        <v>-0.99712857748153494</v>
      </c>
      <c r="X9580" s="2">
        <f ca="1"/>
        <v>46.269719106952714</v>
      </c>
      <c r="AG9580" s="2">
        <f ca="1"/>
        <v>0.57946069781028653</v>
      </c>
      <c r="AH9580" s="2" t="str">
        <f ca="1"/>
        <v>Bad</v>
      </c>
    </row>
    <row r="9581" spans="2:34" x14ac:dyDescent="0.2">
      <c r="B9581" s="2">
        <f ca="1"/>
        <v>0.94125295520644747</v>
      </c>
      <c r="O9581" s="2">
        <f ca="1"/>
        <v>0.8172144023607143</v>
      </c>
      <c r="X9581" s="2">
        <f ca="1"/>
        <v>24.409360973403533</v>
      </c>
      <c r="AG9581" s="2">
        <f ca="1"/>
        <v>0.94540011785813904</v>
      </c>
      <c r="AH9581" s="2" t="str">
        <f ca="1"/>
        <v>Bad</v>
      </c>
    </row>
    <row r="9582" spans="2:34" x14ac:dyDescent="0.2">
      <c r="B9582" s="2">
        <f ca="1"/>
        <v>0.86901702645605106</v>
      </c>
      <c r="O9582" s="2">
        <f ca="1"/>
        <v>0.13127450135842564</v>
      </c>
      <c r="X9582" s="2">
        <f ca="1"/>
        <v>50.958838204495656</v>
      </c>
      <c r="AG9582" s="2">
        <f ca="1"/>
        <v>0.82557353964825819</v>
      </c>
      <c r="AH9582" s="2" t="str">
        <f ca="1"/>
        <v>Bad</v>
      </c>
    </row>
    <row r="9583" spans="2:34" x14ac:dyDescent="0.2">
      <c r="B9583" s="2">
        <f ca="1"/>
        <v>0.72926660651544895</v>
      </c>
      <c r="O9583" s="2">
        <f ca="1"/>
        <v>-6.2441057097312571E-3</v>
      </c>
      <c r="X9583" s="2">
        <f ca="1"/>
        <v>34.866247839057522</v>
      </c>
      <c r="AG9583" s="2">
        <f ca="1"/>
        <v>0.88856204036914321</v>
      </c>
      <c r="AH9583" s="2" t="str">
        <f ca="1"/>
        <v>Bad</v>
      </c>
    </row>
    <row r="9584" spans="2:34" x14ac:dyDescent="0.2">
      <c r="B9584" s="2">
        <f ca="1"/>
        <v>0.81091483657652175</v>
      </c>
      <c r="O9584" s="2">
        <f ca="1"/>
        <v>-0.16801497510040911</v>
      </c>
      <c r="X9584" s="2">
        <f ca="1"/>
        <v>63.820816535123072</v>
      </c>
      <c r="AG9584" s="2">
        <f ca="1"/>
        <v>0.16243325996616442</v>
      </c>
      <c r="AH9584" s="2" t="str">
        <f ca="1"/>
        <v>OK</v>
      </c>
    </row>
    <row r="9585" spans="2:34" x14ac:dyDescent="0.2">
      <c r="B9585" s="2">
        <f ca="1"/>
        <v>0.83138866725441485</v>
      </c>
      <c r="O9585" s="2">
        <f ca="1"/>
        <v>-9.2541792458414887E-2</v>
      </c>
      <c r="X9585" s="2">
        <f ca="1"/>
        <v>40.280795946761614</v>
      </c>
      <c r="AG9585" s="2">
        <f ca="1"/>
        <v>0.947791980786022</v>
      </c>
      <c r="AH9585" s="2" t="str">
        <f ca="1"/>
        <v>Bad</v>
      </c>
    </row>
    <row r="9586" spans="2:34" x14ac:dyDescent="0.2">
      <c r="B9586" s="2">
        <f ca="1"/>
        <v>0.34119288167997275</v>
      </c>
      <c r="O9586" s="2">
        <f ca="1"/>
        <v>0.6693254789076355</v>
      </c>
      <c r="X9586" s="2">
        <f ca="1"/>
        <v>21.754706735153199</v>
      </c>
      <c r="AG9586" s="2">
        <f ca="1"/>
        <v>0.79389953468629915</v>
      </c>
      <c r="AH9586" s="2" t="str">
        <f ca="1"/>
        <v>Bad</v>
      </c>
    </row>
    <row r="9587" spans="2:34" x14ac:dyDescent="0.2">
      <c r="B9587" s="2">
        <f ca="1"/>
        <v>0.41921573562045933</v>
      </c>
      <c r="O9587" s="2">
        <f ca="1"/>
        <v>0.73896579193609868</v>
      </c>
      <c r="X9587" s="2">
        <f ca="1"/>
        <v>39.272990093676789</v>
      </c>
      <c r="AG9587" s="2">
        <f ca="1"/>
        <v>0.57776482008496099</v>
      </c>
      <c r="AH9587" s="2" t="str">
        <f ca="1"/>
        <v>Bad</v>
      </c>
    </row>
    <row r="9588" spans="2:34" x14ac:dyDescent="0.2">
      <c r="B9588" s="2">
        <f ca="1"/>
        <v>0.88547428736144451</v>
      </c>
      <c r="O9588" s="2">
        <f ca="1"/>
        <v>0.63349951791896664</v>
      </c>
      <c r="X9588" s="2">
        <f ca="1"/>
        <v>63.202628359282471</v>
      </c>
      <c r="AG9588" s="2">
        <f ca="1"/>
        <v>0.55325219078303278</v>
      </c>
      <c r="AH9588" s="2" t="str">
        <f ca="1"/>
        <v>Bad</v>
      </c>
    </row>
    <row r="9589" spans="2:34" x14ac:dyDescent="0.2">
      <c r="B9589" s="2">
        <f ca="1"/>
        <v>1.3408032137870229E-2</v>
      </c>
      <c r="O9589" s="2">
        <f ca="1"/>
        <v>0.19311426003701312</v>
      </c>
      <c r="X9589" s="2">
        <f ca="1"/>
        <v>29.940036418850205</v>
      </c>
      <c r="AG9589" s="2">
        <f ca="1"/>
        <v>0.95419217665802103</v>
      </c>
      <c r="AH9589" s="2" t="str">
        <f ca="1"/>
        <v>Bad</v>
      </c>
    </row>
    <row r="9590" spans="2:34" x14ac:dyDescent="0.2">
      <c r="B9590" s="2">
        <f ca="1"/>
        <v>0.23539009384445042</v>
      </c>
      <c r="O9590" s="2">
        <f ca="1"/>
        <v>0.83347209997391236</v>
      </c>
      <c r="X9590" s="2">
        <f ca="1"/>
        <v>33.154118958189422</v>
      </c>
      <c r="AG9590" s="2">
        <f ca="1"/>
        <v>0.56436613874619912</v>
      </c>
      <c r="AH9590" s="2" t="str">
        <f ca="1"/>
        <v>Bad</v>
      </c>
    </row>
    <row r="9591" spans="2:34" x14ac:dyDescent="0.2">
      <c r="B9591" s="2">
        <f ca="1"/>
        <v>0.52063686243408647</v>
      </c>
      <c r="O9591" s="2">
        <f ca="1"/>
        <v>0.89004474094628749</v>
      </c>
      <c r="X9591" s="2">
        <f ca="1"/>
        <v>56.43201819588613</v>
      </c>
      <c r="AG9591" s="2">
        <f ca="1"/>
        <v>0.67280674263228657</v>
      </c>
      <c r="AH9591" s="2" t="str">
        <f ca="1"/>
        <v>Bad</v>
      </c>
    </row>
    <row r="9592" spans="2:34" x14ac:dyDescent="0.2">
      <c r="B9592" s="2">
        <f ca="1"/>
        <v>0.71366045829200764</v>
      </c>
      <c r="O9592" s="2">
        <f ca="1"/>
        <v>1.0961059070439387</v>
      </c>
      <c r="X9592" s="2">
        <f ca="1"/>
        <v>37.806738704740042</v>
      </c>
      <c r="AG9592" s="2">
        <f ca="1"/>
        <v>0.89222634367304599</v>
      </c>
      <c r="AH9592" s="2" t="str">
        <f ca="1"/>
        <v>Bad</v>
      </c>
    </row>
    <row r="9593" spans="2:34" x14ac:dyDescent="0.2">
      <c r="B9593" s="2">
        <f ca="1"/>
        <v>0.24305712694525261</v>
      </c>
      <c r="O9593" s="2">
        <f ca="1"/>
        <v>-1.2488685213781547</v>
      </c>
      <c r="X9593" s="2">
        <f ca="1"/>
        <v>69.742374718281283</v>
      </c>
      <c r="AG9593" s="2">
        <f ca="1"/>
        <v>0.76039101691076905</v>
      </c>
      <c r="AH9593" s="2" t="str">
        <f ca="1"/>
        <v>Bad</v>
      </c>
    </row>
    <row r="9594" spans="2:34" x14ac:dyDescent="0.2">
      <c r="B9594" s="2">
        <f ca="1"/>
        <v>0.2056354703722838</v>
      </c>
      <c r="O9594" s="2">
        <f ca="1"/>
        <v>-0.91094091365418239</v>
      </c>
      <c r="X9594" s="2">
        <f ca="1"/>
        <v>49.153838046035141</v>
      </c>
      <c r="AG9594" s="2">
        <f ca="1"/>
        <v>0.47837145292543481</v>
      </c>
      <c r="AH9594" s="2" t="str">
        <f ca="1"/>
        <v>Bad</v>
      </c>
    </row>
    <row r="9595" spans="2:34" x14ac:dyDescent="0.2">
      <c r="B9595" s="2">
        <f ca="1"/>
        <v>0.30217705874264955</v>
      </c>
      <c r="O9595" s="2">
        <f ca="1"/>
        <v>0.36684285083816498</v>
      </c>
      <c r="X9595" s="2">
        <f ca="1"/>
        <v>86.034634863901474</v>
      </c>
      <c r="AG9595" s="2">
        <f ca="1"/>
        <v>5.367446812187926E-2</v>
      </c>
      <c r="AH9595" s="2" t="str">
        <f ca="1"/>
        <v>OK</v>
      </c>
    </row>
    <row r="9596" spans="2:34" x14ac:dyDescent="0.2">
      <c r="B9596" s="2">
        <f ca="1"/>
        <v>0.13594117422258334</v>
      </c>
      <c r="O9596" s="2">
        <f ca="1"/>
        <v>-0.21777640197667356</v>
      </c>
      <c r="X9596" s="2">
        <f ca="1"/>
        <v>41.639825223254057</v>
      </c>
      <c r="AG9596" s="2">
        <f ca="1"/>
        <v>0.67330838571629137</v>
      </c>
      <c r="AH9596" s="2" t="str">
        <f ca="1"/>
        <v>Bad</v>
      </c>
    </row>
    <row r="9597" spans="2:34" x14ac:dyDescent="0.2">
      <c r="B9597" s="2">
        <f ca="1"/>
        <v>0.48498183289843699</v>
      </c>
      <c r="O9597" s="2">
        <f ca="1"/>
        <v>1.7727312255119663</v>
      </c>
      <c r="X9597" s="2">
        <f ca="1"/>
        <v>72.290903743181005</v>
      </c>
      <c r="AG9597" s="2">
        <f ca="1"/>
        <v>0.77184070649136394</v>
      </c>
      <c r="AH9597" s="2" t="str">
        <f ca="1"/>
        <v>Bad</v>
      </c>
    </row>
    <row r="9598" spans="2:34" x14ac:dyDescent="0.2">
      <c r="B9598" s="2">
        <f ca="1"/>
        <v>0.59111509403232487</v>
      </c>
      <c r="O9598" s="2">
        <f ca="1"/>
        <v>-1.0978313562299831</v>
      </c>
      <c r="X9598" s="2">
        <f ca="1"/>
        <v>61.206156914530965</v>
      </c>
      <c r="AG9598" s="2">
        <f ca="1"/>
        <v>2.2877612444818229E-3</v>
      </c>
      <c r="AH9598" s="2" t="str">
        <f ca="1"/>
        <v>Good</v>
      </c>
    </row>
    <row r="9599" spans="2:34" x14ac:dyDescent="0.2">
      <c r="B9599" s="2">
        <f ca="1"/>
        <v>0.77506517712194323</v>
      </c>
      <c r="O9599" s="2">
        <f ca="1"/>
        <v>1.6219702402028622</v>
      </c>
      <c r="X9599" s="2">
        <f ca="1"/>
        <v>65.042682302894633</v>
      </c>
      <c r="AG9599" s="2">
        <f ca="1"/>
        <v>0.40319446225386413</v>
      </c>
      <c r="AH9599" s="2" t="str">
        <f ca="1"/>
        <v>Bad</v>
      </c>
    </row>
    <row r="9600" spans="2:34" x14ac:dyDescent="0.2">
      <c r="B9600" s="2">
        <f ca="1"/>
        <v>0.74017538140035999</v>
      </c>
      <c r="O9600" s="2">
        <f ca="1"/>
        <v>9.3351205055891728E-2</v>
      </c>
      <c r="X9600" s="2">
        <f ca="1"/>
        <v>36.304890350051096</v>
      </c>
      <c r="AG9600" s="2">
        <f ca="1"/>
        <v>0.34946963897990746</v>
      </c>
      <c r="AH9600" s="2" t="str">
        <f ca="1"/>
        <v>OK</v>
      </c>
    </row>
    <row r="9601" spans="2:34" x14ac:dyDescent="0.2">
      <c r="B9601" s="2">
        <f ca="1"/>
        <v>0.81080347791995444</v>
      </c>
      <c r="O9601" s="2">
        <f ca="1"/>
        <v>-1.0929258426265802</v>
      </c>
      <c r="X9601" s="2">
        <f ca="1"/>
        <v>69.335311823594608</v>
      </c>
      <c r="AG9601" s="2">
        <f ca="1"/>
        <v>0.93913416691921858</v>
      </c>
      <c r="AH9601" s="2" t="str">
        <f ca="1"/>
        <v>Bad</v>
      </c>
    </row>
    <row r="9602" spans="2:34" x14ac:dyDescent="0.2">
      <c r="B9602" s="2">
        <f ca="1"/>
        <v>0.42394488291387189</v>
      </c>
      <c r="O9602" s="2">
        <f ca="1"/>
        <v>-4.0761467209826673E-2</v>
      </c>
      <c r="X9602" s="2">
        <f ca="1"/>
        <v>45.977197280911625</v>
      </c>
      <c r="AG9602" s="2">
        <f ca="1"/>
        <v>0.88880595169653565</v>
      </c>
      <c r="AH9602" s="2" t="str">
        <f ca="1"/>
        <v>Bad</v>
      </c>
    </row>
    <row r="9603" spans="2:34" x14ac:dyDescent="0.2">
      <c r="B9603" s="2">
        <f ca="1"/>
        <v>0.55420603753129538</v>
      </c>
      <c r="O9603" s="2">
        <f ca="1"/>
        <v>-0.10127183218728755</v>
      </c>
      <c r="X9603" s="2">
        <f ca="1"/>
        <v>45.531652736447469</v>
      </c>
      <c r="AG9603" s="2">
        <f ca="1"/>
        <v>7.4879598588696972E-2</v>
      </c>
      <c r="AH9603" s="2" t="str">
        <f ca="1"/>
        <v>OK</v>
      </c>
    </row>
    <row r="9604" spans="2:34" x14ac:dyDescent="0.2">
      <c r="B9604" s="2">
        <f ca="1"/>
        <v>0.71721184125072268</v>
      </c>
      <c r="O9604" s="2">
        <f ca="1"/>
        <v>-1.10704194731184</v>
      </c>
      <c r="X9604" s="2">
        <f ca="1"/>
        <v>38.922928488914813</v>
      </c>
      <c r="AG9604" s="2">
        <f ca="1"/>
        <v>0.33761963520681526</v>
      </c>
      <c r="AH9604" s="2" t="str">
        <f ca="1"/>
        <v>OK</v>
      </c>
    </row>
    <row r="9605" spans="2:34" x14ac:dyDescent="0.2">
      <c r="B9605" s="2">
        <f ca="1"/>
        <v>0.92112353882999742</v>
      </c>
      <c r="O9605" s="2">
        <f ca="1"/>
        <v>0.95120690198844815</v>
      </c>
      <c r="X9605" s="2">
        <f ca="1"/>
        <v>35.233550036087678</v>
      </c>
      <c r="AG9605" s="2">
        <f ca="1"/>
        <v>0.66480395378982049</v>
      </c>
      <c r="AH9605" s="2" t="str">
        <f ca="1"/>
        <v>Bad</v>
      </c>
    </row>
    <row r="9606" spans="2:34" x14ac:dyDescent="0.2">
      <c r="B9606" s="2">
        <f ca="1"/>
        <v>0.21940610707171282</v>
      </c>
      <c r="O9606" s="2">
        <f ca="1"/>
        <v>2.6122029892462848E-2</v>
      </c>
      <c r="X9606" s="2">
        <f ca="1"/>
        <v>43.794166016042851</v>
      </c>
      <c r="AG9606" s="2">
        <f ca="1"/>
        <v>0.63976057025885713</v>
      </c>
      <c r="AH9606" s="2" t="str">
        <f ca="1"/>
        <v>Bad</v>
      </c>
    </row>
    <row r="9607" spans="2:34" x14ac:dyDescent="0.2">
      <c r="B9607" s="2">
        <f ca="1"/>
        <v>0.8459745255179183</v>
      </c>
      <c r="O9607" s="2">
        <f ca="1"/>
        <v>0.50624719886076974</v>
      </c>
      <c r="X9607" s="2">
        <f ca="1"/>
        <v>80.997349272282179</v>
      </c>
      <c r="AG9607" s="2">
        <f ca="1"/>
        <v>0.92154158429068223</v>
      </c>
      <c r="AH9607" s="2" t="str">
        <f ca="1"/>
        <v>Bad</v>
      </c>
    </row>
    <row r="9608" spans="2:34" x14ac:dyDescent="0.2">
      <c r="B9608" s="2">
        <f ca="1"/>
        <v>0.77497767704693232</v>
      </c>
      <c r="O9608" s="2">
        <f ca="1"/>
        <v>0.14381365334380691</v>
      </c>
      <c r="X9608" s="2">
        <f ca="1"/>
        <v>45.213330136180303</v>
      </c>
      <c r="AG9608" s="2">
        <f ca="1"/>
        <v>0.67589563960141841</v>
      </c>
      <c r="AH9608" s="2" t="str">
        <f ca="1"/>
        <v>Bad</v>
      </c>
    </row>
    <row r="9609" spans="2:34" x14ac:dyDescent="0.2">
      <c r="B9609" s="2">
        <f ca="1"/>
        <v>0.51106893622451355</v>
      </c>
      <c r="O9609" s="2">
        <f ca="1"/>
        <v>-0.79230519406226196</v>
      </c>
      <c r="X9609" s="2">
        <f ca="1"/>
        <v>60.753482721459463</v>
      </c>
      <c r="AG9609" s="2">
        <f ca="1"/>
        <v>0.82947487168275891</v>
      </c>
      <c r="AH9609" s="2" t="str">
        <f ca="1"/>
        <v>Bad</v>
      </c>
    </row>
    <row r="9610" spans="2:34" x14ac:dyDescent="0.2">
      <c r="B9610" s="2">
        <f ca="1"/>
        <v>0.26118068036505582</v>
      </c>
      <c r="O9610" s="2">
        <f ca="1"/>
        <v>-0.40925222163615593</v>
      </c>
      <c r="X9610" s="2">
        <f ca="1"/>
        <v>47.747842333063502</v>
      </c>
      <c r="AG9610" s="2">
        <f ca="1"/>
        <v>0.64483378147990189</v>
      </c>
      <c r="AH9610" s="2" t="str">
        <f ca="1"/>
        <v>Bad</v>
      </c>
    </row>
    <row r="9611" spans="2:34" x14ac:dyDescent="0.2">
      <c r="B9611" s="2">
        <f ca="1"/>
        <v>0.36923206836519484</v>
      </c>
      <c r="O9611" s="2">
        <f ca="1"/>
        <v>0.84449296604418755</v>
      </c>
      <c r="X9611" s="2">
        <f ca="1"/>
        <v>63.116964797096017</v>
      </c>
      <c r="AG9611" s="2">
        <f ca="1"/>
        <v>0.1032215627516917</v>
      </c>
      <c r="AH9611" s="2" t="str">
        <f ca="1"/>
        <v>OK</v>
      </c>
    </row>
    <row r="9612" spans="2:34" x14ac:dyDescent="0.2">
      <c r="B9612" s="2">
        <f ca="1"/>
        <v>1.4471648245979463E-2</v>
      </c>
      <c r="O9612" s="2">
        <f ca="1"/>
        <v>1.0712672344093168</v>
      </c>
      <c r="X9612" s="2">
        <f ca="1"/>
        <v>33.778099766985996</v>
      </c>
      <c r="AG9612" s="2">
        <f ca="1"/>
        <v>0.84873137808157351</v>
      </c>
      <c r="AH9612" s="2" t="str">
        <f ca="1"/>
        <v>Bad</v>
      </c>
    </row>
    <row r="9613" spans="2:34" x14ac:dyDescent="0.2">
      <c r="B9613" s="2">
        <f ca="1"/>
        <v>0.9046240218866457</v>
      </c>
      <c r="O9613" s="2">
        <f ca="1"/>
        <v>-0.17874831505955924</v>
      </c>
      <c r="X9613" s="2">
        <f ca="1"/>
        <v>45.000601619046009</v>
      </c>
      <c r="AG9613" s="2">
        <f ca="1"/>
        <v>0.480398275299593</v>
      </c>
      <c r="AH9613" s="2" t="str">
        <f ca="1"/>
        <v>Bad</v>
      </c>
    </row>
    <row r="9614" spans="2:34" x14ac:dyDescent="0.2">
      <c r="B9614" s="2">
        <f ca="1"/>
        <v>0.12957145224851985</v>
      </c>
      <c r="O9614" s="2">
        <f ca="1"/>
        <v>2.0932911182685292E-2</v>
      </c>
      <c r="X9614" s="2">
        <f ca="1"/>
        <v>69.053037198861745</v>
      </c>
      <c r="AG9614" s="2">
        <f ca="1"/>
        <v>0.21477201114435496</v>
      </c>
      <c r="AH9614" s="2" t="str">
        <f ca="1"/>
        <v>OK</v>
      </c>
    </row>
    <row r="9615" spans="2:34" x14ac:dyDescent="0.2">
      <c r="B9615" s="2">
        <f ca="1"/>
        <v>0.76555981569818021</v>
      </c>
      <c r="O9615" s="2">
        <f ca="1"/>
        <v>0.62512879277007083</v>
      </c>
      <c r="X9615" s="2">
        <f ca="1"/>
        <v>50.623760267179428</v>
      </c>
      <c r="AG9615" s="2">
        <f ca="1"/>
        <v>0.84166114426660155</v>
      </c>
      <c r="AH9615" s="2" t="str">
        <f ca="1"/>
        <v>Bad</v>
      </c>
    </row>
    <row r="9616" spans="2:34" x14ac:dyDescent="0.2">
      <c r="B9616" s="2">
        <f ca="1"/>
        <v>0.13507939151308856</v>
      </c>
      <c r="O9616" s="2">
        <f ca="1"/>
        <v>0.40470474168417203</v>
      </c>
      <c r="X9616" s="2">
        <f ca="1"/>
        <v>57.400153707254667</v>
      </c>
      <c r="AG9616" s="2">
        <f ca="1"/>
        <v>0.67674063545749741</v>
      </c>
      <c r="AH9616" s="2" t="str">
        <f ca="1"/>
        <v>Bad</v>
      </c>
    </row>
    <row r="9617" spans="2:34" x14ac:dyDescent="0.2">
      <c r="B9617" s="2">
        <f ca="1"/>
        <v>0.26076738660595411</v>
      </c>
      <c r="O9617" s="2">
        <f ca="1"/>
        <v>-1.3241068249384516</v>
      </c>
      <c r="X9617" s="2">
        <f ca="1"/>
        <v>56.928017066399121</v>
      </c>
      <c r="AG9617" s="2">
        <f ca="1"/>
        <v>0.80157935172218431</v>
      </c>
      <c r="AH9617" s="2" t="str">
        <f ca="1"/>
        <v>Bad</v>
      </c>
    </row>
    <row r="9618" spans="2:34" x14ac:dyDescent="0.2">
      <c r="B9618" s="2">
        <f ca="1"/>
        <v>0.82592926439873793</v>
      </c>
      <c r="O9618" s="2">
        <f ca="1"/>
        <v>4.59607790764592E-2</v>
      </c>
      <c r="X9618" s="2">
        <f ca="1"/>
        <v>28.919925499900234</v>
      </c>
      <c r="AG9618" s="2">
        <f ca="1"/>
        <v>0.14222930927543209</v>
      </c>
      <c r="AH9618" s="2" t="str">
        <f ca="1"/>
        <v>OK</v>
      </c>
    </row>
    <row r="9619" spans="2:34" x14ac:dyDescent="0.2">
      <c r="B9619" s="2">
        <f ca="1"/>
        <v>0.6743650369157459</v>
      </c>
      <c r="O9619" s="2">
        <f ca="1"/>
        <v>0.48332181853615042</v>
      </c>
      <c r="X9619" s="2">
        <f ca="1"/>
        <v>48.767798087848</v>
      </c>
      <c r="AG9619" s="2">
        <f ca="1"/>
        <v>6.0251956913315974E-2</v>
      </c>
      <c r="AH9619" s="2" t="str">
        <f ca="1"/>
        <v>OK</v>
      </c>
    </row>
    <row r="9620" spans="2:34" x14ac:dyDescent="0.2">
      <c r="B9620" s="2">
        <f ca="1"/>
        <v>0.22989396394494843</v>
      </c>
      <c r="O9620" s="2">
        <f ca="1"/>
        <v>0.59613934579225469</v>
      </c>
      <c r="X9620" s="2">
        <f ca="1"/>
        <v>37.536503284416604</v>
      </c>
      <c r="AG9620" s="2">
        <f ca="1"/>
        <v>0.20753263842715852</v>
      </c>
      <c r="AH9620" s="2" t="str">
        <f ca="1"/>
        <v>OK</v>
      </c>
    </row>
    <row r="9621" spans="2:34" x14ac:dyDescent="0.2">
      <c r="B9621" s="2">
        <f ca="1"/>
        <v>0.9356936183414486</v>
      </c>
      <c r="O9621" s="2">
        <f ca="1"/>
        <v>-0.91560689660376449</v>
      </c>
      <c r="X9621" s="2">
        <f ca="1"/>
        <v>39.327888453427761</v>
      </c>
      <c r="AG9621" s="2">
        <f ca="1"/>
        <v>0.30212716735972434</v>
      </c>
      <c r="AH9621" s="2" t="str">
        <f ca="1"/>
        <v>OK</v>
      </c>
    </row>
    <row r="9622" spans="2:34" x14ac:dyDescent="0.2">
      <c r="B9622" s="2">
        <f ca="1"/>
        <v>0.36499571498162697</v>
      </c>
      <c r="O9622" s="2">
        <f ca="1"/>
        <v>-2.1055272159420269</v>
      </c>
      <c r="X9622" s="2">
        <f ca="1"/>
        <v>23.101058733371282</v>
      </c>
      <c r="AG9622" s="2">
        <f ca="1"/>
        <v>3.0394576185679423E-2</v>
      </c>
      <c r="AH9622" s="2" t="str">
        <f ca="1"/>
        <v>Good</v>
      </c>
    </row>
    <row r="9623" spans="2:34" x14ac:dyDescent="0.2">
      <c r="B9623" s="2">
        <f ca="1"/>
        <v>0.23295271272563034</v>
      </c>
      <c r="O9623" s="2">
        <f ca="1"/>
        <v>0.62892021164604617</v>
      </c>
      <c r="X9623" s="2">
        <f ca="1"/>
        <v>48.695446837068481</v>
      </c>
      <c r="AG9623" s="2">
        <f ca="1"/>
        <v>0.67726307436379907</v>
      </c>
      <c r="AH9623" s="2" t="str">
        <f ca="1"/>
        <v>Bad</v>
      </c>
    </row>
    <row r="9624" spans="2:34" x14ac:dyDescent="0.2">
      <c r="B9624" s="2">
        <f ca="1"/>
        <v>0.48413850017108384</v>
      </c>
      <c r="O9624" s="2">
        <f ca="1"/>
        <v>1.1049051447797449</v>
      </c>
      <c r="X9624" s="2">
        <f ca="1"/>
        <v>42.528553412876171</v>
      </c>
      <c r="AG9624" s="2">
        <f ca="1"/>
        <v>0.74938739762321327</v>
      </c>
      <c r="AH9624" s="2" t="str">
        <f ca="1"/>
        <v>Bad</v>
      </c>
    </row>
    <row r="9625" spans="2:34" x14ac:dyDescent="0.2">
      <c r="B9625" s="2">
        <f ca="1"/>
        <v>0.73364480182142477</v>
      </c>
      <c r="O9625" s="2">
        <f ca="1"/>
        <v>0.96043746833542032</v>
      </c>
      <c r="X9625" s="2">
        <f ca="1"/>
        <v>63.731537900407417</v>
      </c>
      <c r="AG9625" s="2">
        <f ca="1"/>
        <v>0.44576896236209884</v>
      </c>
      <c r="AH9625" s="2" t="str">
        <f ca="1"/>
        <v>Bad</v>
      </c>
    </row>
    <row r="9626" spans="2:34" x14ac:dyDescent="0.2">
      <c r="B9626" s="2">
        <f ca="1"/>
        <v>2.7784074652648094E-4</v>
      </c>
      <c r="O9626" s="2">
        <f ca="1"/>
        <v>-1.0691866579765203</v>
      </c>
      <c r="X9626" s="2">
        <f ca="1"/>
        <v>42.301986505593717</v>
      </c>
      <c r="AG9626" s="2">
        <f ca="1"/>
        <v>0.88665159809030203</v>
      </c>
      <c r="AH9626" s="2" t="str">
        <f ca="1"/>
        <v>Bad</v>
      </c>
    </row>
    <row r="9627" spans="2:34" x14ac:dyDescent="0.2">
      <c r="B9627" s="2">
        <f ca="1"/>
        <v>6.0478444473919035E-2</v>
      </c>
      <c r="O9627" s="2">
        <f ca="1"/>
        <v>0.32029196608815041</v>
      </c>
      <c r="X9627" s="2">
        <f ca="1"/>
        <v>67.329764729404161</v>
      </c>
      <c r="AG9627" s="2">
        <f ca="1"/>
        <v>0.21315367761729198</v>
      </c>
      <c r="AH9627" s="2" t="str">
        <f ca="1"/>
        <v>OK</v>
      </c>
    </row>
    <row r="9628" spans="2:34" x14ac:dyDescent="0.2">
      <c r="B9628" s="2">
        <f ca="1"/>
        <v>0.81279905425967436</v>
      </c>
      <c r="O9628" s="2">
        <f ca="1"/>
        <v>0.96334901395148043</v>
      </c>
      <c r="X9628" s="2">
        <f ca="1"/>
        <v>44.368154023760752</v>
      </c>
      <c r="AG9628" s="2">
        <f ca="1"/>
        <v>0.71546738132846555</v>
      </c>
      <c r="AH9628" s="2" t="str">
        <f ca="1"/>
        <v>Bad</v>
      </c>
    </row>
    <row r="9629" spans="2:34" x14ac:dyDescent="0.2">
      <c r="B9629" s="2">
        <f ca="1"/>
        <v>0.69141293813598859</v>
      </c>
      <c r="O9629" s="2">
        <f ca="1"/>
        <v>0.26397815570509681</v>
      </c>
      <c r="X9629" s="2">
        <f ca="1"/>
        <v>45.969825153984672</v>
      </c>
      <c r="AG9629" s="2">
        <f ca="1"/>
        <v>0.70651802498701533</v>
      </c>
      <c r="AH9629" s="2" t="str">
        <f ca="1"/>
        <v>Bad</v>
      </c>
    </row>
    <row r="9630" spans="2:34" x14ac:dyDescent="0.2">
      <c r="B9630" s="2">
        <f ca="1"/>
        <v>0.75983862955024262</v>
      </c>
      <c r="O9630" s="2">
        <f ca="1"/>
        <v>-1.5452697369686677</v>
      </c>
      <c r="X9630" s="2">
        <f ca="1"/>
        <v>84.680819893097777</v>
      </c>
      <c r="AG9630" s="2">
        <f ca="1"/>
        <v>0.30368448664100756</v>
      </c>
      <c r="AH9630" s="2" t="str">
        <f ca="1"/>
        <v>OK</v>
      </c>
    </row>
    <row r="9631" spans="2:34" x14ac:dyDescent="0.2">
      <c r="B9631" s="2">
        <f ca="1"/>
        <v>0.90644300059474414</v>
      </c>
      <c r="O9631" s="2">
        <f ca="1"/>
        <v>0.14944960702697668</v>
      </c>
      <c r="X9631" s="2">
        <f ca="1"/>
        <v>46.696911377338637</v>
      </c>
      <c r="AG9631" s="2">
        <f ca="1"/>
        <v>0.13287034735233272</v>
      </c>
      <c r="AH9631" s="2" t="str">
        <f ca="1"/>
        <v>OK</v>
      </c>
    </row>
    <row r="9632" spans="2:34" x14ac:dyDescent="0.2">
      <c r="B9632" s="2">
        <f ca="1"/>
        <v>0.65065371412271911</v>
      </c>
      <c r="O9632" s="2">
        <f ca="1"/>
        <v>0.44110761382697428</v>
      </c>
      <c r="X9632" s="2">
        <f ca="1"/>
        <v>61.606233114545795</v>
      </c>
      <c r="AG9632" s="2">
        <f ca="1"/>
        <v>0.19161823252123167</v>
      </c>
      <c r="AH9632" s="2" t="str">
        <f ca="1"/>
        <v>OK</v>
      </c>
    </row>
    <row r="9633" spans="2:34" x14ac:dyDescent="0.2">
      <c r="B9633" s="2">
        <f ca="1"/>
        <v>5.0132084637982022E-2</v>
      </c>
      <c r="O9633" s="2">
        <f ca="1"/>
        <v>-0.53532724885204941</v>
      </c>
      <c r="X9633" s="2">
        <f ca="1"/>
        <v>29.359790798718709</v>
      </c>
      <c r="AG9633" s="2">
        <f ca="1"/>
        <v>0.20809206304275296</v>
      </c>
      <c r="AH9633" s="2" t="str">
        <f ca="1"/>
        <v>OK</v>
      </c>
    </row>
    <row r="9634" spans="2:34" x14ac:dyDescent="0.2">
      <c r="B9634" s="2">
        <f ca="1"/>
        <v>3.4614995530247494E-2</v>
      </c>
      <c r="O9634" s="2">
        <f ca="1"/>
        <v>2.6439611800777075E-2</v>
      </c>
      <c r="X9634" s="2">
        <f ca="1"/>
        <v>38.410801402859988</v>
      </c>
      <c r="AG9634" s="2">
        <f ca="1"/>
        <v>0.3213987838084571</v>
      </c>
      <c r="AH9634" s="2" t="str">
        <f ca="1"/>
        <v>OK</v>
      </c>
    </row>
    <row r="9635" spans="2:34" x14ac:dyDescent="0.2">
      <c r="B9635" s="2">
        <f ca="1"/>
        <v>0.55061553840840283</v>
      </c>
      <c r="O9635" s="2">
        <f ca="1"/>
        <v>-5.9582633793294322E-2</v>
      </c>
      <c r="X9635" s="2">
        <f ca="1"/>
        <v>70.594164072359945</v>
      </c>
      <c r="AG9635" s="2">
        <f ca="1"/>
        <v>0.67717334374625615</v>
      </c>
      <c r="AH9635" s="2" t="str">
        <f ca="1"/>
        <v>Bad</v>
      </c>
    </row>
    <row r="9636" spans="2:34" x14ac:dyDescent="0.2">
      <c r="B9636" s="2">
        <f ca="1"/>
        <v>0.70810516551481117</v>
      </c>
      <c r="O9636" s="2">
        <f ca="1"/>
        <v>-1.1541970859009378</v>
      </c>
      <c r="X9636" s="2">
        <f ca="1"/>
        <v>40.788037253622925</v>
      </c>
      <c r="AG9636" s="2">
        <f ca="1"/>
        <v>0.17395567557087777</v>
      </c>
      <c r="AH9636" s="2" t="str">
        <f ca="1"/>
        <v>OK</v>
      </c>
    </row>
    <row r="9637" spans="2:34" x14ac:dyDescent="0.2">
      <c r="B9637" s="2">
        <f ca="1"/>
        <v>0.37834547614915892</v>
      </c>
      <c r="O9637" s="2">
        <f ca="1"/>
        <v>-1.1234632889393925</v>
      </c>
      <c r="X9637" s="2">
        <f ca="1"/>
        <v>27.914205931200136</v>
      </c>
      <c r="AG9637" s="2">
        <f ca="1"/>
        <v>0.14512275544173492</v>
      </c>
      <c r="AH9637" s="2" t="str">
        <f ca="1"/>
        <v>OK</v>
      </c>
    </row>
    <row r="9638" spans="2:34" x14ac:dyDescent="0.2">
      <c r="B9638" s="2">
        <f ca="1"/>
        <v>0.86100409695040003</v>
      </c>
      <c r="O9638" s="2">
        <f ca="1"/>
        <v>0.98378268227970256</v>
      </c>
      <c r="X9638" s="2">
        <f ca="1"/>
        <v>37.872115965919797</v>
      </c>
      <c r="AG9638" s="2">
        <f ca="1"/>
        <v>0.55997782592171275</v>
      </c>
      <c r="AH9638" s="2" t="str">
        <f ca="1"/>
        <v>Bad</v>
      </c>
    </row>
    <row r="9639" spans="2:34" x14ac:dyDescent="0.2">
      <c r="B9639" s="2">
        <f ca="1"/>
        <v>0.70794772821549112</v>
      </c>
      <c r="O9639" s="2">
        <f ca="1"/>
        <v>-1.0932495093765575</v>
      </c>
      <c r="X9639" s="2">
        <f ca="1"/>
        <v>44.83744194454453</v>
      </c>
      <c r="AG9639" s="2">
        <f ca="1"/>
        <v>4.3545548249354082E-2</v>
      </c>
      <c r="AH9639" s="2" t="str">
        <f ca="1"/>
        <v>Good</v>
      </c>
    </row>
    <row r="9640" spans="2:34" x14ac:dyDescent="0.2">
      <c r="B9640" s="2">
        <f ca="1"/>
        <v>0.42299017593911925</v>
      </c>
      <c r="O9640" s="2">
        <f ca="1"/>
        <v>0.2234040134963533</v>
      </c>
      <c r="X9640" s="2">
        <f ca="1"/>
        <v>82.093025534828229</v>
      </c>
      <c r="AG9640" s="2">
        <f ca="1"/>
        <v>0.41347799438557153</v>
      </c>
      <c r="AH9640" s="2" t="str">
        <f ca="1"/>
        <v>Bad</v>
      </c>
    </row>
    <row r="9641" spans="2:34" x14ac:dyDescent="0.2">
      <c r="B9641" s="2">
        <f ca="1"/>
        <v>0.14321650122348695</v>
      </c>
      <c r="O9641" s="2">
        <f ca="1"/>
        <v>0.95373183398715189</v>
      </c>
      <c r="X9641" s="2">
        <f ca="1"/>
        <v>40.289296647855409</v>
      </c>
      <c r="AG9641" s="2">
        <f ca="1"/>
        <v>0.24442988960390455</v>
      </c>
      <c r="AH9641" s="2" t="str">
        <f ca="1"/>
        <v>OK</v>
      </c>
    </row>
    <row r="9642" spans="2:34" x14ac:dyDescent="0.2">
      <c r="B9642" s="2">
        <f ca="1"/>
        <v>0.84388813649986805</v>
      </c>
      <c r="O9642" s="2">
        <f ca="1"/>
        <v>-0.77868126950486749</v>
      </c>
      <c r="X9642" s="2">
        <f ca="1"/>
        <v>48.138692473479445</v>
      </c>
      <c r="AG9642" s="2">
        <f ca="1"/>
        <v>0.92174577752474951</v>
      </c>
      <c r="AH9642" s="2" t="str">
        <f ca="1"/>
        <v>Bad</v>
      </c>
    </row>
    <row r="9643" spans="2:34" x14ac:dyDescent="0.2">
      <c r="B9643" s="2">
        <f ca="1"/>
        <v>0.47670429729215846</v>
      </c>
      <c r="O9643" s="2">
        <f ca="1"/>
        <v>-0.4561377944750189</v>
      </c>
      <c r="X9643" s="2">
        <f ca="1"/>
        <v>45.517686293236963</v>
      </c>
      <c r="AG9643" s="2">
        <f ca="1"/>
        <v>0.27769975888189835</v>
      </c>
      <c r="AH9643" s="2" t="str">
        <f ca="1"/>
        <v>OK</v>
      </c>
    </row>
    <row r="9644" spans="2:34" x14ac:dyDescent="0.2">
      <c r="B9644" s="2">
        <f ca="1"/>
        <v>0.69028280862582148</v>
      </c>
      <c r="O9644" s="2">
        <f ca="1"/>
        <v>1.3202661107417453</v>
      </c>
      <c r="X9644" s="2">
        <f ca="1"/>
        <v>47.935960878030002</v>
      </c>
      <c r="AG9644" s="2">
        <f ca="1"/>
        <v>0.52658571858529069</v>
      </c>
      <c r="AH9644" s="2" t="str">
        <f ca="1"/>
        <v>Bad</v>
      </c>
    </row>
    <row r="9645" spans="2:34" x14ac:dyDescent="0.2">
      <c r="B9645" s="2">
        <f ca="1"/>
        <v>0.41431041715959704</v>
      </c>
      <c r="O9645" s="2">
        <f ca="1"/>
        <v>-1.3802642026263812</v>
      </c>
      <c r="X9645" s="2">
        <f ca="1"/>
        <v>49.09975466553675</v>
      </c>
      <c r="AG9645" s="2">
        <f ca="1"/>
        <v>0.22177031469645248</v>
      </c>
      <c r="AH9645" s="2" t="str">
        <f ca="1"/>
        <v>OK</v>
      </c>
    </row>
    <row r="9646" spans="2:34" x14ac:dyDescent="0.2">
      <c r="B9646" s="2">
        <f ca="1"/>
        <v>0.97030954801019287</v>
      </c>
      <c r="O9646" s="2">
        <f ca="1"/>
        <v>1.2634684394918928E-2</v>
      </c>
      <c r="X9646" s="2">
        <f ca="1"/>
        <v>39.059847670169503</v>
      </c>
      <c r="AG9646" s="2">
        <f ca="1"/>
        <v>8.9679529314201645E-3</v>
      </c>
      <c r="AH9646" s="2" t="str">
        <f ca="1"/>
        <v>Good</v>
      </c>
    </row>
    <row r="9647" spans="2:34" x14ac:dyDescent="0.2">
      <c r="B9647" s="2">
        <f ca="1"/>
        <v>0.46422662625872113</v>
      </c>
      <c r="O9647" s="2">
        <f ca="1"/>
        <v>-1.5068604332750619</v>
      </c>
      <c r="X9647" s="2">
        <f ca="1"/>
        <v>28.935855651144031</v>
      </c>
      <c r="AG9647" s="2">
        <f ca="1"/>
        <v>0.76553726753372686</v>
      </c>
      <c r="AH9647" s="2" t="str">
        <f ca="1"/>
        <v>Bad</v>
      </c>
    </row>
    <row r="9648" spans="2:34" x14ac:dyDescent="0.2">
      <c r="B9648" s="2">
        <f ca="1"/>
        <v>0.78219691890270826</v>
      </c>
      <c r="O9648" s="2">
        <f ca="1"/>
        <v>-0.39433874561173787</v>
      </c>
      <c r="X9648" s="2">
        <f ca="1"/>
        <v>63.856986429690075</v>
      </c>
      <c r="AG9648" s="2">
        <f ca="1"/>
        <v>0.34124898417792227</v>
      </c>
      <c r="AH9648" s="2" t="str">
        <f ca="1"/>
        <v>OK</v>
      </c>
    </row>
    <row r="9649" spans="2:34" x14ac:dyDescent="0.2">
      <c r="B9649" s="2">
        <f ca="1"/>
        <v>0.63887264893998386</v>
      </c>
      <c r="O9649" s="2">
        <f ca="1"/>
        <v>-3.0378804287257899</v>
      </c>
      <c r="X9649" s="2">
        <f ca="1"/>
        <v>58.461332679576834</v>
      </c>
      <c r="AG9649" s="2">
        <f ca="1"/>
        <v>0.77155669482609834</v>
      </c>
      <c r="AH9649" s="2" t="str">
        <f ca="1"/>
        <v>Bad</v>
      </c>
    </row>
    <row r="9650" spans="2:34" x14ac:dyDescent="0.2">
      <c r="B9650" s="2">
        <f ca="1"/>
        <v>0.81065109140567171</v>
      </c>
      <c r="O9650" s="2">
        <f ca="1"/>
        <v>0.52775788612531715</v>
      </c>
      <c r="X9650" s="2">
        <f ca="1"/>
        <v>40.894027967543742</v>
      </c>
      <c r="AG9650" s="2">
        <f ca="1"/>
        <v>0.17951203583834507</v>
      </c>
      <c r="AH9650" s="2" t="str">
        <f ca="1"/>
        <v>OK</v>
      </c>
    </row>
    <row r="9651" spans="2:34" x14ac:dyDescent="0.2">
      <c r="B9651" s="2">
        <f ca="1"/>
        <v>0.1774861393295426</v>
      </c>
      <c r="O9651" s="2">
        <f ca="1"/>
        <v>1.1194107184143012</v>
      </c>
      <c r="X9651" s="2">
        <f ca="1"/>
        <v>33.608448276246975</v>
      </c>
      <c r="AG9651" s="2">
        <f ca="1"/>
        <v>0.37612462561309523</v>
      </c>
      <c r="AH9651" s="2" t="str">
        <f ca="1"/>
        <v>OK</v>
      </c>
    </row>
    <row r="9652" spans="2:34" x14ac:dyDescent="0.2">
      <c r="B9652" s="2">
        <f ca="1"/>
        <v>0.98606391491850398</v>
      </c>
      <c r="O9652" s="2">
        <f ca="1"/>
        <v>-0.16530756507154465</v>
      </c>
      <c r="X9652" s="2">
        <f ca="1"/>
        <v>41.257857250438605</v>
      </c>
      <c r="AG9652" s="2">
        <f ca="1"/>
        <v>0.26556885598159874</v>
      </c>
      <c r="AH9652" s="2" t="str">
        <f ca="1"/>
        <v>OK</v>
      </c>
    </row>
    <row r="9653" spans="2:34" x14ac:dyDescent="0.2">
      <c r="B9653" s="2">
        <f ca="1"/>
        <v>0.31373208121395502</v>
      </c>
      <c r="O9653" s="2">
        <f ca="1"/>
        <v>1.4598661864023925</v>
      </c>
      <c r="X9653" s="2">
        <f ca="1"/>
        <v>53.537503008636889</v>
      </c>
      <c r="AG9653" s="2">
        <f ca="1"/>
        <v>0.23962785641239681</v>
      </c>
      <c r="AH9653" s="2" t="str">
        <f ca="1"/>
        <v>OK</v>
      </c>
    </row>
    <row r="9654" spans="2:34" x14ac:dyDescent="0.2">
      <c r="B9654" s="2">
        <f ca="1"/>
        <v>0.7496180702960844</v>
      </c>
      <c r="O9654" s="2">
        <f ca="1"/>
        <v>-0.99906422845816201</v>
      </c>
      <c r="X9654" s="2">
        <f ca="1"/>
        <v>83.731954307543475</v>
      </c>
      <c r="AG9654" s="2">
        <f ca="1"/>
        <v>0.25612083310253597</v>
      </c>
      <c r="AH9654" s="2" t="str">
        <f ca="1"/>
        <v>OK</v>
      </c>
    </row>
    <row r="9655" spans="2:34" x14ac:dyDescent="0.2">
      <c r="B9655" s="2">
        <f ca="1"/>
        <v>0.26820615687159721</v>
      </c>
      <c r="O9655" s="2">
        <f ca="1"/>
        <v>1.581115368748591</v>
      </c>
      <c r="X9655" s="2">
        <f ca="1"/>
        <v>46.959118179684715</v>
      </c>
      <c r="AG9655" s="2">
        <f ca="1"/>
        <v>0.97559862710634215</v>
      </c>
      <c r="AH9655" s="2" t="str">
        <f ca="1"/>
        <v>Bad</v>
      </c>
    </row>
    <row r="9656" spans="2:34" x14ac:dyDescent="0.2">
      <c r="B9656" s="2">
        <f ca="1"/>
        <v>0.88279008614647037</v>
      </c>
      <c r="O9656" s="2">
        <f ca="1"/>
        <v>0.14813702491504185</v>
      </c>
      <c r="X9656" s="2">
        <f ca="1"/>
        <v>60.225228151499302</v>
      </c>
      <c r="AG9656" s="2">
        <f ca="1"/>
        <v>0.96913667365726797</v>
      </c>
      <c r="AH9656" s="2" t="str">
        <f ca="1"/>
        <v>Bad</v>
      </c>
    </row>
    <row r="9657" spans="2:34" x14ac:dyDescent="0.2">
      <c r="B9657" s="2">
        <f ca="1"/>
        <v>0.58504025030343465</v>
      </c>
      <c r="O9657" s="2">
        <f ca="1"/>
        <v>1.0200059819474385</v>
      </c>
      <c r="X9657" s="2">
        <f ca="1"/>
        <v>28.926597984192849</v>
      </c>
      <c r="AG9657" s="2">
        <f ca="1"/>
        <v>0.30988408634453735</v>
      </c>
      <c r="AH9657" s="2" t="str">
        <f ca="1"/>
        <v>OK</v>
      </c>
    </row>
    <row r="9658" spans="2:34" x14ac:dyDescent="0.2">
      <c r="B9658" s="2">
        <f ca="1"/>
        <v>0.86536620529249819</v>
      </c>
      <c r="O9658" s="2">
        <f ca="1"/>
        <v>-0.53356349176615847</v>
      </c>
      <c r="X9658" s="2">
        <f ca="1"/>
        <v>25.261378647118956</v>
      </c>
      <c r="AG9658" s="2">
        <f ca="1"/>
        <v>0.63416958060943895</v>
      </c>
      <c r="AH9658" s="2" t="str">
        <f ca="1"/>
        <v>Bad</v>
      </c>
    </row>
    <row r="9659" spans="2:34" x14ac:dyDescent="0.2">
      <c r="B9659" s="2">
        <f ca="1"/>
        <v>0.25310884064045402</v>
      </c>
      <c r="O9659" s="2">
        <f ca="1"/>
        <v>0.91053261769119465</v>
      </c>
      <c r="X9659" s="2">
        <f ca="1"/>
        <v>42.481779859011965</v>
      </c>
      <c r="AG9659" s="2">
        <f ca="1"/>
        <v>0.69692414275990688</v>
      </c>
      <c r="AH9659" s="2" t="str">
        <f ca="1"/>
        <v>Bad</v>
      </c>
    </row>
    <row r="9660" spans="2:34" x14ac:dyDescent="0.2">
      <c r="B9660" s="2">
        <f ca="1"/>
        <v>0.58669360004626903</v>
      </c>
      <c r="O9660" s="2">
        <f ca="1"/>
        <v>0.81918164889683021</v>
      </c>
      <c r="X9660" s="2">
        <f ca="1"/>
        <v>26.836453828715157</v>
      </c>
      <c r="AG9660" s="2">
        <f ca="1"/>
        <v>0.55180440902108652</v>
      </c>
      <c r="AH9660" s="2" t="str">
        <f ca="1"/>
        <v>Bad</v>
      </c>
    </row>
    <row r="9661" spans="2:34" x14ac:dyDescent="0.2">
      <c r="B9661" s="2">
        <f ca="1"/>
        <v>0.76180111249817983</v>
      </c>
      <c r="O9661" s="2">
        <f ca="1"/>
        <v>-0.59997130076705518</v>
      </c>
      <c r="X9661" s="2">
        <f ca="1"/>
        <v>55.652467103770874</v>
      </c>
      <c r="AG9661" s="2">
        <f ca="1"/>
        <v>0.11536930011670421</v>
      </c>
      <c r="AH9661" s="2" t="str">
        <f ca="1"/>
        <v>OK</v>
      </c>
    </row>
    <row r="9662" spans="2:34" x14ac:dyDescent="0.2">
      <c r="B9662" s="2">
        <f ca="1"/>
        <v>0.35831809144505322</v>
      </c>
      <c r="O9662" s="2">
        <f ca="1"/>
        <v>0.55612876553475943</v>
      </c>
      <c r="X9662" s="2">
        <f ca="1"/>
        <v>68.82815533932478</v>
      </c>
      <c r="AG9662" s="2">
        <f ca="1"/>
        <v>0.56242853618819133</v>
      </c>
      <c r="AH9662" s="2" t="str">
        <f ca="1"/>
        <v>Bad</v>
      </c>
    </row>
    <row r="9663" spans="2:34" x14ac:dyDescent="0.2">
      <c r="B9663" s="2">
        <f ca="1"/>
        <v>0.56574167078240967</v>
      </c>
      <c r="O9663" s="2">
        <f ca="1"/>
        <v>1.6583142456816997</v>
      </c>
      <c r="X9663" s="2">
        <f ca="1"/>
        <v>33.670753784159956</v>
      </c>
      <c r="AG9663" s="2">
        <f ca="1"/>
        <v>0.57054802466031407</v>
      </c>
      <c r="AH9663" s="2" t="str">
        <f ca="1"/>
        <v>Bad</v>
      </c>
    </row>
    <row r="9664" spans="2:34" x14ac:dyDescent="0.2">
      <c r="B9664" s="2">
        <f ca="1"/>
        <v>0.33883950155175868</v>
      </c>
      <c r="O9664" s="2">
        <f ca="1"/>
        <v>-1.3443158718113122</v>
      </c>
      <c r="X9664" s="2">
        <f ca="1"/>
        <v>52.028530549333105</v>
      </c>
      <c r="AG9664" s="2">
        <f ca="1"/>
        <v>0.16215514659578556</v>
      </c>
      <c r="AH9664" s="2" t="str">
        <f ca="1"/>
        <v>OK</v>
      </c>
    </row>
    <row r="9665" spans="2:34" x14ac:dyDescent="0.2">
      <c r="B9665" s="2">
        <f ca="1"/>
        <v>9.8430671979998774E-2</v>
      </c>
      <c r="O9665" s="2">
        <f ca="1"/>
        <v>-0.56607138734446227</v>
      </c>
      <c r="X9665" s="2">
        <f ca="1"/>
        <v>31.964325831314476</v>
      </c>
      <c r="AG9665" s="2">
        <f ca="1"/>
        <v>0.29265235485290075</v>
      </c>
      <c r="AH9665" s="2" t="str">
        <f ca="1"/>
        <v>OK</v>
      </c>
    </row>
    <row r="9666" spans="2:34" x14ac:dyDescent="0.2">
      <c r="B9666" s="2">
        <f ca="1"/>
        <v>4.814291634921819E-2</v>
      </c>
      <c r="O9666" s="2">
        <f ca="1"/>
        <v>-1.6951613770266045</v>
      </c>
      <c r="X9666" s="2">
        <f ca="1"/>
        <v>63.449853531498171</v>
      </c>
      <c r="AG9666" s="2">
        <f ca="1"/>
        <v>0.74946824260524747</v>
      </c>
      <c r="AH9666" s="2" t="str">
        <f ca="1"/>
        <v>Bad</v>
      </c>
    </row>
    <row r="9667" spans="2:34" x14ac:dyDescent="0.2">
      <c r="B9667" s="2">
        <f ca="1"/>
        <v>0.80025689963811786</v>
      </c>
      <c r="O9667" s="2">
        <f ca="1"/>
        <v>0.62610107710411211</v>
      </c>
      <c r="X9667" s="2">
        <f ca="1"/>
        <v>60.94593006886803</v>
      </c>
      <c r="AG9667" s="2">
        <f ca="1"/>
        <v>6.1633779442323622E-2</v>
      </c>
      <c r="AH9667" s="2" t="str">
        <f ca="1"/>
        <v>OK</v>
      </c>
    </row>
    <row r="9668" spans="2:34" x14ac:dyDescent="0.2">
      <c r="B9668" s="2">
        <f ca="1"/>
        <v>0.1313048452796457</v>
      </c>
      <c r="O9668" s="2">
        <f ca="1"/>
        <v>1.6454330126998149</v>
      </c>
      <c r="X9668" s="2">
        <f ca="1"/>
        <v>66.709340344421989</v>
      </c>
      <c r="AG9668" s="2">
        <f ca="1"/>
        <v>2.4922462272896073E-3</v>
      </c>
      <c r="AH9668" s="2" t="str">
        <f ca="1"/>
        <v>Good</v>
      </c>
    </row>
    <row r="9669" spans="2:34" x14ac:dyDescent="0.2">
      <c r="B9669" s="2">
        <f ca="1"/>
        <v>0.38310669282226439</v>
      </c>
      <c r="O9669" s="2">
        <f ca="1"/>
        <v>-0.31555307904609964</v>
      </c>
      <c r="X9669" s="2">
        <f ca="1"/>
        <v>55.117044153155597</v>
      </c>
      <c r="AG9669" s="2">
        <f ca="1"/>
        <v>0.60978782543218268</v>
      </c>
      <c r="AH9669" s="2" t="str">
        <f ca="1"/>
        <v>Bad</v>
      </c>
    </row>
    <row r="9670" spans="2:34" x14ac:dyDescent="0.2">
      <c r="B9670" s="2">
        <f ca="1"/>
        <v>0.20928782941775403</v>
      </c>
      <c r="O9670" s="2">
        <f ca="1"/>
        <v>0.43841140691636282</v>
      </c>
      <c r="X9670" s="2">
        <f ca="1"/>
        <v>93.509624947608799</v>
      </c>
      <c r="AG9670" s="2">
        <f ca="1"/>
        <v>0.28295670424285357</v>
      </c>
      <c r="AH9670" s="2" t="str">
        <f ca="1"/>
        <v>OK</v>
      </c>
    </row>
    <row r="9671" spans="2:34" x14ac:dyDescent="0.2">
      <c r="B9671" s="2">
        <f ca="1"/>
        <v>0.10965207144675504</v>
      </c>
      <c r="O9671" s="2">
        <f ca="1"/>
        <v>-0.59817177475419281</v>
      </c>
      <c r="X9671" s="2">
        <f ca="1"/>
        <v>31.714358696727167</v>
      </c>
      <c r="AG9671" s="2">
        <f ca="1"/>
        <v>0.1565675035563372</v>
      </c>
      <c r="AH9671" s="2" t="str">
        <f ca="1"/>
        <v>OK</v>
      </c>
    </row>
    <row r="9672" spans="2:34" x14ac:dyDescent="0.2">
      <c r="B9672" s="2">
        <f ca="1"/>
        <v>0.83275806092028226</v>
      </c>
      <c r="O9672" s="2">
        <f ca="1"/>
        <v>1.1337670055068489</v>
      </c>
      <c r="X9672" s="2">
        <f ca="1"/>
        <v>25.573290724231576</v>
      </c>
      <c r="AG9672" s="2">
        <f ca="1"/>
        <v>0.27258184661754248</v>
      </c>
      <c r="AH9672" s="2" t="str">
        <f ca="1"/>
        <v>OK</v>
      </c>
    </row>
    <row r="9673" spans="2:34" x14ac:dyDescent="0.2">
      <c r="B9673" s="2">
        <f ca="1"/>
        <v>0.69991738892902955</v>
      </c>
      <c r="O9673" s="2">
        <f ca="1"/>
        <v>1.0535943152268379</v>
      </c>
      <c r="X9673" s="2">
        <f ca="1"/>
        <v>22.337503436235266</v>
      </c>
      <c r="AG9673" s="2">
        <f ca="1"/>
        <v>0.28792525331251384</v>
      </c>
      <c r="AH9673" s="2" t="str">
        <f ca="1"/>
        <v>OK</v>
      </c>
    </row>
    <row r="9674" spans="2:34" x14ac:dyDescent="0.2">
      <c r="B9674" s="2">
        <f ca="1"/>
        <v>0.56730812645588014</v>
      </c>
      <c r="O9674" s="2">
        <f ca="1"/>
        <v>4.275146229867123</v>
      </c>
      <c r="X9674" s="2">
        <f ca="1"/>
        <v>33.268525699825418</v>
      </c>
      <c r="AG9674" s="2">
        <f ca="1"/>
        <v>7.8939768346914851E-2</v>
      </c>
      <c r="AH9674" s="2" t="str">
        <f ca="1"/>
        <v>OK</v>
      </c>
    </row>
    <row r="9675" spans="2:34" x14ac:dyDescent="0.2">
      <c r="B9675" s="2">
        <f ca="1"/>
        <v>0.43398837078290842</v>
      </c>
      <c r="O9675" s="2">
        <f ca="1"/>
        <v>0.36647968557313915</v>
      </c>
      <c r="X9675" s="2">
        <f ca="1"/>
        <v>43.901272495745559</v>
      </c>
      <c r="AG9675" s="2">
        <f ca="1"/>
        <v>0.30316969405635574</v>
      </c>
      <c r="AH9675" s="2" t="str">
        <f ca="1"/>
        <v>OK</v>
      </c>
    </row>
    <row r="9676" spans="2:34" x14ac:dyDescent="0.2">
      <c r="B9676" s="2">
        <f ca="1"/>
        <v>0.36532204051614747</v>
      </c>
      <c r="O9676" s="2">
        <f ca="1"/>
        <v>-0.10617660762000455</v>
      </c>
      <c r="X9676" s="2">
        <f ca="1"/>
        <v>34.97335978640276</v>
      </c>
      <c r="AG9676" s="2">
        <f ca="1"/>
        <v>0.26778633766855586</v>
      </c>
      <c r="AH9676" s="2" t="str">
        <f ca="1"/>
        <v>OK</v>
      </c>
    </row>
    <row r="9677" spans="2:34" x14ac:dyDescent="0.2">
      <c r="B9677" s="2">
        <f ca="1"/>
        <v>0.12548609991155546</v>
      </c>
      <c r="O9677" s="2">
        <f ca="1"/>
        <v>-0.68089819870693991</v>
      </c>
      <c r="X9677" s="2">
        <f ca="1"/>
        <v>21.64705123238835</v>
      </c>
      <c r="AG9677" s="2">
        <f ca="1"/>
        <v>4.6672516223568161E-2</v>
      </c>
      <c r="AH9677" s="2" t="str">
        <f ca="1"/>
        <v>Good</v>
      </c>
    </row>
    <row r="9678" spans="2:34" x14ac:dyDescent="0.2">
      <c r="B9678" s="2">
        <f ca="1"/>
        <v>0.37833809206833879</v>
      </c>
      <c r="O9678" s="2">
        <f ca="1"/>
        <v>0.44492655643139301</v>
      </c>
      <c r="X9678" s="2">
        <f ca="1"/>
        <v>53.627050881352915</v>
      </c>
      <c r="AG9678" s="2">
        <f ca="1"/>
        <v>8.1864071559829332E-2</v>
      </c>
      <c r="AH9678" s="2" t="str">
        <f ca="1"/>
        <v>OK</v>
      </c>
    </row>
    <row r="9679" spans="2:34" x14ac:dyDescent="0.2">
      <c r="B9679" s="2">
        <f ca="1"/>
        <v>0.34619094257976313</v>
      </c>
      <c r="O9679" s="2">
        <f ca="1"/>
        <v>0.84247259956585507</v>
      </c>
      <c r="X9679" s="2">
        <f ca="1"/>
        <v>57.04210837883663</v>
      </c>
      <c r="AG9679" s="2">
        <f ca="1"/>
        <v>0.94111476419303663</v>
      </c>
      <c r="AH9679" s="2" t="str">
        <f ca="1"/>
        <v>Bad</v>
      </c>
    </row>
    <row r="9680" spans="2:34" x14ac:dyDescent="0.2">
      <c r="B9680" s="2">
        <f ca="1"/>
        <v>0.88841864174316187</v>
      </c>
      <c r="O9680" s="2">
        <f ca="1"/>
        <v>-1.7276391883344455</v>
      </c>
      <c r="X9680" s="2">
        <f ca="1"/>
        <v>49.14410247058931</v>
      </c>
      <c r="AG9680" s="2">
        <f ca="1"/>
        <v>8.0585441078274256E-2</v>
      </c>
      <c r="AH9680" s="2" t="str">
        <f ca="1"/>
        <v>OK</v>
      </c>
    </row>
    <row r="9681" spans="2:34" x14ac:dyDescent="0.2">
      <c r="B9681" s="2">
        <f ca="1"/>
        <v>0.19332915849995347</v>
      </c>
      <c r="O9681" s="2">
        <f ca="1"/>
        <v>-1.8987115174890992</v>
      </c>
      <c r="X9681" s="2">
        <f ca="1"/>
        <v>72.300429567220561</v>
      </c>
      <c r="AG9681" s="2">
        <f ca="1"/>
        <v>0.10226421825535059</v>
      </c>
      <c r="AH9681" s="2" t="str">
        <f ca="1"/>
        <v>OK</v>
      </c>
    </row>
    <row r="9682" spans="2:34" x14ac:dyDescent="0.2">
      <c r="B9682" s="2">
        <f ca="1"/>
        <v>0.17074787914347</v>
      </c>
      <c r="O9682" s="2">
        <f ca="1"/>
        <v>0.81395696018839769</v>
      </c>
      <c r="X9682" s="2">
        <f ca="1"/>
        <v>37.253155400078008</v>
      </c>
      <c r="AG9682" s="2">
        <f ca="1"/>
        <v>0.92098844245873135</v>
      </c>
      <c r="AH9682" s="2" t="str">
        <f ca="1"/>
        <v>Bad</v>
      </c>
    </row>
    <row r="9683" spans="2:34" x14ac:dyDescent="0.2">
      <c r="B9683" s="2">
        <f ca="1"/>
        <v>0.87814223313898832</v>
      </c>
      <c r="O9683" s="2">
        <f ca="1"/>
        <v>0.66480490452172492</v>
      </c>
      <c r="X9683" s="2">
        <f ca="1"/>
        <v>79.71131659222236</v>
      </c>
      <c r="AG9683" s="2">
        <f ca="1"/>
        <v>0.97085929040042385</v>
      </c>
      <c r="AH9683" s="2" t="str">
        <f ca="1"/>
        <v>Bad</v>
      </c>
    </row>
    <row r="9684" spans="2:34" x14ac:dyDescent="0.2">
      <c r="B9684" s="2">
        <f ca="1"/>
        <v>0.34440684888750894</v>
      </c>
      <c r="O9684" s="2">
        <f ca="1"/>
        <v>0.20268203786893008</v>
      </c>
      <c r="X9684" s="2">
        <f ca="1"/>
        <v>52.355813714821409</v>
      </c>
      <c r="AG9684" s="2">
        <f ca="1"/>
        <v>0.92081825291194708</v>
      </c>
      <c r="AH9684" s="2" t="str">
        <f ca="1"/>
        <v>Bad</v>
      </c>
    </row>
    <row r="9685" spans="2:34" x14ac:dyDescent="0.2">
      <c r="B9685" s="2">
        <f ca="1"/>
        <v>0.55433311454232892</v>
      </c>
      <c r="O9685" s="2">
        <f ca="1"/>
        <v>0.61891047391819998</v>
      </c>
      <c r="X9685" s="2">
        <f ca="1"/>
        <v>31.395519152221063</v>
      </c>
      <c r="AG9685" s="2">
        <f ca="1"/>
        <v>0.88664126876353433</v>
      </c>
      <c r="AH9685" s="2" t="str">
        <f ca="1"/>
        <v>Bad</v>
      </c>
    </row>
    <row r="9686" spans="2:34" x14ac:dyDescent="0.2">
      <c r="B9686" s="2">
        <f ca="1"/>
        <v>0.97949188379215646</v>
      </c>
      <c r="O9686" s="2">
        <f ca="1"/>
        <v>-0.33157198880229843</v>
      </c>
      <c r="X9686" s="2">
        <f ca="1"/>
        <v>31.805829107518026</v>
      </c>
      <c r="AG9686" s="2">
        <f ca="1"/>
        <v>0.83722351759047942</v>
      </c>
      <c r="AH9686" s="2" t="str">
        <f ca="1"/>
        <v>Bad</v>
      </c>
    </row>
    <row r="9687" spans="2:34" x14ac:dyDescent="0.2">
      <c r="B9687" s="2">
        <f ca="1"/>
        <v>0.96707486446093216</v>
      </c>
      <c r="O9687" s="2">
        <f ca="1"/>
        <v>-0.60503335700302829</v>
      </c>
      <c r="X9687" s="2">
        <f ca="1"/>
        <v>52.063914331586282</v>
      </c>
      <c r="AG9687" s="2">
        <f ca="1"/>
        <v>0.87713350616273034</v>
      </c>
      <c r="AH9687" s="2" t="str">
        <f ca="1"/>
        <v>Bad</v>
      </c>
    </row>
    <row r="9688" spans="2:34" x14ac:dyDescent="0.2">
      <c r="B9688" s="2">
        <f ca="1"/>
        <v>0.80328962744914301</v>
      </c>
      <c r="O9688" s="2">
        <f ca="1"/>
        <v>1.7761599257668976</v>
      </c>
      <c r="X9688" s="2">
        <f ca="1"/>
        <v>32.69930015906251</v>
      </c>
      <c r="AG9688" s="2">
        <f ca="1"/>
        <v>0.69635715970713052</v>
      </c>
      <c r="AH9688" s="2" t="str">
        <f ca="1"/>
        <v>Bad</v>
      </c>
    </row>
    <row r="9689" spans="2:34" x14ac:dyDescent="0.2">
      <c r="B9689" s="2">
        <f ca="1"/>
        <v>0.9066420145606584</v>
      </c>
      <c r="O9689" s="2">
        <f ca="1"/>
        <v>0.50880892460519578</v>
      </c>
      <c r="X9689" s="2">
        <f ca="1"/>
        <v>36.956902709231663</v>
      </c>
      <c r="AG9689" s="2">
        <f ca="1"/>
        <v>2.8670900007371047E-2</v>
      </c>
      <c r="AH9689" s="2" t="str">
        <f ca="1"/>
        <v>Good</v>
      </c>
    </row>
    <row r="9690" spans="2:34" x14ac:dyDescent="0.2">
      <c r="B9690" s="2">
        <f ca="1"/>
        <v>0.15008807832328053</v>
      </c>
      <c r="O9690" s="2">
        <f ca="1"/>
        <v>0.84596407730837153</v>
      </c>
      <c r="X9690" s="2">
        <f ca="1"/>
        <v>40.373035173757906</v>
      </c>
      <c r="AG9690" s="2">
        <f ca="1"/>
        <v>0.31707085730874107</v>
      </c>
      <c r="AH9690" s="2" t="str">
        <f ca="1"/>
        <v>OK</v>
      </c>
    </row>
    <row r="9691" spans="2:34" x14ac:dyDescent="0.2">
      <c r="B9691" s="2">
        <f ca="1"/>
        <v>0.57865070508543193</v>
      </c>
      <c r="O9691" s="2">
        <f ca="1"/>
        <v>-0.48710410953919031</v>
      </c>
      <c r="X9691" s="2">
        <f ca="1"/>
        <v>48.180299355159697</v>
      </c>
      <c r="AG9691" s="2">
        <f ca="1"/>
        <v>0.24427798839913328</v>
      </c>
      <c r="AH9691" s="2" t="str">
        <f ca="1"/>
        <v>OK</v>
      </c>
    </row>
    <row r="9692" spans="2:34" x14ac:dyDescent="0.2">
      <c r="B9692" s="2">
        <f ca="1"/>
        <v>0.54654243185095619</v>
      </c>
      <c r="O9692" s="2">
        <f ca="1"/>
        <v>-0.15247479062422642</v>
      </c>
      <c r="X9692" s="2">
        <f ca="1"/>
        <v>95.905556498550922</v>
      </c>
      <c r="AG9692" s="2">
        <f ca="1"/>
        <v>0.11420028566273999</v>
      </c>
      <c r="AH9692" s="2" t="str">
        <f ca="1"/>
        <v>OK</v>
      </c>
    </row>
    <row r="9693" spans="2:34" x14ac:dyDescent="0.2">
      <c r="B9693" s="2">
        <f ca="1"/>
        <v>0.86674412354195529</v>
      </c>
      <c r="O9693" s="2">
        <f ca="1"/>
        <v>0.2697613382027767</v>
      </c>
      <c r="X9693" s="2">
        <f ca="1"/>
        <v>39.948955402434066</v>
      </c>
      <c r="AG9693" s="2">
        <f ca="1"/>
        <v>0.22026203036333181</v>
      </c>
      <c r="AH9693" s="2" t="str">
        <f ca="1"/>
        <v>OK</v>
      </c>
    </row>
    <row r="9694" spans="2:34" x14ac:dyDescent="0.2">
      <c r="B9694" s="2">
        <f ca="1"/>
        <v>0.16175140583171177</v>
      </c>
      <c r="O9694" s="2">
        <f ca="1"/>
        <v>0.13596510895544672</v>
      </c>
      <c r="X9694" s="2">
        <f ca="1"/>
        <v>31.360451867735677</v>
      </c>
      <c r="AG9694" s="2">
        <f ca="1"/>
        <v>0.37201770205127538</v>
      </c>
      <c r="AH9694" s="2" t="str">
        <f ca="1"/>
        <v>OK</v>
      </c>
    </row>
    <row r="9695" spans="2:34" x14ac:dyDescent="0.2">
      <c r="B9695" s="2">
        <f ca="1"/>
        <v>0.68913749672899693</v>
      </c>
      <c r="O9695" s="2">
        <f ca="1"/>
        <v>-1.5123846657147018</v>
      </c>
      <c r="X9695" s="2">
        <f ca="1"/>
        <v>54.193467519002503</v>
      </c>
      <c r="AG9695" s="2">
        <f ca="1"/>
        <v>0.75850658497080259</v>
      </c>
      <c r="AH9695" s="2" t="str">
        <f ca="1"/>
        <v>Bad</v>
      </c>
    </row>
    <row r="9696" spans="2:34" x14ac:dyDescent="0.2">
      <c r="B9696" s="2">
        <f ca="1"/>
        <v>0.42041669826815364</v>
      </c>
      <c r="O9696" s="2">
        <f ca="1"/>
        <v>-0.47265053430477477</v>
      </c>
      <c r="X9696" s="2">
        <f ca="1"/>
        <v>38.448061404721798</v>
      </c>
      <c r="AG9696" s="2">
        <f ca="1"/>
        <v>0.66869993907561476</v>
      </c>
      <c r="AH9696" s="2" t="str">
        <f ca="1"/>
        <v>Bad</v>
      </c>
    </row>
    <row r="9697" spans="2:34" x14ac:dyDescent="0.2">
      <c r="B9697" s="2">
        <f ca="1"/>
        <v>0.38227503015189535</v>
      </c>
      <c r="O9697" s="2">
        <f ca="1"/>
        <v>-0.1857395199360434</v>
      </c>
      <c r="X9697" s="2">
        <f ca="1"/>
        <v>38.700873596204069</v>
      </c>
      <c r="AG9697" s="2">
        <f ca="1"/>
        <v>0.71014888654926112</v>
      </c>
      <c r="AH9697" s="2" t="str">
        <f ca="1"/>
        <v>Bad</v>
      </c>
    </row>
    <row r="9698" spans="2:34" x14ac:dyDescent="0.2">
      <c r="B9698" s="2">
        <f ca="1"/>
        <v>0.2924624718952491</v>
      </c>
      <c r="O9698" s="2">
        <f ca="1"/>
        <v>0.50289816183777991</v>
      </c>
      <c r="X9698" s="2">
        <f ca="1"/>
        <v>46.0925024272792</v>
      </c>
      <c r="AG9698" s="2">
        <f ca="1"/>
        <v>4.5556024227764835E-2</v>
      </c>
      <c r="AH9698" s="2" t="str">
        <f ca="1"/>
        <v>Good</v>
      </c>
    </row>
    <row r="9699" spans="2:34" x14ac:dyDescent="0.2">
      <c r="B9699" s="2">
        <f ca="1"/>
        <v>0.6818626713958198</v>
      </c>
      <c r="O9699" s="2">
        <f ca="1"/>
        <v>0.73518542370860895</v>
      </c>
      <c r="X9699" s="2">
        <f ca="1"/>
        <v>70.469014362975884</v>
      </c>
      <c r="AG9699" s="2">
        <f ca="1"/>
        <v>0.60540427075394154</v>
      </c>
      <c r="AH9699" s="2" t="str">
        <f ca="1"/>
        <v>Bad</v>
      </c>
    </row>
    <row r="9700" spans="2:34" x14ac:dyDescent="0.2">
      <c r="B9700" s="2">
        <f ca="1"/>
        <v>0.84170795044162405</v>
      </c>
      <c r="O9700" s="2">
        <f ca="1"/>
        <v>-0.41426749493967358</v>
      </c>
      <c r="X9700" s="2">
        <f ca="1"/>
        <v>43.340297042761584</v>
      </c>
      <c r="AG9700" s="2">
        <f ca="1"/>
        <v>0.41702449533052244</v>
      </c>
      <c r="AH9700" s="2" t="str">
        <f ca="1"/>
        <v>Bad</v>
      </c>
    </row>
    <row r="9701" spans="2:34" x14ac:dyDescent="0.2">
      <c r="B9701" s="2">
        <f ca="1"/>
        <v>0.52757036028442417</v>
      </c>
      <c r="O9701" s="2">
        <f ca="1"/>
        <v>-0.56401175975688977</v>
      </c>
      <c r="X9701" s="2">
        <f ca="1"/>
        <v>54.422594089302805</v>
      </c>
      <c r="AG9701" s="2">
        <f ca="1"/>
        <v>0.23166976769430936</v>
      </c>
      <c r="AH9701" s="2" t="str">
        <f ca="1"/>
        <v>OK</v>
      </c>
    </row>
    <row r="9702" spans="2:34" x14ac:dyDescent="0.2">
      <c r="B9702" s="2">
        <f ca="1"/>
        <v>0.3789764385455483</v>
      </c>
      <c r="O9702" s="2">
        <f ca="1"/>
        <v>-6.8615565028583222E-2</v>
      </c>
      <c r="X9702" s="2">
        <f ca="1"/>
        <v>50.298394733646703</v>
      </c>
      <c r="AG9702" s="2">
        <f ca="1"/>
        <v>0.35429493740659201</v>
      </c>
      <c r="AH9702" s="2" t="str">
        <f ca="1"/>
        <v>OK</v>
      </c>
    </row>
    <row r="9703" spans="2:34" x14ac:dyDescent="0.2">
      <c r="B9703" s="2">
        <f ca="1"/>
        <v>0.55090673566445059</v>
      </c>
      <c r="O9703" s="2">
        <f ca="1"/>
        <v>-2.1750296363460389</v>
      </c>
      <c r="X9703" s="2">
        <f ca="1"/>
        <v>34.508896380233949</v>
      </c>
      <c r="AG9703" s="2">
        <f ca="1"/>
        <v>0.85211417837794334</v>
      </c>
      <c r="AH9703" s="2" t="str">
        <f ca="1"/>
        <v>Bad</v>
      </c>
    </row>
    <row r="9704" spans="2:34" x14ac:dyDescent="0.2">
      <c r="B9704" s="2">
        <f ca="1"/>
        <v>0.77057237730383221</v>
      </c>
      <c r="O9704" s="2">
        <f ca="1"/>
        <v>-0.88701357064198849</v>
      </c>
      <c r="X9704" s="2">
        <f ca="1"/>
        <v>40.948782442123871</v>
      </c>
      <c r="AG9704" s="2">
        <f ca="1"/>
        <v>0.27646043213962801</v>
      </c>
      <c r="AH9704" s="2" t="str">
        <f ca="1"/>
        <v>OK</v>
      </c>
    </row>
    <row r="9705" spans="2:34" x14ac:dyDescent="0.2">
      <c r="B9705" s="2">
        <f ca="1"/>
        <v>0.29099160403488988</v>
      </c>
      <c r="O9705" s="2">
        <f ca="1"/>
        <v>0.38442787725161509</v>
      </c>
      <c r="X9705" s="2">
        <f ca="1"/>
        <v>51.25999039042113</v>
      </c>
      <c r="AG9705" s="2">
        <f ca="1"/>
        <v>0.2528078132753433</v>
      </c>
      <c r="AH9705" s="2" t="str">
        <f ca="1"/>
        <v>OK</v>
      </c>
    </row>
    <row r="9706" spans="2:34" x14ac:dyDescent="0.2">
      <c r="B9706" s="2">
        <f ca="1"/>
        <v>0.15136338807870642</v>
      </c>
      <c r="O9706" s="2">
        <f ca="1"/>
        <v>-0.4039970842129828</v>
      </c>
      <c r="X9706" s="2">
        <f ca="1"/>
        <v>50.496540907513136</v>
      </c>
      <c r="AG9706" s="2">
        <f ca="1"/>
        <v>0.9576868723627352</v>
      </c>
      <c r="AH9706" s="2" t="str">
        <f ca="1"/>
        <v>Bad</v>
      </c>
    </row>
    <row r="9707" spans="2:34" x14ac:dyDescent="0.2">
      <c r="B9707" s="2">
        <f ca="1"/>
        <v>0.33650656910039789</v>
      </c>
      <c r="O9707" s="2">
        <f ca="1"/>
        <v>-0.76183258518024422</v>
      </c>
      <c r="X9707" s="2">
        <f ca="1"/>
        <v>59.933647543901742</v>
      </c>
      <c r="AG9707" s="2">
        <f ca="1"/>
        <v>0.70601183525643774</v>
      </c>
      <c r="AH9707" s="2" t="str">
        <f ca="1"/>
        <v>Bad</v>
      </c>
    </row>
    <row r="9708" spans="2:34" x14ac:dyDescent="0.2">
      <c r="B9708" s="2">
        <f ca="1"/>
        <v>0.25141264130245289</v>
      </c>
      <c r="O9708" s="2">
        <f ca="1"/>
        <v>0.38605073613989055</v>
      </c>
      <c r="X9708" s="2">
        <f ca="1"/>
        <v>45.385576527384551</v>
      </c>
      <c r="AG9708" s="2">
        <f ca="1"/>
        <v>3.4206831415702244E-2</v>
      </c>
      <c r="AH9708" s="2" t="str">
        <f ca="1"/>
        <v>Good</v>
      </c>
    </row>
    <row r="9709" spans="2:34" x14ac:dyDescent="0.2">
      <c r="B9709" s="2">
        <f ca="1"/>
        <v>0.89802646062926184</v>
      </c>
      <c r="O9709" s="2">
        <f ca="1"/>
        <v>1.1642711987138037</v>
      </c>
      <c r="X9709" s="2">
        <f ca="1"/>
        <v>44.780756010196967</v>
      </c>
      <c r="AG9709" s="2">
        <f ca="1"/>
        <v>0.14179243093222516</v>
      </c>
      <c r="AH9709" s="2" t="str">
        <f ca="1"/>
        <v>OK</v>
      </c>
    </row>
    <row r="9710" spans="2:34" x14ac:dyDescent="0.2">
      <c r="B9710" s="2">
        <f ca="1"/>
        <v>0.35323070904310572</v>
      </c>
      <c r="O9710" s="2">
        <f ca="1"/>
        <v>1.3710489374845443</v>
      </c>
      <c r="X9710" s="2">
        <f ca="1"/>
        <v>61.717903425166128</v>
      </c>
      <c r="AG9710" s="2">
        <f ca="1"/>
        <v>0.6257826838138203</v>
      </c>
      <c r="AH9710" s="2" t="str">
        <f ca="1"/>
        <v>Bad</v>
      </c>
    </row>
    <row r="9711" spans="2:34" x14ac:dyDescent="0.2">
      <c r="B9711" s="2">
        <f ca="1"/>
        <v>0.40168497802607495</v>
      </c>
      <c r="O9711" s="2">
        <f ca="1"/>
        <v>1.1838546589641692</v>
      </c>
      <c r="X9711" s="2">
        <f ca="1"/>
        <v>54.560486417101572</v>
      </c>
      <c r="AG9711" s="2">
        <f ca="1"/>
        <v>0.66145108309611911</v>
      </c>
      <c r="AH9711" s="2" t="str">
        <f ca="1"/>
        <v>Bad</v>
      </c>
    </row>
    <row r="9712" spans="2:34" x14ac:dyDescent="0.2">
      <c r="B9712" s="2">
        <f ca="1"/>
        <v>0.1946606604868848</v>
      </c>
      <c r="O9712" s="2">
        <f ca="1"/>
        <v>3.8137650290871676E-2</v>
      </c>
      <c r="X9712" s="2">
        <f ca="1"/>
        <v>47.534861569340762</v>
      </c>
      <c r="AG9712" s="2">
        <f ca="1"/>
        <v>0.93965483888707868</v>
      </c>
      <c r="AH9712" s="2" t="str">
        <f ca="1"/>
        <v>Bad</v>
      </c>
    </row>
    <row r="9713" spans="2:34" x14ac:dyDescent="0.2">
      <c r="B9713" s="2">
        <f ca="1"/>
        <v>0.1554042331219343</v>
      </c>
      <c r="O9713" s="2">
        <f ca="1"/>
        <v>2.7925914909672098</v>
      </c>
      <c r="X9713" s="2">
        <f ca="1"/>
        <v>72.867416726780647</v>
      </c>
      <c r="AG9713" s="2">
        <f ca="1"/>
        <v>0.12911571500880203</v>
      </c>
      <c r="AH9713" s="2" t="str">
        <f ca="1"/>
        <v>OK</v>
      </c>
    </row>
    <row r="9714" spans="2:34" x14ac:dyDescent="0.2">
      <c r="B9714" s="2">
        <f ca="1"/>
        <v>0.43625187090329054</v>
      </c>
      <c r="O9714" s="2">
        <f ca="1"/>
        <v>-2.0382456103601069E-2</v>
      </c>
      <c r="X9714" s="2">
        <f ca="1"/>
        <v>50.946384965075765</v>
      </c>
      <c r="AG9714" s="2">
        <f ca="1"/>
        <v>0.22918366409527824</v>
      </c>
      <c r="AH9714" s="2" t="str">
        <f ca="1"/>
        <v>OK</v>
      </c>
    </row>
    <row r="9715" spans="2:34" x14ac:dyDescent="0.2">
      <c r="B9715" s="2">
        <f ca="1"/>
        <v>0.45738639823090943</v>
      </c>
      <c r="O9715" s="2">
        <f ca="1"/>
        <v>-0.77447538683289652</v>
      </c>
      <c r="X9715" s="2">
        <f ca="1"/>
        <v>34.934213451530077</v>
      </c>
      <c r="AG9715" s="2">
        <f ca="1"/>
        <v>0.41609362871224365</v>
      </c>
      <c r="AH9715" s="2" t="str">
        <f ca="1"/>
        <v>Bad</v>
      </c>
    </row>
    <row r="9716" spans="2:34" x14ac:dyDescent="0.2">
      <c r="B9716" s="2">
        <f ca="1"/>
        <v>0.65723664420025729</v>
      </c>
      <c r="O9716" s="2">
        <f ca="1"/>
        <v>0.7735627231508696</v>
      </c>
      <c r="X9716" s="2">
        <f ca="1"/>
        <v>28.06277209590862</v>
      </c>
      <c r="AG9716" s="2">
        <f ca="1"/>
        <v>0.39153692084501368</v>
      </c>
      <c r="AH9716" s="2" t="str">
        <f ca="1"/>
        <v>OK</v>
      </c>
    </row>
    <row r="9717" spans="2:34" x14ac:dyDescent="0.2">
      <c r="B9717" s="2">
        <f ca="1"/>
        <v>0.8971437300262084</v>
      </c>
      <c r="O9717" s="2">
        <f ca="1"/>
        <v>-0.70568807772132314</v>
      </c>
      <c r="X9717" s="2">
        <f ca="1"/>
        <v>34.901550924440016</v>
      </c>
      <c r="AG9717" s="2">
        <f ca="1"/>
        <v>0.68100561211436461</v>
      </c>
      <c r="AH9717" s="2" t="str">
        <f ca="1"/>
        <v>Bad</v>
      </c>
    </row>
    <row r="9718" spans="2:34" x14ac:dyDescent="0.2">
      <c r="B9718" s="2">
        <f ca="1"/>
        <v>0.49870733305138826</v>
      </c>
      <c r="O9718" s="2">
        <f ca="1"/>
        <v>1.3054051300607277</v>
      </c>
      <c r="X9718" s="2">
        <f ca="1"/>
        <v>45.488293724552094</v>
      </c>
      <c r="AG9718" s="2">
        <f ca="1"/>
        <v>2.889024311726418E-2</v>
      </c>
      <c r="AH9718" s="2" t="str">
        <f ca="1"/>
        <v>Good</v>
      </c>
    </row>
    <row r="9719" spans="2:34" x14ac:dyDescent="0.2">
      <c r="B9719" s="2">
        <f ca="1"/>
        <v>0.94589225897675866</v>
      </c>
      <c r="O9719" s="2">
        <f ca="1"/>
        <v>-1.0361342719676256</v>
      </c>
      <c r="X9719" s="2">
        <f ca="1"/>
        <v>45.821640177769964</v>
      </c>
      <c r="AG9719" s="2">
        <f ca="1"/>
        <v>0.34482982171866117</v>
      </c>
      <c r="AH9719" s="2" t="str">
        <f ca="1"/>
        <v>OK</v>
      </c>
    </row>
    <row r="9720" spans="2:34" x14ac:dyDescent="0.2">
      <c r="B9720" s="2">
        <f ca="1"/>
        <v>0.97838760194684826</v>
      </c>
      <c r="O9720" s="2">
        <f ca="1"/>
        <v>-1.274856411882479</v>
      </c>
      <c r="X9720" s="2">
        <f ca="1"/>
        <v>44.373355595729073</v>
      </c>
      <c r="AG9720" s="2">
        <f ca="1"/>
        <v>0.54875135863781455</v>
      </c>
      <c r="AH9720" s="2" t="str">
        <f ca="1"/>
        <v>Bad</v>
      </c>
    </row>
    <row r="9721" spans="2:34" x14ac:dyDescent="0.2">
      <c r="B9721" s="2">
        <f ca="1"/>
        <v>0.62644467966644868</v>
      </c>
      <c r="O9721" s="2">
        <f ca="1"/>
        <v>1.1949896337839669</v>
      </c>
      <c r="X9721" s="2">
        <f ca="1"/>
        <v>45.66427639595635</v>
      </c>
      <c r="AG9721" s="2">
        <f ca="1"/>
        <v>0.18194379329440524</v>
      </c>
      <c r="AH9721" s="2" t="str">
        <f ca="1"/>
        <v>OK</v>
      </c>
    </row>
    <row r="9722" spans="2:34" x14ac:dyDescent="0.2">
      <c r="B9722" s="2">
        <f ca="1"/>
        <v>0.15233806858002419</v>
      </c>
      <c r="O9722" s="2">
        <f ca="1"/>
        <v>-0.22072019741599755</v>
      </c>
      <c r="X9722" s="2">
        <f ca="1"/>
        <v>46.909205364036552</v>
      </c>
      <c r="AG9722" s="2">
        <f ca="1"/>
        <v>0.71305340373134762</v>
      </c>
      <c r="AH9722" s="2" t="str">
        <f ca="1"/>
        <v>Bad</v>
      </c>
    </row>
    <row r="9723" spans="2:34" x14ac:dyDescent="0.2">
      <c r="B9723" s="2">
        <f ca="1"/>
        <v>0.20640128501990951</v>
      </c>
      <c r="O9723" s="2">
        <f ca="1"/>
        <v>-0.46204304529212642</v>
      </c>
      <c r="X9723" s="2">
        <f ca="1"/>
        <v>43.533166944760509</v>
      </c>
      <c r="AG9723" s="2">
        <f ca="1"/>
        <v>1.3265247589927753E-2</v>
      </c>
      <c r="AH9723" s="2" t="str">
        <f ca="1"/>
        <v>Good</v>
      </c>
    </row>
    <row r="9724" spans="2:34" x14ac:dyDescent="0.2">
      <c r="B9724" s="2">
        <f ca="1"/>
        <v>2.0639320835671437E-2</v>
      </c>
      <c r="O9724" s="2">
        <f ca="1"/>
        <v>1.7333849891843642</v>
      </c>
      <c r="X9724" s="2">
        <f ca="1"/>
        <v>58.223181696364819</v>
      </c>
      <c r="AG9724" s="2">
        <f ca="1"/>
        <v>0.42423059725726397</v>
      </c>
      <c r="AH9724" s="2" t="str">
        <f ca="1"/>
        <v>Bad</v>
      </c>
    </row>
    <row r="9725" spans="2:34" x14ac:dyDescent="0.2">
      <c r="B9725" s="2">
        <f ca="1"/>
        <v>0.2794392752980781</v>
      </c>
      <c r="O9725" s="2">
        <f ca="1"/>
        <v>0.92778627150716808</v>
      </c>
      <c r="X9725" s="2">
        <f ca="1"/>
        <v>68.548704595445898</v>
      </c>
      <c r="AG9725" s="2">
        <f ca="1"/>
        <v>0.57030643595757358</v>
      </c>
      <c r="AH9725" s="2" t="str">
        <f ca="1"/>
        <v>Bad</v>
      </c>
    </row>
    <row r="9726" spans="2:34" x14ac:dyDescent="0.2">
      <c r="B9726" s="2">
        <f ca="1"/>
        <v>0.39432899930816445</v>
      </c>
      <c r="O9726" s="2">
        <f ca="1"/>
        <v>0.61868057852331571</v>
      </c>
      <c r="X9726" s="2">
        <f ca="1"/>
        <v>96.990190738651052</v>
      </c>
      <c r="AG9726" s="2">
        <f ca="1"/>
        <v>0.26063979590000885</v>
      </c>
      <c r="AH9726" s="2" t="str">
        <f ca="1"/>
        <v>OK</v>
      </c>
    </row>
    <row r="9727" spans="2:34" x14ac:dyDescent="0.2">
      <c r="B9727" s="2">
        <f ca="1"/>
        <v>0.11160416601593748</v>
      </c>
      <c r="O9727" s="2">
        <f ca="1"/>
        <v>-1.526799091368368</v>
      </c>
      <c r="X9727" s="2">
        <f ca="1"/>
        <v>50.409564317073354</v>
      </c>
      <c r="AG9727" s="2">
        <f ca="1"/>
        <v>0.5056532741633335</v>
      </c>
      <c r="AH9727" s="2" t="str">
        <f ca="1"/>
        <v>Bad</v>
      </c>
    </row>
    <row r="9728" spans="2:34" x14ac:dyDescent="0.2">
      <c r="B9728" s="2">
        <f ca="1"/>
        <v>0.87727120261907698</v>
      </c>
      <c r="O9728" s="2">
        <f ca="1"/>
        <v>1.1703943407107211</v>
      </c>
      <c r="X9728" s="2">
        <f ca="1"/>
        <v>55.101255506328563</v>
      </c>
      <c r="AG9728" s="2">
        <f ca="1"/>
        <v>0.57124999822036249</v>
      </c>
      <c r="AH9728" s="2" t="str">
        <f ca="1"/>
        <v>Bad</v>
      </c>
    </row>
    <row r="9729" spans="2:34" x14ac:dyDescent="0.2">
      <c r="B9729" s="2">
        <f ca="1"/>
        <v>0.32667013439999693</v>
      </c>
      <c r="O9729" s="2">
        <f ca="1"/>
        <v>0.29345870755700532</v>
      </c>
      <c r="X9729" s="2">
        <f ca="1"/>
        <v>41.018439942273673</v>
      </c>
      <c r="AG9729" s="2">
        <f ca="1"/>
        <v>3.0196798290115678E-2</v>
      </c>
      <c r="AH9729" s="2" t="str">
        <f ca="1"/>
        <v>Good</v>
      </c>
    </row>
    <row r="9730" spans="2:34" x14ac:dyDescent="0.2">
      <c r="B9730" s="2">
        <f ca="1"/>
        <v>0.46949292672265686</v>
      </c>
      <c r="O9730" s="2">
        <f ca="1"/>
        <v>-0.98895889172127582</v>
      </c>
      <c r="X9730" s="2">
        <f ca="1"/>
        <v>42.595252337142036</v>
      </c>
      <c r="AG9730" s="2">
        <f ca="1"/>
        <v>0.57995279082915174</v>
      </c>
      <c r="AH9730" s="2" t="str">
        <f ca="1"/>
        <v>Bad</v>
      </c>
    </row>
    <row r="9731" spans="2:34" x14ac:dyDescent="0.2">
      <c r="B9731" s="2">
        <f ca="1"/>
        <v>0.68518639610820742</v>
      </c>
      <c r="O9731" s="2">
        <f ca="1"/>
        <v>-0.65439774860976252</v>
      </c>
      <c r="X9731" s="2">
        <f ca="1"/>
        <v>38.631601212804355</v>
      </c>
      <c r="AG9731" s="2">
        <f ca="1"/>
        <v>0.64742586560196425</v>
      </c>
      <c r="AH9731" s="2" t="str">
        <f ca="1"/>
        <v>Bad</v>
      </c>
    </row>
    <row r="9732" spans="2:34" x14ac:dyDescent="0.2">
      <c r="B9732" s="2">
        <f ca="1"/>
        <v>0.18856733088319011</v>
      </c>
      <c r="O9732" s="2">
        <f ca="1"/>
        <v>0.39999508152795354</v>
      </c>
      <c r="X9732" s="2">
        <f ca="1"/>
        <v>43.81249335106201</v>
      </c>
      <c r="AG9732" s="2">
        <f ca="1"/>
        <v>0.51129467906862303</v>
      </c>
      <c r="AH9732" s="2" t="str">
        <f ca="1"/>
        <v>Bad</v>
      </c>
    </row>
    <row r="9733" spans="2:34" x14ac:dyDescent="0.2">
      <c r="B9733" s="2">
        <f ca="1"/>
        <v>0.64343808038065609</v>
      </c>
      <c r="O9733" s="2">
        <f ca="1"/>
        <v>1.1978964965446239</v>
      </c>
      <c r="X9733" s="2">
        <f ca="1"/>
        <v>69.54620523020354</v>
      </c>
      <c r="AG9733" s="2">
        <f ca="1"/>
        <v>0.64354671011893916</v>
      </c>
      <c r="AH9733" s="2" t="str">
        <f ca="1"/>
        <v>Bad</v>
      </c>
    </row>
    <row r="9734" spans="2:34" x14ac:dyDescent="0.2">
      <c r="B9734" s="2">
        <f ca="1"/>
        <v>0.54572344616780777</v>
      </c>
      <c r="O9734" s="2">
        <f ca="1"/>
        <v>0.91130541158569045</v>
      </c>
      <c r="X9734" s="2">
        <f ca="1"/>
        <v>60.236485420215622</v>
      </c>
      <c r="AG9734" s="2">
        <f ca="1"/>
        <v>0.17460381887165544</v>
      </c>
      <c r="AH9734" s="2" t="str">
        <f ca="1"/>
        <v>OK</v>
      </c>
    </row>
    <row r="9735" spans="2:34" x14ac:dyDescent="0.2">
      <c r="B9735" s="2">
        <f ca="1"/>
        <v>0.97567613910550088</v>
      </c>
      <c r="O9735" s="2">
        <f ca="1"/>
        <v>-0.69084100582284724</v>
      </c>
      <c r="X9735" s="2">
        <f ca="1"/>
        <v>81.895953345987053</v>
      </c>
      <c r="AG9735" s="2">
        <f ca="1"/>
        <v>0.64407626147554042</v>
      </c>
      <c r="AH9735" s="2" t="str">
        <f ca="1"/>
        <v>Bad</v>
      </c>
    </row>
    <row r="9736" spans="2:34" x14ac:dyDescent="0.2">
      <c r="B9736" s="2">
        <f ca="1"/>
        <v>0.27213272982733749</v>
      </c>
      <c r="O9736" s="2">
        <f ca="1"/>
        <v>1.7132199055956896</v>
      </c>
      <c r="X9736" s="2">
        <f ca="1"/>
        <v>53.938816729762252</v>
      </c>
      <c r="AG9736" s="2">
        <f ca="1"/>
        <v>0.90241999059458489</v>
      </c>
      <c r="AH9736" s="2" t="str">
        <f ca="1"/>
        <v>Bad</v>
      </c>
    </row>
    <row r="9737" spans="2:34" x14ac:dyDescent="0.2">
      <c r="B9737" s="2">
        <f ca="1"/>
        <v>0.88873445684675079</v>
      </c>
      <c r="O9737" s="2">
        <f ca="1"/>
        <v>1.1750249423183683</v>
      </c>
      <c r="X9737" s="2">
        <f ca="1"/>
        <v>39.20148571432631</v>
      </c>
      <c r="AG9737" s="2">
        <f ca="1"/>
        <v>8.3211833533306967E-2</v>
      </c>
      <c r="AH9737" s="2" t="str">
        <f ca="1"/>
        <v>OK</v>
      </c>
    </row>
    <row r="9738" spans="2:34" x14ac:dyDescent="0.2">
      <c r="B9738" s="2">
        <f ca="1"/>
        <v>8.848754524324165E-2</v>
      </c>
      <c r="O9738" s="2">
        <f ca="1"/>
        <v>-0.45067818399895626</v>
      </c>
      <c r="X9738" s="2">
        <f ca="1"/>
        <v>46.066205896723744</v>
      </c>
      <c r="AG9738" s="2">
        <f ca="1"/>
        <v>2.2396170257697801E-2</v>
      </c>
      <c r="AH9738" s="2" t="str">
        <f ca="1"/>
        <v>Good</v>
      </c>
    </row>
    <row r="9739" spans="2:34" x14ac:dyDescent="0.2">
      <c r="B9739" s="2">
        <f ca="1"/>
        <v>0.33817857465814116</v>
      </c>
      <c r="O9739" s="2">
        <f ca="1"/>
        <v>0.38033033138718669</v>
      </c>
      <c r="X9739" s="2">
        <f ca="1"/>
        <v>41.448491993168368</v>
      </c>
      <c r="AG9739" s="2">
        <f ca="1"/>
        <v>0.49075947735758918</v>
      </c>
      <c r="AH9739" s="2" t="str">
        <f ca="1"/>
        <v>Bad</v>
      </c>
    </row>
    <row r="9740" spans="2:34" x14ac:dyDescent="0.2">
      <c r="B9740" s="2">
        <f ca="1"/>
        <v>0.90773236452625872</v>
      </c>
      <c r="O9740" s="2">
        <f ca="1"/>
        <v>-0.75291441423069638</v>
      </c>
      <c r="X9740" s="2">
        <f ca="1"/>
        <v>48.506909820277826</v>
      </c>
      <c r="AG9740" s="2">
        <f ca="1"/>
        <v>0.41568829547032693</v>
      </c>
      <c r="AH9740" s="2" t="str">
        <f ca="1"/>
        <v>Bad</v>
      </c>
    </row>
    <row r="9741" spans="2:34" x14ac:dyDescent="0.2">
      <c r="B9741" s="2">
        <f ca="1"/>
        <v>0.76797029900105684</v>
      </c>
      <c r="O9741" s="2">
        <f ca="1"/>
        <v>4.2934457416610658E-2</v>
      </c>
      <c r="X9741" s="2">
        <f ca="1"/>
        <v>29.296550164552862</v>
      </c>
      <c r="AG9741" s="2">
        <f ca="1"/>
        <v>0.68035086292712421</v>
      </c>
      <c r="AH9741" s="2" t="str">
        <f ca="1"/>
        <v>Bad</v>
      </c>
    </row>
    <row r="9742" spans="2:34" x14ac:dyDescent="0.2">
      <c r="B9742" s="2">
        <f ca="1"/>
        <v>0.73932110351562397</v>
      </c>
      <c r="O9742" s="2">
        <f ca="1"/>
        <v>-5.2425339756789771E-2</v>
      </c>
      <c r="X9742" s="2">
        <f ca="1"/>
        <v>43.904168451887038</v>
      </c>
      <c r="AG9742" s="2">
        <f ca="1"/>
        <v>0.21158737067391487</v>
      </c>
      <c r="AH9742" s="2" t="str">
        <f ca="1"/>
        <v>OK</v>
      </c>
    </row>
    <row r="9743" spans="2:34" x14ac:dyDescent="0.2">
      <c r="B9743" s="2">
        <f ca="1"/>
        <v>0.47944923757674252</v>
      </c>
      <c r="O9743" s="2">
        <f ca="1"/>
        <v>0.58466438527875697</v>
      </c>
      <c r="X9743" s="2">
        <f ca="1"/>
        <v>60.202901008333015</v>
      </c>
      <c r="AG9743" s="2">
        <f ca="1"/>
        <v>0.12679395429783669</v>
      </c>
      <c r="AH9743" s="2" t="str">
        <f ca="1"/>
        <v>OK</v>
      </c>
    </row>
    <row r="9744" spans="2:34" x14ac:dyDescent="0.2">
      <c r="B9744" s="2">
        <f ca="1"/>
        <v>0.50973277971446973</v>
      </c>
      <c r="O9744" s="2">
        <f ca="1"/>
        <v>-0.6012741556420369</v>
      </c>
      <c r="X9744" s="2">
        <f ca="1"/>
        <v>33.801436939944637</v>
      </c>
      <c r="AG9744" s="2">
        <f ca="1"/>
        <v>0.80776936659281451</v>
      </c>
      <c r="AH9744" s="2" t="str">
        <f ca="1"/>
        <v>Bad</v>
      </c>
    </row>
    <row r="9745" spans="2:34" x14ac:dyDescent="0.2">
      <c r="B9745" s="2">
        <f ca="1"/>
        <v>0.50857574190266375</v>
      </c>
      <c r="O9745" s="2">
        <f ca="1"/>
        <v>-0.11196241471257046</v>
      </c>
      <c r="X9745" s="2">
        <f ca="1"/>
        <v>21.991650909862809</v>
      </c>
      <c r="AG9745" s="2">
        <f ca="1"/>
        <v>0.49682112986831917</v>
      </c>
      <c r="AH9745" s="2" t="str">
        <f ca="1"/>
        <v>Bad</v>
      </c>
    </row>
    <row r="9746" spans="2:34" x14ac:dyDescent="0.2">
      <c r="B9746" s="2">
        <f ca="1"/>
        <v>0.76914456833356226</v>
      </c>
      <c r="O9746" s="2">
        <f ca="1"/>
        <v>-0.26155894475831348</v>
      </c>
      <c r="X9746" s="2">
        <f ca="1"/>
        <v>77.7385785669358</v>
      </c>
      <c r="AG9746" s="2">
        <f ca="1"/>
        <v>0.48735138604314798</v>
      </c>
      <c r="AH9746" s="2" t="str">
        <f ca="1"/>
        <v>Bad</v>
      </c>
    </row>
    <row r="9747" spans="2:34" x14ac:dyDescent="0.2">
      <c r="B9747" s="2">
        <f ca="1"/>
        <v>0.96139980002749792</v>
      </c>
      <c r="O9747" s="2">
        <f ca="1"/>
        <v>-0.46894245818571378</v>
      </c>
      <c r="X9747" s="2">
        <f ca="1"/>
        <v>33.99409506257723</v>
      </c>
      <c r="AG9747" s="2">
        <f ca="1"/>
        <v>0.95726304227531078</v>
      </c>
      <c r="AH9747" s="2" t="str">
        <f ca="1"/>
        <v>Bad</v>
      </c>
    </row>
    <row r="9748" spans="2:34" x14ac:dyDescent="0.2">
      <c r="B9748" s="2">
        <f ca="1"/>
        <v>0.4480390436900612</v>
      </c>
      <c r="O9748" s="2">
        <f ca="1"/>
        <v>-0.20586156844744175</v>
      </c>
      <c r="X9748" s="2">
        <f ca="1"/>
        <v>70.316269873206224</v>
      </c>
      <c r="AG9748" s="2">
        <f ca="1"/>
        <v>0.28455141565725595</v>
      </c>
      <c r="AH9748" s="2" t="str">
        <f ca="1"/>
        <v>OK</v>
      </c>
    </row>
    <row r="9749" spans="2:34" x14ac:dyDescent="0.2">
      <c r="B9749" s="2">
        <f ca="1"/>
        <v>0.13761716353036668</v>
      </c>
      <c r="O9749" s="2">
        <f ca="1"/>
        <v>0.83457468912303479</v>
      </c>
      <c r="X9749" s="2">
        <f ca="1"/>
        <v>48.723728996798165</v>
      </c>
      <c r="AG9749" s="2">
        <f ca="1"/>
        <v>0.88812454213964309</v>
      </c>
      <c r="AH9749" s="2" t="str">
        <f ca="1"/>
        <v>Bad</v>
      </c>
    </row>
    <row r="9750" spans="2:34" x14ac:dyDescent="0.2">
      <c r="B9750" s="2">
        <f ca="1"/>
        <v>0.61047703940104703</v>
      </c>
      <c r="O9750" s="2">
        <f ca="1"/>
        <v>0.16557468037416925</v>
      </c>
      <c r="X9750" s="2">
        <f ca="1"/>
        <v>69.571175981691511</v>
      </c>
      <c r="AG9750" s="2">
        <f ca="1"/>
        <v>0.1315307849255154</v>
      </c>
      <c r="AH9750" s="2" t="str">
        <f ca="1"/>
        <v>OK</v>
      </c>
    </row>
    <row r="9751" spans="2:34" x14ac:dyDescent="0.2">
      <c r="B9751" s="2">
        <f ca="1"/>
        <v>0.8758048206985023</v>
      </c>
      <c r="O9751" s="2">
        <f ca="1"/>
        <v>0.88800288256457183</v>
      </c>
      <c r="X9751" s="2">
        <f ca="1"/>
        <v>70.137214152985891</v>
      </c>
      <c r="AG9751" s="2">
        <f ca="1"/>
        <v>0.68553441170691043</v>
      </c>
      <c r="AH9751" s="2" t="str">
        <f ca="1"/>
        <v>Bad</v>
      </c>
    </row>
    <row r="9752" spans="2:34" x14ac:dyDescent="0.2">
      <c r="B9752" s="2">
        <f ca="1"/>
        <v>0.49959370485420584</v>
      </c>
      <c r="O9752" s="2">
        <f ca="1"/>
        <v>-0.26183716661585593</v>
      </c>
      <c r="X9752" s="2">
        <f ca="1"/>
        <v>64.728807526031346</v>
      </c>
      <c r="AG9752" s="2">
        <f ca="1"/>
        <v>0.6440686970899423</v>
      </c>
      <c r="AH9752" s="2" t="str">
        <f ca="1"/>
        <v>Bad</v>
      </c>
    </row>
    <row r="9753" spans="2:34" x14ac:dyDescent="0.2">
      <c r="B9753" s="2">
        <f ca="1"/>
        <v>0.82901349465296459</v>
      </c>
      <c r="O9753" s="2">
        <f ca="1"/>
        <v>-2.091560701055974</v>
      </c>
      <c r="X9753" s="2">
        <f ca="1"/>
        <v>40.276219075360771</v>
      </c>
      <c r="AG9753" s="2">
        <f ca="1"/>
        <v>0.30478595092281524</v>
      </c>
      <c r="AH9753" s="2" t="str">
        <f ca="1"/>
        <v>OK</v>
      </c>
    </row>
    <row r="9754" spans="2:34" x14ac:dyDescent="0.2">
      <c r="B9754" s="2">
        <f ca="1"/>
        <v>0.4757156559003608</v>
      </c>
      <c r="O9754" s="2">
        <f ca="1"/>
        <v>-8.2850906485608354E-3</v>
      </c>
      <c r="X9754" s="2">
        <f ca="1"/>
        <v>50.232484109205942</v>
      </c>
      <c r="AG9754" s="2">
        <f ca="1"/>
        <v>0.89276538433258201</v>
      </c>
      <c r="AH9754" s="2" t="str">
        <f ca="1"/>
        <v>Bad</v>
      </c>
    </row>
    <row r="9755" spans="2:34" x14ac:dyDescent="0.2">
      <c r="B9755" s="2">
        <f ca="1"/>
        <v>6.7819321572412772E-2</v>
      </c>
      <c r="O9755" s="2">
        <f ca="1"/>
        <v>9.8489838862569887E-2</v>
      </c>
      <c r="X9755" s="2">
        <f ca="1"/>
        <v>47.119121470134687</v>
      </c>
      <c r="AG9755" s="2">
        <f ca="1"/>
        <v>0.44401129613120083</v>
      </c>
      <c r="AH9755" s="2" t="str">
        <f ca="1"/>
        <v>Bad</v>
      </c>
    </row>
    <row r="9756" spans="2:34" x14ac:dyDescent="0.2">
      <c r="B9756" s="2">
        <f ca="1"/>
        <v>0.10273963921891882</v>
      </c>
      <c r="O9756" s="2">
        <f ca="1"/>
        <v>-1.5679633694950768</v>
      </c>
      <c r="X9756" s="2">
        <f ca="1"/>
        <v>35.604875141459281</v>
      </c>
      <c r="AG9756" s="2">
        <f ca="1"/>
        <v>0.49388085043872487</v>
      </c>
      <c r="AH9756" s="2" t="str">
        <f ca="1"/>
        <v>Bad</v>
      </c>
    </row>
    <row r="9757" spans="2:34" x14ac:dyDescent="0.2">
      <c r="B9757" s="2">
        <f ca="1"/>
        <v>0.65426345350874704</v>
      </c>
      <c r="O9757" s="2">
        <f ca="1"/>
        <v>-1.3740289998784876</v>
      </c>
      <c r="X9757" s="2">
        <f ca="1"/>
        <v>47.18899165836654</v>
      </c>
      <c r="AG9757" s="2">
        <f ca="1"/>
        <v>0.84319374793491453</v>
      </c>
      <c r="AH9757" s="2" t="str">
        <f ca="1"/>
        <v>Bad</v>
      </c>
    </row>
    <row r="9758" spans="2:34" x14ac:dyDescent="0.2">
      <c r="B9758" s="2">
        <f ca="1"/>
        <v>0.61371515704215684</v>
      </c>
      <c r="O9758" s="2">
        <f ca="1"/>
        <v>0.24690132114710223</v>
      </c>
      <c r="X9758" s="2">
        <f ca="1"/>
        <v>23.812672987173112</v>
      </c>
      <c r="AG9758" s="2">
        <f ca="1"/>
        <v>5.8735654900798906E-2</v>
      </c>
      <c r="AH9758" s="2" t="str">
        <f ca="1"/>
        <v>OK</v>
      </c>
    </row>
    <row r="9759" spans="2:34" x14ac:dyDescent="0.2">
      <c r="B9759" s="2">
        <f ca="1"/>
        <v>0.24793998554548757</v>
      </c>
      <c r="O9759" s="2">
        <f ca="1"/>
        <v>-0.18718484778818739</v>
      </c>
      <c r="X9759" s="2">
        <f ca="1"/>
        <v>33.692262219343036</v>
      </c>
      <c r="AG9759" s="2">
        <f ca="1"/>
        <v>0.92567213055241271</v>
      </c>
      <c r="AH9759" s="2" t="str">
        <f ca="1"/>
        <v>Bad</v>
      </c>
    </row>
    <row r="9760" spans="2:34" x14ac:dyDescent="0.2">
      <c r="B9760" s="2">
        <f ca="1"/>
        <v>0.47988711433419007</v>
      </c>
      <c r="O9760" s="2">
        <f ca="1"/>
        <v>-0.76790774101171955</v>
      </c>
      <c r="X9760" s="2">
        <f ca="1"/>
        <v>37.587178257603419</v>
      </c>
      <c r="AG9760" s="2">
        <f ca="1"/>
        <v>0.87455468088916666</v>
      </c>
      <c r="AH9760" s="2" t="str">
        <f ca="1"/>
        <v>Bad</v>
      </c>
    </row>
    <row r="9761" spans="2:34" x14ac:dyDescent="0.2">
      <c r="B9761" s="2">
        <f ca="1"/>
        <v>0.82174666143292674</v>
      </c>
      <c r="O9761" s="2">
        <f ca="1"/>
        <v>-1.2519033624369316</v>
      </c>
      <c r="X9761" s="2">
        <f ca="1"/>
        <v>42.377530469723517</v>
      </c>
      <c r="AG9761" s="2">
        <f ca="1"/>
        <v>0.44311462512263189</v>
      </c>
      <c r="AH9761" s="2" t="str">
        <f ca="1"/>
        <v>Bad</v>
      </c>
    </row>
    <row r="9762" spans="2:34" x14ac:dyDescent="0.2">
      <c r="B9762" s="2">
        <f ca="1"/>
        <v>0.66399294832094791</v>
      </c>
      <c r="O9762" s="2">
        <f ca="1"/>
        <v>0.58134013565458842</v>
      </c>
      <c r="X9762" s="2">
        <f ca="1"/>
        <v>76.102943687784361</v>
      </c>
      <c r="AG9762" s="2">
        <f ca="1"/>
        <v>0.79642987373127938</v>
      </c>
      <c r="AH9762" s="2" t="str">
        <f ca="1"/>
        <v>Bad</v>
      </c>
    </row>
    <row r="9763" spans="2:34" x14ac:dyDescent="0.2">
      <c r="B9763" s="2">
        <f ca="1"/>
        <v>0.73079974075072762</v>
      </c>
      <c r="O9763" s="2">
        <f ca="1"/>
        <v>-0.94690863344065013</v>
      </c>
      <c r="X9763" s="2">
        <f ca="1"/>
        <v>75.958320959742906</v>
      </c>
      <c r="AG9763" s="2">
        <f ca="1"/>
        <v>0.41210825872184964</v>
      </c>
      <c r="AH9763" s="2" t="str">
        <f ca="1"/>
        <v>Bad</v>
      </c>
    </row>
    <row r="9764" spans="2:34" x14ac:dyDescent="0.2">
      <c r="B9764" s="2">
        <f ca="1"/>
        <v>0.19377752572634055</v>
      </c>
      <c r="O9764" s="2">
        <f ca="1"/>
        <v>-0.53284497727915792</v>
      </c>
      <c r="X9764" s="2">
        <f ca="1"/>
        <v>48.480686535034351</v>
      </c>
      <c r="AG9764" s="2">
        <f ca="1"/>
        <v>0.92323465318094056</v>
      </c>
      <c r="AH9764" s="2" t="str">
        <f ca="1"/>
        <v>Bad</v>
      </c>
    </row>
    <row r="9765" spans="2:34" x14ac:dyDescent="0.2">
      <c r="B9765" s="2">
        <f ca="1"/>
        <v>0.21957011381466951</v>
      </c>
      <c r="O9765" s="2">
        <f ca="1"/>
        <v>0.50884573210091677</v>
      </c>
      <c r="X9765" s="2">
        <f ca="1"/>
        <v>49.556128863765281</v>
      </c>
      <c r="AG9765" s="2">
        <f ca="1"/>
        <v>0.39580630278927686</v>
      </c>
      <c r="AH9765" s="2" t="str">
        <f ca="1"/>
        <v>OK</v>
      </c>
    </row>
    <row r="9766" spans="2:34" x14ac:dyDescent="0.2">
      <c r="B9766" s="2">
        <f ca="1"/>
        <v>0.77808380820134015</v>
      </c>
      <c r="O9766" s="2">
        <f ca="1"/>
        <v>-0.39509739172292097</v>
      </c>
      <c r="X9766" s="2">
        <f ca="1"/>
        <v>32.986398128128677</v>
      </c>
      <c r="AG9766" s="2">
        <f ca="1"/>
        <v>0.33380676854002123</v>
      </c>
      <c r="AH9766" s="2" t="str">
        <f ca="1"/>
        <v>OK</v>
      </c>
    </row>
    <row r="9767" spans="2:34" x14ac:dyDescent="0.2">
      <c r="B9767" s="2">
        <f ca="1"/>
        <v>0.59283080164453006</v>
      </c>
      <c r="O9767" s="2">
        <f ca="1"/>
        <v>-0.42169061279602277</v>
      </c>
      <c r="X9767" s="2">
        <f ca="1"/>
        <v>91.546299392106718</v>
      </c>
      <c r="AG9767" s="2">
        <f ca="1"/>
        <v>5.0902413836872107E-2</v>
      </c>
      <c r="AH9767" s="2" t="str">
        <f ca="1"/>
        <v>OK</v>
      </c>
    </row>
    <row r="9768" spans="2:34" x14ac:dyDescent="0.2">
      <c r="B9768" s="2">
        <f ca="1"/>
        <v>0.75814388290725554</v>
      </c>
      <c r="O9768" s="2">
        <f ca="1"/>
        <v>1.9743880872468276</v>
      </c>
      <c r="X9768" s="2">
        <f ca="1"/>
        <v>41.374794414761837</v>
      </c>
      <c r="AG9768" s="2">
        <f ca="1"/>
        <v>1.7516678077206249E-2</v>
      </c>
      <c r="AH9768" s="2" t="str">
        <f ca="1"/>
        <v>Good</v>
      </c>
    </row>
    <row r="9769" spans="2:34" x14ac:dyDescent="0.2">
      <c r="B9769" s="2">
        <f ca="1"/>
        <v>0.86000875567369883</v>
      </c>
      <c r="O9769" s="2">
        <f ca="1"/>
        <v>-1.8497099228485529E-2</v>
      </c>
      <c r="X9769" s="2">
        <f ca="1"/>
        <v>48.02649102088408</v>
      </c>
      <c r="AG9769" s="2">
        <f ca="1"/>
        <v>0.84792290468048193</v>
      </c>
      <c r="AH9769" s="2" t="str">
        <f ca="1"/>
        <v>Bad</v>
      </c>
    </row>
    <row r="9770" spans="2:34" x14ac:dyDescent="0.2">
      <c r="B9770" s="2">
        <f ca="1"/>
        <v>6.7598442933774372E-2</v>
      </c>
      <c r="O9770" s="2">
        <f ca="1"/>
        <v>-0.90693788107625006</v>
      </c>
      <c r="X9770" s="2">
        <f ca="1"/>
        <v>49.87624513234492</v>
      </c>
      <c r="AG9770" s="2">
        <f ca="1"/>
        <v>0.31639372896989015</v>
      </c>
      <c r="AH9770" s="2" t="str">
        <f ca="1"/>
        <v>OK</v>
      </c>
    </row>
    <row r="9771" spans="2:34" x14ac:dyDescent="0.2">
      <c r="B9771" s="2">
        <f ca="1"/>
        <v>0.21909945592908842</v>
      </c>
      <c r="O9771" s="2">
        <f ca="1"/>
        <v>-0.25358030658746783</v>
      </c>
      <c r="X9771" s="2">
        <f ca="1"/>
        <v>36.378764969623695</v>
      </c>
      <c r="AG9771" s="2">
        <f ca="1"/>
        <v>0.30747897142062008</v>
      </c>
      <c r="AH9771" s="2" t="str">
        <f ca="1"/>
        <v>OK</v>
      </c>
    </row>
    <row r="9772" spans="2:34" x14ac:dyDescent="0.2">
      <c r="B9772" s="2">
        <f ca="1"/>
        <v>0.5848372513760498</v>
      </c>
      <c r="O9772" s="2">
        <f ca="1"/>
        <v>0.10320913922638118</v>
      </c>
      <c r="X9772" s="2">
        <f ca="1"/>
        <v>39.151490322175391</v>
      </c>
      <c r="AG9772" s="2">
        <f ca="1"/>
        <v>0.3451066485759593</v>
      </c>
      <c r="AH9772" s="2" t="str">
        <f ca="1"/>
        <v>OK</v>
      </c>
    </row>
    <row r="9773" spans="2:34" x14ac:dyDescent="0.2">
      <c r="B9773" s="2">
        <f ca="1"/>
        <v>0.3093099664888006</v>
      </c>
      <c r="O9773" s="2">
        <f ca="1"/>
        <v>0.90728536597004183</v>
      </c>
      <c r="X9773" s="2">
        <f ca="1"/>
        <v>51.132402549648795</v>
      </c>
      <c r="AG9773" s="2">
        <f ca="1"/>
        <v>0.11610458037177929</v>
      </c>
      <c r="AH9773" s="2" t="str">
        <f ca="1"/>
        <v>OK</v>
      </c>
    </row>
    <row r="9774" spans="2:34" x14ac:dyDescent="0.2">
      <c r="B9774" s="2">
        <f ca="1"/>
        <v>0.80500560784949315</v>
      </c>
      <c r="O9774" s="2">
        <f ca="1"/>
        <v>1.3679694667297906</v>
      </c>
      <c r="X9774" s="2">
        <f ca="1"/>
        <v>46.599067297132635</v>
      </c>
      <c r="AG9774" s="2">
        <f ca="1"/>
        <v>0.97141855465354254</v>
      </c>
      <c r="AH9774" s="2" t="str">
        <f ca="1"/>
        <v>Bad</v>
      </c>
    </row>
    <row r="9775" spans="2:34" x14ac:dyDescent="0.2">
      <c r="B9775" s="2">
        <f ca="1"/>
        <v>0.50845721248742604</v>
      </c>
      <c r="O9775" s="2">
        <f ca="1"/>
        <v>1.7428945299049443</v>
      </c>
      <c r="X9775" s="2">
        <f ca="1"/>
        <v>36.14842024223671</v>
      </c>
      <c r="AG9775" s="2">
        <f ca="1"/>
        <v>0.67373196750173414</v>
      </c>
      <c r="AH9775" s="2" t="str">
        <f ca="1"/>
        <v>Bad</v>
      </c>
    </row>
    <row r="9776" spans="2:34" x14ac:dyDescent="0.2">
      <c r="B9776" s="2">
        <f ca="1"/>
        <v>0.80581108777672328</v>
      </c>
      <c r="O9776" s="2">
        <f ca="1"/>
        <v>8.7316453510527161E-3</v>
      </c>
      <c r="X9776" s="2">
        <f ca="1"/>
        <v>56.249744131434973</v>
      </c>
      <c r="AG9776" s="2">
        <f ca="1"/>
        <v>0.17372237293872517</v>
      </c>
      <c r="AH9776" s="2" t="str">
        <f ca="1"/>
        <v>OK</v>
      </c>
    </row>
    <row r="9777" spans="2:34" x14ac:dyDescent="0.2">
      <c r="B9777" s="2">
        <f ca="1"/>
        <v>0.7499198632585391</v>
      </c>
      <c r="O9777" s="2">
        <f ca="1"/>
        <v>1.2353806007280268</v>
      </c>
      <c r="X9777" s="2">
        <f ca="1"/>
        <v>26.424843957724214</v>
      </c>
      <c r="AG9777" s="2">
        <f ca="1"/>
        <v>0.97571377391976633</v>
      </c>
      <c r="AH9777" s="2" t="str">
        <f ca="1"/>
        <v>Bad</v>
      </c>
    </row>
    <row r="9778" spans="2:34" x14ac:dyDescent="0.2">
      <c r="B9778" s="2">
        <f ca="1"/>
        <v>0.86732935488725782</v>
      </c>
      <c r="O9778" s="2">
        <f ca="1"/>
        <v>1.9495229028759729</v>
      </c>
      <c r="X9778" s="2">
        <f ca="1"/>
        <v>39.957253055375887</v>
      </c>
      <c r="AG9778" s="2">
        <f ca="1"/>
        <v>0.15001162968499338</v>
      </c>
      <c r="AH9778" s="2" t="str">
        <f ca="1"/>
        <v>OK</v>
      </c>
    </row>
    <row r="9779" spans="2:34" x14ac:dyDescent="0.2">
      <c r="B9779" s="2">
        <f ca="1"/>
        <v>0.44779671008797028</v>
      </c>
      <c r="O9779" s="2">
        <f ca="1"/>
        <v>0.98901424916406688</v>
      </c>
      <c r="X9779" s="2">
        <f ca="1"/>
        <v>58.072913708083988</v>
      </c>
      <c r="AG9779" s="2">
        <f ca="1"/>
        <v>0.67042628187138509</v>
      </c>
      <c r="AH9779" s="2" t="str">
        <f ca="1"/>
        <v>Bad</v>
      </c>
    </row>
    <row r="9780" spans="2:34" x14ac:dyDescent="0.2">
      <c r="B9780" s="2">
        <f ca="1"/>
        <v>0.75355201787230541</v>
      </c>
      <c r="O9780" s="2">
        <f ca="1"/>
        <v>-0.26353104762564039</v>
      </c>
      <c r="X9780" s="2">
        <f ca="1"/>
        <v>47.104541961245687</v>
      </c>
      <c r="AG9780" s="2">
        <f ca="1"/>
        <v>0.92172928463789416</v>
      </c>
      <c r="AH9780" s="2" t="str">
        <f ca="1"/>
        <v>Bad</v>
      </c>
    </row>
    <row r="9781" spans="2:34" x14ac:dyDescent="0.2">
      <c r="B9781" s="2">
        <f ca="1"/>
        <v>0.28158597317323686</v>
      </c>
      <c r="O9781" s="2">
        <f ca="1"/>
        <v>0.42317044044753899</v>
      </c>
      <c r="X9781" s="2">
        <f ca="1"/>
        <v>19.366919728100516</v>
      </c>
      <c r="AG9781" s="2">
        <f ca="1"/>
        <v>0.34387939784085453</v>
      </c>
      <c r="AH9781" s="2" t="str">
        <f ca="1"/>
        <v>OK</v>
      </c>
    </row>
    <row r="9782" spans="2:34" x14ac:dyDescent="0.2">
      <c r="B9782" s="2">
        <f ca="1"/>
        <v>0.24655275864958215</v>
      </c>
      <c r="O9782" s="2">
        <f ca="1"/>
        <v>-1.3185558800191624</v>
      </c>
      <c r="X9782" s="2">
        <f ca="1"/>
        <v>28.925117272999152</v>
      </c>
      <c r="AG9782" s="2">
        <f ca="1"/>
        <v>8.7516620651669319E-2</v>
      </c>
      <c r="AH9782" s="2" t="str">
        <f ca="1"/>
        <v>OK</v>
      </c>
    </row>
    <row r="9783" spans="2:34" x14ac:dyDescent="0.2">
      <c r="B9783" s="2">
        <f ca="1"/>
        <v>0.50138656644624047</v>
      </c>
      <c r="O9783" s="2">
        <f ca="1"/>
        <v>0.27434720485709291</v>
      </c>
      <c r="X9783" s="2">
        <f ca="1"/>
        <v>44.215281262783378</v>
      </c>
      <c r="AG9783" s="2">
        <f ca="1"/>
        <v>0.5207435166175054</v>
      </c>
      <c r="AH9783" s="2" t="str">
        <f ca="1"/>
        <v>Bad</v>
      </c>
    </row>
    <row r="9784" spans="2:34" x14ac:dyDescent="0.2">
      <c r="B9784" s="2">
        <f ca="1"/>
        <v>0.98942549007794511</v>
      </c>
      <c r="O9784" s="2">
        <f ca="1"/>
        <v>0.27474793459343655</v>
      </c>
      <c r="X9784" s="2">
        <f ca="1"/>
        <v>69.77929503155957</v>
      </c>
      <c r="AG9784" s="2">
        <f ca="1"/>
        <v>0.48453968460254249</v>
      </c>
      <c r="AH9784" s="2" t="str">
        <f ca="1"/>
        <v>Bad</v>
      </c>
    </row>
    <row r="9785" spans="2:34" x14ac:dyDescent="0.2">
      <c r="B9785" s="2">
        <f ca="1"/>
        <v>0.16370705103197691</v>
      </c>
      <c r="O9785" s="2">
        <f ca="1"/>
        <v>0.3517314593155258</v>
      </c>
      <c r="X9785" s="2">
        <f ca="1"/>
        <v>37.498524699630337</v>
      </c>
      <c r="AG9785" s="2">
        <f ca="1"/>
        <v>0.23450510204695751</v>
      </c>
      <c r="AH9785" s="2" t="str">
        <f ca="1"/>
        <v>OK</v>
      </c>
    </row>
    <row r="9786" spans="2:34" x14ac:dyDescent="0.2">
      <c r="B9786" s="2">
        <f ca="1"/>
        <v>0.62313136386851986</v>
      </c>
      <c r="O9786" s="2">
        <f ca="1"/>
        <v>0.63900857340608386</v>
      </c>
      <c r="X9786" s="2">
        <f ca="1"/>
        <v>70.453878685522099</v>
      </c>
      <c r="AG9786" s="2">
        <f ca="1"/>
        <v>7.0361758501532368E-2</v>
      </c>
      <c r="AH9786" s="2" t="str">
        <f ca="1"/>
        <v>OK</v>
      </c>
    </row>
    <row r="9787" spans="2:34" x14ac:dyDescent="0.2">
      <c r="B9787" s="2">
        <f ca="1"/>
        <v>0.73514767816518156</v>
      </c>
      <c r="O9787" s="2">
        <f ca="1"/>
        <v>0.22987366445696505</v>
      </c>
      <c r="X9787" s="2">
        <f ca="1"/>
        <v>48.584193466616476</v>
      </c>
      <c r="AG9787" s="2">
        <f ca="1"/>
        <v>0.30480399710814332</v>
      </c>
      <c r="AH9787" s="2" t="str">
        <f ca="1"/>
        <v>OK</v>
      </c>
    </row>
    <row r="9788" spans="2:34" x14ac:dyDescent="0.2">
      <c r="B9788" s="2">
        <f ca="1"/>
        <v>0.61265382647879796</v>
      </c>
      <c r="O9788" s="2">
        <f ca="1"/>
        <v>1.6541788841557346</v>
      </c>
      <c r="X9788" s="2">
        <f ca="1"/>
        <v>16.664103387336144</v>
      </c>
      <c r="AG9788" s="2">
        <f ca="1"/>
        <v>0.49929669944297372</v>
      </c>
      <c r="AH9788" s="2" t="str">
        <f ca="1"/>
        <v>Bad</v>
      </c>
    </row>
    <row r="9789" spans="2:34" x14ac:dyDescent="0.2">
      <c r="B9789" s="2">
        <f ca="1"/>
        <v>0.29963733215583543</v>
      </c>
      <c r="O9789" s="2">
        <f ca="1"/>
        <v>-1.9258478460534636</v>
      </c>
      <c r="X9789" s="2">
        <f ca="1"/>
        <v>43.38613504321178</v>
      </c>
      <c r="AG9789" s="2">
        <f ca="1"/>
        <v>0.87975079493285202</v>
      </c>
      <c r="AH9789" s="2" t="str">
        <f ca="1"/>
        <v>Bad</v>
      </c>
    </row>
    <row r="9790" spans="2:34" x14ac:dyDescent="0.2">
      <c r="B9790" s="2">
        <f ca="1"/>
        <v>0.48760738895662215</v>
      </c>
      <c r="O9790" s="2">
        <f ca="1"/>
        <v>-1.0241723391620445</v>
      </c>
      <c r="X9790" s="2">
        <f ca="1"/>
        <v>51.325886809155335</v>
      </c>
      <c r="AG9790" s="2">
        <f ca="1"/>
        <v>0.60008553562716593</v>
      </c>
      <c r="AH9790" s="2" t="str">
        <f ca="1"/>
        <v>Bad</v>
      </c>
    </row>
    <row r="9791" spans="2:34" x14ac:dyDescent="0.2">
      <c r="B9791" s="2">
        <f ca="1"/>
        <v>0.35733421123483211</v>
      </c>
      <c r="O9791" s="2">
        <f ca="1"/>
        <v>-2.0178970049958522</v>
      </c>
      <c r="X9791" s="2">
        <f ca="1"/>
        <v>62.490816082153131</v>
      </c>
      <c r="AG9791" s="2">
        <f ca="1"/>
        <v>9.396223728900388E-2</v>
      </c>
      <c r="AH9791" s="2" t="str">
        <f ca="1"/>
        <v>OK</v>
      </c>
    </row>
    <row r="9792" spans="2:34" x14ac:dyDescent="0.2">
      <c r="B9792" s="2">
        <f ca="1"/>
        <v>0.91887867859552519</v>
      </c>
      <c r="O9792" s="2">
        <f ca="1"/>
        <v>1.2525489531329246</v>
      </c>
      <c r="X9792" s="2">
        <f ca="1"/>
        <v>60.007237782852599</v>
      </c>
      <c r="AG9792" s="2">
        <f ca="1"/>
        <v>0.26121647543465709</v>
      </c>
      <c r="AH9792" s="2" t="str">
        <f ca="1"/>
        <v>OK</v>
      </c>
    </row>
    <row r="9793" spans="2:34" x14ac:dyDescent="0.2">
      <c r="B9793" s="2">
        <f ca="1"/>
        <v>8.601747625513223E-2</v>
      </c>
      <c r="O9793" s="2">
        <f ca="1"/>
        <v>0.89678112863433657</v>
      </c>
      <c r="X9793" s="2">
        <f ca="1"/>
        <v>44.996271757974171</v>
      </c>
      <c r="AG9793" s="2">
        <f ca="1"/>
        <v>0.74206169592689819</v>
      </c>
      <c r="AH9793" s="2" t="str">
        <f ca="1"/>
        <v>Bad</v>
      </c>
    </row>
    <row r="9794" spans="2:34" x14ac:dyDescent="0.2">
      <c r="B9794" s="2">
        <f ca="1"/>
        <v>0.60276031747684922</v>
      </c>
      <c r="O9794" s="2">
        <f ca="1"/>
        <v>0.8252451687693193</v>
      </c>
      <c r="X9794" s="2">
        <f ca="1"/>
        <v>33.890560667098569</v>
      </c>
      <c r="AG9794" s="2">
        <f ca="1"/>
        <v>0.23585182381912118</v>
      </c>
      <c r="AH9794" s="2" t="str">
        <f ca="1"/>
        <v>OK</v>
      </c>
    </row>
    <row r="9795" spans="2:34" x14ac:dyDescent="0.2">
      <c r="B9795" s="2">
        <f ca="1"/>
        <v>4.9321732750839509E-2</v>
      </c>
      <c r="O9795" s="2">
        <f ca="1"/>
        <v>7.6317544282796052E-2</v>
      </c>
      <c r="X9795" s="2">
        <f ca="1"/>
        <v>43.574163323841326</v>
      </c>
      <c r="AG9795" s="2">
        <f ca="1"/>
        <v>1.6476685300254701E-2</v>
      </c>
      <c r="AH9795" s="2" t="str">
        <f ca="1"/>
        <v>Good</v>
      </c>
    </row>
    <row r="9796" spans="2:34" x14ac:dyDescent="0.2">
      <c r="B9796" s="2">
        <f ca="1"/>
        <v>0.65629549077526739</v>
      </c>
      <c r="O9796" s="2">
        <f ca="1"/>
        <v>3.7060878109932034E-2</v>
      </c>
      <c r="X9796" s="2">
        <f ca="1"/>
        <v>53.278261672236155</v>
      </c>
      <c r="AG9796" s="2">
        <f ca="1"/>
        <v>0.49885405281541551</v>
      </c>
      <c r="AH9796" s="2" t="str">
        <f ca="1"/>
        <v>Bad</v>
      </c>
    </row>
    <row r="9797" spans="2:34" x14ac:dyDescent="0.2">
      <c r="B9797" s="2">
        <f ca="1"/>
        <v>0.5871800347452576</v>
      </c>
      <c r="O9797" s="2">
        <f ca="1"/>
        <v>8.2095907859829509E-2</v>
      </c>
      <c r="X9797" s="2">
        <f ca="1"/>
        <v>62.390140957072816</v>
      </c>
      <c r="AG9797" s="2">
        <f ca="1"/>
        <v>1.875924995556022E-2</v>
      </c>
      <c r="AH9797" s="2" t="str">
        <f ca="1"/>
        <v>Good</v>
      </c>
    </row>
    <row r="9798" spans="2:34" x14ac:dyDescent="0.2">
      <c r="B9798" s="2">
        <f ca="1"/>
        <v>0.20239907777426813</v>
      </c>
      <c r="O9798" s="2">
        <f ca="1"/>
        <v>-0.48191343026469363</v>
      </c>
      <c r="X9798" s="2">
        <f ca="1"/>
        <v>48.557455184783258</v>
      </c>
      <c r="AG9798" s="2">
        <f ca="1"/>
        <v>0.95889193011987017</v>
      </c>
      <c r="AH9798" s="2" t="str">
        <f ca="1"/>
        <v>Bad</v>
      </c>
    </row>
    <row r="9799" spans="2:34" x14ac:dyDescent="0.2">
      <c r="B9799" s="2">
        <f ca="1"/>
        <v>0.90308502746631714</v>
      </c>
      <c r="O9799" s="2">
        <f ca="1"/>
        <v>0.12301320416723534</v>
      </c>
      <c r="X9799" s="2">
        <f ca="1"/>
        <v>50.211591203205444</v>
      </c>
      <c r="AG9799" s="2">
        <f ca="1"/>
        <v>2.7474120813927527E-2</v>
      </c>
      <c r="AH9799" s="2" t="str">
        <f ca="1"/>
        <v>Good</v>
      </c>
    </row>
    <row r="9800" spans="2:34" x14ac:dyDescent="0.2">
      <c r="B9800" s="2">
        <f ca="1"/>
        <v>0.64324347978369767</v>
      </c>
      <c r="O9800" s="2">
        <f ca="1"/>
        <v>-1.436936506572972</v>
      </c>
      <c r="X9800" s="2">
        <f ca="1"/>
        <v>54.081839704420446</v>
      </c>
      <c r="AG9800" s="2">
        <f ca="1"/>
        <v>0.32734541057730038</v>
      </c>
      <c r="AH9800" s="2" t="str">
        <f ca="1"/>
        <v>OK</v>
      </c>
    </row>
    <row r="9801" spans="2:34" x14ac:dyDescent="0.2">
      <c r="B9801" s="2">
        <f ca="1"/>
        <v>0.39767213362330001</v>
      </c>
      <c r="O9801" s="2">
        <f ca="1"/>
        <v>-3.9296217172303236E-2</v>
      </c>
      <c r="X9801" s="2">
        <f ca="1"/>
        <v>31.189480528637556</v>
      </c>
      <c r="AG9801" s="2">
        <f ca="1"/>
        <v>0.5217113973485461</v>
      </c>
      <c r="AH9801" s="2" t="str">
        <f ca="1"/>
        <v>Bad</v>
      </c>
    </row>
    <row r="9802" spans="2:34" x14ac:dyDescent="0.2">
      <c r="B9802" s="2">
        <f ca="1"/>
        <v>0.5149633462651555</v>
      </c>
      <c r="O9802" s="2">
        <f ca="1"/>
        <v>-0.60558106953108037</v>
      </c>
      <c r="X9802" s="2">
        <f ca="1"/>
        <v>67.118949564330961</v>
      </c>
      <c r="AG9802" s="2">
        <f ca="1"/>
        <v>0.7682784619299603</v>
      </c>
      <c r="AH9802" s="2" t="str">
        <f ca="1"/>
        <v>Bad</v>
      </c>
    </row>
    <row r="9803" spans="2:34" x14ac:dyDescent="0.2">
      <c r="B9803" s="2">
        <f ca="1"/>
        <v>0.95822678435858233</v>
      </c>
      <c r="O9803" s="2">
        <f ca="1"/>
        <v>0.88274037661009475</v>
      </c>
      <c r="X9803" s="2">
        <f ca="1"/>
        <v>51.583929142738967</v>
      </c>
      <c r="AG9803" s="2">
        <f ca="1"/>
        <v>0.92610053695673877</v>
      </c>
      <c r="AH9803" s="2" t="str">
        <f ca="1"/>
        <v>Bad</v>
      </c>
    </row>
    <row r="9804" spans="2:34" x14ac:dyDescent="0.2">
      <c r="B9804" s="2">
        <f ca="1"/>
        <v>0.79019975987881752</v>
      </c>
      <c r="O9804" s="2">
        <f ca="1"/>
        <v>-0.29046802717202963</v>
      </c>
      <c r="X9804" s="2">
        <f ca="1"/>
        <v>50.862015666667489</v>
      </c>
      <c r="AG9804" s="2">
        <f ca="1"/>
        <v>0.46342069284628296</v>
      </c>
      <c r="AH9804" s="2" t="str">
        <f ca="1"/>
        <v>Bad</v>
      </c>
    </row>
    <row r="9805" spans="2:34" x14ac:dyDescent="0.2">
      <c r="B9805" s="2">
        <f ca="1"/>
        <v>0.4775301359227897</v>
      </c>
      <c r="O9805" s="2">
        <f ca="1"/>
        <v>-0.55894550435641777</v>
      </c>
      <c r="X9805" s="2">
        <f ca="1"/>
        <v>47.383238898766791</v>
      </c>
      <c r="AG9805" s="2">
        <f ca="1"/>
        <v>0.41127585008794476</v>
      </c>
      <c r="AH9805" s="2" t="str">
        <f ca="1"/>
        <v>Bad</v>
      </c>
    </row>
    <row r="9806" spans="2:34" x14ac:dyDescent="0.2">
      <c r="B9806" s="2">
        <f ca="1"/>
        <v>0.23185290288608273</v>
      </c>
      <c r="O9806" s="2">
        <f ca="1"/>
        <v>0.77304093774080418</v>
      </c>
      <c r="X9806" s="2">
        <f ca="1"/>
        <v>36.508776443858387</v>
      </c>
      <c r="AG9806" s="2">
        <f ca="1"/>
        <v>0.67735859792549546</v>
      </c>
      <c r="AH9806" s="2" t="str">
        <f ca="1"/>
        <v>Bad</v>
      </c>
    </row>
    <row r="9807" spans="2:34" x14ac:dyDescent="0.2">
      <c r="B9807" s="2">
        <f ca="1"/>
        <v>0.25641884202904097</v>
      </c>
      <c r="O9807" s="2">
        <f ca="1"/>
        <v>-1.0153670528488563</v>
      </c>
      <c r="X9807" s="2">
        <f ca="1"/>
        <v>55.075370448914526</v>
      </c>
      <c r="AG9807" s="2">
        <f ca="1"/>
        <v>0.77296382935495456</v>
      </c>
      <c r="AH9807" s="2" t="str">
        <f ca="1"/>
        <v>Bad</v>
      </c>
    </row>
    <row r="9808" spans="2:34" x14ac:dyDescent="0.2">
      <c r="B9808" s="2">
        <f ca="1"/>
        <v>0.76746395353722185</v>
      </c>
      <c r="O9808" s="2">
        <f ca="1"/>
        <v>-0.31444034861723974</v>
      </c>
      <c r="X9808" s="2">
        <f ca="1"/>
        <v>39.154988812013855</v>
      </c>
      <c r="AG9808" s="2">
        <f ca="1"/>
        <v>0.80023387962157377</v>
      </c>
      <c r="AH9808" s="2" t="str">
        <f ca="1"/>
        <v>Bad</v>
      </c>
    </row>
    <row r="9809" spans="2:34" x14ac:dyDescent="0.2">
      <c r="B9809" s="2">
        <f ca="1"/>
        <v>0.12842921635706794</v>
      </c>
      <c r="O9809" s="2">
        <f ca="1"/>
        <v>-0.86430606753149042</v>
      </c>
      <c r="X9809" s="2">
        <f ca="1"/>
        <v>51.249601703166803</v>
      </c>
      <c r="AG9809" s="2">
        <f ca="1"/>
        <v>0.16414390282093261</v>
      </c>
      <c r="AH9809" s="2" t="str">
        <f ca="1"/>
        <v>OK</v>
      </c>
    </row>
    <row r="9810" spans="2:34" x14ac:dyDescent="0.2">
      <c r="B9810" s="2">
        <f ca="1"/>
        <v>0.38361210812344804</v>
      </c>
      <c r="O9810" s="2">
        <f ca="1"/>
        <v>-0.35287378684194443</v>
      </c>
      <c r="X9810" s="2">
        <f ca="1"/>
        <v>48.9099564539748</v>
      </c>
      <c r="AG9810" s="2">
        <f ca="1"/>
        <v>0.27725589504679715</v>
      </c>
      <c r="AH9810" s="2" t="str">
        <f ca="1"/>
        <v>OK</v>
      </c>
    </row>
    <row r="9811" spans="2:34" x14ac:dyDescent="0.2">
      <c r="B9811" s="2">
        <f ca="1"/>
        <v>0.88048713788482735</v>
      </c>
      <c r="O9811" s="2">
        <f ca="1"/>
        <v>0.52159363421698501</v>
      </c>
      <c r="X9811" s="2">
        <f ca="1"/>
        <v>56.668455328068262</v>
      </c>
      <c r="AG9811" s="2">
        <f ca="1"/>
        <v>0.73712400787186616</v>
      </c>
      <c r="AH9811" s="2" t="str">
        <f ca="1"/>
        <v>Bad</v>
      </c>
    </row>
    <row r="9812" spans="2:34" x14ac:dyDescent="0.2">
      <c r="B9812" s="2">
        <f ca="1"/>
        <v>0.39058276750691867</v>
      </c>
      <c r="O9812" s="2">
        <f ca="1"/>
        <v>1.015779894251575</v>
      </c>
      <c r="X9812" s="2">
        <f ca="1"/>
        <v>66.032848394674886</v>
      </c>
      <c r="AG9812" s="2">
        <f ca="1"/>
        <v>0.8846982223075408</v>
      </c>
      <c r="AH9812" s="2" t="str">
        <f ca="1"/>
        <v>Bad</v>
      </c>
    </row>
    <row r="9813" spans="2:34" x14ac:dyDescent="0.2">
      <c r="B9813" s="2">
        <f ca="1"/>
        <v>0.18552242071133884</v>
      </c>
      <c r="O9813" s="2">
        <f ca="1"/>
        <v>0.87913248653154386</v>
      </c>
      <c r="X9813" s="2">
        <f ca="1"/>
        <v>46.055747511242089</v>
      </c>
      <c r="AG9813" s="2">
        <f ca="1"/>
        <v>0.76271604661587156</v>
      </c>
      <c r="AH9813" s="2" t="str">
        <f ca="1"/>
        <v>Bad</v>
      </c>
    </row>
    <row r="9814" spans="2:34" x14ac:dyDescent="0.2">
      <c r="B9814" s="2">
        <f ca="1"/>
        <v>0.84331927676043095</v>
      </c>
      <c r="O9814" s="2">
        <f ca="1"/>
        <v>-0.28482604231008274</v>
      </c>
      <c r="X9814" s="2">
        <f ca="1"/>
        <v>23.504912751561701</v>
      </c>
      <c r="AG9814" s="2">
        <f ca="1"/>
        <v>0.14903328955114326</v>
      </c>
      <c r="AH9814" s="2" t="str">
        <f ca="1"/>
        <v>OK</v>
      </c>
    </row>
    <row r="9815" spans="2:34" x14ac:dyDescent="0.2">
      <c r="B9815" s="2">
        <f ca="1"/>
        <v>0.70131923196397716</v>
      </c>
      <c r="O9815" s="2">
        <f ca="1"/>
        <v>-3.1390679004197689E-2</v>
      </c>
      <c r="X9815" s="2">
        <f ca="1"/>
        <v>42.113116512772876</v>
      </c>
      <c r="AG9815" s="2">
        <f ca="1"/>
        <v>0.68058431303808709</v>
      </c>
      <c r="AH9815" s="2" t="str">
        <f ca="1"/>
        <v>Bad</v>
      </c>
    </row>
    <row r="9816" spans="2:34" x14ac:dyDescent="0.2">
      <c r="B9816" s="2">
        <f ca="1"/>
        <v>0.55311588431417569</v>
      </c>
      <c r="O9816" s="2">
        <f ca="1"/>
        <v>0.61034273985694587</v>
      </c>
      <c r="X9816" s="2">
        <f ca="1"/>
        <v>31.91903047353815</v>
      </c>
      <c r="AG9816" s="2">
        <f ca="1"/>
        <v>0.16759439641138929</v>
      </c>
      <c r="AH9816" s="2" t="str">
        <f ca="1"/>
        <v>OK</v>
      </c>
    </row>
    <row r="9817" spans="2:34" x14ac:dyDescent="0.2">
      <c r="B9817" s="2">
        <f ca="1"/>
        <v>0.39560175615476134</v>
      </c>
      <c r="O9817" s="2">
        <f ca="1"/>
        <v>-1.4446688812393687</v>
      </c>
      <c r="X9817" s="2">
        <f ca="1"/>
        <v>48.484128294034534</v>
      </c>
      <c r="AG9817" s="2">
        <f ca="1"/>
        <v>0.75654065163917106</v>
      </c>
      <c r="AH9817" s="2" t="str">
        <f ca="1"/>
        <v>Bad</v>
      </c>
    </row>
    <row r="9818" spans="2:34" x14ac:dyDescent="0.2">
      <c r="B9818" s="2">
        <f ca="1"/>
        <v>0.16410293292112255</v>
      </c>
      <c r="O9818" s="2">
        <f ca="1"/>
        <v>0.88088326891851509</v>
      </c>
      <c r="X9818" s="2">
        <f ca="1"/>
        <v>65.128228955537665</v>
      </c>
      <c r="AG9818" s="2">
        <f ca="1"/>
        <v>0.11000857738743552</v>
      </c>
      <c r="AH9818" s="2" t="str">
        <f ca="1"/>
        <v>OK</v>
      </c>
    </row>
    <row r="9819" spans="2:34" x14ac:dyDescent="0.2">
      <c r="B9819" s="2">
        <f ca="1"/>
        <v>0.10024372291756722</v>
      </c>
      <c r="O9819" s="2">
        <f ca="1"/>
        <v>7.9760136259741585E-2</v>
      </c>
      <c r="X9819" s="2">
        <f ca="1"/>
        <v>66.31211024381895</v>
      </c>
      <c r="AG9819" s="2">
        <f ca="1"/>
        <v>0.32062431204009401</v>
      </c>
      <c r="AH9819" s="2" t="str">
        <f ca="1"/>
        <v>OK</v>
      </c>
    </row>
    <row r="9820" spans="2:34" x14ac:dyDescent="0.2">
      <c r="B9820" s="2">
        <f ca="1"/>
        <v>0.20952641594688637</v>
      </c>
      <c r="O9820" s="2">
        <f ca="1"/>
        <v>-0.80883599500269265</v>
      </c>
      <c r="X9820" s="2">
        <f ca="1"/>
        <v>56.725981054142672</v>
      </c>
      <c r="AG9820" s="2">
        <f ca="1"/>
        <v>0.27868188469089694</v>
      </c>
      <c r="AH9820" s="2" t="str">
        <f ca="1"/>
        <v>OK</v>
      </c>
    </row>
    <row r="9821" spans="2:34" x14ac:dyDescent="0.2">
      <c r="B9821" s="2">
        <f ca="1"/>
        <v>0.15257284671305738</v>
      </c>
      <c r="O9821" s="2">
        <f ca="1"/>
        <v>1.9889989190173605</v>
      </c>
      <c r="X9821" s="2">
        <f ca="1"/>
        <v>69.800912110724937</v>
      </c>
      <c r="AG9821" s="2">
        <f ca="1"/>
        <v>9.1771038687779694E-2</v>
      </c>
      <c r="AH9821" s="2" t="str">
        <f ca="1"/>
        <v>OK</v>
      </c>
    </row>
    <row r="9822" spans="2:34" x14ac:dyDescent="0.2">
      <c r="B9822" s="2">
        <f ca="1"/>
        <v>2.2913148263924432E-2</v>
      </c>
      <c r="O9822" s="2">
        <f ca="1"/>
        <v>0.82960122155618721</v>
      </c>
      <c r="X9822" s="2">
        <f ca="1"/>
        <v>107.91624741597241</v>
      </c>
      <c r="AG9822" s="2">
        <f ca="1"/>
        <v>0.95961345300020495</v>
      </c>
      <c r="AH9822" s="2" t="str">
        <f ca="1"/>
        <v>Bad</v>
      </c>
    </row>
    <row r="9823" spans="2:34" x14ac:dyDescent="0.2">
      <c r="B9823" s="2">
        <f ca="1"/>
        <v>0.11376544885690043</v>
      </c>
      <c r="O9823" s="2">
        <f ca="1"/>
        <v>-0.65539209794588071</v>
      </c>
      <c r="X9823" s="2">
        <f ca="1"/>
        <v>47.553073164484204</v>
      </c>
      <c r="AG9823" s="2">
        <f ca="1"/>
        <v>0.26476596725241053</v>
      </c>
      <c r="AH9823" s="2" t="str">
        <f ca="1"/>
        <v>OK</v>
      </c>
    </row>
    <row r="9824" spans="2:34" x14ac:dyDescent="0.2">
      <c r="B9824" s="2">
        <f ca="1"/>
        <v>0.3346941762438076</v>
      </c>
      <c r="O9824" s="2">
        <f ca="1"/>
        <v>0.84439145272389426</v>
      </c>
      <c r="X9824" s="2">
        <f ca="1"/>
        <v>42.986395023566573</v>
      </c>
      <c r="AG9824" s="2">
        <f ca="1"/>
        <v>0.77197639767500692</v>
      </c>
      <c r="AH9824" s="2" t="str">
        <f ca="1"/>
        <v>Bad</v>
      </c>
    </row>
    <row r="9825" spans="2:34" x14ac:dyDescent="0.2">
      <c r="B9825" s="2">
        <f ca="1"/>
        <v>0.53288747442725493</v>
      </c>
      <c r="O9825" s="2">
        <f ca="1"/>
        <v>1.5444236160803402</v>
      </c>
      <c r="X9825" s="2">
        <f ca="1"/>
        <v>76.113127047857091</v>
      </c>
      <c r="AG9825" s="2">
        <f ca="1"/>
        <v>0.9194965193102278</v>
      </c>
      <c r="AH9825" s="2" t="str">
        <f ca="1"/>
        <v>Bad</v>
      </c>
    </row>
    <row r="9826" spans="2:34" x14ac:dyDescent="0.2">
      <c r="B9826" s="2">
        <f ca="1"/>
        <v>0.24947208109513297</v>
      </c>
      <c r="O9826" s="2">
        <f ca="1"/>
        <v>9.4306164197886261E-2</v>
      </c>
      <c r="X9826" s="2">
        <f ca="1"/>
        <v>50.62694846706205</v>
      </c>
      <c r="AG9826" s="2">
        <f ca="1"/>
        <v>0.47624031596755101</v>
      </c>
      <c r="AH9826" s="2" t="str">
        <f ca="1"/>
        <v>Bad</v>
      </c>
    </row>
    <row r="9827" spans="2:34" x14ac:dyDescent="0.2">
      <c r="B9827" s="2">
        <f ca="1"/>
        <v>0.13810568560450487</v>
      </c>
      <c r="O9827" s="2">
        <f ca="1"/>
        <v>-0.55403948471343356</v>
      </c>
      <c r="X9827" s="2">
        <f ca="1"/>
        <v>47.395463149222685</v>
      </c>
      <c r="AG9827" s="2">
        <f ca="1"/>
        <v>0.31752637038840503</v>
      </c>
      <c r="AH9827" s="2" t="str">
        <f ca="1"/>
        <v>OK</v>
      </c>
    </row>
    <row r="9828" spans="2:34" x14ac:dyDescent="0.2">
      <c r="B9828" s="2">
        <f ca="1"/>
        <v>0.10789041545907563</v>
      </c>
      <c r="O9828" s="2">
        <f ca="1"/>
        <v>8.1464775734292297E-2</v>
      </c>
      <c r="X9828" s="2">
        <f ca="1"/>
        <v>56.73484689205479</v>
      </c>
      <c r="AG9828" s="2">
        <f ca="1"/>
        <v>0.41556942379414075</v>
      </c>
      <c r="AH9828" s="2" t="str">
        <f ca="1"/>
        <v>Bad</v>
      </c>
    </row>
    <row r="9829" spans="2:34" x14ac:dyDescent="0.2">
      <c r="B9829" s="2">
        <f ca="1"/>
        <v>0.75639191670549843</v>
      </c>
      <c r="O9829" s="2">
        <f ca="1"/>
        <v>-1.5538936931468736</v>
      </c>
      <c r="X9829" s="2">
        <f ca="1"/>
        <v>69.521704436241208</v>
      </c>
      <c r="AG9829" s="2">
        <f ca="1"/>
        <v>0.33961813906960869</v>
      </c>
      <c r="AH9829" s="2" t="str">
        <f ca="1"/>
        <v>OK</v>
      </c>
    </row>
    <row r="9830" spans="2:34" x14ac:dyDescent="0.2">
      <c r="B9830" s="2">
        <f ca="1"/>
        <v>0.73236790239820215</v>
      </c>
      <c r="O9830" s="2">
        <f ca="1"/>
        <v>-0.21166236175374706</v>
      </c>
      <c r="X9830" s="2">
        <f ca="1"/>
        <v>51.892426641216261</v>
      </c>
      <c r="AG9830" s="2">
        <f ca="1"/>
        <v>0.98147786705452855</v>
      </c>
      <c r="AH9830" s="2" t="str">
        <f ca="1"/>
        <v>Bad</v>
      </c>
    </row>
    <row r="9831" spans="2:34" x14ac:dyDescent="0.2">
      <c r="B9831" s="2">
        <f ca="1"/>
        <v>0.38364693681587192</v>
      </c>
      <c r="O9831" s="2">
        <f ca="1"/>
        <v>-6.6043905263789754E-2</v>
      </c>
      <c r="X9831" s="2">
        <f ca="1"/>
        <v>37.052608614175071</v>
      </c>
      <c r="AG9831" s="2">
        <f ca="1"/>
        <v>0.31286730894373171</v>
      </c>
      <c r="AH9831" s="2" t="str">
        <f ca="1"/>
        <v>OK</v>
      </c>
    </row>
    <row r="9832" spans="2:34" x14ac:dyDescent="0.2">
      <c r="B9832" s="2">
        <f ca="1"/>
        <v>0.62615630250381993</v>
      </c>
      <c r="O9832" s="2">
        <f ca="1"/>
        <v>-0.41457197293974885</v>
      </c>
      <c r="X9832" s="2">
        <f ca="1"/>
        <v>68.6901111579717</v>
      </c>
      <c r="AG9832" s="2">
        <f ca="1"/>
        <v>0.99661558349084833</v>
      </c>
      <c r="AH9832" s="2" t="str">
        <f ca="1"/>
        <v>Bad</v>
      </c>
    </row>
    <row r="9833" spans="2:34" x14ac:dyDescent="0.2">
      <c r="B9833" s="2">
        <f ca="1"/>
        <v>0.9795702506919437</v>
      </c>
      <c r="O9833" s="2">
        <f ca="1"/>
        <v>1.230914224833614</v>
      </c>
      <c r="X9833" s="2">
        <f ca="1"/>
        <v>55.12551450854329</v>
      </c>
      <c r="AG9833" s="2">
        <f ca="1"/>
        <v>0.31021139005065357</v>
      </c>
      <c r="AH9833" s="2" t="str">
        <f ca="1"/>
        <v>OK</v>
      </c>
    </row>
    <row r="9834" spans="2:34" x14ac:dyDescent="0.2">
      <c r="B9834" s="2">
        <f ca="1"/>
        <v>5.3743436236224573E-2</v>
      </c>
      <c r="O9834" s="2">
        <f ca="1"/>
        <v>-0.60816241637854807</v>
      </c>
      <c r="X9834" s="2">
        <f ca="1"/>
        <v>56.271747633660638</v>
      </c>
      <c r="AG9834" s="2">
        <f ca="1"/>
        <v>0.89318386278763073</v>
      </c>
      <c r="AH9834" s="2" t="str">
        <f ca="1"/>
        <v>Bad</v>
      </c>
    </row>
    <row r="9835" spans="2:34" x14ac:dyDescent="0.2">
      <c r="B9835" s="2">
        <f ca="1"/>
        <v>0.44779415759221619</v>
      </c>
      <c r="O9835" s="2">
        <f ca="1"/>
        <v>0.37766940987984554</v>
      </c>
      <c r="X9835" s="2">
        <f ca="1"/>
        <v>37.455170637452156</v>
      </c>
      <c r="AG9835" s="2">
        <f ca="1"/>
        <v>0.77681029451994421</v>
      </c>
      <c r="AH9835" s="2" t="str">
        <f ca="1"/>
        <v>Bad</v>
      </c>
    </row>
    <row r="9836" spans="2:34" x14ac:dyDescent="0.2">
      <c r="B9836" s="2">
        <f ca="1"/>
        <v>0.64375312341535595</v>
      </c>
      <c r="O9836" s="2">
        <f ca="1"/>
        <v>1.2220808175355886</v>
      </c>
      <c r="X9836" s="2">
        <f ca="1"/>
        <v>46.021976510609022</v>
      </c>
      <c r="AG9836" s="2">
        <f ca="1"/>
        <v>0.75836457321513873</v>
      </c>
      <c r="AH9836" s="2" t="str">
        <f ca="1"/>
        <v>Bad</v>
      </c>
    </row>
    <row r="9837" spans="2:34" x14ac:dyDescent="0.2">
      <c r="B9837" s="2">
        <f ca="1"/>
        <v>0.28205956868289461</v>
      </c>
      <c r="O9837" s="2">
        <f ca="1"/>
        <v>0.3547674242805075</v>
      </c>
      <c r="X9837" s="2">
        <f ca="1"/>
        <v>38.992025308364688</v>
      </c>
      <c r="AG9837" s="2">
        <f ca="1"/>
        <v>0.90232662159088028</v>
      </c>
      <c r="AH9837" s="2" t="str">
        <f ca="1"/>
        <v>Bad</v>
      </c>
    </row>
    <row r="9838" spans="2:34" x14ac:dyDescent="0.2">
      <c r="B9838" s="2">
        <f ca="1"/>
        <v>0.83957238323033745</v>
      </c>
      <c r="O9838" s="2">
        <f ca="1"/>
        <v>7.3321026199603456E-2</v>
      </c>
      <c r="X9838" s="2">
        <f ca="1"/>
        <v>80.373975828683712</v>
      </c>
      <c r="AG9838" s="2">
        <f ca="1"/>
        <v>0.54140263027308211</v>
      </c>
      <c r="AH9838" s="2" t="str">
        <f ca="1"/>
        <v>Bad</v>
      </c>
    </row>
    <row r="9839" spans="2:34" x14ac:dyDescent="0.2">
      <c r="B9839" s="2">
        <f ca="1"/>
        <v>0.48358434676567619</v>
      </c>
      <c r="O9839" s="2">
        <f ca="1"/>
        <v>1.8569922645719417</v>
      </c>
      <c r="X9839" s="2">
        <f ca="1"/>
        <v>52.802360402797738</v>
      </c>
      <c r="AG9839" s="2">
        <f ca="1"/>
        <v>0.79126256104536519</v>
      </c>
      <c r="AH9839" s="2" t="str">
        <f ca="1"/>
        <v>Bad</v>
      </c>
    </row>
    <row r="9840" spans="2:34" x14ac:dyDescent="0.2">
      <c r="B9840" s="2">
        <f ca="1"/>
        <v>0.76096860014009526</v>
      </c>
      <c r="O9840" s="2">
        <f ca="1"/>
        <v>0.77198102426289528</v>
      </c>
      <c r="X9840" s="2">
        <f ca="1"/>
        <v>64.789292278902749</v>
      </c>
      <c r="AG9840" s="2">
        <f ca="1"/>
        <v>0.55263409486016934</v>
      </c>
      <c r="AH9840" s="2" t="str">
        <f ca="1"/>
        <v>Bad</v>
      </c>
    </row>
    <row r="9841" spans="2:34" x14ac:dyDescent="0.2">
      <c r="B9841" s="2">
        <f ca="1"/>
        <v>8.189608211145516E-2</v>
      </c>
      <c r="O9841" s="2">
        <f ca="1"/>
        <v>0.76580343440306886</v>
      </c>
      <c r="X9841" s="2">
        <f ca="1"/>
        <v>39.522720744981079</v>
      </c>
      <c r="AG9841" s="2">
        <f ca="1"/>
        <v>0.57048887662249537</v>
      </c>
      <c r="AH9841" s="2" t="str">
        <f ca="1"/>
        <v>Bad</v>
      </c>
    </row>
    <row r="9842" spans="2:34" x14ac:dyDescent="0.2">
      <c r="B9842" s="2">
        <f ca="1"/>
        <v>0.35183424278210684</v>
      </c>
      <c r="O9842" s="2">
        <f ca="1"/>
        <v>-2.4978263275791481</v>
      </c>
      <c r="X9842" s="2">
        <f ca="1"/>
        <v>40.408323584516232</v>
      </c>
      <c r="AG9842" s="2">
        <f ca="1"/>
        <v>0.89560515504493066</v>
      </c>
      <c r="AH9842" s="2" t="str">
        <f ca="1"/>
        <v>Bad</v>
      </c>
    </row>
    <row r="9843" spans="2:34" x14ac:dyDescent="0.2">
      <c r="B9843" s="2">
        <f ca="1"/>
        <v>0.64772852800748693</v>
      </c>
      <c r="O9843" s="2">
        <f ca="1"/>
        <v>2.1895963117963828</v>
      </c>
      <c r="X9843" s="2">
        <f ca="1"/>
        <v>47.090131744928755</v>
      </c>
      <c r="AG9843" s="2">
        <f ca="1"/>
        <v>0.26205789923978307</v>
      </c>
      <c r="AH9843" s="2" t="str">
        <f ca="1"/>
        <v>OK</v>
      </c>
    </row>
    <row r="9844" spans="2:34" x14ac:dyDescent="0.2">
      <c r="B9844" s="2">
        <f ca="1"/>
        <v>0.62062181771641312</v>
      </c>
      <c r="O9844" s="2">
        <f ca="1"/>
        <v>0.6496022768955988</v>
      </c>
      <c r="X9844" s="2">
        <f ca="1"/>
        <v>19.664615951182469</v>
      </c>
      <c r="AG9844" s="2">
        <f ca="1"/>
        <v>0.73610160311923312</v>
      </c>
      <c r="AH9844" s="2" t="str">
        <f ca="1"/>
        <v>Bad</v>
      </c>
    </row>
    <row r="9845" spans="2:34" x14ac:dyDescent="0.2">
      <c r="B9845" s="2">
        <f ca="1"/>
        <v>0.73887731519172606</v>
      </c>
      <c r="O9845" s="2">
        <f ca="1"/>
        <v>-1.1635850366359717</v>
      </c>
      <c r="X9845" s="2">
        <f ca="1"/>
        <v>43.585877295319676</v>
      </c>
      <c r="AG9845" s="2">
        <f ca="1"/>
        <v>0.73623752469510984</v>
      </c>
      <c r="AH9845" s="2" t="str">
        <f ca="1"/>
        <v>Bad</v>
      </c>
    </row>
    <row r="9846" spans="2:34" x14ac:dyDescent="0.2">
      <c r="B9846" s="2">
        <f ca="1"/>
        <v>1.5395010865887127E-2</v>
      </c>
      <c r="O9846" s="2">
        <f ca="1"/>
        <v>-1.5493166119913484</v>
      </c>
      <c r="X9846" s="2">
        <f ca="1"/>
        <v>53.556828328896358</v>
      </c>
      <c r="AG9846" s="2">
        <f ca="1"/>
        <v>0.22625295642284282</v>
      </c>
      <c r="AH9846" s="2" t="str">
        <f ca="1"/>
        <v>OK</v>
      </c>
    </row>
    <row r="9847" spans="2:34" x14ac:dyDescent="0.2">
      <c r="B9847" s="2">
        <f ca="1"/>
        <v>0.27702242733098847</v>
      </c>
      <c r="O9847" s="2">
        <f ca="1"/>
        <v>-0.15393847113083692</v>
      </c>
      <c r="X9847" s="2">
        <f ca="1"/>
        <v>75.629184805456831</v>
      </c>
      <c r="AG9847" s="2">
        <f ca="1"/>
        <v>0.32002526321533109</v>
      </c>
      <c r="AH9847" s="2" t="str">
        <f ca="1"/>
        <v>OK</v>
      </c>
    </row>
    <row r="9848" spans="2:34" x14ac:dyDescent="0.2">
      <c r="B9848" s="2">
        <f ca="1"/>
        <v>0.75085040369286027</v>
      </c>
      <c r="O9848" s="2">
        <f ca="1"/>
        <v>0.68181145980852365</v>
      </c>
      <c r="X9848" s="2">
        <f ca="1"/>
        <v>19.595266041028278</v>
      </c>
      <c r="AG9848" s="2">
        <f ca="1"/>
        <v>0.68983997881385917</v>
      </c>
      <c r="AH9848" s="2" t="str">
        <f ca="1"/>
        <v>Bad</v>
      </c>
    </row>
    <row r="9849" spans="2:34" x14ac:dyDescent="0.2">
      <c r="B9849" s="2">
        <f ca="1"/>
        <v>0.91934532647810729</v>
      </c>
      <c r="O9849" s="2">
        <f ca="1"/>
        <v>-1.9975374659727876</v>
      </c>
      <c r="X9849" s="2">
        <f ca="1"/>
        <v>36.493041130692475</v>
      </c>
      <c r="AG9849" s="2">
        <f ca="1"/>
        <v>0.56810161308324214</v>
      </c>
      <c r="AH9849" s="2" t="str">
        <f ca="1"/>
        <v>Bad</v>
      </c>
    </row>
    <row r="9850" spans="2:34" x14ac:dyDescent="0.2">
      <c r="B9850" s="2">
        <f ca="1"/>
        <v>0.91076550115936095</v>
      </c>
      <c r="O9850" s="2">
        <f ca="1"/>
        <v>0.71197089685760528</v>
      </c>
      <c r="X9850" s="2">
        <f ca="1"/>
        <v>40.732351799912074</v>
      </c>
      <c r="AG9850" s="2">
        <f ca="1"/>
        <v>0.19783433359468972</v>
      </c>
      <c r="AH9850" s="2" t="str">
        <f ca="1"/>
        <v>OK</v>
      </c>
    </row>
    <row r="9851" spans="2:34" x14ac:dyDescent="0.2">
      <c r="B9851" s="2">
        <f ca="1"/>
        <v>0.61684927873230633</v>
      </c>
      <c r="O9851" s="2">
        <f ca="1"/>
        <v>-0.28211007996320397</v>
      </c>
      <c r="X9851" s="2">
        <f ca="1"/>
        <v>57.59662552724464</v>
      </c>
      <c r="AG9851" s="2">
        <f ca="1"/>
        <v>0.82125694203316035</v>
      </c>
      <c r="AH9851" s="2" t="str">
        <f ca="1"/>
        <v>Bad</v>
      </c>
    </row>
    <row r="9852" spans="2:34" x14ac:dyDescent="0.2">
      <c r="B9852" s="2">
        <f ca="1"/>
        <v>0.33083434607621642</v>
      </c>
      <c r="O9852" s="2">
        <f ca="1"/>
        <v>-0.78975405031837764</v>
      </c>
      <c r="X9852" s="2">
        <f ca="1"/>
        <v>53.98972578010121</v>
      </c>
      <c r="AG9852" s="2">
        <f ca="1"/>
        <v>0.4565550688425204</v>
      </c>
      <c r="AH9852" s="2" t="str">
        <f ca="1"/>
        <v>Bad</v>
      </c>
    </row>
    <row r="9853" spans="2:34" x14ac:dyDescent="0.2">
      <c r="B9853" s="2">
        <f ca="1"/>
        <v>0.64033895266925733</v>
      </c>
      <c r="O9853" s="2">
        <f ca="1"/>
        <v>1.5051412151359671</v>
      </c>
      <c r="X9853" s="2">
        <f ca="1"/>
        <v>50.573877009613248</v>
      </c>
      <c r="AG9853" s="2">
        <f ca="1"/>
        <v>0.17791748567452537</v>
      </c>
      <c r="AH9853" s="2" t="str">
        <f ca="1"/>
        <v>OK</v>
      </c>
    </row>
    <row r="9854" spans="2:34" x14ac:dyDescent="0.2">
      <c r="B9854" s="2">
        <f ca="1"/>
        <v>0.69060753697381205</v>
      </c>
      <c r="O9854" s="2">
        <f ca="1"/>
        <v>-0.12860637477023473</v>
      </c>
      <c r="X9854" s="2">
        <f ca="1"/>
        <v>27.436967210968657</v>
      </c>
      <c r="AG9854" s="2">
        <f ca="1"/>
        <v>2.6056085437430765E-2</v>
      </c>
      <c r="AH9854" s="2" t="str">
        <f ca="1"/>
        <v>Good</v>
      </c>
    </row>
    <row r="9855" spans="2:34" x14ac:dyDescent="0.2">
      <c r="B9855" s="2">
        <f ca="1"/>
        <v>0.97821488727472183</v>
      </c>
      <c r="O9855" s="2">
        <f ca="1"/>
        <v>0.62207658005853161</v>
      </c>
      <c r="X9855" s="2">
        <f ca="1"/>
        <v>38.238293193330094</v>
      </c>
      <c r="AG9855" s="2">
        <f ca="1"/>
        <v>0.58466560026933356</v>
      </c>
      <c r="AH9855" s="2" t="str">
        <f ca="1"/>
        <v>Bad</v>
      </c>
    </row>
    <row r="9856" spans="2:34" x14ac:dyDescent="0.2">
      <c r="B9856" s="2">
        <f ca="1"/>
        <v>0.19100567565579896</v>
      </c>
      <c r="O9856" s="2">
        <f ca="1"/>
        <v>0.34362654481436017</v>
      </c>
      <c r="X9856" s="2">
        <f ca="1"/>
        <v>72.073471098152766</v>
      </c>
      <c r="AG9856" s="2">
        <f ca="1"/>
        <v>0.43869257639713832</v>
      </c>
      <c r="AH9856" s="2" t="str">
        <f ca="1"/>
        <v>Bad</v>
      </c>
    </row>
    <row r="9857" spans="2:34" x14ac:dyDescent="0.2">
      <c r="B9857" s="2">
        <f ca="1"/>
        <v>0.37993269722938505</v>
      </c>
      <c r="O9857" s="2">
        <f ca="1"/>
        <v>-1.7337703936654558</v>
      </c>
      <c r="X9857" s="2">
        <f ca="1"/>
        <v>66.297051469955449</v>
      </c>
      <c r="AG9857" s="2">
        <f ca="1"/>
        <v>0.56490800614447467</v>
      </c>
      <c r="AH9857" s="2" t="str">
        <f ca="1"/>
        <v>Bad</v>
      </c>
    </row>
    <row r="9858" spans="2:34" x14ac:dyDescent="0.2">
      <c r="B9858" s="2">
        <f ca="1"/>
        <v>0.35246628656047907</v>
      </c>
      <c r="O9858" s="2">
        <f ca="1"/>
        <v>0.55650812237848568</v>
      </c>
      <c r="X9858" s="2">
        <f ca="1"/>
        <v>43.855550726260702</v>
      </c>
      <c r="AG9858" s="2">
        <f ca="1"/>
        <v>0.75811546242015115</v>
      </c>
      <c r="AH9858" s="2" t="str">
        <f ca="1"/>
        <v>Bad</v>
      </c>
    </row>
    <row r="9859" spans="2:34" x14ac:dyDescent="0.2">
      <c r="B9859" s="2">
        <f ca="1"/>
        <v>0.7564645943395587</v>
      </c>
      <c r="O9859" s="2">
        <f ca="1"/>
        <v>0.95485392011751924</v>
      </c>
      <c r="X9859" s="2">
        <f ca="1"/>
        <v>22.513115182798188</v>
      </c>
      <c r="AG9859" s="2">
        <f ca="1"/>
        <v>0.12829848600491589</v>
      </c>
      <c r="AH9859" s="2" t="str">
        <f ca="1"/>
        <v>OK</v>
      </c>
    </row>
    <row r="9860" spans="2:34" x14ac:dyDescent="0.2">
      <c r="B9860" s="2">
        <f ca="1"/>
        <v>0.42741593063406591</v>
      </c>
      <c r="O9860" s="2">
        <f ca="1"/>
        <v>1.7823271713596887</v>
      </c>
      <c r="X9860" s="2">
        <f ca="1"/>
        <v>54.042993650506375</v>
      </c>
      <c r="AG9860" s="2">
        <f ca="1"/>
        <v>0.79299904874393579</v>
      </c>
      <c r="AH9860" s="2" t="str">
        <f ca="1"/>
        <v>Bad</v>
      </c>
    </row>
    <row r="9861" spans="2:34" x14ac:dyDescent="0.2">
      <c r="B9861" s="2">
        <f ca="1"/>
        <v>0.28429125428282931</v>
      </c>
      <c r="O9861" s="2">
        <f ca="1"/>
        <v>0.8992641904930383</v>
      </c>
      <c r="X9861" s="2">
        <f ca="1"/>
        <v>47.550533990327807</v>
      </c>
      <c r="AG9861" s="2">
        <f ca="1"/>
        <v>0.56982876632672808</v>
      </c>
      <c r="AH9861" s="2" t="str">
        <f ca="1"/>
        <v>Bad</v>
      </c>
    </row>
    <row r="9862" spans="2:34" x14ac:dyDescent="0.2">
      <c r="B9862" s="2">
        <f ca="1"/>
        <v>0.96667602727514712</v>
      </c>
      <c r="O9862" s="2">
        <f ca="1"/>
        <v>0.83430786084987019</v>
      </c>
      <c r="X9862" s="2">
        <f ca="1"/>
        <v>55.677230407427103</v>
      </c>
      <c r="AG9862" s="2">
        <f ca="1"/>
        <v>0.10152724544336644</v>
      </c>
      <c r="AH9862" s="2" t="str">
        <f ca="1"/>
        <v>OK</v>
      </c>
    </row>
    <row r="9863" spans="2:34" x14ac:dyDescent="0.2">
      <c r="B9863" s="2">
        <f ca="1"/>
        <v>0.56541316680482634</v>
      </c>
      <c r="O9863" s="2">
        <f ca="1"/>
        <v>-0.72004546228188882</v>
      </c>
      <c r="X9863" s="2">
        <f ca="1"/>
        <v>48.041441409294052</v>
      </c>
      <c r="AG9863" s="2">
        <f ca="1"/>
        <v>0.73428820074582601</v>
      </c>
      <c r="AH9863" s="2" t="str">
        <f ca="1"/>
        <v>Bad</v>
      </c>
    </row>
    <row r="9864" spans="2:34" x14ac:dyDescent="0.2">
      <c r="B9864" s="2">
        <f ca="1"/>
        <v>0.96180947850075516</v>
      </c>
      <c r="O9864" s="2">
        <f ca="1"/>
        <v>1.0325299325091231</v>
      </c>
      <c r="X9864" s="2">
        <f ca="1"/>
        <v>58.589114443532054</v>
      </c>
      <c r="AG9864" s="2">
        <f ca="1"/>
        <v>0.86105803543482318</v>
      </c>
      <c r="AH9864" s="2" t="str">
        <f ca="1"/>
        <v>Bad</v>
      </c>
    </row>
    <row r="9865" spans="2:34" x14ac:dyDescent="0.2">
      <c r="B9865" s="2">
        <f ca="1"/>
        <v>0.2042313347536544</v>
      </c>
      <c r="O9865" s="2">
        <f ca="1"/>
        <v>0.99242034481340491</v>
      </c>
      <c r="X9865" s="2">
        <f ca="1"/>
        <v>60.243065031885862</v>
      </c>
      <c r="AG9865" s="2">
        <f ca="1"/>
        <v>0.42759409036204343</v>
      </c>
      <c r="AH9865" s="2" t="str">
        <f ca="1"/>
        <v>Bad</v>
      </c>
    </row>
    <row r="9866" spans="2:34" x14ac:dyDescent="0.2">
      <c r="B9866" s="2">
        <f ca="1"/>
        <v>0.47704542854375309</v>
      </c>
      <c r="O9866" s="2">
        <f ca="1"/>
        <v>-1.1395715757487408</v>
      </c>
      <c r="X9866" s="2">
        <f ca="1"/>
        <v>26.280553346445586</v>
      </c>
      <c r="AG9866" s="2">
        <f ca="1"/>
        <v>0.76318187125279313</v>
      </c>
      <c r="AH9866" s="2" t="str">
        <f ca="1"/>
        <v>Bad</v>
      </c>
    </row>
    <row r="9867" spans="2:34" x14ac:dyDescent="0.2">
      <c r="B9867" s="2">
        <f ca="1"/>
        <v>0.43820765684766338</v>
      </c>
      <c r="O9867" s="2">
        <f ca="1"/>
        <v>0.81904362347353188</v>
      </c>
      <c r="X9867" s="2">
        <f ca="1"/>
        <v>27.746322966110831</v>
      </c>
      <c r="AG9867" s="2">
        <f ca="1"/>
        <v>0.75453299699632881</v>
      </c>
      <c r="AH9867" s="2" t="str">
        <f ca="1"/>
        <v>Bad</v>
      </c>
    </row>
    <row r="9868" spans="2:34" x14ac:dyDescent="0.2">
      <c r="B9868" s="2">
        <f ca="1"/>
        <v>0.63890342315278592</v>
      </c>
      <c r="O9868" s="2">
        <f ca="1"/>
        <v>-1.031145611329803</v>
      </c>
      <c r="X9868" s="2">
        <f ca="1"/>
        <v>54.528682953668266</v>
      </c>
      <c r="AG9868" s="2">
        <f ca="1"/>
        <v>0.76119247433131032</v>
      </c>
      <c r="AH9868" s="2" t="str">
        <f ca="1"/>
        <v>Bad</v>
      </c>
    </row>
    <row r="9869" spans="2:34" x14ac:dyDescent="0.2">
      <c r="B9869" s="2">
        <f ca="1"/>
        <v>4.2103099869341243E-2</v>
      </c>
      <c r="O9869" s="2">
        <f ca="1"/>
        <v>0.92363726082550024</v>
      </c>
      <c r="X9869" s="2">
        <f ca="1"/>
        <v>48.006257797472394</v>
      </c>
      <c r="AG9869" s="2">
        <f ca="1"/>
        <v>0.29335195148292348</v>
      </c>
      <c r="AH9869" s="2" t="str">
        <f ca="1"/>
        <v>OK</v>
      </c>
    </row>
    <row r="9870" spans="2:34" x14ac:dyDescent="0.2">
      <c r="B9870" s="2">
        <f ca="1"/>
        <v>3.0190335728572437E-2</v>
      </c>
      <c r="O9870" s="2">
        <f ca="1"/>
        <v>-1.3417745486799322</v>
      </c>
      <c r="X9870" s="2">
        <f ca="1"/>
        <v>54.068964440275153</v>
      </c>
      <c r="AG9870" s="2">
        <f ca="1"/>
        <v>0.7836227290850355</v>
      </c>
      <c r="AH9870" s="2" t="str">
        <f ca="1"/>
        <v>Bad</v>
      </c>
    </row>
    <row r="9871" spans="2:34" x14ac:dyDescent="0.2">
      <c r="B9871" s="2">
        <f ca="1"/>
        <v>0.38982061848409044</v>
      </c>
      <c r="O9871" s="2">
        <f ca="1"/>
        <v>1.4393337252101588</v>
      </c>
      <c r="X9871" s="2">
        <f ca="1"/>
        <v>68.720556801620546</v>
      </c>
      <c r="AG9871" s="2">
        <f ca="1"/>
        <v>4.3713889666678662E-2</v>
      </c>
      <c r="AH9871" s="2" t="str">
        <f ca="1"/>
        <v>Good</v>
      </c>
    </row>
    <row r="9872" spans="2:34" x14ac:dyDescent="0.2">
      <c r="B9872" s="2">
        <f ca="1"/>
        <v>0.73065630592035435</v>
      </c>
      <c r="O9872" s="2">
        <f ca="1"/>
        <v>0.74515999123519672</v>
      </c>
      <c r="X9872" s="2">
        <f ca="1"/>
        <v>40.111413539675382</v>
      </c>
      <c r="AG9872" s="2">
        <f ca="1"/>
        <v>0.68802384000284289</v>
      </c>
      <c r="AH9872" s="2" t="str">
        <f ca="1"/>
        <v>Bad</v>
      </c>
    </row>
    <row r="9873" spans="2:34" x14ac:dyDescent="0.2">
      <c r="B9873" s="2">
        <f ca="1"/>
        <v>0.23408186772248252</v>
      </c>
      <c r="O9873" s="2">
        <f ca="1"/>
        <v>-0.6040417606221764</v>
      </c>
      <c r="X9873" s="2">
        <f ca="1"/>
        <v>34.549591126513249</v>
      </c>
      <c r="AG9873" s="2">
        <f ca="1"/>
        <v>0.77385911300016952</v>
      </c>
      <c r="AH9873" s="2" t="str">
        <f ca="1"/>
        <v>Bad</v>
      </c>
    </row>
    <row r="9874" spans="2:34" x14ac:dyDescent="0.2">
      <c r="B9874" s="2">
        <f ca="1"/>
        <v>0.92732025946032648</v>
      </c>
      <c r="O9874" s="2">
        <f ca="1"/>
        <v>0.97325178772990162</v>
      </c>
      <c r="X9874" s="2">
        <f ca="1"/>
        <v>63.63463348289622</v>
      </c>
      <c r="AG9874" s="2">
        <f ca="1"/>
        <v>0.97617964388568179</v>
      </c>
      <c r="AH9874" s="2" t="str">
        <f ca="1"/>
        <v>Bad</v>
      </c>
    </row>
    <row r="9875" spans="2:34" x14ac:dyDescent="0.2">
      <c r="B9875" s="2">
        <f ca="1"/>
        <v>0.82610772827389045</v>
      </c>
      <c r="O9875" s="2">
        <f ca="1"/>
        <v>0.89963657959528986</v>
      </c>
      <c r="X9875" s="2">
        <f ca="1"/>
        <v>56.54822396953395</v>
      </c>
      <c r="AG9875" s="2">
        <f ca="1"/>
        <v>0.98445177491132441</v>
      </c>
      <c r="AH9875" s="2" t="str">
        <f ca="1"/>
        <v>Bad</v>
      </c>
    </row>
    <row r="9876" spans="2:34" x14ac:dyDescent="0.2">
      <c r="B9876" s="2">
        <f ca="1"/>
        <v>0.72937696226074622</v>
      </c>
      <c r="O9876" s="2">
        <f ca="1"/>
        <v>0.83543414205359789</v>
      </c>
      <c r="X9876" s="2">
        <f ca="1"/>
        <v>52.457074117954576</v>
      </c>
      <c r="AG9876" s="2">
        <f ca="1"/>
        <v>6.6418522773132427E-2</v>
      </c>
      <c r="AH9876" s="2" t="str">
        <f ca="1"/>
        <v>OK</v>
      </c>
    </row>
    <row r="9877" spans="2:34" x14ac:dyDescent="0.2">
      <c r="B9877" s="2">
        <f ca="1"/>
        <v>0.55453200089690213</v>
      </c>
      <c r="O9877" s="2">
        <f ca="1"/>
        <v>-0.39456185307155328</v>
      </c>
      <c r="X9877" s="2">
        <f ca="1"/>
        <v>46.838269335612715</v>
      </c>
      <c r="AG9877" s="2">
        <f ca="1"/>
        <v>0.79204454423953519</v>
      </c>
      <c r="AH9877" s="2" t="str">
        <f ca="1"/>
        <v>Bad</v>
      </c>
    </row>
    <row r="9878" spans="2:34" x14ac:dyDescent="0.2">
      <c r="B9878" s="2">
        <f ca="1"/>
        <v>0.83961260029998885</v>
      </c>
      <c r="O9878" s="2">
        <f ca="1"/>
        <v>0.56256056384424857</v>
      </c>
      <c r="X9878" s="2">
        <f ca="1"/>
        <v>76.768478314942044</v>
      </c>
      <c r="AG9878" s="2">
        <f ca="1"/>
        <v>0.5017342237027318</v>
      </c>
      <c r="AH9878" s="2" t="str">
        <f ca="1"/>
        <v>Bad</v>
      </c>
    </row>
    <row r="9879" spans="2:34" x14ac:dyDescent="0.2">
      <c r="B9879" s="2">
        <f ca="1"/>
        <v>0.55897984736853634</v>
      </c>
      <c r="O9879" s="2">
        <f ca="1"/>
        <v>1.637258467487829</v>
      </c>
      <c r="X9879" s="2">
        <f ca="1"/>
        <v>71.15437021814661</v>
      </c>
      <c r="AG9879" s="2">
        <f ca="1"/>
        <v>0.61915515797364895</v>
      </c>
      <c r="AH9879" s="2" t="str">
        <f ca="1"/>
        <v>Bad</v>
      </c>
    </row>
    <row r="9880" spans="2:34" x14ac:dyDescent="0.2">
      <c r="B9880" s="2">
        <f ca="1"/>
        <v>0.15908915109540489</v>
      </c>
      <c r="O9880" s="2">
        <f ca="1"/>
        <v>0.3236984171717131</v>
      </c>
      <c r="X9880" s="2">
        <f ca="1"/>
        <v>80.506634376299999</v>
      </c>
      <c r="AG9880" s="2">
        <f ca="1"/>
        <v>0.23524689972020019</v>
      </c>
      <c r="AH9880" s="2" t="str">
        <f ca="1"/>
        <v>OK</v>
      </c>
    </row>
    <row r="9881" spans="2:34" x14ac:dyDescent="0.2">
      <c r="B9881" s="2">
        <f ca="1"/>
        <v>0.53387793297111252</v>
      </c>
      <c r="O9881" s="2">
        <f ca="1"/>
        <v>0.61947516151688664</v>
      </c>
      <c r="X9881" s="2">
        <f ca="1"/>
        <v>70.441736934654784</v>
      </c>
      <c r="AG9881" s="2">
        <f ca="1"/>
        <v>0.55447014199240408</v>
      </c>
      <c r="AH9881" s="2" t="str">
        <f ca="1"/>
        <v>Bad</v>
      </c>
    </row>
    <row r="9882" spans="2:34" x14ac:dyDescent="0.2">
      <c r="B9882" s="2">
        <f ca="1"/>
        <v>0.69384483697019528</v>
      </c>
      <c r="O9882" s="2">
        <f ca="1"/>
        <v>-0.25877033471589156</v>
      </c>
      <c r="X9882" s="2">
        <f ca="1"/>
        <v>71.691075425614301</v>
      </c>
      <c r="AG9882" s="2">
        <f ca="1"/>
        <v>0.2776143550212864</v>
      </c>
      <c r="AH9882" s="2" t="str">
        <f ca="1"/>
        <v>OK</v>
      </c>
    </row>
    <row r="9883" spans="2:34" x14ac:dyDescent="0.2">
      <c r="B9883" s="2">
        <f ca="1"/>
        <v>0.26721915129468399</v>
      </c>
      <c r="O9883" s="2">
        <f ca="1"/>
        <v>-0.95452641204383648</v>
      </c>
      <c r="X9883" s="2">
        <f ca="1"/>
        <v>56.094750673386628</v>
      </c>
      <c r="AG9883" s="2">
        <f ca="1"/>
        <v>0.34484450485974727</v>
      </c>
      <c r="AH9883" s="2" t="str">
        <f ca="1"/>
        <v>OK</v>
      </c>
    </row>
    <row r="9884" spans="2:34" x14ac:dyDescent="0.2">
      <c r="B9884" s="2">
        <f ca="1"/>
        <v>0.53447531592715913</v>
      </c>
      <c r="O9884" s="2">
        <f ca="1"/>
        <v>0.84108584848661228</v>
      </c>
      <c r="X9884" s="2">
        <f ca="1"/>
        <v>32.696170403641801</v>
      </c>
      <c r="AG9884" s="2">
        <f ca="1"/>
        <v>1.6225284531522055E-2</v>
      </c>
      <c r="AH9884" s="2" t="str">
        <f ca="1"/>
        <v>Good</v>
      </c>
    </row>
    <row r="9885" spans="2:34" x14ac:dyDescent="0.2">
      <c r="B9885" s="2">
        <f ca="1"/>
        <v>0.61205184091703879</v>
      </c>
      <c r="O9885" s="2">
        <f ca="1"/>
        <v>-0.44657236249147481</v>
      </c>
      <c r="X9885" s="2">
        <f ca="1"/>
        <v>66.268784721962732</v>
      </c>
      <c r="AG9885" s="2">
        <f ca="1"/>
        <v>7.583187092985666E-3</v>
      </c>
      <c r="AH9885" s="2" t="str">
        <f ca="1"/>
        <v>Good</v>
      </c>
    </row>
    <row r="9886" spans="2:34" x14ac:dyDescent="0.2">
      <c r="B9886" s="2">
        <f ca="1"/>
        <v>0.46190062360517192</v>
      </c>
      <c r="O9886" s="2">
        <f ca="1"/>
        <v>-0.43340359176779802</v>
      </c>
      <c r="X9886" s="2">
        <f ca="1"/>
        <v>28.638178137536269</v>
      </c>
      <c r="AG9886" s="2">
        <f ca="1"/>
        <v>0.11028473595017929</v>
      </c>
      <c r="AH9886" s="2" t="str">
        <f ca="1"/>
        <v>OK</v>
      </c>
    </row>
    <row r="9887" spans="2:34" x14ac:dyDescent="0.2">
      <c r="B9887" s="2">
        <f ca="1"/>
        <v>0.92700582468818404</v>
      </c>
      <c r="O9887" s="2">
        <f ca="1"/>
        <v>-0.29047303219612808</v>
      </c>
      <c r="X9887" s="2">
        <f ca="1"/>
        <v>49.770773537075748</v>
      </c>
      <c r="AG9887" s="2">
        <f ca="1"/>
        <v>0.18947596120567534</v>
      </c>
      <c r="AH9887" s="2" t="str">
        <f ca="1"/>
        <v>OK</v>
      </c>
    </row>
    <row r="9888" spans="2:34" x14ac:dyDescent="0.2">
      <c r="B9888" s="2">
        <f ca="1"/>
        <v>0.43670990469979154</v>
      </c>
      <c r="O9888" s="2">
        <f ca="1"/>
        <v>-3.3256654751496972E-2</v>
      </c>
      <c r="X9888" s="2">
        <f ca="1"/>
        <v>29.45975736825282</v>
      </c>
      <c r="AG9888" s="2">
        <f ca="1"/>
        <v>0.83841004478038106</v>
      </c>
      <c r="AH9888" s="2" t="str">
        <f ca="1"/>
        <v>Bad</v>
      </c>
    </row>
    <row r="9889" spans="2:34" x14ac:dyDescent="0.2">
      <c r="B9889" s="2">
        <f ca="1"/>
        <v>0.18619530538646312</v>
      </c>
      <c r="O9889" s="2">
        <f ca="1"/>
        <v>0.75867705145881592</v>
      </c>
      <c r="X9889" s="2">
        <f ca="1"/>
        <v>31.808292237567578</v>
      </c>
      <c r="AG9889" s="2">
        <f ca="1"/>
        <v>0.24553722717965831</v>
      </c>
      <c r="AH9889" s="2" t="str">
        <f ca="1"/>
        <v>OK</v>
      </c>
    </row>
    <row r="9890" spans="2:34" x14ac:dyDescent="0.2">
      <c r="B9890" s="2">
        <f ca="1"/>
        <v>0.77944826691789437</v>
      </c>
      <c r="O9890" s="2">
        <f ca="1"/>
        <v>0.22931371328929007</v>
      </c>
      <c r="X9890" s="2">
        <f ca="1"/>
        <v>47.924394586929857</v>
      </c>
      <c r="AG9890" s="2">
        <f ca="1"/>
        <v>0.61127410843545249</v>
      </c>
      <c r="AH9890" s="2" t="str">
        <f ca="1"/>
        <v>Bad</v>
      </c>
    </row>
    <row r="9891" spans="2:34" x14ac:dyDescent="0.2">
      <c r="B9891" s="2">
        <f ca="1"/>
        <v>0.21903162492931494</v>
      </c>
      <c r="O9891" s="2">
        <f ca="1"/>
        <v>-0.87491220750866727</v>
      </c>
      <c r="X9891" s="2">
        <f ca="1"/>
        <v>34.168931295105146</v>
      </c>
      <c r="AG9891" s="2">
        <f ca="1"/>
        <v>0.98931359925990869</v>
      </c>
      <c r="AH9891" s="2" t="str">
        <f ca="1"/>
        <v>Bad</v>
      </c>
    </row>
    <row r="9892" spans="2:34" x14ac:dyDescent="0.2">
      <c r="B9892" s="2">
        <f ca="1"/>
        <v>0.59763586379213907</v>
      </c>
      <c r="O9892" s="2">
        <f ca="1"/>
        <v>0.84071849180752534</v>
      </c>
      <c r="X9892" s="2">
        <f ca="1"/>
        <v>46.00339487059636</v>
      </c>
      <c r="AG9892" s="2">
        <f ca="1"/>
        <v>0.87964393694805554</v>
      </c>
      <c r="AH9892" s="2" t="str">
        <f ca="1"/>
        <v>Bad</v>
      </c>
    </row>
    <row r="9893" spans="2:34" x14ac:dyDescent="0.2">
      <c r="B9893" s="2">
        <f ca="1"/>
        <v>0.47411690900718706</v>
      </c>
      <c r="O9893" s="2">
        <f ca="1"/>
        <v>-0.56822005158432798</v>
      </c>
      <c r="X9893" s="2">
        <f ca="1"/>
        <v>42.236975116641176</v>
      </c>
      <c r="AG9893" s="2">
        <f ca="1"/>
        <v>0.93733759817359164</v>
      </c>
      <c r="AH9893" s="2" t="str">
        <f ca="1"/>
        <v>Bad</v>
      </c>
    </row>
    <row r="9894" spans="2:34" x14ac:dyDescent="0.2">
      <c r="B9894" s="2">
        <f ca="1"/>
        <v>0.76414347770712832</v>
      </c>
      <c r="O9894" s="2">
        <f ca="1"/>
        <v>-1.0925602793485436</v>
      </c>
      <c r="X9894" s="2">
        <f ca="1"/>
        <v>58.446463403156848</v>
      </c>
      <c r="AG9894" s="2">
        <f ca="1"/>
        <v>6.1544195285621051E-3</v>
      </c>
      <c r="AH9894" s="2" t="str">
        <f ca="1"/>
        <v>Good</v>
      </c>
    </row>
    <row r="9895" spans="2:34" x14ac:dyDescent="0.2">
      <c r="B9895" s="2">
        <f ca="1"/>
        <v>9.6276870023083827E-2</v>
      </c>
      <c r="O9895" s="2">
        <f ca="1"/>
        <v>-0.99766156349974855</v>
      </c>
      <c r="X9895" s="2">
        <f ca="1"/>
        <v>33.789644771554428</v>
      </c>
      <c r="AG9895" s="2">
        <f ca="1"/>
        <v>0.20492115181138937</v>
      </c>
      <c r="AH9895" s="2" t="str">
        <f ca="1"/>
        <v>OK</v>
      </c>
    </row>
    <row r="9896" spans="2:34" x14ac:dyDescent="0.2">
      <c r="B9896" s="2">
        <f ca="1"/>
        <v>0.4435806310035415</v>
      </c>
      <c r="O9896" s="2">
        <f ca="1"/>
        <v>0.94378487344623418</v>
      </c>
      <c r="X9896" s="2">
        <f ca="1"/>
        <v>57.726336731864684</v>
      </c>
      <c r="AG9896" s="2">
        <f ca="1"/>
        <v>0.82969042990913144</v>
      </c>
      <c r="AH9896" s="2" t="str">
        <f ca="1"/>
        <v>Bad</v>
      </c>
    </row>
    <row r="9897" spans="2:34" x14ac:dyDescent="0.2">
      <c r="B9897" s="2">
        <f ca="1"/>
        <v>0.62272940841311475</v>
      </c>
      <c r="O9897" s="2">
        <f ca="1"/>
        <v>0.11430195564266776</v>
      </c>
      <c r="X9897" s="2">
        <f ca="1"/>
        <v>52.659744513111242</v>
      </c>
      <c r="AG9897" s="2">
        <f ca="1"/>
        <v>3.1808832365515682E-2</v>
      </c>
      <c r="AH9897" s="2" t="str">
        <f ca="1"/>
        <v>Good</v>
      </c>
    </row>
    <row r="9898" spans="2:34" x14ac:dyDescent="0.2">
      <c r="B9898" s="2">
        <f ca="1"/>
        <v>0.14500613537915186</v>
      </c>
      <c r="O9898" s="2">
        <f ca="1"/>
        <v>-1.1061669038014881</v>
      </c>
      <c r="X9898" s="2">
        <f ca="1"/>
        <v>86.883737405713987</v>
      </c>
      <c r="AG9898" s="2">
        <f ca="1"/>
        <v>0.281928502756851</v>
      </c>
      <c r="AH9898" s="2" t="str">
        <f ca="1"/>
        <v>OK</v>
      </c>
    </row>
    <row r="9899" spans="2:34" x14ac:dyDescent="0.2">
      <c r="B9899" s="2">
        <f ca="1"/>
        <v>0.14109093016481422</v>
      </c>
      <c r="O9899" s="2">
        <f ca="1"/>
        <v>1.9051884828479686</v>
      </c>
      <c r="X9899" s="2">
        <f ca="1"/>
        <v>71.453812922811352</v>
      </c>
      <c r="AG9899" s="2">
        <f ca="1"/>
        <v>0.74865885201197258</v>
      </c>
      <c r="AH9899" s="2" t="str">
        <f ca="1"/>
        <v>Bad</v>
      </c>
    </row>
    <row r="9900" spans="2:34" x14ac:dyDescent="0.2">
      <c r="B9900" s="2">
        <f ca="1"/>
        <v>0.1981749749770525</v>
      </c>
      <c r="O9900" s="2">
        <f ca="1"/>
        <v>-0.74591065143434965</v>
      </c>
      <c r="X9900" s="2">
        <f ca="1"/>
        <v>25.429648228367775</v>
      </c>
      <c r="AG9900" s="2">
        <f ca="1"/>
        <v>0.82658306418591465</v>
      </c>
      <c r="AH9900" s="2" t="str">
        <f ca="1"/>
        <v>Bad</v>
      </c>
    </row>
    <row r="9901" spans="2:34" x14ac:dyDescent="0.2">
      <c r="B9901" s="2">
        <f ca="1"/>
        <v>0.39740019681447492</v>
      </c>
      <c r="O9901" s="2">
        <f ca="1"/>
        <v>0.13354535837140483</v>
      </c>
      <c r="X9901" s="2">
        <f ca="1"/>
        <v>45.236051291335677</v>
      </c>
      <c r="AG9901" s="2">
        <f ca="1"/>
        <v>0.50869290427120362</v>
      </c>
      <c r="AH9901" s="2" t="str">
        <f ca="1"/>
        <v>Bad</v>
      </c>
    </row>
    <row r="9902" spans="2:34" x14ac:dyDescent="0.2">
      <c r="B9902" s="2">
        <f ca="1"/>
        <v>5.1450471526668373E-2</v>
      </c>
      <c r="O9902" s="2">
        <f ca="1"/>
        <v>2.9681505858105774</v>
      </c>
      <c r="X9902" s="2">
        <f ca="1"/>
        <v>39.806286997945982</v>
      </c>
      <c r="AG9902" s="2">
        <f ca="1"/>
        <v>0.69698286111197572</v>
      </c>
      <c r="AH9902" s="2" t="str">
        <f ca="1"/>
        <v>Bad</v>
      </c>
    </row>
    <row r="9903" spans="2:34" x14ac:dyDescent="0.2">
      <c r="B9903" s="2">
        <f ca="1"/>
        <v>0.51197421793457121</v>
      </c>
      <c r="O9903" s="2">
        <f ca="1"/>
        <v>-0.45823981491747012</v>
      </c>
      <c r="X9903" s="2">
        <f ca="1"/>
        <v>28.731954018889347</v>
      </c>
      <c r="AG9903" s="2">
        <f ca="1"/>
        <v>0.13843823114167098</v>
      </c>
      <c r="AH9903" s="2" t="str">
        <f ca="1"/>
        <v>OK</v>
      </c>
    </row>
    <row r="9904" spans="2:34" x14ac:dyDescent="0.2">
      <c r="B9904" s="2">
        <f ca="1"/>
        <v>0.88437307333542825</v>
      </c>
      <c r="O9904" s="2">
        <f ca="1"/>
        <v>1.4470939405986185</v>
      </c>
      <c r="X9904" s="2">
        <f ca="1"/>
        <v>57.612602882777104</v>
      </c>
      <c r="AG9904" s="2">
        <f ca="1"/>
        <v>0.21407435705456757</v>
      </c>
      <c r="AH9904" s="2" t="str">
        <f ca="1"/>
        <v>OK</v>
      </c>
    </row>
    <row r="9905" spans="2:34" x14ac:dyDescent="0.2">
      <c r="B9905" s="2">
        <f ca="1"/>
        <v>5.096127560805841E-2</v>
      </c>
      <c r="O9905" s="2">
        <f ca="1"/>
        <v>1.7912965334460154</v>
      </c>
      <c r="X9905" s="2">
        <f ca="1"/>
        <v>52.5514892206063</v>
      </c>
      <c r="AG9905" s="2">
        <f ca="1"/>
        <v>0.61080048150836141</v>
      </c>
      <c r="AH9905" s="2" t="str">
        <f ca="1"/>
        <v>Bad</v>
      </c>
    </row>
    <row r="9906" spans="2:34" x14ac:dyDescent="0.2">
      <c r="B9906" s="2">
        <f ca="1"/>
        <v>0.59410995957684598</v>
      </c>
      <c r="O9906" s="2">
        <f ca="1"/>
        <v>0.65929993582470714</v>
      </c>
      <c r="X9906" s="2">
        <f ca="1"/>
        <v>47.093370646819643</v>
      </c>
      <c r="AG9906" s="2">
        <f ca="1"/>
        <v>0.87735056662719502</v>
      </c>
      <c r="AH9906" s="2" t="str">
        <f ca="1"/>
        <v>Bad</v>
      </c>
    </row>
    <row r="9907" spans="2:34" x14ac:dyDescent="0.2">
      <c r="B9907" s="2">
        <f ca="1"/>
        <v>4.1918938103207015E-3</v>
      </c>
      <c r="O9907" s="2">
        <f ca="1"/>
        <v>-1.3308436523881606</v>
      </c>
      <c r="X9907" s="2">
        <f ca="1"/>
        <v>42.838952850936813</v>
      </c>
      <c r="AG9907" s="2">
        <f ca="1"/>
        <v>0.38052978061264486</v>
      </c>
      <c r="AH9907" s="2" t="str">
        <f ca="1"/>
        <v>OK</v>
      </c>
    </row>
    <row r="9908" spans="2:34" x14ac:dyDescent="0.2">
      <c r="B9908" s="2">
        <f ca="1"/>
        <v>1.2185542047791431E-2</v>
      </c>
      <c r="O9908" s="2">
        <f ca="1"/>
        <v>-0.205430646607207</v>
      </c>
      <c r="X9908" s="2">
        <f ca="1"/>
        <v>46.412905028884893</v>
      </c>
      <c r="AG9908" s="2">
        <f ca="1"/>
        <v>0.26259794860502828</v>
      </c>
      <c r="AH9908" s="2" t="str">
        <f ca="1"/>
        <v>OK</v>
      </c>
    </row>
    <row r="9909" spans="2:34" x14ac:dyDescent="0.2">
      <c r="B9909" s="2">
        <f ca="1"/>
        <v>0.10790093476534657</v>
      </c>
      <c r="O9909" s="2">
        <f ca="1"/>
        <v>0.149520794644216</v>
      </c>
      <c r="X9909" s="2">
        <f ca="1"/>
        <v>56.983594064652564</v>
      </c>
      <c r="AG9909" s="2">
        <f ca="1"/>
        <v>0.40160109278293921</v>
      </c>
      <c r="AH9909" s="2" t="str">
        <f ca="1"/>
        <v>Bad</v>
      </c>
    </row>
    <row r="9910" spans="2:34" x14ac:dyDescent="0.2">
      <c r="B9910" s="2">
        <f ca="1"/>
        <v>0.46306429560413509</v>
      </c>
      <c r="O9910" s="2">
        <f ca="1"/>
        <v>-1.1518905818960055</v>
      </c>
      <c r="X9910" s="2">
        <f ca="1"/>
        <v>57.983478156314554</v>
      </c>
      <c r="AG9910" s="2">
        <f ca="1"/>
        <v>0.16557144867318052</v>
      </c>
      <c r="AH9910" s="2" t="str">
        <f ca="1"/>
        <v>OK</v>
      </c>
    </row>
    <row r="9911" spans="2:34" x14ac:dyDescent="0.2">
      <c r="B9911" s="2">
        <f ca="1"/>
        <v>0.48997813792368605</v>
      </c>
      <c r="O9911" s="2">
        <f ca="1"/>
        <v>-1.124106313431018E-2</v>
      </c>
      <c r="X9911" s="2">
        <f ca="1"/>
        <v>71.027873369072239</v>
      </c>
      <c r="AG9911" s="2">
        <f ca="1"/>
        <v>9.3960649771575921E-2</v>
      </c>
      <c r="AH9911" s="2" t="str">
        <f ca="1"/>
        <v>OK</v>
      </c>
    </row>
    <row r="9912" spans="2:34" x14ac:dyDescent="0.2">
      <c r="B9912" s="2">
        <f ca="1"/>
        <v>0.24565123848811754</v>
      </c>
      <c r="O9912" s="2">
        <f ca="1"/>
        <v>-0.1178018251895321</v>
      </c>
      <c r="X9912" s="2">
        <f ca="1"/>
        <v>31.783879308854402</v>
      </c>
      <c r="AG9912" s="2">
        <f ca="1"/>
        <v>0.90319707530360915</v>
      </c>
      <c r="AH9912" s="2" t="str">
        <f ca="1"/>
        <v>Bad</v>
      </c>
    </row>
    <row r="9913" spans="2:34" x14ac:dyDescent="0.2">
      <c r="B9913" s="2">
        <f ca="1"/>
        <v>0.27624105829709511</v>
      </c>
      <c r="O9913" s="2">
        <f ca="1"/>
        <v>-0.30454272287219203</v>
      </c>
      <c r="X9913" s="2">
        <f ca="1"/>
        <v>66.897273749101672</v>
      </c>
      <c r="AG9913" s="2">
        <f ca="1"/>
        <v>0.93851229301553762</v>
      </c>
      <c r="AH9913" s="2" t="str">
        <f ca="1"/>
        <v>Bad</v>
      </c>
    </row>
    <row r="9914" spans="2:34" x14ac:dyDescent="0.2">
      <c r="B9914" s="2">
        <f ca="1"/>
        <v>0.76791903374812076</v>
      </c>
      <c r="O9914" s="2">
        <f ca="1"/>
        <v>0.10378047794741684</v>
      </c>
      <c r="X9914" s="2">
        <f ca="1"/>
        <v>45.265334409353414</v>
      </c>
      <c r="AG9914" s="2">
        <f ca="1"/>
        <v>0.86858099407739742</v>
      </c>
      <c r="AH9914" s="2" t="str">
        <f ca="1"/>
        <v>Bad</v>
      </c>
    </row>
    <row r="9915" spans="2:34" x14ac:dyDescent="0.2">
      <c r="B9915" s="2">
        <f ca="1"/>
        <v>6.7552683142692249E-2</v>
      </c>
      <c r="O9915" s="2">
        <f ca="1"/>
        <v>-0.33083236948463679</v>
      </c>
      <c r="X9915" s="2">
        <f ca="1"/>
        <v>64.857026127914125</v>
      </c>
      <c r="AG9915" s="2">
        <f ca="1"/>
        <v>0.98621354091243618</v>
      </c>
      <c r="AH9915" s="2" t="str">
        <f ca="1"/>
        <v>Bad</v>
      </c>
    </row>
    <row r="9916" spans="2:34" x14ac:dyDescent="0.2">
      <c r="B9916" s="2">
        <f ca="1"/>
        <v>0.28230157835637182</v>
      </c>
      <c r="O9916" s="2">
        <f ca="1"/>
        <v>-0.32041027815735751</v>
      </c>
      <c r="X9916" s="2">
        <f ca="1"/>
        <v>52.784053106285526</v>
      </c>
      <c r="AG9916" s="2">
        <f ca="1"/>
        <v>0.81230516527614105</v>
      </c>
      <c r="AH9916" s="2" t="str">
        <f ca="1"/>
        <v>Bad</v>
      </c>
    </row>
    <row r="9917" spans="2:34" x14ac:dyDescent="0.2">
      <c r="B9917" s="2">
        <f ca="1"/>
        <v>0.16082189828060223</v>
      </c>
      <c r="O9917" s="2">
        <f ca="1"/>
        <v>-0.65314800777250659</v>
      </c>
      <c r="X9917" s="2">
        <f ca="1"/>
        <v>30.776807729572816</v>
      </c>
      <c r="AG9917" s="2">
        <f ca="1"/>
        <v>0.77993198300972311</v>
      </c>
      <c r="AH9917" s="2" t="str">
        <f ca="1"/>
        <v>Bad</v>
      </c>
    </row>
    <row r="9918" spans="2:34" x14ac:dyDescent="0.2">
      <c r="B9918" s="2">
        <f ca="1"/>
        <v>0.89176997856269935</v>
      </c>
      <c r="O9918" s="2">
        <f ca="1"/>
        <v>-0.14933714121040681</v>
      </c>
      <c r="X9918" s="2">
        <f ca="1"/>
        <v>47.569267746226451</v>
      </c>
      <c r="AG9918" s="2">
        <f ca="1"/>
        <v>0.85968008294143194</v>
      </c>
      <c r="AH9918" s="2" t="str">
        <f ca="1"/>
        <v>Bad</v>
      </c>
    </row>
    <row r="9919" spans="2:34" x14ac:dyDescent="0.2">
      <c r="B9919" s="2">
        <f ca="1"/>
        <v>0.37091008580792328</v>
      </c>
      <c r="O9919" s="2">
        <f ca="1"/>
        <v>0.54596016591558838</v>
      </c>
      <c r="X9919" s="2">
        <f ca="1"/>
        <v>44.165310781394751</v>
      </c>
      <c r="AG9919" s="2">
        <f ca="1"/>
        <v>0.14677367512877137</v>
      </c>
      <c r="AH9919" s="2" t="str">
        <f ca="1"/>
        <v>OK</v>
      </c>
    </row>
    <row r="9920" spans="2:34" x14ac:dyDescent="0.2">
      <c r="B9920" s="2">
        <f ca="1"/>
        <v>0.92643834390229851</v>
      </c>
      <c r="O9920" s="2">
        <f ca="1"/>
        <v>-1.6701604790001496</v>
      </c>
      <c r="X9920" s="2">
        <f ca="1"/>
        <v>52.483685788637288</v>
      </c>
      <c r="AG9920" s="2">
        <f ca="1"/>
        <v>0.27008436531250823</v>
      </c>
      <c r="AH9920" s="2" t="str">
        <f ca="1"/>
        <v>OK</v>
      </c>
    </row>
    <row r="9921" spans="2:34" x14ac:dyDescent="0.2">
      <c r="B9921" s="2">
        <f ca="1"/>
        <v>0.97571974124239413</v>
      </c>
      <c r="O9921" s="2">
        <f ca="1"/>
        <v>9.3213171312880566E-2</v>
      </c>
      <c r="X9921" s="2">
        <f ca="1"/>
        <v>40.087492875079825</v>
      </c>
      <c r="AG9921" s="2">
        <f ca="1"/>
        <v>0.97588793880225455</v>
      </c>
      <c r="AH9921" s="2" t="str">
        <f ca="1"/>
        <v>Bad</v>
      </c>
    </row>
    <row r="9922" spans="2:34" x14ac:dyDescent="0.2">
      <c r="B9922" s="2">
        <f ca="1"/>
        <v>0.11402978739074077</v>
      </c>
      <c r="O9922" s="2">
        <f ca="1"/>
        <v>1.8832928496107505E-2</v>
      </c>
      <c r="X9922" s="2">
        <f ca="1"/>
        <v>54.156649564087743</v>
      </c>
      <c r="AG9922" s="2">
        <f ca="1"/>
        <v>0.77476785310230745</v>
      </c>
      <c r="AH9922" s="2" t="str">
        <f ca="1"/>
        <v>Bad</v>
      </c>
    </row>
    <row r="9923" spans="2:34" x14ac:dyDescent="0.2">
      <c r="B9923" s="2">
        <f ca="1"/>
        <v>6.5086714394736678E-2</v>
      </c>
      <c r="O9923" s="2">
        <f ca="1"/>
        <v>0.34726121158361051</v>
      </c>
      <c r="X9923" s="2">
        <f ca="1"/>
        <v>50.110186832410619</v>
      </c>
      <c r="AG9923" s="2">
        <f ca="1"/>
        <v>0.62713301822371248</v>
      </c>
      <c r="AH9923" s="2" t="str">
        <f ca="1"/>
        <v>Bad</v>
      </c>
    </row>
    <row r="9924" spans="2:34" x14ac:dyDescent="0.2">
      <c r="B9924" s="2">
        <f ca="1"/>
        <v>0.88892088704937078</v>
      </c>
      <c r="O9924" s="2">
        <f ca="1"/>
        <v>-0.54954767257770343</v>
      </c>
      <c r="X9924" s="2">
        <f ca="1"/>
        <v>27.630867545710331</v>
      </c>
      <c r="AG9924" s="2">
        <f ca="1"/>
        <v>0.34747470789376433</v>
      </c>
      <c r="AH9924" s="2" t="str">
        <f ca="1"/>
        <v>OK</v>
      </c>
    </row>
    <row r="9925" spans="2:34" x14ac:dyDescent="0.2">
      <c r="B9925" s="2">
        <f ca="1"/>
        <v>0.53243587259774294</v>
      </c>
      <c r="O9925" s="2">
        <f ca="1"/>
        <v>1.6850784056435832</v>
      </c>
      <c r="X9925" s="2">
        <f ca="1"/>
        <v>70.943584850828529</v>
      </c>
      <c r="AG9925" s="2">
        <f ca="1"/>
        <v>0.30898451772289914</v>
      </c>
      <c r="AH9925" s="2" t="str">
        <f ca="1"/>
        <v>OK</v>
      </c>
    </row>
    <row r="9926" spans="2:34" x14ac:dyDescent="0.2">
      <c r="B9926" s="2">
        <f ca="1"/>
        <v>2.937380034270487E-2</v>
      </c>
      <c r="O9926" s="2">
        <f ca="1"/>
        <v>0.76076191740058563</v>
      </c>
      <c r="X9926" s="2">
        <f ca="1"/>
        <v>65.129483085139384</v>
      </c>
      <c r="AG9926" s="2">
        <f ca="1"/>
        <v>0.83431271803031382</v>
      </c>
      <c r="AH9926" s="2" t="str">
        <f ca="1"/>
        <v>Bad</v>
      </c>
    </row>
    <row r="9927" spans="2:34" x14ac:dyDescent="0.2">
      <c r="B9927" s="2">
        <f ca="1"/>
        <v>0.93737439091856167</v>
      </c>
      <c r="O9927" s="2">
        <f ca="1"/>
        <v>0.98424061880102198</v>
      </c>
      <c r="X9927" s="2">
        <f ca="1"/>
        <v>50.156367692535454</v>
      </c>
      <c r="AG9927" s="2">
        <f ca="1"/>
        <v>0.76024122094604141</v>
      </c>
      <c r="AH9927" s="2" t="str">
        <f ca="1"/>
        <v>Bad</v>
      </c>
    </row>
    <row r="9928" spans="2:34" x14ac:dyDescent="0.2">
      <c r="B9928" s="2">
        <f ca="1"/>
        <v>0.7968621292728495</v>
      </c>
      <c r="O9928" s="2">
        <f ca="1"/>
        <v>0.1717269445528431</v>
      </c>
      <c r="X9928" s="2">
        <f ca="1"/>
        <v>48.545355724224194</v>
      </c>
      <c r="AG9928" s="2">
        <f ca="1"/>
        <v>0.32767622228979953</v>
      </c>
      <c r="AH9928" s="2" t="str">
        <f ca="1"/>
        <v>OK</v>
      </c>
    </row>
    <row r="9929" spans="2:34" x14ac:dyDescent="0.2">
      <c r="B9929" s="2">
        <f ca="1"/>
        <v>0.47040809294983199</v>
      </c>
      <c r="O9929" s="2">
        <f ca="1"/>
        <v>-1.2542356794471468</v>
      </c>
      <c r="X9929" s="2">
        <f ca="1"/>
        <v>74.598100113167035</v>
      </c>
      <c r="AG9929" s="2">
        <f ca="1"/>
        <v>0.25389377872391905</v>
      </c>
      <c r="AH9929" s="2" t="str">
        <f ca="1"/>
        <v>OK</v>
      </c>
    </row>
    <row r="9930" spans="2:34" x14ac:dyDescent="0.2">
      <c r="B9930" s="2">
        <f ca="1"/>
        <v>0.76474179232443684</v>
      </c>
      <c r="O9930" s="2">
        <f ca="1"/>
        <v>0.1035560076006567</v>
      </c>
      <c r="X9930" s="2">
        <f ca="1"/>
        <v>51.416604260006231</v>
      </c>
      <c r="AG9930" s="2">
        <f ca="1"/>
        <v>0.61376777001703653</v>
      </c>
      <c r="AH9930" s="2" t="str">
        <f ca="1"/>
        <v>Bad</v>
      </c>
    </row>
    <row r="9931" spans="2:34" x14ac:dyDescent="0.2">
      <c r="B9931" s="2">
        <f ca="1"/>
        <v>0.50269804836019927</v>
      </c>
      <c r="O9931" s="2">
        <f ca="1"/>
        <v>6.7824074076702281E-2</v>
      </c>
      <c r="X9931" s="2">
        <f ca="1"/>
        <v>50.855716693958009</v>
      </c>
      <c r="AG9931" s="2">
        <f ca="1"/>
        <v>0.28587235567990543</v>
      </c>
      <c r="AH9931" s="2" t="str">
        <f ca="1"/>
        <v>OK</v>
      </c>
    </row>
    <row r="9932" spans="2:34" x14ac:dyDescent="0.2">
      <c r="B9932" s="2">
        <f ca="1"/>
        <v>0.93883147093236841</v>
      </c>
      <c r="O9932" s="2">
        <f ca="1"/>
        <v>-0.2098342178309375</v>
      </c>
      <c r="X9932" s="2">
        <f ca="1"/>
        <v>34.07795959971903</v>
      </c>
      <c r="AG9932" s="2">
        <f ca="1"/>
        <v>0.73403322136380567</v>
      </c>
      <c r="AH9932" s="2" t="str">
        <f ca="1"/>
        <v>Bad</v>
      </c>
    </row>
    <row r="9933" spans="2:34" x14ac:dyDescent="0.2">
      <c r="B9933" s="2">
        <f ca="1"/>
        <v>0.69548800950292544</v>
      </c>
      <c r="O9933" s="2">
        <f ca="1"/>
        <v>-1.3705081169587745</v>
      </c>
      <c r="X9933" s="2">
        <f ca="1"/>
        <v>44.031887842644906</v>
      </c>
      <c r="AG9933" s="2">
        <f ca="1"/>
        <v>0.20691219183512155</v>
      </c>
      <c r="AH9933" s="2" t="str">
        <f ca="1"/>
        <v>OK</v>
      </c>
    </row>
    <row r="9934" spans="2:34" x14ac:dyDescent="0.2">
      <c r="B9934" s="2">
        <f ca="1"/>
        <v>0.51446377787585096</v>
      </c>
      <c r="O9934" s="2">
        <f ca="1"/>
        <v>0.29965656196342444</v>
      </c>
      <c r="X9934" s="2">
        <f ca="1"/>
        <v>35.680392094639394</v>
      </c>
      <c r="AG9934" s="2">
        <f ca="1"/>
        <v>0.34604734039099339</v>
      </c>
      <c r="AH9934" s="2" t="str">
        <f ca="1"/>
        <v>OK</v>
      </c>
    </row>
    <row r="9935" spans="2:34" x14ac:dyDescent="0.2">
      <c r="B9935" s="2">
        <f ca="1"/>
        <v>0.36946118975009767</v>
      </c>
      <c r="O9935" s="2">
        <f ca="1"/>
        <v>-0.43036552222596042</v>
      </c>
      <c r="X9935" s="2">
        <f ca="1"/>
        <v>47.130442016728516</v>
      </c>
      <c r="AG9935" s="2">
        <f ca="1"/>
        <v>9.5087165514802452E-2</v>
      </c>
      <c r="AH9935" s="2" t="str">
        <f ca="1"/>
        <v>OK</v>
      </c>
    </row>
    <row r="9936" spans="2:34" x14ac:dyDescent="0.2">
      <c r="B9936" s="2">
        <f ca="1"/>
        <v>0.46826731461008464</v>
      </c>
      <c r="O9936" s="2">
        <f ca="1"/>
        <v>1.0316179224921065</v>
      </c>
      <c r="X9936" s="2">
        <f ca="1"/>
        <v>28.861475123561743</v>
      </c>
      <c r="AG9936" s="2">
        <f ca="1"/>
        <v>0.73067687959325189</v>
      </c>
      <c r="AH9936" s="2" t="str">
        <f ca="1"/>
        <v>Bad</v>
      </c>
    </row>
    <row r="9937" spans="2:34" x14ac:dyDescent="0.2">
      <c r="B9937" s="2">
        <f ca="1"/>
        <v>0.72107619487046914</v>
      </c>
      <c r="O9937" s="2">
        <f ca="1"/>
        <v>-1.7808568463444536</v>
      </c>
      <c r="X9937" s="2">
        <f ca="1"/>
        <v>80.735699733749613</v>
      </c>
      <c r="AG9937" s="2">
        <f ca="1"/>
        <v>0.82428092695862221</v>
      </c>
      <c r="AH9937" s="2" t="str">
        <f ca="1"/>
        <v>Bad</v>
      </c>
    </row>
    <row r="9938" spans="2:34" x14ac:dyDescent="0.2">
      <c r="B9938" s="2">
        <f ca="1"/>
        <v>0.39530964874860808</v>
      </c>
      <c r="O9938" s="2">
        <f ca="1"/>
        <v>0.66233795636573611</v>
      </c>
      <c r="X9938" s="2">
        <f ca="1"/>
        <v>37.071642757274205</v>
      </c>
      <c r="AG9938" s="2">
        <f ca="1"/>
        <v>0.12524876898579906</v>
      </c>
      <c r="AH9938" s="2" t="str">
        <f ca="1"/>
        <v>OK</v>
      </c>
    </row>
    <row r="9939" spans="2:34" x14ac:dyDescent="0.2">
      <c r="B9939" s="2">
        <f ca="1"/>
        <v>0.427030279209897</v>
      </c>
      <c r="O9939" s="2">
        <f ca="1"/>
        <v>-0.82980827741715879</v>
      </c>
      <c r="X9939" s="2">
        <f ca="1"/>
        <v>41.483038125331063</v>
      </c>
      <c r="AG9939" s="2">
        <f ca="1"/>
        <v>0.23354500489873464</v>
      </c>
      <c r="AH9939" s="2" t="str">
        <f ca="1"/>
        <v>OK</v>
      </c>
    </row>
    <row r="9940" spans="2:34" x14ac:dyDescent="0.2">
      <c r="B9940" s="2">
        <f ca="1"/>
        <v>0.663096159491813</v>
      </c>
      <c r="O9940" s="2">
        <f ca="1"/>
        <v>1.731977702169367</v>
      </c>
      <c r="X9940" s="2">
        <f ca="1"/>
        <v>40.275385334051535</v>
      </c>
      <c r="AG9940" s="2">
        <f ca="1"/>
        <v>0.88367258308041619</v>
      </c>
      <c r="AH9940" s="2" t="str">
        <f ca="1"/>
        <v>Bad</v>
      </c>
    </row>
    <row r="9941" spans="2:34" x14ac:dyDescent="0.2">
      <c r="B9941" s="2">
        <f ca="1"/>
        <v>0.9272139952323657</v>
      </c>
      <c r="O9941" s="2">
        <f ca="1"/>
        <v>-0.49457393000183086</v>
      </c>
      <c r="X9941" s="2">
        <f ca="1"/>
        <v>53.693844969010499</v>
      </c>
      <c r="AG9941" s="2">
        <f ca="1"/>
        <v>0.23284181603814447</v>
      </c>
      <c r="AH9941" s="2" t="str">
        <f ca="1"/>
        <v>OK</v>
      </c>
    </row>
    <row r="9942" spans="2:34" x14ac:dyDescent="0.2">
      <c r="B9942" s="2">
        <f ca="1"/>
        <v>0.44744776980272616</v>
      </c>
      <c r="O9942" s="2">
        <f ca="1"/>
        <v>-0.64112436288806185</v>
      </c>
      <c r="X9942" s="2">
        <f ca="1"/>
        <v>53.611525163852932</v>
      </c>
      <c r="AG9942" s="2">
        <f ca="1"/>
        <v>6.3030033497772697E-2</v>
      </c>
      <c r="AH9942" s="2" t="str">
        <f ca="1"/>
        <v>OK</v>
      </c>
    </row>
    <row r="9943" spans="2:34" x14ac:dyDescent="0.2">
      <c r="B9943" s="2">
        <f ca="1"/>
        <v>0.58904628879312271</v>
      </c>
      <c r="O9943" s="2">
        <f ca="1"/>
        <v>-2.4685907197346264</v>
      </c>
      <c r="X9943" s="2">
        <f ca="1"/>
        <v>81.931355943455259</v>
      </c>
      <c r="AG9943" s="2">
        <f ca="1"/>
        <v>0.37932054031066564</v>
      </c>
      <c r="AH9943" s="2" t="str">
        <f ca="1"/>
        <v>OK</v>
      </c>
    </row>
    <row r="9944" spans="2:34" x14ac:dyDescent="0.2">
      <c r="B9944" s="2">
        <f ca="1"/>
        <v>0.15733976421636764</v>
      </c>
      <c r="O9944" s="2">
        <f ca="1"/>
        <v>-1.6883677720376049</v>
      </c>
      <c r="X9944" s="2">
        <f ca="1"/>
        <v>55.339812100263117</v>
      </c>
      <c r="AG9944" s="2">
        <f ca="1"/>
        <v>0.71538255111573057</v>
      </c>
      <c r="AH9944" s="2" t="str">
        <f ca="1"/>
        <v>Bad</v>
      </c>
    </row>
    <row r="9945" spans="2:34" x14ac:dyDescent="0.2">
      <c r="B9945" s="2">
        <f ca="1"/>
        <v>0.32953560355791955</v>
      </c>
      <c r="O9945" s="2">
        <f ca="1"/>
        <v>1.4389595948534857</v>
      </c>
      <c r="X9945" s="2">
        <f ca="1"/>
        <v>35.867594205965695</v>
      </c>
      <c r="AG9945" s="2">
        <f ca="1"/>
        <v>0.12331308205968305</v>
      </c>
      <c r="AH9945" s="2" t="str">
        <f ca="1"/>
        <v>OK</v>
      </c>
    </row>
    <row r="9946" spans="2:34" x14ac:dyDescent="0.2">
      <c r="B9946" s="2">
        <f ca="1"/>
        <v>0.42321688067117624</v>
      </c>
      <c r="O9946" s="2">
        <f ca="1"/>
        <v>-1.0056568129882828</v>
      </c>
      <c r="X9946" s="2">
        <f ca="1"/>
        <v>38.954587489196719</v>
      </c>
      <c r="AG9946" s="2">
        <f ca="1"/>
        <v>0.25342564045149785</v>
      </c>
      <c r="AH9946" s="2" t="str">
        <f ca="1"/>
        <v>OK</v>
      </c>
    </row>
    <row r="9947" spans="2:34" x14ac:dyDescent="0.2">
      <c r="B9947" s="2">
        <f ca="1"/>
        <v>0.34672376354972401</v>
      </c>
      <c r="O9947" s="2">
        <f ca="1"/>
        <v>0.16852985180990676</v>
      </c>
      <c r="X9947" s="2">
        <f ca="1"/>
        <v>51.534944351780148</v>
      </c>
      <c r="AG9947" s="2">
        <f ca="1"/>
        <v>0.96894777672087096</v>
      </c>
      <c r="AH9947" s="2" t="str">
        <f ca="1"/>
        <v>Bad</v>
      </c>
    </row>
    <row r="9948" spans="2:34" x14ac:dyDescent="0.2">
      <c r="B9948" s="2">
        <f ca="1"/>
        <v>0.49414752358037162</v>
      </c>
      <c r="O9948" s="2">
        <f ca="1"/>
        <v>-9.7881669007106667E-2</v>
      </c>
      <c r="X9948" s="2">
        <f ca="1"/>
        <v>36.145695243904328</v>
      </c>
      <c r="AG9948" s="2">
        <f ca="1"/>
        <v>0.79346150591761933</v>
      </c>
      <c r="AH9948" s="2" t="str">
        <f ca="1"/>
        <v>Bad</v>
      </c>
    </row>
    <row r="9949" spans="2:34" x14ac:dyDescent="0.2">
      <c r="B9949" s="2">
        <f ca="1"/>
        <v>0.13870107245822139</v>
      </c>
      <c r="O9949" s="2">
        <f ca="1"/>
        <v>0.64620964224112143</v>
      </c>
      <c r="X9949" s="2">
        <f ca="1"/>
        <v>51.997218709447125</v>
      </c>
      <c r="AG9949" s="2">
        <f ca="1"/>
        <v>0.51784173599903793</v>
      </c>
      <c r="AH9949" s="2" t="str">
        <f ca="1"/>
        <v>Bad</v>
      </c>
    </row>
    <row r="9950" spans="2:34" x14ac:dyDescent="0.2">
      <c r="B9950" s="2">
        <f ca="1"/>
        <v>0.66671353126548549</v>
      </c>
      <c r="O9950" s="2">
        <f ca="1"/>
        <v>1.2181729990506005</v>
      </c>
      <c r="X9950" s="2">
        <f ca="1"/>
        <v>37.80209526836542</v>
      </c>
      <c r="AG9950" s="2">
        <f ca="1"/>
        <v>0.58551737270959259</v>
      </c>
      <c r="AH9950" s="2" t="str">
        <f ca="1"/>
        <v>Bad</v>
      </c>
    </row>
    <row r="9951" spans="2:34" x14ac:dyDescent="0.2">
      <c r="B9951" s="2">
        <f ca="1"/>
        <v>0.9069373634667468</v>
      </c>
      <c r="O9951" s="2">
        <f ca="1"/>
        <v>3.0843482399219257</v>
      </c>
      <c r="X9951" s="2">
        <f ca="1"/>
        <v>54.006453646798356</v>
      </c>
      <c r="AG9951" s="2">
        <f ca="1"/>
        <v>0.67562258110538198</v>
      </c>
      <c r="AH9951" s="2" t="str">
        <f ca="1"/>
        <v>Bad</v>
      </c>
    </row>
    <row r="9952" spans="2:34" x14ac:dyDescent="0.2">
      <c r="B9952" s="2">
        <f ca="1"/>
        <v>0.61349500931849255</v>
      </c>
      <c r="O9952" s="2">
        <f ca="1"/>
        <v>2.2685865503199723</v>
      </c>
      <c r="X9952" s="2">
        <f ca="1"/>
        <v>57.632619664758025</v>
      </c>
      <c r="AG9952" s="2">
        <f ca="1"/>
        <v>0.66054505426438226</v>
      </c>
      <c r="AH9952" s="2" t="str">
        <f ca="1"/>
        <v>Bad</v>
      </c>
    </row>
    <row r="9953" spans="2:34" x14ac:dyDescent="0.2">
      <c r="B9953" s="2">
        <f ca="1"/>
        <v>0.14736063886586281</v>
      </c>
      <c r="O9953" s="2">
        <f ca="1"/>
        <v>-2.963357371341985</v>
      </c>
      <c r="X9953" s="2">
        <f ca="1"/>
        <v>53.683131191109624</v>
      </c>
      <c r="AG9953" s="2">
        <f ca="1"/>
        <v>0.57205718817940077</v>
      </c>
      <c r="AH9953" s="2" t="str">
        <f ca="1"/>
        <v>Bad</v>
      </c>
    </row>
    <row r="9954" spans="2:34" x14ac:dyDescent="0.2">
      <c r="B9954" s="2">
        <f ca="1"/>
        <v>0.88877537023608122</v>
      </c>
      <c r="O9954" s="2">
        <f ca="1"/>
        <v>0.62064541226195735</v>
      </c>
      <c r="X9954" s="2">
        <f ca="1"/>
        <v>41.78881908780015</v>
      </c>
      <c r="AG9954" s="2">
        <f ca="1"/>
        <v>6.9569333433845193E-2</v>
      </c>
      <c r="AH9954" s="2" t="str">
        <f ca="1"/>
        <v>OK</v>
      </c>
    </row>
    <row r="9955" spans="2:34" x14ac:dyDescent="0.2">
      <c r="B9955" s="2">
        <f ca="1"/>
        <v>0.96376460992033031</v>
      </c>
      <c r="O9955" s="2">
        <f ca="1"/>
        <v>1.313085330727392</v>
      </c>
      <c r="X9955" s="2">
        <f ca="1"/>
        <v>39.427145551914272</v>
      </c>
      <c r="AG9955" s="2">
        <f ca="1"/>
        <v>0.52242145561909026</v>
      </c>
      <c r="AH9955" s="2" t="str">
        <f ca="1"/>
        <v>Bad</v>
      </c>
    </row>
    <row r="9956" spans="2:34" x14ac:dyDescent="0.2">
      <c r="B9956" s="2">
        <f ca="1"/>
        <v>0.61776186099055352</v>
      </c>
      <c r="O9956" s="2">
        <f ca="1"/>
        <v>9.287982978909326E-2</v>
      </c>
      <c r="X9956" s="2">
        <f ca="1"/>
        <v>53.428475360122938</v>
      </c>
      <c r="AG9956" s="2">
        <f ca="1"/>
        <v>0.62166605237708827</v>
      </c>
      <c r="AH9956" s="2" t="str">
        <f ca="1"/>
        <v>Bad</v>
      </c>
    </row>
    <row r="9957" spans="2:34" x14ac:dyDescent="0.2">
      <c r="B9957" s="2">
        <f ca="1"/>
        <v>0.71869144306662536</v>
      </c>
      <c r="O9957" s="2">
        <f ca="1"/>
        <v>1.8284832890291102E-2</v>
      </c>
      <c r="X9957" s="2">
        <f ca="1"/>
        <v>38.137004327628176</v>
      </c>
      <c r="AG9957" s="2">
        <f ca="1"/>
        <v>0.47735110742723896</v>
      </c>
      <c r="AH9957" s="2" t="str">
        <f ca="1"/>
        <v>Bad</v>
      </c>
    </row>
    <row r="9958" spans="2:34" x14ac:dyDescent="0.2">
      <c r="B9958" s="2">
        <f ca="1"/>
        <v>0.88641598362492946</v>
      </c>
      <c r="O9958" s="2">
        <f ca="1"/>
        <v>-1.8231903274739609</v>
      </c>
      <c r="X9958" s="2">
        <f ca="1"/>
        <v>46.423137336189235</v>
      </c>
      <c r="AG9958" s="2">
        <f ca="1"/>
        <v>0.27717712275341944</v>
      </c>
      <c r="AH9958" s="2" t="str">
        <f ca="1"/>
        <v>OK</v>
      </c>
    </row>
    <row r="9959" spans="2:34" x14ac:dyDescent="0.2">
      <c r="B9959" s="2">
        <f ca="1"/>
        <v>0.14337679892096911</v>
      </c>
      <c r="O9959" s="2">
        <f ca="1"/>
        <v>-0.62116156964440461</v>
      </c>
      <c r="X9959" s="2">
        <f ca="1"/>
        <v>80.655168594303149</v>
      </c>
      <c r="AG9959" s="2">
        <f ca="1"/>
        <v>1.1803209570417472E-2</v>
      </c>
      <c r="AH9959" s="2" t="str">
        <f ca="1"/>
        <v>Good</v>
      </c>
    </row>
    <row r="9960" spans="2:34" x14ac:dyDescent="0.2">
      <c r="B9960" s="2">
        <f ca="1"/>
        <v>0.82931940620455769</v>
      </c>
      <c r="O9960" s="2">
        <f ca="1"/>
        <v>0.49414363487123902</v>
      </c>
      <c r="X9960" s="2">
        <f ca="1"/>
        <v>64.164739342773359</v>
      </c>
      <c r="AG9960" s="2">
        <f ca="1"/>
        <v>0.88335091119017006</v>
      </c>
      <c r="AH9960" s="2" t="str">
        <f ca="1"/>
        <v>Bad</v>
      </c>
    </row>
    <row r="9961" spans="2:34" x14ac:dyDescent="0.2">
      <c r="B9961" s="2">
        <f ca="1"/>
        <v>0.72530038091326876</v>
      </c>
      <c r="O9961" s="2">
        <f ca="1"/>
        <v>-1.5181002053403665</v>
      </c>
      <c r="X9961" s="2">
        <f ca="1"/>
        <v>48.970582403233195</v>
      </c>
      <c r="AG9961" s="2">
        <f ca="1"/>
        <v>5.4253991754216191E-3</v>
      </c>
      <c r="AH9961" s="2" t="str">
        <f ca="1"/>
        <v>Good</v>
      </c>
    </row>
    <row r="9962" spans="2:34" x14ac:dyDescent="0.2">
      <c r="B9962" s="2">
        <f ca="1"/>
        <v>0.73304947045689683</v>
      </c>
      <c r="O9962" s="2">
        <f ca="1"/>
        <v>-0.41394716710030904</v>
      </c>
      <c r="X9962" s="2">
        <f ca="1"/>
        <v>68.528491181100222</v>
      </c>
      <c r="AG9962" s="2">
        <f ca="1"/>
        <v>0.84621342184805526</v>
      </c>
      <c r="AH9962" s="2" t="str">
        <f ca="1"/>
        <v>Bad</v>
      </c>
    </row>
    <row r="9963" spans="2:34" x14ac:dyDescent="0.2">
      <c r="B9963" s="2">
        <f ca="1"/>
        <v>0.78121256410715167</v>
      </c>
      <c r="O9963" s="2">
        <f ca="1"/>
        <v>-0.1910337602776315</v>
      </c>
      <c r="X9963" s="2">
        <f ca="1"/>
        <v>43.847563709905693</v>
      </c>
      <c r="AG9963" s="2">
        <f ca="1"/>
        <v>0.84808036759864081</v>
      </c>
      <c r="AH9963" s="2" t="str">
        <f ca="1"/>
        <v>Bad</v>
      </c>
    </row>
    <row r="9964" spans="2:34" x14ac:dyDescent="0.2">
      <c r="B9964" s="2">
        <f ca="1"/>
        <v>0.33724004545663244</v>
      </c>
      <c r="O9964" s="2">
        <f ca="1"/>
        <v>-0.17134235875177423</v>
      </c>
      <c r="X9964" s="2">
        <f ca="1"/>
        <v>59.166328725448764</v>
      </c>
      <c r="AG9964" s="2">
        <f ca="1"/>
        <v>0.46641358157114499</v>
      </c>
      <c r="AH9964" s="2" t="str">
        <f ca="1"/>
        <v>Bad</v>
      </c>
    </row>
    <row r="9965" spans="2:34" x14ac:dyDescent="0.2">
      <c r="B9965" s="2">
        <f ca="1"/>
        <v>0.95334400586323031</v>
      </c>
      <c r="O9965" s="2">
        <f ca="1"/>
        <v>0.51931266710298551</v>
      </c>
      <c r="X9965" s="2">
        <f ca="1"/>
        <v>57.558191358151412</v>
      </c>
      <c r="AG9965" s="2">
        <f ca="1"/>
        <v>0.42473201221167001</v>
      </c>
      <c r="AH9965" s="2" t="str">
        <f ca="1"/>
        <v>Bad</v>
      </c>
    </row>
    <row r="9966" spans="2:34" x14ac:dyDescent="0.2">
      <c r="B9966" s="2">
        <f ca="1"/>
        <v>0.57460974840437151</v>
      </c>
      <c r="O9966" s="2">
        <f ca="1"/>
        <v>-0.21424429739528544</v>
      </c>
      <c r="X9966" s="2">
        <f ca="1"/>
        <v>26.778896840731225</v>
      </c>
      <c r="AG9966" s="2">
        <f ca="1"/>
        <v>0.17564342823295176</v>
      </c>
      <c r="AH9966" s="2" t="str">
        <f ca="1"/>
        <v>OK</v>
      </c>
    </row>
    <row r="9967" spans="2:34" x14ac:dyDescent="0.2">
      <c r="B9967" s="2">
        <f ca="1"/>
        <v>8.4169896950513801E-2</v>
      </c>
      <c r="O9967" s="2">
        <f ca="1"/>
        <v>0.30064474036084265</v>
      </c>
      <c r="X9967" s="2">
        <f ca="1"/>
        <v>102.22776262454087</v>
      </c>
      <c r="AG9967" s="2">
        <f ca="1"/>
        <v>0.40827671978244151</v>
      </c>
      <c r="AH9967" s="2" t="str">
        <f ca="1"/>
        <v>Bad</v>
      </c>
    </row>
    <row r="9968" spans="2:34" x14ac:dyDescent="0.2">
      <c r="B9968" s="2">
        <f ca="1"/>
        <v>0.66367394447856531</v>
      </c>
      <c r="O9968" s="2">
        <f ca="1"/>
        <v>0.48538628841313181</v>
      </c>
      <c r="X9968" s="2">
        <f ca="1"/>
        <v>63.049872756899106</v>
      </c>
      <c r="AG9968" s="2">
        <f ca="1"/>
        <v>8.8946512114712162E-2</v>
      </c>
      <c r="AH9968" s="2" t="str">
        <f ca="1"/>
        <v>OK</v>
      </c>
    </row>
    <row r="9969" spans="2:34" x14ac:dyDescent="0.2">
      <c r="B9969" s="2">
        <f ca="1"/>
        <v>0.78449687541783275</v>
      </c>
      <c r="O9969" s="2">
        <f ca="1"/>
        <v>2.4844706847905154</v>
      </c>
      <c r="X9969" s="2">
        <f ca="1"/>
        <v>51.094091011635271</v>
      </c>
      <c r="AG9969" s="2">
        <f ca="1"/>
        <v>0.27660698528232075</v>
      </c>
      <c r="AH9969" s="2" t="str">
        <f ca="1"/>
        <v>OK</v>
      </c>
    </row>
    <row r="9970" spans="2:34" x14ac:dyDescent="0.2">
      <c r="B9970" s="2">
        <f ca="1"/>
        <v>0.31957397993315095</v>
      </c>
      <c r="O9970" s="2">
        <f ca="1"/>
        <v>2.0311278125909116</v>
      </c>
      <c r="X9970" s="2">
        <f ca="1"/>
        <v>45.312801866018482</v>
      </c>
      <c r="AG9970" s="2">
        <f ca="1"/>
        <v>0.47800582889499355</v>
      </c>
      <c r="AH9970" s="2" t="str">
        <f ca="1"/>
        <v>Bad</v>
      </c>
    </row>
    <row r="9971" spans="2:34" x14ac:dyDescent="0.2">
      <c r="B9971" s="2">
        <f ca="1"/>
        <v>0.88752400388334807</v>
      </c>
      <c r="O9971" s="2">
        <f ca="1"/>
        <v>-0.58951546665773635</v>
      </c>
      <c r="X9971" s="2">
        <f ca="1"/>
        <v>78.226692117064104</v>
      </c>
      <c r="AG9971" s="2">
        <f ca="1"/>
        <v>4.0891841139718998E-2</v>
      </c>
      <c r="AH9971" s="2" t="str">
        <f ca="1"/>
        <v>Good</v>
      </c>
    </row>
    <row r="9972" spans="2:34" x14ac:dyDescent="0.2">
      <c r="B9972" s="2">
        <f ca="1"/>
        <v>9.4382917812086076E-2</v>
      </c>
      <c r="O9972" s="2">
        <f ca="1"/>
        <v>0.77867628620095453</v>
      </c>
      <c r="X9972" s="2">
        <f ca="1"/>
        <v>40.88711272399059</v>
      </c>
      <c r="AG9972" s="2">
        <f ca="1"/>
        <v>0.47071520289249125</v>
      </c>
      <c r="AH9972" s="2" t="str">
        <f ca="1"/>
        <v>Bad</v>
      </c>
    </row>
    <row r="9973" spans="2:34" x14ac:dyDescent="0.2">
      <c r="B9973" s="2">
        <f ca="1"/>
        <v>0.54752089249536096</v>
      </c>
      <c r="O9973" s="2">
        <f ca="1"/>
        <v>0.5236507199958893</v>
      </c>
      <c r="X9973" s="2">
        <f ca="1"/>
        <v>28.588096383281851</v>
      </c>
      <c r="AG9973" s="2">
        <f ca="1"/>
        <v>0.28238000810741037</v>
      </c>
      <c r="AH9973" s="2" t="str">
        <f ca="1"/>
        <v>OK</v>
      </c>
    </row>
    <row r="9974" spans="2:34" x14ac:dyDescent="0.2">
      <c r="B9974" s="2">
        <f ca="1"/>
        <v>7.5244736169853832E-2</v>
      </c>
      <c r="O9974" s="2">
        <f ca="1"/>
        <v>-0.63015293810219841</v>
      </c>
      <c r="X9974" s="2">
        <f ca="1"/>
        <v>58.095330509481599</v>
      </c>
      <c r="AG9974" s="2">
        <f ca="1"/>
        <v>0.42469894261660479</v>
      </c>
      <c r="AH9974" s="2" t="str">
        <f ca="1"/>
        <v>Bad</v>
      </c>
    </row>
    <row r="9975" spans="2:34" x14ac:dyDescent="0.2">
      <c r="B9975" s="2">
        <f ca="1"/>
        <v>0.20006337001146735</v>
      </c>
      <c r="O9975" s="2">
        <f ca="1"/>
        <v>0.55322912891996046</v>
      </c>
      <c r="X9975" s="2">
        <f ca="1"/>
        <v>32.017153573248315</v>
      </c>
      <c r="AG9975" s="2">
        <f ca="1"/>
        <v>0.32631426399382879</v>
      </c>
      <c r="AH9975" s="2" t="str">
        <f ca="1"/>
        <v>OK</v>
      </c>
    </row>
    <row r="9976" spans="2:34" x14ac:dyDescent="0.2">
      <c r="B9976" s="2">
        <f ca="1"/>
        <v>0.21541981451833059</v>
      </c>
      <c r="O9976" s="2">
        <f ca="1"/>
        <v>-1.3191761471645247</v>
      </c>
      <c r="X9976" s="2">
        <f ca="1"/>
        <v>87.75879464600186</v>
      </c>
      <c r="AG9976" s="2">
        <f ca="1"/>
        <v>0.34342096370811914</v>
      </c>
      <c r="AH9976" s="2" t="str">
        <f ca="1"/>
        <v>OK</v>
      </c>
    </row>
    <row r="9977" spans="2:34" x14ac:dyDescent="0.2">
      <c r="B9977" s="2">
        <f ca="1"/>
        <v>0.2213648872693168</v>
      </c>
      <c r="O9977" s="2">
        <f ca="1"/>
        <v>-0.32409219992926852</v>
      </c>
      <c r="X9977" s="2">
        <f ca="1"/>
        <v>81.679720774923069</v>
      </c>
      <c r="AG9977" s="2">
        <f ca="1"/>
        <v>0.45156907363020315</v>
      </c>
      <c r="AH9977" s="2" t="str">
        <f ca="1"/>
        <v>Bad</v>
      </c>
    </row>
    <row r="9978" spans="2:34" x14ac:dyDescent="0.2">
      <c r="B9978" s="2">
        <f ca="1"/>
        <v>0.39336735442143622</v>
      </c>
      <c r="O9978" s="2">
        <f ca="1"/>
        <v>-0.31844201518782206</v>
      </c>
      <c r="X9978" s="2">
        <f ca="1"/>
        <v>44.9940667677824</v>
      </c>
      <c r="AG9978" s="2">
        <f ca="1"/>
        <v>0.31396487455750588</v>
      </c>
      <c r="AH9978" s="2" t="str">
        <f ca="1"/>
        <v>OK</v>
      </c>
    </row>
    <row r="9979" spans="2:34" x14ac:dyDescent="0.2">
      <c r="B9979" s="2">
        <f ca="1"/>
        <v>6.7704988655848064E-2</v>
      </c>
      <c r="O9979" s="2">
        <f ca="1"/>
        <v>-0.84358133350728703</v>
      </c>
      <c r="X9979" s="2">
        <f ca="1"/>
        <v>47.714634572047032</v>
      </c>
      <c r="AG9979" s="2">
        <f ca="1"/>
        <v>0.93453774049145033</v>
      </c>
      <c r="AH9979" s="2" t="str">
        <f ca="1"/>
        <v>Bad</v>
      </c>
    </row>
    <row r="9980" spans="2:34" x14ac:dyDescent="0.2">
      <c r="B9980" s="2">
        <f ca="1"/>
        <v>0.67494553182641193</v>
      </c>
      <c r="O9980" s="2">
        <f ca="1"/>
        <v>0.46235064432257034</v>
      </c>
      <c r="X9980" s="2">
        <f ca="1"/>
        <v>66.469025618244004</v>
      </c>
      <c r="AG9980" s="2">
        <f ca="1"/>
        <v>0.41921206588598259</v>
      </c>
      <c r="AH9980" s="2" t="str">
        <f ca="1"/>
        <v>Bad</v>
      </c>
    </row>
    <row r="9981" spans="2:34" x14ac:dyDescent="0.2">
      <c r="B9981" s="2">
        <f ca="1"/>
        <v>0.8840145721467656</v>
      </c>
      <c r="O9981" s="2">
        <f ca="1"/>
        <v>-0.45478356673843978</v>
      </c>
      <c r="X9981" s="2">
        <f ca="1"/>
        <v>34.550642643510372</v>
      </c>
      <c r="AG9981" s="2">
        <f ca="1"/>
        <v>0.78062098395688406</v>
      </c>
      <c r="AH9981" s="2" t="str">
        <f ca="1"/>
        <v>Bad</v>
      </c>
    </row>
    <row r="9982" spans="2:34" x14ac:dyDescent="0.2">
      <c r="B9982" s="2">
        <f ca="1"/>
        <v>0.63343979061226219</v>
      </c>
      <c r="O9982" s="2">
        <f ca="1"/>
        <v>0.45541612097940598</v>
      </c>
      <c r="X9982" s="2">
        <f ca="1"/>
        <v>61.742344270172218</v>
      </c>
      <c r="AG9982" s="2">
        <f ca="1"/>
        <v>7.6740211295859728E-2</v>
      </c>
      <c r="AH9982" s="2" t="str">
        <f ca="1"/>
        <v>OK</v>
      </c>
    </row>
    <row r="9983" spans="2:34" x14ac:dyDescent="0.2">
      <c r="B9983" s="2">
        <f ca="1"/>
        <v>9.9698207199322653E-2</v>
      </c>
      <c r="O9983" s="2">
        <f ca="1"/>
        <v>-2.3570047340540383</v>
      </c>
      <c r="X9983" s="2">
        <f ca="1"/>
        <v>30.846871707380817</v>
      </c>
      <c r="AG9983" s="2">
        <f ca="1"/>
        <v>0.9710003846860642</v>
      </c>
      <c r="AH9983" s="2" t="str">
        <f ca="1"/>
        <v>Bad</v>
      </c>
    </row>
    <row r="9984" spans="2:34" x14ac:dyDescent="0.2">
      <c r="B9984" s="2">
        <f ca="1"/>
        <v>0.39139974767349428</v>
      </c>
      <c r="O9984" s="2">
        <f ca="1"/>
        <v>-0.77670510238624912</v>
      </c>
      <c r="X9984" s="2">
        <f ca="1"/>
        <v>65.074685552280243</v>
      </c>
      <c r="AG9984" s="2">
        <f ca="1"/>
        <v>0.92287310484195206</v>
      </c>
      <c r="AH9984" s="2" t="str">
        <f ca="1"/>
        <v>Bad</v>
      </c>
    </row>
    <row r="9985" spans="2:34" x14ac:dyDescent="0.2">
      <c r="B9985" s="2">
        <f ca="1"/>
        <v>0.86275776761076006</v>
      </c>
      <c r="O9985" s="2">
        <f ca="1"/>
        <v>-0.83764495527926508</v>
      </c>
      <c r="X9985" s="2">
        <f ca="1"/>
        <v>42.441858546383585</v>
      </c>
      <c r="AG9985" s="2">
        <f ca="1"/>
        <v>0.61906487045905223</v>
      </c>
      <c r="AH9985" s="2" t="str">
        <f ca="1"/>
        <v>Bad</v>
      </c>
    </row>
    <row r="9986" spans="2:34" x14ac:dyDescent="0.2">
      <c r="B9986" s="2">
        <f ca="1"/>
        <v>0.31247456606324664</v>
      </c>
      <c r="O9986" s="2">
        <f ca="1"/>
        <v>-0.14271765465692748</v>
      </c>
      <c r="X9986" s="2">
        <f ca="1"/>
        <v>59.219905614594722</v>
      </c>
      <c r="AG9986" s="2">
        <f ca="1"/>
        <v>0.10712718165134816</v>
      </c>
      <c r="AH9986" s="2" t="str">
        <f ca="1"/>
        <v>OK</v>
      </c>
    </row>
    <row r="9987" spans="2:34" x14ac:dyDescent="0.2">
      <c r="B9987" s="2">
        <f ca="1"/>
        <v>4.8371601540924125E-3</v>
      </c>
      <c r="O9987" s="2">
        <f ca="1"/>
        <v>0.97129457599786484</v>
      </c>
      <c r="X9987" s="2">
        <f ca="1"/>
        <v>44.205806519593622</v>
      </c>
      <c r="AG9987" s="2">
        <f ca="1"/>
        <v>0.19891698652836487</v>
      </c>
      <c r="AH9987" s="2" t="str">
        <f ca="1"/>
        <v>OK</v>
      </c>
    </row>
    <row r="9988" spans="2:34" x14ac:dyDescent="0.2">
      <c r="B9988" s="2">
        <f ca="1"/>
        <v>0.98910351946507458</v>
      </c>
      <c r="O9988" s="2">
        <f ca="1"/>
        <v>-0.8030466411689573</v>
      </c>
      <c r="X9988" s="2">
        <f ca="1"/>
        <v>61.8855407128097</v>
      </c>
      <c r="AG9988" s="2">
        <f ca="1"/>
        <v>0.97925187781657685</v>
      </c>
      <c r="AH9988" s="2" t="str">
        <f ca="1"/>
        <v>Bad</v>
      </c>
    </row>
    <row r="9989" spans="2:34" x14ac:dyDescent="0.2">
      <c r="B9989" s="2">
        <f ca="1"/>
        <v>0.51055394494997097</v>
      </c>
      <c r="O9989" s="2">
        <f ca="1"/>
        <v>0.53824427767826022</v>
      </c>
      <c r="X9989" s="2">
        <f ca="1"/>
        <v>53.530062735995536</v>
      </c>
      <c r="AG9989" s="2">
        <f ca="1"/>
        <v>0.17124973207707761</v>
      </c>
      <c r="AH9989" s="2" t="str">
        <f ca="1"/>
        <v>OK</v>
      </c>
    </row>
    <row r="9990" spans="2:34" x14ac:dyDescent="0.2">
      <c r="B9990" s="2">
        <f ca="1"/>
        <v>0.65592309272361748</v>
      </c>
      <c r="O9990" s="2">
        <f ca="1"/>
        <v>0.37712579214445069</v>
      </c>
      <c r="X9990" s="2">
        <f ca="1"/>
        <v>59.184000892025999</v>
      </c>
      <c r="AG9990" s="2">
        <f ca="1"/>
        <v>0.79383579549065364</v>
      </c>
      <c r="AH9990" s="2" t="str">
        <f ca="1"/>
        <v>Bad</v>
      </c>
    </row>
    <row r="9991" spans="2:34" x14ac:dyDescent="0.2">
      <c r="B9991" s="2">
        <f ca="1"/>
        <v>0.94133915394253376</v>
      </c>
      <c r="O9991" s="2">
        <f ca="1"/>
        <v>0.34330905606311501</v>
      </c>
      <c r="X9991" s="2">
        <f ca="1"/>
        <v>68.171318618296311</v>
      </c>
      <c r="AG9991" s="2">
        <f ca="1"/>
        <v>0.39611300283077933</v>
      </c>
      <c r="AH9991" s="2" t="str">
        <f ca="1"/>
        <v>OK</v>
      </c>
    </row>
    <row r="9992" spans="2:34" x14ac:dyDescent="0.2">
      <c r="B9992" s="2">
        <f ca="1"/>
        <v>0.83800753601661793</v>
      </c>
      <c r="O9992" s="2">
        <f ca="1"/>
        <v>0.75788643949244261</v>
      </c>
      <c r="X9992" s="2">
        <f ca="1"/>
        <v>38.659160416994268</v>
      </c>
      <c r="AG9992" s="2">
        <f ca="1"/>
        <v>0.2068122224634481</v>
      </c>
      <c r="AH9992" s="2" t="str">
        <f ca="1"/>
        <v>OK</v>
      </c>
    </row>
    <row r="9993" spans="2:34" x14ac:dyDescent="0.2">
      <c r="B9993" s="2">
        <f ca="1"/>
        <v>0.39563258884467944</v>
      </c>
      <c r="O9993" s="2">
        <f ca="1"/>
        <v>-1.966755599140487</v>
      </c>
      <c r="X9993" s="2">
        <f ca="1"/>
        <v>83.586279310096714</v>
      </c>
      <c r="AG9993" s="2">
        <f ca="1"/>
        <v>0.46322834530912327</v>
      </c>
      <c r="AH9993" s="2" t="str">
        <f ca="1"/>
        <v>Bad</v>
      </c>
    </row>
    <row r="9994" spans="2:34" x14ac:dyDescent="0.2">
      <c r="B9994" s="2">
        <f ca="1"/>
        <v>0.52920084645190157</v>
      </c>
      <c r="O9994" s="2">
        <f ca="1"/>
        <v>-0.15786233979467154</v>
      </c>
      <c r="X9994" s="2">
        <f ca="1"/>
        <v>42.624519898522365</v>
      </c>
      <c r="AG9994" s="2">
        <f ca="1"/>
        <v>0.54362862456546068</v>
      </c>
      <c r="AH9994" s="2" t="str">
        <f ca="1"/>
        <v>Bad</v>
      </c>
    </row>
    <row r="9995" spans="2:34" x14ac:dyDescent="0.2">
      <c r="B9995" s="2">
        <f ca="1"/>
        <v>0.3418757734330824</v>
      </c>
      <c r="O9995" s="2">
        <f ca="1"/>
        <v>-0.54443413803611229</v>
      </c>
      <c r="X9995" s="2">
        <f ca="1"/>
        <v>30.664418432495996</v>
      </c>
      <c r="AG9995" s="2">
        <f ca="1"/>
        <v>0.77447109674063563</v>
      </c>
      <c r="AH9995" s="2" t="str">
        <f ca="1"/>
        <v>Bad</v>
      </c>
    </row>
    <row r="9996" spans="2:34" x14ac:dyDescent="0.2">
      <c r="B9996" s="2">
        <f ca="1"/>
        <v>0.26877486673348927</v>
      </c>
      <c r="O9996" s="2">
        <f ca="1"/>
        <v>0.98675088683620027</v>
      </c>
      <c r="X9996" s="2">
        <f ca="1"/>
        <v>42.517149789361696</v>
      </c>
      <c r="AG9996" s="2">
        <f ca="1"/>
        <v>0.33943596818133637</v>
      </c>
      <c r="AH9996" s="2" t="str">
        <f ca="1"/>
        <v>OK</v>
      </c>
    </row>
    <row r="9997" spans="2:34" x14ac:dyDescent="0.2">
      <c r="B9997" s="2">
        <f ca="1"/>
        <v>0.85208540880205796</v>
      </c>
      <c r="O9997" s="2">
        <f ca="1"/>
        <v>-0.33644428187705361</v>
      </c>
      <c r="X9997" s="2">
        <f ca="1"/>
        <v>81.642898637335094</v>
      </c>
      <c r="AG9997" s="2">
        <f ca="1"/>
        <v>0.35467708495373063</v>
      </c>
      <c r="AH9997" s="2" t="str">
        <f ca="1"/>
        <v>OK</v>
      </c>
    </row>
    <row r="9998" spans="2:34" x14ac:dyDescent="0.2">
      <c r="B9998" s="2">
        <f ca="1"/>
        <v>0.198906392109645</v>
      </c>
      <c r="O9998" s="2">
        <f ca="1"/>
        <v>1.4768630658190378</v>
      </c>
      <c r="X9998" s="2">
        <f ca="1"/>
        <v>36.905933323807901</v>
      </c>
      <c r="AG9998" s="2">
        <f ca="1"/>
        <v>0.60921198953907174</v>
      </c>
      <c r="AH9998" s="2" t="str">
        <f ca="1"/>
        <v>Bad</v>
      </c>
    </row>
    <row r="9999" spans="2:34" x14ac:dyDescent="0.2">
      <c r="B9999" s="2">
        <f ca="1"/>
        <v>0.85944457016613285</v>
      </c>
      <c r="O9999" s="2">
        <f ca="1"/>
        <v>-0.74007891388018299</v>
      </c>
      <c r="X9999" s="2">
        <f ca="1"/>
        <v>35.1341060747393</v>
      </c>
      <c r="AG9999" s="2">
        <f ca="1"/>
        <v>0.95036451411975831</v>
      </c>
      <c r="AH9999" s="2" t="str">
        <f ca="1"/>
        <v>Bad</v>
      </c>
    </row>
    <row r="10000" spans="2:34" x14ac:dyDescent="0.2">
      <c r="B10000" s="2">
        <f ca="1"/>
        <v>0.9167146421307053</v>
      </c>
      <c r="O10000" s="2">
        <f ca="1"/>
        <v>-1.920852604213318</v>
      </c>
      <c r="X10000" s="2">
        <f ca="1"/>
        <v>30.350100545264581</v>
      </c>
      <c r="AG10000" s="2">
        <f ca="1"/>
        <v>0.42097902148593325</v>
      </c>
      <c r="AH10000" s="2" t="str">
        <f ca="1"/>
        <v>Bad</v>
      </c>
    </row>
    <row r="10001" spans="2:34" x14ac:dyDescent="0.2">
      <c r="B10001" s="2">
        <f ca="1"/>
        <v>0.62029657946852979</v>
      </c>
      <c r="O10001" s="2">
        <f ca="1"/>
        <v>-0.22140171303336595</v>
      </c>
      <c r="X10001" s="2">
        <f ca="1"/>
        <v>34.451148943618378</v>
      </c>
      <c r="AG10001" s="2">
        <f ca="1"/>
        <v>8.611212428990167E-2</v>
      </c>
      <c r="AH10001" s="2" t="str">
        <f ca="1"/>
        <v>OK</v>
      </c>
    </row>
    <row r="10002" spans="2:34" x14ac:dyDescent="0.2">
      <c r="B10002" s="2">
        <f ca="1"/>
        <v>0.74517996135509001</v>
      </c>
      <c r="O10002" s="2">
        <f ca="1"/>
        <v>-1.4120839318099287</v>
      </c>
      <c r="X10002" s="2">
        <f ca="1"/>
        <v>61.170862749117546</v>
      </c>
      <c r="AG10002" s="2">
        <f ca="1"/>
        <v>0.5745798806337683</v>
      </c>
      <c r="AH10002" s="2" t="str">
        <f ca="1"/>
        <v>Bad</v>
      </c>
    </row>
    <row r="10003" spans="2:34" x14ac:dyDescent="0.2">
      <c r="B10003" s="2">
        <f ca="1"/>
        <v>1.1926563772396426E-2</v>
      </c>
      <c r="O10003" s="2">
        <f ca="1"/>
        <v>-1.0144656092277977</v>
      </c>
      <c r="X10003" s="2">
        <f ca="1"/>
        <v>49.461495700341246</v>
      </c>
      <c r="AG10003" s="2">
        <f ca="1"/>
        <v>0.66670362227318591</v>
      </c>
      <c r="AH10003" s="2" t="str">
        <f ca="1"/>
        <v>Bad</v>
      </c>
    </row>
    <row r="10004" spans="2:34" x14ac:dyDescent="0.2">
      <c r="B10004" s="2">
        <f ca="1"/>
        <v>0.59895932664827289</v>
      </c>
      <c r="AG10004" s="2">
        <f ca="1"/>
        <v>0.58124416241789989</v>
      </c>
      <c r="AH10004" s="2" t="str">
        <f ca="1"/>
        <v>Bad</v>
      </c>
    </row>
    <row r="10005" spans="2:34" x14ac:dyDescent="0.2">
      <c r="B10005" s="2">
        <f ca="1"/>
        <v>0.47788874375858037</v>
      </c>
      <c r="AG10005" s="2">
        <f ca="1"/>
        <v>0.68825047098003767</v>
      </c>
      <c r="AH10005" s="2" t="str">
        <f ca="1"/>
        <v>Bad</v>
      </c>
    </row>
    <row r="10006" spans="2:34" x14ac:dyDescent="0.2">
      <c r="B10006" s="2">
        <f ca="1"/>
        <v>0.5061593315288222</v>
      </c>
      <c r="AG10006" s="2">
        <f ca="1"/>
        <v>5.120705136812731E-3</v>
      </c>
      <c r="AH10006" s="2" t="str">
        <f ca="1"/>
        <v>Good</v>
      </c>
    </row>
    <row r="10007" spans="2:34" x14ac:dyDescent="0.2">
      <c r="B10007" s="2">
        <f ca="1"/>
        <v>0.57766805751450656</v>
      </c>
      <c r="AG10007" s="2">
        <f ca="1"/>
        <v>0.68829290093592399</v>
      </c>
      <c r="AH10007" s="2" t="str">
        <f ca="1"/>
        <v>Bad</v>
      </c>
    </row>
    <row r="10008" spans="2:34" x14ac:dyDescent="0.2">
      <c r="B10008" s="2">
        <f ca="1"/>
        <v>0.55850632639118847</v>
      </c>
    </row>
    <row r="10009" spans="2:34" x14ac:dyDescent="0.2">
      <c r="B10009" s="2">
        <f ca="1"/>
        <v>0.77481494760254921</v>
      </c>
    </row>
    <row r="10010" spans="2:34" x14ac:dyDescent="0.2">
      <c r="B10010" s="2">
        <f ca="1"/>
        <v>0.9027823312718346</v>
      </c>
    </row>
    <row r="10011" spans="2:34" x14ac:dyDescent="0.2">
      <c r="B10011" s="2">
        <f ca="1"/>
        <v>4.7892356876450437E-2</v>
      </c>
    </row>
    <row r="10012" spans="2:34" x14ac:dyDescent="0.2">
      <c r="B10012" s="2">
        <f ca="1"/>
        <v>0.5018362616888512</v>
      </c>
    </row>
    <row r="10013" spans="2:34" x14ac:dyDescent="0.2">
      <c r="B10013" s="2">
        <f ca="1"/>
        <v>0.3668522781237018</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B44A3-47FF-42CC-871D-4995B392C4AA}">
  <sheetPr codeName="Sheet10"/>
  <dimension ref="A1:BA38"/>
  <sheetViews>
    <sheetView tabSelected="1" workbookViewId="0">
      <selection activeCell="G179" sqref="G179"/>
    </sheetView>
  </sheetViews>
  <sheetFormatPr baseColWidth="10" defaultColWidth="8.83203125" defaultRowHeight="16" x14ac:dyDescent="0.2"/>
  <cols>
    <col min="2" max="2" width="9.5" customWidth="1"/>
    <col min="13" max="13" width="13.6640625" bestFit="1" customWidth="1"/>
  </cols>
  <sheetData>
    <row r="1" spans="1:53" x14ac:dyDescent="0.2">
      <c r="A1" s="101"/>
      <c r="B1" s="1"/>
      <c r="C1" s="1"/>
      <c r="D1" s="1"/>
      <c r="E1" s="1"/>
      <c r="F1" s="102"/>
      <c r="G1" s="101"/>
      <c r="H1" s="1"/>
      <c r="I1" s="1"/>
      <c r="J1" s="1"/>
      <c r="K1" s="1"/>
      <c r="L1" s="101"/>
      <c r="M1" s="1"/>
      <c r="N1" s="1"/>
      <c r="O1" s="1"/>
      <c r="P1" s="1"/>
      <c r="Q1" s="1"/>
      <c r="R1" s="1"/>
      <c r="S1" s="1"/>
      <c r="T1" s="1"/>
      <c r="U1" s="101"/>
      <c r="V1" s="1"/>
      <c r="W1" s="1"/>
      <c r="X1" s="1"/>
      <c r="Y1" s="1"/>
      <c r="Z1" s="1"/>
      <c r="AA1" s="102"/>
    </row>
    <row r="2" spans="1:53" x14ac:dyDescent="0.2">
      <c r="A2" s="103"/>
      <c r="B2" s="12" t="s">
        <v>283</v>
      </c>
      <c r="F2" s="104"/>
      <c r="G2" s="103"/>
      <c r="H2" s="12" t="s">
        <v>292</v>
      </c>
      <c r="L2" s="103"/>
      <c r="M2" s="12" t="s">
        <v>295</v>
      </c>
      <c r="U2" s="103"/>
      <c r="V2" s="12" t="s">
        <v>300</v>
      </c>
      <c r="AA2" s="104"/>
      <c r="AC2" s="12" t="s">
        <v>303</v>
      </c>
    </row>
    <row r="3" spans="1:53" x14ac:dyDescent="0.2">
      <c r="A3" s="103"/>
      <c r="F3" s="104"/>
      <c r="G3" s="103"/>
      <c r="L3" s="103"/>
      <c r="U3" s="103"/>
      <c r="AA3" s="104"/>
      <c r="AF3" s="116" t="s">
        <v>305</v>
      </c>
    </row>
    <row r="4" spans="1:53" x14ac:dyDescent="0.2">
      <c r="A4" s="103"/>
      <c r="B4" t="str" cm="1">
        <f t="array" ref="B4:E8">lossratios</f>
        <v>Loss ratios</v>
      </c>
      <c r="C4" t="str">
        <v>NSW</v>
      </c>
      <c r="D4" t="str">
        <v>VIC</v>
      </c>
      <c r="E4" t="str">
        <v>ACT</v>
      </c>
      <c r="F4" s="104"/>
      <c r="G4" s="103"/>
      <c r="L4" s="103"/>
      <c r="M4" t="str" cm="1">
        <f t="array" ref="M4:P8">lossratios</f>
        <v>Loss ratios</v>
      </c>
      <c r="N4" t="str">
        <v>NSW</v>
      </c>
      <c r="O4" t="str">
        <v>VIC</v>
      </c>
      <c r="P4" t="str">
        <v>ACT</v>
      </c>
      <c r="U4" s="103"/>
      <c r="V4" t="str" cm="1">
        <f t="array" ref="V4:W16">monthly_profit</f>
        <v>Month</v>
      </c>
      <c r="W4" t="str">
        <v>Profit</v>
      </c>
      <c r="AA4" s="104"/>
      <c r="AC4" s="2" t="s">
        <v>304</v>
      </c>
      <c r="AD4" s="2"/>
      <c r="AE4" s="2"/>
      <c r="AF4" s="2"/>
      <c r="AG4" s="2"/>
      <c r="AH4" s="2"/>
      <c r="AI4" s="2"/>
      <c r="AJ4" s="2"/>
      <c r="AL4" t="s">
        <v>306</v>
      </c>
    </row>
    <row r="5" spans="1:53" s="112" customFormat="1" ht="24" x14ac:dyDescent="0.3">
      <c r="A5" s="103"/>
      <c r="B5" t="str">
        <v>Motor</v>
      </c>
      <c r="C5">
        <v>0.92900000000000005</v>
      </c>
      <c r="D5">
        <v>0.76500000000000001</v>
      </c>
      <c r="E5">
        <v>0.94099999999999995</v>
      </c>
      <c r="F5" s="104"/>
      <c r="G5" s="103"/>
      <c r="H5" s="2" t="s">
        <v>293</v>
      </c>
      <c r="I5" s="2"/>
      <c r="J5" s="2"/>
      <c r="K5"/>
      <c r="L5" s="103"/>
      <c r="M5" t="str">
        <v>Motor</v>
      </c>
      <c r="N5">
        <v>0.92900000000000005</v>
      </c>
      <c r="O5">
        <v>0.76500000000000001</v>
      </c>
      <c r="P5">
        <v>0.94099999999999995</v>
      </c>
      <c r="U5" s="114"/>
      <c r="V5" t="str">
        <v>Jan</v>
      </c>
      <c r="W5">
        <v>624</v>
      </c>
      <c r="AA5" s="113"/>
      <c r="AB5"/>
      <c r="AC5" s="2"/>
      <c r="AD5" s="2"/>
      <c r="AE5" s="2"/>
      <c r="AF5" s="2"/>
      <c r="AG5" s="2"/>
      <c r="AH5" s="2"/>
      <c r="AI5" s="2"/>
      <c r="AJ5" s="2"/>
      <c r="AK5"/>
      <c r="AL5" s="2"/>
      <c r="AM5" s="2"/>
      <c r="AN5" s="2"/>
      <c r="AO5" s="2"/>
      <c r="AP5" s="2"/>
      <c r="AQ5" s="2"/>
      <c r="AR5" s="2"/>
      <c r="AS5"/>
      <c r="AT5"/>
      <c r="AU5"/>
      <c r="AV5"/>
      <c r="AW5"/>
      <c r="AX5"/>
      <c r="AY5"/>
      <c r="AZ5"/>
      <c r="BA5"/>
    </row>
    <row r="6" spans="1:53" ht="24" x14ac:dyDescent="0.3">
      <c r="A6" s="103"/>
      <c r="B6" t="str">
        <v>Liability</v>
      </c>
      <c r="C6">
        <v>0.61199999999999999</v>
      </c>
      <c r="D6">
        <v>0.76100000000000001</v>
      </c>
      <c r="E6">
        <v>1.093</v>
      </c>
      <c r="F6" s="113"/>
      <c r="G6" s="114"/>
      <c r="H6" s="112"/>
      <c r="I6" s="112"/>
      <c r="J6" s="112"/>
      <c r="K6" s="112"/>
      <c r="L6" s="114"/>
      <c r="M6" t="str">
        <v>Liability</v>
      </c>
      <c r="N6">
        <v>0.61199999999999999</v>
      </c>
      <c r="O6">
        <v>0.76100000000000001</v>
      </c>
      <c r="P6">
        <v>1.093</v>
      </c>
      <c r="U6" s="103"/>
      <c r="V6" t="str">
        <v>Feb</v>
      </c>
      <c r="W6">
        <v>390</v>
      </c>
      <c r="AA6" s="104"/>
      <c r="AE6" s="2"/>
      <c r="AF6" s="2"/>
      <c r="AG6" s="2"/>
      <c r="AH6" s="2"/>
      <c r="AI6" s="2"/>
      <c r="AJ6" s="2"/>
      <c r="AN6" s="2"/>
      <c r="AO6" s="2"/>
      <c r="AP6" s="2"/>
      <c r="AQ6" s="2"/>
      <c r="AR6" s="2"/>
    </row>
    <row r="7" spans="1:53" x14ac:dyDescent="0.2">
      <c r="A7" s="103"/>
      <c r="B7" t="str">
        <v>Life</v>
      </c>
      <c r="C7">
        <v>0.871</v>
      </c>
      <c r="D7">
        <v>0.92800000000000005</v>
      </c>
      <c r="E7">
        <v>0.65900000000000003</v>
      </c>
      <c r="F7" s="104"/>
      <c r="G7" s="103"/>
      <c r="L7" s="103"/>
      <c r="M7" t="str">
        <v>Life</v>
      </c>
      <c r="N7">
        <v>0.871</v>
      </c>
      <c r="O7">
        <v>0.92800000000000005</v>
      </c>
      <c r="P7">
        <v>0.65900000000000003</v>
      </c>
      <c r="U7" s="103"/>
      <c r="V7" t="str">
        <v>Mar</v>
      </c>
      <c r="W7">
        <v>1000</v>
      </c>
      <c r="AA7" s="104"/>
      <c r="AE7" s="2"/>
      <c r="AF7" s="2"/>
      <c r="AG7" s="2"/>
      <c r="AH7" s="2"/>
      <c r="AI7" s="2"/>
      <c r="AJ7" s="2"/>
      <c r="AN7" s="2"/>
      <c r="AO7" s="2"/>
      <c r="AP7" s="2"/>
      <c r="AQ7" s="2"/>
      <c r="AR7" s="2"/>
    </row>
    <row r="8" spans="1:53" ht="24" x14ac:dyDescent="0.3">
      <c r="A8" s="103"/>
      <c r="B8" t="str">
        <v>Property</v>
      </c>
      <c r="C8">
        <v>1.0489999999999999</v>
      </c>
      <c r="D8">
        <v>0.67500000000000004</v>
      </c>
      <c r="E8">
        <v>0.96699999999999997</v>
      </c>
      <c r="F8" s="113"/>
      <c r="G8" s="114"/>
      <c r="H8" s="112"/>
      <c r="I8" s="112"/>
      <c r="J8" s="112"/>
      <c r="K8" s="112"/>
      <c r="L8" s="114"/>
      <c r="M8" t="str">
        <v>Property</v>
      </c>
      <c r="N8">
        <v>1.0489999999999999</v>
      </c>
      <c r="O8">
        <v>0.67500000000000004</v>
      </c>
      <c r="P8">
        <v>0.96699999999999997</v>
      </c>
      <c r="U8" s="103"/>
      <c r="V8" t="str">
        <v>Apr</v>
      </c>
      <c r="W8">
        <v>250</v>
      </c>
      <c r="AA8" s="104"/>
      <c r="AE8" s="2"/>
      <c r="AF8" s="2"/>
      <c r="AG8" s="2"/>
      <c r="AH8" s="2"/>
      <c r="AI8" s="2"/>
      <c r="AJ8" s="2"/>
      <c r="AN8" s="2"/>
      <c r="AO8" s="2"/>
      <c r="AP8" s="2"/>
      <c r="AQ8" s="2"/>
      <c r="AR8" s="2"/>
    </row>
    <row r="9" spans="1:53" x14ac:dyDescent="0.2">
      <c r="A9" s="103"/>
      <c r="F9" s="104"/>
      <c r="G9" s="103"/>
      <c r="H9" s="2" t="s">
        <v>294</v>
      </c>
      <c r="I9" s="2"/>
      <c r="J9" s="2"/>
      <c r="L9" s="103"/>
      <c r="U9" s="103"/>
      <c r="V9" t="str">
        <v>May</v>
      </c>
      <c r="W9">
        <v>439</v>
      </c>
      <c r="AA9" s="104"/>
      <c r="AE9" s="2"/>
      <c r="AF9" s="2"/>
      <c r="AG9" s="2"/>
      <c r="AH9" s="2"/>
      <c r="AI9" s="2"/>
      <c r="AJ9" s="2"/>
      <c r="AN9" s="2"/>
      <c r="AO9" s="2"/>
      <c r="AP9" s="2"/>
      <c r="AQ9" s="2"/>
      <c r="AR9" s="2"/>
    </row>
    <row r="10" spans="1:53" x14ac:dyDescent="0.2">
      <c r="A10" s="103"/>
      <c r="B10" s="2" t="s">
        <v>284</v>
      </c>
      <c r="C10" s="2"/>
      <c r="D10" s="2"/>
      <c r="E10" s="2"/>
      <c r="F10" s="104"/>
      <c r="G10" s="103"/>
      <c r="L10" s="103"/>
      <c r="M10" s="2" t="s">
        <v>296</v>
      </c>
      <c r="N10" s="2"/>
      <c r="O10" s="2"/>
      <c r="P10" s="2"/>
      <c r="Q10" s="2"/>
      <c r="R10" s="2"/>
      <c r="S10" s="2"/>
      <c r="U10" s="103"/>
      <c r="V10" t="str">
        <v>Jun</v>
      </c>
      <c r="W10">
        <v>109</v>
      </c>
      <c r="AA10" s="104"/>
      <c r="AE10" s="2"/>
      <c r="AF10" s="2"/>
      <c r="AG10" s="2"/>
      <c r="AH10" s="2"/>
      <c r="AI10" s="2"/>
      <c r="AJ10" s="2"/>
      <c r="AN10" s="2"/>
      <c r="AO10" s="2"/>
      <c r="AP10" s="2"/>
      <c r="AQ10" s="2"/>
      <c r="AR10" s="2"/>
    </row>
    <row r="11" spans="1:53" x14ac:dyDescent="0.2">
      <c r="A11" s="105"/>
      <c r="B11" s="66"/>
      <c r="C11" s="66"/>
      <c r="D11" s="66"/>
      <c r="E11" s="66"/>
      <c r="F11" s="106"/>
      <c r="G11" s="105"/>
      <c r="H11" s="66"/>
      <c r="I11" s="66"/>
      <c r="J11" s="66"/>
      <c r="K11" s="66"/>
      <c r="L11" s="103"/>
      <c r="M11" s="2" t="s">
        <v>297</v>
      </c>
      <c r="N11" s="2"/>
      <c r="O11" s="2"/>
      <c r="P11" s="2"/>
      <c r="Q11" s="2"/>
      <c r="R11" s="2"/>
      <c r="S11" s="2"/>
      <c r="U11" s="103"/>
      <c r="V11" t="str">
        <v>Jul</v>
      </c>
      <c r="W11">
        <v>530</v>
      </c>
      <c r="AA11" s="104"/>
      <c r="AE11" s="2"/>
      <c r="AF11" s="2"/>
      <c r="AG11" s="2"/>
      <c r="AH11" s="2"/>
      <c r="AI11" s="2"/>
      <c r="AJ11" s="2"/>
      <c r="AN11" s="2"/>
      <c r="AO11" s="2"/>
      <c r="AP11" s="2"/>
      <c r="AQ11" s="2"/>
      <c r="AR11" s="2"/>
    </row>
    <row r="12" spans="1:53" x14ac:dyDescent="0.2">
      <c r="L12" s="103"/>
      <c r="M12" s="2"/>
      <c r="N12" s="2"/>
      <c r="O12" s="2"/>
      <c r="P12" s="2"/>
      <c r="Q12" s="2"/>
      <c r="R12" s="2"/>
      <c r="S12" s="2"/>
      <c r="U12" s="103"/>
      <c r="V12" t="str">
        <v>Aug</v>
      </c>
      <c r="W12">
        <v>123</v>
      </c>
      <c r="AA12" s="104"/>
      <c r="AE12" s="2"/>
      <c r="AF12" s="2"/>
      <c r="AG12" s="2"/>
      <c r="AH12" s="2"/>
      <c r="AI12" s="2"/>
      <c r="AJ12" s="2"/>
      <c r="AN12" s="2"/>
      <c r="AO12" s="2"/>
      <c r="AP12" s="2"/>
      <c r="AQ12" s="2"/>
      <c r="AR12" s="2"/>
    </row>
    <row r="13" spans="1:53" x14ac:dyDescent="0.2">
      <c r="A13" s="101"/>
      <c r="B13" s="111" t="s">
        <v>285</v>
      </c>
      <c r="C13" s="1"/>
      <c r="D13" s="1"/>
      <c r="E13" s="1"/>
      <c r="F13" s="1"/>
      <c r="G13" s="1"/>
      <c r="H13" s="1"/>
      <c r="I13" s="1"/>
      <c r="J13" s="1"/>
      <c r="K13" s="1"/>
      <c r="L13" s="103"/>
      <c r="M13" s="2"/>
      <c r="N13" s="2"/>
      <c r="O13" s="2"/>
      <c r="P13" s="2"/>
      <c r="Q13" s="2"/>
      <c r="R13" s="2"/>
      <c r="S13" s="2"/>
      <c r="U13" s="103"/>
      <c r="V13" t="str">
        <v>Sep</v>
      </c>
      <c r="W13">
        <v>5345</v>
      </c>
      <c r="AA13" s="104"/>
      <c r="AE13" s="2"/>
      <c r="AF13" s="2"/>
      <c r="AG13" s="2"/>
      <c r="AH13" s="2"/>
      <c r="AI13" s="2"/>
      <c r="AJ13" s="2"/>
      <c r="AN13" s="2"/>
      <c r="AO13" s="2"/>
      <c r="AP13" s="2"/>
      <c r="AQ13" s="2"/>
      <c r="AR13" s="2"/>
    </row>
    <row r="14" spans="1:53" x14ac:dyDescent="0.2">
      <c r="A14" s="103"/>
      <c r="L14" s="103"/>
      <c r="U14" s="103"/>
      <c r="V14" t="str">
        <v>Oct</v>
      </c>
      <c r="W14">
        <v>312</v>
      </c>
      <c r="AA14" s="104"/>
      <c r="AE14" s="2"/>
      <c r="AF14" s="2"/>
      <c r="AG14" s="2"/>
      <c r="AH14" s="2"/>
      <c r="AI14" s="2"/>
      <c r="AJ14" s="2"/>
      <c r="AN14" s="2"/>
      <c r="AO14" s="2"/>
      <c r="AP14" s="2"/>
      <c r="AQ14" s="2"/>
      <c r="AR14" s="2"/>
    </row>
    <row r="15" spans="1:53" ht="24" x14ac:dyDescent="0.3">
      <c r="A15" s="103"/>
      <c r="B15" t="str" cm="1">
        <f t="array" ref="B15:C27">monthly_profit</f>
        <v>Month</v>
      </c>
      <c r="C15" t="str">
        <v>Profit</v>
      </c>
      <c r="E15" t="s">
        <v>299</v>
      </c>
      <c r="K15" s="113"/>
      <c r="L15" s="114"/>
      <c r="M15" s="115" t="s">
        <v>298</v>
      </c>
      <c r="N15" s="2"/>
      <c r="O15" s="2"/>
      <c r="P15" s="2"/>
      <c r="Q15" s="2"/>
      <c r="R15" s="2"/>
      <c r="S15" s="2"/>
      <c r="U15" s="103"/>
      <c r="V15" t="str">
        <v>Nov</v>
      </c>
      <c r="W15">
        <v>98</v>
      </c>
      <c r="AA15" s="104"/>
      <c r="AE15" s="2"/>
      <c r="AF15" s="2"/>
      <c r="AG15" s="2"/>
      <c r="AH15" s="2"/>
      <c r="AI15" s="2"/>
      <c r="AJ15" s="2"/>
      <c r="AN15" s="2"/>
      <c r="AO15" s="2"/>
      <c r="AP15" s="2"/>
      <c r="AQ15" s="2"/>
      <c r="AR15" s="2"/>
    </row>
    <row r="16" spans="1:53" x14ac:dyDescent="0.2">
      <c r="A16" s="103"/>
      <c r="B16" t="str">
        <v>Jan</v>
      </c>
      <c r="C16">
        <v>624</v>
      </c>
      <c r="K16" s="104"/>
      <c r="L16" s="103"/>
      <c r="M16" s="2"/>
      <c r="N16" s="2"/>
      <c r="O16" s="2"/>
      <c r="P16" s="2"/>
      <c r="Q16" s="2"/>
      <c r="R16" s="2"/>
      <c r="S16" s="2"/>
      <c r="U16" s="103"/>
      <c r="V16" t="str">
        <v>Dec</v>
      </c>
      <c r="W16">
        <v>672</v>
      </c>
      <c r="AA16" s="104"/>
      <c r="AN16" s="2"/>
      <c r="AO16" s="2"/>
      <c r="AP16" s="2"/>
      <c r="AQ16" s="2"/>
      <c r="AR16" s="2"/>
    </row>
    <row r="17" spans="1:44" ht="24" x14ac:dyDescent="0.3">
      <c r="A17" s="114"/>
      <c r="B17" t="str">
        <v>Feb</v>
      </c>
      <c r="C17">
        <v>390</v>
      </c>
      <c r="K17" s="104"/>
      <c r="L17" s="103"/>
      <c r="M17" s="2"/>
      <c r="N17" s="2"/>
      <c r="O17" s="2"/>
      <c r="P17" s="2"/>
      <c r="Q17" s="2"/>
      <c r="R17" s="2"/>
      <c r="S17" s="2"/>
      <c r="U17" s="103"/>
      <c r="AA17" s="104"/>
      <c r="AN17" s="2"/>
      <c r="AO17" s="2"/>
      <c r="AP17" s="2"/>
      <c r="AQ17" s="2"/>
      <c r="AR17" s="2"/>
    </row>
    <row r="18" spans="1:44" s="112" customFormat="1" ht="24" x14ac:dyDescent="0.3">
      <c r="A18" s="103"/>
      <c r="B18" t="str">
        <v>Mar</v>
      </c>
      <c r="C18">
        <v>1000</v>
      </c>
      <c r="D18"/>
      <c r="E18"/>
      <c r="F18"/>
      <c r="G18"/>
      <c r="H18"/>
      <c r="I18"/>
      <c r="J18"/>
      <c r="K18" s="113"/>
      <c r="L18" s="114"/>
      <c r="M18" s="115"/>
      <c r="N18" s="115"/>
      <c r="O18" s="115"/>
      <c r="P18" s="115"/>
      <c r="Q18" s="115"/>
      <c r="R18" s="115"/>
      <c r="S18" s="115"/>
      <c r="U18" s="114"/>
      <c r="V18" s="2" t="s">
        <v>301</v>
      </c>
      <c r="W18" s="2"/>
      <c r="X18" s="2"/>
      <c r="Y18" s="2"/>
      <c r="Z18" s="2"/>
      <c r="AA18" s="113"/>
      <c r="AB18"/>
      <c r="AC18"/>
      <c r="AL18"/>
      <c r="AN18" s="115"/>
      <c r="AO18" s="115"/>
      <c r="AP18" s="115"/>
      <c r="AQ18" s="115"/>
      <c r="AR18" s="115"/>
    </row>
    <row r="19" spans="1:44" x14ac:dyDescent="0.2">
      <c r="A19" s="103"/>
      <c r="B19" t="str">
        <v>Apr</v>
      </c>
      <c r="C19">
        <v>250</v>
      </c>
      <c r="K19" s="104"/>
      <c r="L19" s="103"/>
      <c r="M19" s="2"/>
      <c r="N19" s="2"/>
      <c r="O19" s="2"/>
      <c r="P19" s="2"/>
      <c r="Q19" s="2"/>
      <c r="R19" s="2"/>
      <c r="S19" s="2"/>
      <c r="U19" s="103"/>
      <c r="V19" s="2" t="s">
        <v>302</v>
      </c>
      <c r="W19" s="2"/>
      <c r="X19" s="2"/>
      <c r="Y19" s="2"/>
      <c r="Z19" s="2"/>
      <c r="AA19" s="104"/>
    </row>
    <row r="20" spans="1:44" x14ac:dyDescent="0.2">
      <c r="A20" s="103"/>
      <c r="B20" t="str">
        <v>May</v>
      </c>
      <c r="C20">
        <v>439</v>
      </c>
      <c r="K20" s="104"/>
      <c r="L20" s="103"/>
      <c r="M20" s="2"/>
      <c r="N20" s="2"/>
      <c r="O20" s="2"/>
      <c r="P20" s="2"/>
      <c r="Q20" s="2"/>
      <c r="R20" s="2"/>
      <c r="S20" s="2"/>
      <c r="U20" s="103"/>
      <c r="V20" s="2"/>
      <c r="W20" s="2"/>
      <c r="X20" s="2"/>
      <c r="Y20" s="2"/>
      <c r="Z20" s="2"/>
      <c r="AA20" s="104"/>
    </row>
    <row r="21" spans="1:44" x14ac:dyDescent="0.2">
      <c r="A21" s="103"/>
      <c r="B21" t="str">
        <v>Jun</v>
      </c>
      <c r="C21">
        <v>109</v>
      </c>
      <c r="K21" s="104"/>
      <c r="L21" s="103"/>
      <c r="M21" s="2"/>
      <c r="N21" s="2"/>
      <c r="O21" s="2"/>
      <c r="P21" s="2"/>
      <c r="Q21" s="2"/>
      <c r="R21" s="2"/>
      <c r="S21" s="2"/>
      <c r="U21" s="103"/>
      <c r="V21" s="2"/>
      <c r="W21" s="2"/>
      <c r="X21" s="2"/>
      <c r="Y21" s="2"/>
      <c r="Z21" s="2"/>
      <c r="AA21" s="104"/>
    </row>
    <row r="22" spans="1:44" x14ac:dyDescent="0.2">
      <c r="A22" s="103"/>
      <c r="B22" t="str">
        <v>Jul</v>
      </c>
      <c r="C22">
        <v>530</v>
      </c>
      <c r="K22" s="104"/>
      <c r="L22" s="103"/>
      <c r="M22" s="2"/>
      <c r="N22" s="2"/>
      <c r="O22" s="2"/>
      <c r="P22" s="2"/>
      <c r="Q22" s="2"/>
      <c r="R22" s="2"/>
      <c r="S22" s="2"/>
      <c r="U22" s="103"/>
      <c r="V22" s="2"/>
      <c r="W22" s="2"/>
      <c r="X22" s="2"/>
      <c r="Y22" s="2"/>
      <c r="Z22" s="2"/>
      <c r="AA22" s="104"/>
    </row>
    <row r="23" spans="1:44" x14ac:dyDescent="0.2">
      <c r="A23" s="103"/>
      <c r="B23" t="str">
        <v>Aug</v>
      </c>
      <c r="C23">
        <v>123</v>
      </c>
      <c r="K23" s="104"/>
      <c r="L23" s="103"/>
      <c r="M23" s="2"/>
      <c r="N23" s="2"/>
      <c r="O23" s="2"/>
      <c r="P23" s="2"/>
      <c r="Q23" s="2"/>
      <c r="R23" s="2"/>
      <c r="S23" s="2"/>
      <c r="U23" s="103"/>
      <c r="V23" s="2"/>
      <c r="W23" s="2"/>
      <c r="X23" s="2"/>
      <c r="Y23" s="2"/>
      <c r="Z23" s="2"/>
      <c r="AA23" s="104"/>
    </row>
    <row r="24" spans="1:44" x14ac:dyDescent="0.2">
      <c r="A24" s="103"/>
      <c r="B24" t="str">
        <v>Sep</v>
      </c>
      <c r="C24">
        <v>5345</v>
      </c>
      <c r="K24" s="104"/>
      <c r="L24" s="103"/>
      <c r="M24" s="2"/>
      <c r="N24" s="2"/>
      <c r="O24" s="2"/>
      <c r="P24" s="2"/>
      <c r="Q24" s="2"/>
      <c r="R24" s="2"/>
      <c r="S24" s="2"/>
      <c r="U24" s="103"/>
      <c r="V24" s="2"/>
      <c r="W24" s="2"/>
      <c r="X24" s="2"/>
      <c r="Y24" s="2"/>
      <c r="Z24" s="2"/>
      <c r="AA24" s="104"/>
    </row>
    <row r="25" spans="1:44" x14ac:dyDescent="0.2">
      <c r="A25" s="103"/>
      <c r="B25" t="str">
        <v>Oct</v>
      </c>
      <c r="C25">
        <v>312</v>
      </c>
      <c r="K25" s="104"/>
      <c r="L25" s="103"/>
      <c r="M25" s="2"/>
      <c r="N25" s="2"/>
      <c r="O25" s="2"/>
      <c r="P25" s="2"/>
      <c r="Q25" s="2"/>
      <c r="R25" s="2"/>
      <c r="S25" s="2"/>
      <c r="U25" s="103"/>
      <c r="V25" s="2"/>
      <c r="W25" s="2"/>
      <c r="X25" s="2"/>
      <c r="Y25" s="2"/>
      <c r="Z25" s="2"/>
      <c r="AA25" s="104"/>
    </row>
    <row r="26" spans="1:44" x14ac:dyDescent="0.2">
      <c r="A26" s="103"/>
      <c r="B26" t="str">
        <v>Nov</v>
      </c>
      <c r="C26">
        <v>98</v>
      </c>
      <c r="K26" s="104"/>
      <c r="L26" s="105"/>
      <c r="M26" s="66"/>
      <c r="N26" s="66"/>
      <c r="O26" s="66"/>
      <c r="P26" s="66"/>
      <c r="Q26" s="66"/>
      <c r="R26" s="66"/>
      <c r="S26" s="66"/>
      <c r="T26" s="66"/>
      <c r="U26" s="103"/>
      <c r="V26" s="2"/>
      <c r="W26" s="2"/>
      <c r="X26" s="2"/>
      <c r="Y26" s="2"/>
      <c r="Z26" s="2"/>
      <c r="AA26" s="104"/>
    </row>
    <row r="27" spans="1:44" x14ac:dyDescent="0.2">
      <c r="A27" s="103"/>
      <c r="B27" t="str">
        <v>Dec</v>
      </c>
      <c r="C27">
        <v>672</v>
      </c>
      <c r="K27" s="104"/>
      <c r="U27" s="103"/>
      <c r="V27" s="2"/>
      <c r="W27" s="2"/>
      <c r="X27" s="2"/>
      <c r="Y27" s="2"/>
      <c r="Z27" s="2"/>
      <c r="AA27" s="104"/>
    </row>
    <row r="28" spans="1:44" x14ac:dyDescent="0.2">
      <c r="A28" s="103"/>
      <c r="C28" s="107"/>
      <c r="D28" s="108"/>
      <c r="K28" s="104"/>
      <c r="U28" s="103"/>
      <c r="V28" s="2"/>
      <c r="W28" s="2"/>
      <c r="X28" s="2"/>
      <c r="Y28" s="2"/>
      <c r="Z28" s="2"/>
      <c r="AA28" s="104"/>
    </row>
    <row r="29" spans="1:44" x14ac:dyDescent="0.2">
      <c r="A29" s="103"/>
      <c r="B29" s="2" t="s">
        <v>286</v>
      </c>
      <c r="C29" s="109"/>
      <c r="D29" s="110"/>
      <c r="E29" s="2"/>
      <c r="F29" s="2"/>
      <c r="G29" s="2"/>
      <c r="H29" s="2"/>
      <c r="I29" s="2"/>
      <c r="J29" s="2"/>
      <c r="K29" s="104"/>
      <c r="U29" s="103"/>
      <c r="V29" s="2"/>
      <c r="W29" s="2"/>
      <c r="X29" s="2"/>
      <c r="Y29" s="2"/>
      <c r="Z29" s="2"/>
      <c r="AA29" s="104"/>
    </row>
    <row r="30" spans="1:44" x14ac:dyDescent="0.2">
      <c r="A30" s="103"/>
      <c r="B30" s="2"/>
      <c r="C30" s="2"/>
      <c r="D30" s="2"/>
      <c r="E30" s="2"/>
      <c r="F30" s="2"/>
      <c r="G30" s="2"/>
      <c r="H30" s="2"/>
      <c r="I30" s="2"/>
      <c r="J30" s="2"/>
      <c r="K30" s="104"/>
      <c r="U30" s="103"/>
      <c r="V30" s="2"/>
      <c r="W30" s="2"/>
      <c r="X30" s="2"/>
      <c r="Y30" s="2"/>
      <c r="Z30" s="2"/>
      <c r="AA30" s="104"/>
    </row>
    <row r="31" spans="1:44" x14ac:dyDescent="0.2">
      <c r="A31" s="103"/>
      <c r="B31" s="2" t="s">
        <v>287</v>
      </c>
      <c r="C31" s="2"/>
      <c r="D31" s="2"/>
      <c r="E31" s="2"/>
      <c r="F31" s="2"/>
      <c r="G31" s="2"/>
      <c r="H31" s="2"/>
      <c r="I31" s="2"/>
      <c r="J31" s="2"/>
      <c r="K31" s="104"/>
      <c r="U31" s="103"/>
      <c r="V31" s="2"/>
      <c r="W31" s="2"/>
      <c r="X31" s="2"/>
      <c r="Y31" s="2"/>
      <c r="Z31" s="2"/>
      <c r="AA31" s="104"/>
    </row>
    <row r="32" spans="1:44" x14ac:dyDescent="0.2">
      <c r="A32" s="103"/>
      <c r="B32" s="2" t="s">
        <v>288</v>
      </c>
      <c r="C32" s="2"/>
      <c r="D32" s="2"/>
      <c r="E32" s="2"/>
      <c r="F32" s="2"/>
      <c r="G32" s="2"/>
      <c r="H32" s="2"/>
      <c r="I32" s="2"/>
      <c r="J32" s="2"/>
      <c r="K32" s="104"/>
      <c r="U32" s="103"/>
      <c r="AA32" s="104"/>
    </row>
    <row r="33" spans="1:27" x14ac:dyDescent="0.2">
      <c r="A33" s="103"/>
      <c r="B33" s="2"/>
      <c r="C33" s="2"/>
      <c r="D33" s="2"/>
      <c r="E33" s="2"/>
      <c r="F33" s="2"/>
      <c r="G33" s="2"/>
      <c r="H33" s="2"/>
      <c r="I33" s="2"/>
      <c r="J33" s="2"/>
      <c r="K33" s="104"/>
      <c r="U33" s="105"/>
      <c r="V33" s="66"/>
      <c r="W33" s="66"/>
      <c r="X33" s="66"/>
      <c r="Y33" s="66"/>
      <c r="Z33" s="66"/>
      <c r="AA33" s="106"/>
    </row>
    <row r="34" spans="1:27" x14ac:dyDescent="0.2">
      <c r="A34" s="103"/>
      <c r="B34" s="2" t="s">
        <v>289</v>
      </c>
      <c r="C34" s="2"/>
      <c r="D34" s="2"/>
      <c r="E34" s="2"/>
      <c r="F34" s="2"/>
      <c r="G34" s="2"/>
      <c r="H34" s="2"/>
      <c r="I34" s="2"/>
      <c r="J34" s="2"/>
      <c r="K34" s="104"/>
    </row>
    <row r="35" spans="1:27" x14ac:dyDescent="0.2">
      <c r="A35" s="103"/>
      <c r="B35" s="2" t="s">
        <v>290</v>
      </c>
      <c r="C35" s="2"/>
      <c r="D35" s="2"/>
      <c r="E35" s="2"/>
      <c r="F35" s="2"/>
      <c r="G35" s="2"/>
      <c r="H35" s="2"/>
      <c r="I35" s="2"/>
      <c r="J35" s="2"/>
      <c r="K35" s="104"/>
    </row>
    <row r="36" spans="1:27" x14ac:dyDescent="0.2">
      <c r="A36" s="103"/>
      <c r="B36" s="2"/>
      <c r="C36" s="2"/>
      <c r="D36" s="2"/>
      <c r="E36" s="2"/>
      <c r="F36" s="2"/>
      <c r="G36" s="2"/>
      <c r="H36" s="2"/>
      <c r="I36" s="2"/>
      <c r="J36" s="2"/>
      <c r="K36" s="104"/>
    </row>
    <row r="37" spans="1:27" x14ac:dyDescent="0.2">
      <c r="A37" s="103"/>
      <c r="B37" s="2" t="s">
        <v>291</v>
      </c>
      <c r="C37" s="2"/>
      <c r="D37" s="2"/>
      <c r="E37" s="2"/>
      <c r="F37" s="2"/>
      <c r="G37" s="2"/>
      <c r="H37" s="2"/>
      <c r="I37" s="2"/>
      <c r="J37" s="2"/>
      <c r="K37" s="104"/>
    </row>
    <row r="38" spans="1:27" x14ac:dyDescent="0.2">
      <c r="A38" s="105"/>
      <c r="B38" s="66"/>
      <c r="C38" s="66"/>
      <c r="D38" s="66"/>
      <c r="E38" s="66"/>
      <c r="F38" s="66"/>
      <c r="G38" s="66"/>
      <c r="H38" s="66"/>
      <c r="I38" s="66"/>
      <c r="J38" s="66"/>
      <c r="K38" s="10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recorded_example1">
                <anchor moveWithCells="1">
                  <from>
                    <xdr:col>7</xdr:col>
                    <xdr:colOff>304800</xdr:colOff>
                    <xdr:row>2</xdr:row>
                    <xdr:rowOff>63500</xdr:rowOff>
                  </from>
                  <to>
                    <xdr:col>9</xdr:col>
                    <xdr:colOff>279400</xdr:colOff>
                    <xdr:row>3</xdr:row>
                    <xdr:rowOff>101600</xdr:rowOff>
                  </to>
                </anchor>
              </controlPr>
            </control>
          </mc:Choice>
        </mc:AlternateContent>
        <mc:AlternateContent xmlns:mc="http://schemas.openxmlformats.org/markup-compatibility/2006">
          <mc:Choice Requires="x14">
            <control shapeId="11266" r:id="rId4" name="Button 2">
              <controlPr defaultSize="0" print="0" autoFill="0" autoPict="0" macro="[0]!recorded_example1_edit">
                <anchor moveWithCells="1">
                  <from>
                    <xdr:col>14</xdr:col>
                    <xdr:colOff>0</xdr:colOff>
                    <xdr:row>11</xdr:row>
                    <xdr:rowOff>50800</xdr:rowOff>
                  </from>
                  <to>
                    <xdr:col>16</xdr:col>
                    <xdr:colOff>406400</xdr:colOff>
                    <xdr:row>12</xdr:row>
                    <xdr:rowOff>101600</xdr:rowOff>
                  </to>
                </anchor>
              </controlPr>
            </control>
          </mc:Choice>
        </mc:AlternateContent>
        <mc:AlternateContent xmlns:mc="http://schemas.openxmlformats.org/markup-compatibility/2006">
          <mc:Choice Requires="x14">
            <control shapeId="11267" r:id="rId5" name="Button 3">
              <controlPr defaultSize="0" print="0" autoFill="0" autoPict="0" macro="[0]!clear_formats">
                <anchor moveWithCells="1">
                  <from>
                    <xdr:col>8</xdr:col>
                    <xdr:colOff>317500</xdr:colOff>
                    <xdr:row>12</xdr:row>
                    <xdr:rowOff>139700</xdr:rowOff>
                  </from>
                  <to>
                    <xdr:col>10</xdr:col>
                    <xdr:colOff>520700</xdr:colOff>
                    <xdr:row>17</xdr:row>
                    <xdr:rowOff>228600</xdr:rowOff>
                  </to>
                </anchor>
              </controlPr>
            </control>
          </mc:Choice>
        </mc:AlternateContent>
        <mc:AlternateContent xmlns:mc="http://schemas.openxmlformats.org/markup-compatibility/2006">
          <mc:Choice Requires="x14">
            <control shapeId="11268" r:id="rId6" name="Button 4">
              <controlPr defaultSize="0" print="0" autoFill="0" autoPict="0" macro="[0]!high_profit">
                <anchor moveWithCells="1">
                  <from>
                    <xdr:col>23</xdr:col>
                    <xdr:colOff>228600</xdr:colOff>
                    <xdr:row>14</xdr:row>
                    <xdr:rowOff>177800</xdr:rowOff>
                  </from>
                  <to>
                    <xdr:col>24</xdr:col>
                    <xdr:colOff>596900</xdr:colOff>
                    <xdr:row>15</xdr:row>
                    <xdr:rowOff>127000</xdr:rowOff>
                  </to>
                </anchor>
              </controlPr>
            </control>
          </mc:Choice>
        </mc:AlternateContent>
        <mc:AlternateContent xmlns:mc="http://schemas.openxmlformats.org/markup-compatibility/2006">
          <mc:Choice Requires="x14">
            <control shapeId="11269" r:id="rId7" name="Button 5">
              <controlPr defaultSize="0" print="0" autoFill="0" autoPict="0" macro="[0]!recorded_relative">
                <anchor moveWithCells="1">
                  <from>
                    <xdr:col>7</xdr:col>
                    <xdr:colOff>25400</xdr:colOff>
                    <xdr:row>16</xdr:row>
                    <xdr:rowOff>25400</xdr:rowOff>
                  </from>
                  <to>
                    <xdr:col>7</xdr:col>
                    <xdr:colOff>596900</xdr:colOff>
                    <xdr:row>16</xdr:row>
                    <xdr:rowOff>266700</xdr:rowOff>
                  </to>
                </anchor>
              </controlPr>
            </control>
          </mc:Choice>
        </mc:AlternateContent>
        <mc:AlternateContent xmlns:mc="http://schemas.openxmlformats.org/markup-compatibility/2006">
          <mc:Choice Requires="x14">
            <control shapeId="11270" r:id="rId8" name="Button 6">
              <controlPr defaultSize="0" print="0" autoFill="0" autoPict="0" macro="[0]!recorded_absolute_example">
                <anchor moveWithCells="1">
                  <from>
                    <xdr:col>6</xdr:col>
                    <xdr:colOff>660400</xdr:colOff>
                    <xdr:row>14</xdr:row>
                    <xdr:rowOff>76200</xdr:rowOff>
                  </from>
                  <to>
                    <xdr:col>7</xdr:col>
                    <xdr:colOff>673100</xdr:colOff>
                    <xdr:row>15</xdr:row>
                    <xdr:rowOff>25400</xdr:rowOff>
                  </to>
                </anchor>
              </controlPr>
            </control>
          </mc:Choice>
        </mc:AlternateContent>
        <mc:AlternateContent xmlns:mc="http://schemas.openxmlformats.org/markup-compatibility/2006">
          <mc:Choice Requires="x14">
            <control shapeId="11271" r:id="rId9" name="Button 7">
              <controlPr defaultSize="0" print="0" autoFill="0" autoPict="0" macro="[0]!print_numbers">
                <anchor moveWithCells="1">
                  <from>
                    <xdr:col>28</xdr:col>
                    <xdr:colOff>50800</xdr:colOff>
                    <xdr:row>4</xdr:row>
                    <xdr:rowOff>25400</xdr:rowOff>
                  </from>
                  <to>
                    <xdr:col>29</xdr:col>
                    <xdr:colOff>520700</xdr:colOff>
                    <xdr:row>4</xdr:row>
                    <xdr:rowOff>266700</xdr:rowOff>
                  </to>
                </anchor>
              </controlPr>
            </control>
          </mc:Choice>
        </mc:AlternateContent>
        <mc:AlternateContent xmlns:mc="http://schemas.openxmlformats.org/markup-compatibility/2006">
          <mc:Choice Requires="x14">
            <control shapeId="11272" r:id="rId10" name="Button 8">
              <controlPr defaultSize="0" print="0" autoFill="0" autoPict="0" macro="[0]!print_numbers_while">
                <anchor moveWithCells="1">
                  <from>
                    <xdr:col>37</xdr:col>
                    <xdr:colOff>190500</xdr:colOff>
                    <xdr:row>4</xdr:row>
                    <xdr:rowOff>25400</xdr:rowOff>
                  </from>
                  <to>
                    <xdr:col>39</xdr:col>
                    <xdr:colOff>292100</xdr:colOff>
                    <xdr:row>4</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50</vt:i4>
      </vt:variant>
    </vt:vector>
  </HeadingPairs>
  <TitlesOfParts>
    <vt:vector size="60" baseType="lpstr">
      <vt:lpstr>Pokemon data</vt:lpstr>
      <vt:lpstr>FIFA WWC</vt:lpstr>
      <vt:lpstr>M6.1 - Assumed Knowledge</vt:lpstr>
      <vt:lpstr>M6.2 - Pivot table</vt:lpstr>
      <vt:lpstr>M6.2 - Pivot chart</vt:lpstr>
      <vt:lpstr>M6.3 - Dynamic arrays</vt:lpstr>
      <vt:lpstr>M6.4 - Dynamic references</vt:lpstr>
      <vt:lpstr>M6.5 - Dependents</vt:lpstr>
      <vt:lpstr>M6.6 Simulations</vt:lpstr>
      <vt:lpstr>M6.6 Macros and VBA</vt:lpstr>
      <vt:lpstr>age</vt:lpstr>
      <vt:lpstr>assists</vt:lpstr>
      <vt:lpstr>assists_per_90</vt:lpstr>
      <vt:lpstr>Attacking</vt:lpstr>
      <vt:lpstr>Bug</vt:lpstr>
      <vt:lpstr>Dark</vt:lpstr>
      <vt:lpstr>Dragon</vt:lpstr>
      <vt:lpstr>Electric</vt:lpstr>
      <vt:lpstr>Fairy</vt:lpstr>
      <vt:lpstr>FiFA</vt:lpstr>
      <vt:lpstr>Fighting</vt:lpstr>
      <vt:lpstr>Fire</vt:lpstr>
      <vt:lpstr>Flying</vt:lpstr>
      <vt:lpstr>Ghost</vt:lpstr>
      <vt:lpstr>goals</vt:lpstr>
      <vt:lpstr>goals_minus_penalty_kicks_per_90</vt:lpstr>
      <vt:lpstr>goals_per_90</vt:lpstr>
      <vt:lpstr>goals_plus_assists_minus_penalty_kicks_per_90</vt:lpstr>
      <vt:lpstr>goals_plus_assists_per_90</vt:lpstr>
      <vt:lpstr>Grass</vt:lpstr>
      <vt:lpstr>Ground</vt:lpstr>
      <vt:lpstr>Ice</vt:lpstr>
      <vt:lpstr>id</vt:lpstr>
      <vt:lpstr>loss_ratios</vt:lpstr>
      <vt:lpstr>lossratios</vt:lpstr>
      <vt:lpstr>matches_played</vt:lpstr>
      <vt:lpstr>min_playing_time</vt:lpstr>
      <vt:lpstr>minutes_played_90s</vt:lpstr>
      <vt:lpstr>monthly_profit</vt:lpstr>
      <vt:lpstr>months</vt:lpstr>
      <vt:lpstr>non_penalty_goals</vt:lpstr>
      <vt:lpstr>Normal</vt:lpstr>
      <vt:lpstr>penalty_kicks_attempted</vt:lpstr>
      <vt:lpstr>penalty_kicks_made</vt:lpstr>
      <vt:lpstr>players</vt:lpstr>
      <vt:lpstr>Poison</vt:lpstr>
      <vt:lpstr>pokemon</vt:lpstr>
      <vt:lpstr>possesion</vt:lpstr>
      <vt:lpstr>products</vt:lpstr>
      <vt:lpstr>Psychic</vt:lpstr>
      <vt:lpstr>red_cards</vt:lpstr>
      <vt:lpstr>Rock</vt:lpstr>
      <vt:lpstr>squad</vt:lpstr>
      <vt:lpstr>starts</vt:lpstr>
      <vt:lpstr>Steel</vt:lpstr>
      <vt:lpstr>tblProduct</vt:lpstr>
      <vt:lpstr>Water</vt:lpstr>
      <vt:lpstr>weekly_profit</vt:lpstr>
      <vt:lpstr>year</vt:lpstr>
      <vt:lpstr>yellow_cards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Benjamin Avanzi</cp:lastModifiedBy>
  <cp:revision/>
  <dcterms:created xsi:type="dcterms:W3CDTF">2023-08-17T06:53:41Z</dcterms:created>
  <dcterms:modified xsi:type="dcterms:W3CDTF">2024-08-15T05:45:07Z</dcterms:modified>
  <cp:category/>
  <cp:contentStatus/>
</cp:coreProperties>
</file>