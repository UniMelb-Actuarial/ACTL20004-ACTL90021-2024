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8516D6EF-14E1-2C4B-851A-67DB1228F09E}" xr6:coauthVersionLast="47" xr6:coauthVersionMax="47" xr10:uidLastSave="{00000000-0000-0000-0000-000000000000}"/>
  <bookViews>
    <workbookView xWindow="4340" yWindow="760" windowWidth="30220" windowHeight="21580" firstSheet="1" activeTab="6"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 name="M6.4 - Dynamic references" sheetId="12" r:id="rId7"/>
  </sheets>
  <definedNames>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'M6.4 - Dynamic references'!$B$4:$C$16</definedName>
    <definedName name="months">'M6.4 - Dynamic references'!$B$5:$B$16</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'M6.4 - Dynamic references'!$B$38:$G$42</definedName>
    <definedName name="year">'FIFA WWC'!$C$4:$C$139</definedName>
    <definedName name="yellow_cards">'FIFA WWC'!$P$4:$P$139</definedName>
  </definedNames>
  <calcPr calcId="191028"/>
  <pivotCaches>
    <pivotCache cacheId="2"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2" l="1" a="1"/>
  <c r="F11" i="12" s="1"/>
  <c r="F6" i="12" a="1"/>
  <c r="F6" i="12" s="1"/>
  <c r="H206" i="9"/>
  <c r="N205" i="9"/>
  <c r="T198" i="9"/>
  <c r="N199" i="9"/>
  <c r="N200" i="9"/>
  <c r="N201" i="9"/>
  <c r="N198" i="9"/>
  <c r="H198" i="9" a="1"/>
  <c r="H198" i="9" s="1"/>
  <c r="H188" i="9" a="1"/>
  <c r="H188" i="9" s="1"/>
  <c r="H152" i="9" a="1"/>
  <c r="H152" i="9" s="1"/>
  <c r="A152" i="9"/>
  <c r="I33" i="9" a="1"/>
  <c r="I33" i="9" s="1"/>
  <c r="I34" i="9" a="1"/>
  <c r="I34" i="9" s="1"/>
  <c r="I35" i="9" a="1"/>
  <c r="I35" i="9" s="1"/>
  <c r="I32" i="9" a="1"/>
  <c r="I32" i="9" s="1"/>
  <c r="C7" i="9"/>
  <c r="B7" i="9" a="1"/>
  <c r="B7" i="9" s="1"/>
  <c r="B3" i="9" a="1"/>
  <c r="B3" i="9" s="1"/>
  <c r="G160" i="1" a="1"/>
  <c r="G160" i="1" s="1"/>
  <c r="E160" i="1" a="1"/>
  <c r="E160" i="1" s="1"/>
  <c r="A160" i="1" a="1"/>
  <c r="A160" i="1" s="1"/>
  <c r="I18" i="1"/>
  <c r="G18" i="1"/>
  <c r="E18" i="1" a="1"/>
  <c r="E18" i="1" s="1"/>
  <c r="C18" i="1" a="1"/>
  <c r="C18" i="1" s="1"/>
  <c r="A18" i="1" a="1"/>
  <c r="A18" i="1" s="1"/>
  <c r="N9" i="1"/>
  <c r="J9" i="1"/>
  <c r="F9" i="1"/>
  <c r="B9" i="1"/>
  <c r="I29" i="12"/>
  <c r="P38" i="12" a="1"/>
  <c r="P38" i="12" s="1"/>
  <c r="P39" i="12" a="1"/>
  <c r="P39" i="12" s="1"/>
  <c r="R210" i="9" a="1"/>
  <c r="R210" i="9"/>
  <c r="N210" i="9"/>
  <c r="N209" i="9"/>
  <c r="H207" i="9"/>
  <c r="B187" i="9" a="1"/>
  <c r="B187" i="9"/>
  <c r="F176" i="9" a="1"/>
  <c r="F176" i="9" s="1"/>
  <c r="A176" i="9" a="1"/>
  <c r="A176" i="9" s="1"/>
  <c r="A12" i="9" a="1"/>
  <c r="A1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B176" i="9"/>
  <c r="R209" i="9"/>
  <c r="D14" i="9" a="1"/>
  <c r="I64" i="12" a="1"/>
  <c r="H187" i="9"/>
  <c r="F44" i="12"/>
  <c r="F152" i="9"/>
  <c r="O210" i="9"/>
  <c r="I33" i="12" a="1"/>
  <c r="I39" i="12" a="1"/>
  <c r="B152" i="9"/>
  <c r="D152" i="9"/>
  <c r="N204" i="9"/>
  <c r="H6" i="12"/>
  <c r="H11" i="12"/>
  <c r="B12" i="9"/>
  <c r="I38" i="12" a="1"/>
  <c r="T197" i="9"/>
  <c r="F45" i="12"/>
  <c r="J29" i="12"/>
  <c r="I31" i="9"/>
  <c r="L12" i="9"/>
  <c r="L152" i="9"/>
  <c r="J33" i="12"/>
  <c r="M31" i="9"/>
  <c r="I206" i="9"/>
  <c r="I67" i="12" a="1"/>
  <c r="O209" i="9"/>
  <c r="J64" i="12"/>
  <c r="N197" i="9"/>
  <c r="J37" i="9"/>
  <c r="P45" i="12"/>
  <c r="P44" i="12"/>
  <c r="G176" i="9"/>
  <c r="I12" i="9"/>
  <c r="H197" i="9"/>
  <c r="I207" i="9"/>
  <c r="L67" i="12"/>
  <c r="L153" i="9"/>
  <c r="I152" i="9"/>
  <c r="M189" i="9"/>
  <c r="F153" i="9"/>
  <c r="I64" i="12" l="1"/>
  <c r="I33" i="12"/>
  <c r="I67" i="12"/>
  <c r="I38" i="12"/>
  <c r="I39" i="12"/>
  <c r="M190" i="9" a="1"/>
  <c r="M190" i="9" s="1"/>
  <c r="T199" i="9"/>
  <c r="T200" i="9"/>
  <c r="T201" i="9"/>
  <c r="M35" i="9" a="1"/>
  <c r="M35" i="9" s="1"/>
  <c r="M34" i="9" a="1"/>
  <c r="M34" i="9" s="1"/>
  <c r="M33" i="9" a="1"/>
  <c r="M33" i="9" s="1"/>
  <c r="C152" i="9" a="1"/>
  <c r="C152" i="9" s="1"/>
  <c r="E152" i="9"/>
  <c r="K153" i="9"/>
  <c r="K152" i="9"/>
  <c r="D1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tc={B8DFFE92-4C1F-834A-8B14-DF1C3BAE1D39}</author>
    <author>tc={956F094E-48EA-BD43-A476-97D9B87AF8A6}</author>
  </authors>
  <commentList>
    <comment ref="C16" authorId="0" shapeId="0" xr:uid="{B8DFFE92-4C1F-834A-8B14-DF1C3BAE1D39}">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956F094E-48EA-BD43-A476-97D9B87AF8A6}">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<sst xmlns="http://schemas.openxmlformats.org/spreadsheetml/2006/main" count="400" uniqueCount="217">
  <si>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</si>
  <si>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</si>
  <si>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</si>
  <si>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</si>
  <si>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</si>
  <si>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</si>
  <si>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</si>
  <si>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</si>
  <si>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</si>
  <si>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</si>
  <si>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</si>
  <si>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</si>
  <si>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</si>
  <si>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</si>
  <si>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</si>
  <si>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</si>
  <si>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</si>
  <si>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</si>
  <si>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</si>
  <si>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</si>
  <si>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</si>
  <si>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</si>
  <si>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</si>
  <si>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</si>
  <si>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</si>
  <si>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</si>
  <si>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</si>
  <si>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</si>
  <si>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</si>
  <si>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</si>
  <si>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</si>
  <si>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</si>
  <si>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</si>
  <si>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</si>
  <si>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</si>
  <si>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</si>
  <si>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</si>
  <si>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</si>
  <si>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</si>
  <si>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</si>
  <si>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</si>
  <si>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</si>
  <si>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</si>
  <si>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</si>
  <si>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</si>
  <si>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</si>
  <si>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</si>
  <si>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</si>
  <si>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</si>
  <si>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</si>
  <si>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</si>
  <si>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</si>
  <si>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</si>
  <si>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</si>
  <si>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</si>
  <si>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</si>
  <si>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</si>
  <si>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</si>
  <si>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</si>
  <si>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</si>
  <si>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</si>
  <si>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</si>
  <si>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</si>
  <si>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</si>
  <si>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</si>
  <si>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</si>
  <si>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</si>
  <si>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</si>
  <si>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</si>
  <si>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</si>
  <si>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</si>
  <si>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</si>
  <si>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</si>
  <si>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</si>
  <si>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</si>
  <si>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</si>
  <si>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</si>
  <si>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</si>
  <si>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</si>
  <si>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</si>
  <si>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</si>
  <si>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</si>
  <si>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</si>
  <si>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</si>
  <si>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</si>
  <si>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</si>
  <si>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</si>
  <si>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</si>
  <si>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</si>
  <si>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</si>
  <si>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</si>
  <si>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</si>
  <si>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</si>
  <si>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</si>
  <si>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</si>
  <si>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</si>
  <si>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</si>
  <si>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</si>
  <si>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</si>
  <si>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</si>
  <si>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</si>
  <si>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</si>
  <si>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</si>
  <si>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</si>
  <si>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</si>
  <si>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</si>
  <si>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</si>
  <si>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</si>
  <si>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</si>
  <si>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</si>
  <si>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</si>
  <si>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</si>
  <si>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</si>
  <si>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</si>
  <si>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</si>
  <si>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</si>
  <si>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</si>
  <si>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</si>
  <si>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</si>
  <si>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</si>
  <si>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</si>
  <si>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</si>
  <si>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</si>
  <si>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</si>
  <si>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</si>
  <si>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</si>
  <si>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</si>
  <si>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</si>
  <si>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</si>
  <si>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</si>
  <si>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</si>
  <si>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</si>
  <si>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</si>
  <si>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</si>
  <si>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</si>
  <si>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</si>
  <si>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</si>
  <si>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</si>
  <si>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</si>
  <si>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</si>
  <si>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</si>
  <si>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</si>
  <si>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</si>
  <si>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</si>
  <si>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Dynamic references</t>
  </si>
  <si>
    <t>OFFSET</t>
  </si>
  <si>
    <t>Month</t>
  </si>
  <si>
    <t>Profit</t>
  </si>
  <si>
    <t>Which month?</t>
  </si>
  <si>
    <t>Jan</t>
  </si>
  <si>
    <t>Feb</t>
  </si>
  <si>
    <t>Mar</t>
  </si>
  <si>
    <t>Apr</t>
  </si>
  <si>
    <t>May</t>
  </si>
  <si>
    <t>From</t>
  </si>
  <si>
    <t>To</t>
  </si>
  <si>
    <t>Jun</t>
  </si>
  <si>
    <t>&lt;- try change this</t>
  </si>
  <si>
    <t>Jul</t>
  </si>
  <si>
    <t>You can dynamically reference a specified period!</t>
  </si>
  <si>
    <t>Aug</t>
  </si>
  <si>
    <t>Sep</t>
  </si>
  <si>
    <t>First, select the whole table to offset.</t>
  </si>
  <si>
    <t>Oct</t>
  </si>
  <si>
    <t>Move down 'F10' rows to get to the starting month.</t>
  </si>
  <si>
    <t>Nov</t>
  </si>
  <si>
    <t>Dec</t>
  </si>
  <si>
    <t>And you select 2 columns, which is the original width of your table.</t>
  </si>
  <si>
    <t>ADDRESS</t>
  </si>
  <si>
    <t>What is the address storing the month 'Jan' inside the table?</t>
  </si>
  <si>
    <t>&lt;- We are finding the address at row 26 and column 2, which stores the text 'Jan'.</t>
  </si>
  <si>
    <t>INDIRECT</t>
  </si>
  <si>
    <t>get the value of the address specified in cell</t>
  </si>
  <si>
    <t>What does that address contain?</t>
  </si>
  <si>
    <t>Combining together...</t>
  </si>
  <si>
    <t>You can reference any part of your table!</t>
  </si>
  <si>
    <t>You can do it with OFFSET too!</t>
  </si>
  <si>
    <t xml:space="preserve">To </t>
  </si>
  <si>
    <t>From Week</t>
  </si>
  <si>
    <t>Up to Week</t>
  </si>
  <si>
    <t>&lt;-</t>
  </si>
  <si>
    <t>Change them!</t>
  </si>
  <si>
    <t>-&gt;</t>
  </si>
  <si>
    <t>Week1</t>
  </si>
  <si>
    <t>Week2</t>
  </si>
  <si>
    <t>Week3</t>
  </si>
  <si>
    <t>Week4</t>
  </si>
  <si>
    <t>Get the months-&gt;</t>
  </si>
  <si>
    <t>Get the numbers-&gt;</t>
  </si>
  <si>
    <t>The trick here is similar as INDIRECT(ADDRESS()), we dynamically select the range by adding week numbers.</t>
  </si>
  <si>
    <t>Breakdown:</t>
  </si>
  <si>
    <t>To get the months:</t>
  </si>
  <si>
    <t xml:space="preserve">MATCH(I39,A26:G26,0) </t>
  </si>
  <si>
    <t>Find which column in A26:G26 contains the starting month</t>
  </si>
  <si>
    <t>ADDRESS(38, MATCH(I39,A26:G26,0) )</t>
  </si>
  <si>
    <t>That is the address of the cell inside the table containing the starting month</t>
  </si>
  <si>
    <t>INDIRECT(ADDRESS(..,MATCH()))</t>
  </si>
  <si>
    <t>This gives you the indirect reference to the starting month.</t>
  </si>
  <si>
    <t>The second INDIRECT gives you the indirect reference for the ending month.</t>
  </si>
  <si>
    <t>Combining them will give us the specified months.</t>
  </si>
  <si>
    <t>To get the data:</t>
  </si>
  <si>
    <t>Same as above</t>
  </si>
  <si>
    <t>ADDRESS(38+K39, MATCH(I39,A26:G26,0) )</t>
  </si>
  <si>
    <t>We move down few rows (+K39) based on the starting week</t>
  </si>
  <si>
    <t>This gives you the indirect reference corresponds to the value to the starting month at the starting week.</t>
  </si>
  <si>
    <t>The second INDIRECT gives you the indirect reference for the ending month at the ending week.</t>
  </si>
  <si>
    <t>Note: We need INDIRECT(address):INDIRECT(address) to select the range between two indirect addresses.</t>
  </si>
  <si>
    <t>top left</t>
  </si>
  <si>
    <t>bottom right</t>
  </si>
  <si>
    <t>Paste special: Chapter 11, pages 518-530</t>
  </si>
  <si>
    <t>=SUM(LEN(B3#))</t>
  </si>
  <si>
    <t>=SUM(B3#)</t>
  </si>
  <si>
    <t>Then you select the number of rows between starting and ending month.</t>
  </si>
  <si>
    <t>You don't need to offset by columns; use 0 as the third argument in those cases.</t>
  </si>
  <si>
    <t>find the address in Excel syntax for specified rows and columns in numbers</t>
  </si>
  <si>
    <t>B64</t>
  </si>
  <si>
    <t>D66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</si>
</sst>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2"/>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rgb="FFFFFF00"/>
        <bgColor rgb="FF000000"/>
      </patternFill>
    </fill>
  </fills>
  <borders count="23">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top style="thin">
        <color indexed="64"/>
      </top>
      <bottom style="double">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s>
  <cellStyleXfs count="3">
    <xf numFmtId="0" fontId="0" fillId="0" borderId="0"/>
    <xf numFmtId="0" fontId="3" fillId="0" borderId="0" applyNumberFormat="0" applyFill="0" applyBorder="0" applyAlignment="0" applyProtection="0"/>
    <xf numFmtId="9" fontId="6" fillId="0" borderId="0" applyFont="0" applyFill="0" applyBorder="0" applyAlignment="0" applyProtection="0"/>
  </cellStyleXfs>
  <cellXfs count="57">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0" applyFont="1"/>
    <xf numFmtId="0" fontId="2" fillId="0" borderId="0" xfId="0" applyFont="1"/>
    <xf numFmtId="0" fontId="4" fillId="0" borderId="0" xfId="0" applyFont="1"/>
    <xf numFmtId="0" fontId="3" fillId="0" borderId="0" xfId="1"/>
    <xf numFmtId="0" fontId="5" fillId="0" borderId="0" xfId="0" applyFont="1"/>
    <xf numFmtId="0" fontId="0" fillId="0" borderId="0" xfId="0" pivotButton="1"/>
    <xf numFmtId="0" fontId="0" fillId="0" borderId="0" xfId="0" applyAlignment="1">
      <alignment horizontal="left"/>
    </xf>
    <xf numFmtId="0" fontId="0" fillId="0" borderId="0" xfId="0" quotePrefix="1"/>
    <xf numFmtId="0" fontId="0" fillId="0" borderId="11" xfId="0" applyBorder="1"/>
    <xf numFmtId="0" fontId="0" fillId="0" borderId="10" xfId="0" applyBorder="1"/>
    <xf numFmtId="0" fontId="7" fillId="0" borderId="0" xfId="0" applyFont="1"/>
    <xf numFmtId="164" fontId="0" fillId="0" borderId="0" xfId="0" applyNumberFormat="1"/>
    <xf numFmtId="164" fontId="0" fillId="0" borderId="6" xfId="0" applyNumberFormat="1" applyBorder="1"/>
    <xf numFmtId="164" fontId="0" fillId="0" borderId="8" xfId="0" applyNumberFormat="1" applyBorder="1"/>
    <xf numFmtId="164" fontId="0" fillId="0" borderId="9" xfId="0" applyNumberFormat="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8" fillId="0" borderId="0" xfId="0" applyFont="1"/>
    <xf numFmtId="0" fontId="10" fillId="0" borderId="0" xfId="0" applyFont="1"/>
    <xf numFmtId="0" fontId="11" fillId="0" borderId="0" xfId="0" applyFont="1"/>
    <xf numFmtId="0" fontId="12" fillId="0" borderId="0" xfId="0" applyFont="1"/>
    <xf numFmtId="0" fontId="0" fillId="2" borderId="13" xfId="0" applyFill="1" applyBorder="1"/>
    <xf numFmtId="0" fontId="0" fillId="2" borderId="15" xfId="0" applyFill="1" applyBorder="1"/>
    <xf numFmtId="0" fontId="0" fillId="2" borderId="16"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7" fillId="0" borderId="0" xfId="0" applyFont="1" applyAlignment="1">
      <alignment horizontal="center"/>
    </xf>
    <xf numFmtId="0" fontId="7" fillId="0" borderId="0" xfId="0" applyFont="1" applyAlignment="1">
      <alignment horizontal="right"/>
    </xf>
    <xf numFmtId="0" fontId="0" fillId="3" borderId="0" xfId="0" applyFill="1"/>
    <xf numFmtId="0" fontId="7" fillId="0" borderId="14" xfId="0" applyFont="1" applyBorder="1"/>
    <xf numFmtId="0" fontId="2" fillId="0" borderId="13" xfId="0" applyFont="1" applyBorder="1"/>
    <xf numFmtId="0" fontId="12" fillId="4" borderId="0" xfId="0" applyFont="1" applyFill="1" applyAlignment="1">
      <alignment wrapText="1"/>
    </xf>
    <xf numFmtId="0" fontId="0" fillId="0" borderId="10" xfId="0" quotePrefix="1" applyBorder="1"/>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[Module6-wk4.xlsm]M6.2 -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B8DFFE92-4C1F-834A-8B14-DF1C3BAE1D39}">
    <text>Note how the formula proceeds to the second condition only if the first is not verified.</text>
  </threadedComment>
  <threadedComment ref="E16" dT="2023-08-17T09:47:37.39" personId="{41D526D4-9D67-3148-83A7-7F4FDCAD8DB6}" id="{956F094E-48EA-BD43-A476-97D9B87AF8A6}">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zoomScale="140" zoomScaleNormal="140" workbookViewId="0">
      <selection activeCell="G23" sqref="G23"/>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2">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55">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209</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16" t="s">
        <v>24</v>
      </c>
      <c r="B1" t="s">
        <v>88</v>
      </c>
    </row>
    <row r="3" spans="1:3" x14ac:dyDescent="0.2">
      <c r="A3" s="16" t="s">
        <v>89</v>
      </c>
      <c r="B3" t="s">
        <v>90</v>
      </c>
      <c r="C3" t="s">
        <v>91</v>
      </c>
    </row>
    <row r="4" spans="1:3" x14ac:dyDescent="0.2">
      <c r="A4" s="17" t="s">
        <v>44</v>
      </c>
      <c r="B4">
        <v>9</v>
      </c>
      <c r="C4">
        <v>4</v>
      </c>
    </row>
    <row r="5" spans="1:3" x14ac:dyDescent="0.2">
      <c r="A5" s="17" t="s">
        <v>45</v>
      </c>
      <c r="B5">
        <v>26</v>
      </c>
      <c r="C5">
        <v>37</v>
      </c>
    </row>
    <row r="6" spans="1:3" x14ac:dyDescent="0.2">
      <c r="A6" s="17" t="s">
        <v>46</v>
      </c>
      <c r="B6">
        <v>34</v>
      </c>
      <c r="C6">
        <v>65</v>
      </c>
    </row>
    <row r="7" spans="1:3" x14ac:dyDescent="0.2">
      <c r="A7" s="17" t="s">
        <v>70</v>
      </c>
      <c r="B7">
        <v>3</v>
      </c>
      <c r="C7">
        <v>3</v>
      </c>
    </row>
    <row r="8" spans="1:3" x14ac:dyDescent="0.2">
      <c r="A8" s="17" t="s">
        <v>47</v>
      </c>
      <c r="B8">
        <v>8</v>
      </c>
      <c r="C8">
        <v>12</v>
      </c>
    </row>
    <row r="9" spans="1:3" x14ac:dyDescent="0.2">
      <c r="A9" s="17" t="s">
        <v>48</v>
      </c>
      <c r="B9">
        <v>27</v>
      </c>
      <c r="C9">
        <v>34</v>
      </c>
    </row>
    <row r="10" spans="1:3" x14ac:dyDescent="0.2">
      <c r="A10" s="17" t="s">
        <v>49</v>
      </c>
      <c r="B10">
        <v>3</v>
      </c>
      <c r="C10">
        <v>1</v>
      </c>
    </row>
    <row r="11" spans="1:3" x14ac:dyDescent="0.2">
      <c r="A11" s="17" t="s">
        <v>50</v>
      </c>
      <c r="B11">
        <v>33</v>
      </c>
      <c r="C11">
        <v>53</v>
      </c>
    </row>
    <row r="12" spans="1:3" x14ac:dyDescent="0.2">
      <c r="A12" s="17" t="s">
        <v>79</v>
      </c>
      <c r="B12">
        <v>4</v>
      </c>
      <c r="C12">
        <v>2</v>
      </c>
    </row>
    <row r="13" spans="1:3" x14ac:dyDescent="0.2">
      <c r="A13" s="17" t="s">
        <v>68</v>
      </c>
      <c r="B13">
        <v>7</v>
      </c>
      <c r="C13">
        <v>4</v>
      </c>
    </row>
    <row r="14" spans="1:3" x14ac:dyDescent="0.2">
      <c r="A14" s="17" t="s">
        <v>69</v>
      </c>
      <c r="B14">
        <v>3</v>
      </c>
      <c r="C14">
        <v>3</v>
      </c>
    </row>
    <row r="15" spans="1:3" x14ac:dyDescent="0.2">
      <c r="A15" s="17" t="s">
        <v>76</v>
      </c>
      <c r="B15">
        <v>14</v>
      </c>
      <c r="C15">
        <v>19</v>
      </c>
    </row>
    <row r="16" spans="1:3" x14ac:dyDescent="0.2">
      <c r="A16" s="17" t="s">
        <v>71</v>
      </c>
      <c r="B16">
        <v>3</v>
      </c>
      <c r="C16">
        <v>1</v>
      </c>
    </row>
    <row r="17" spans="1:3" x14ac:dyDescent="0.2">
      <c r="A17" s="17" t="s">
        <v>51</v>
      </c>
      <c r="B17">
        <v>26</v>
      </c>
      <c r="C17">
        <v>42</v>
      </c>
    </row>
    <row r="18" spans="1:3" x14ac:dyDescent="0.2">
      <c r="A18" s="17" t="s">
        <v>74</v>
      </c>
      <c r="B18">
        <v>3</v>
      </c>
      <c r="C18">
        <v>2</v>
      </c>
    </row>
    <row r="19" spans="1:3" x14ac:dyDescent="0.2">
      <c r="A19" s="17" t="s">
        <v>52</v>
      </c>
      <c r="B19">
        <v>19</v>
      </c>
      <c r="C19">
        <v>31</v>
      </c>
    </row>
    <row r="20" spans="1:3" x14ac:dyDescent="0.2">
      <c r="A20" s="17" t="s">
        <v>53</v>
      </c>
      <c r="B20">
        <v>44</v>
      </c>
      <c r="C20">
        <v>119</v>
      </c>
    </row>
    <row r="21" spans="1:3" x14ac:dyDescent="0.2">
      <c r="A21" s="17" t="s">
        <v>77</v>
      </c>
      <c r="B21">
        <v>9</v>
      </c>
      <c r="C21">
        <v>6</v>
      </c>
    </row>
    <row r="22" spans="1:3" x14ac:dyDescent="0.2">
      <c r="A22" s="17" t="s">
        <v>54</v>
      </c>
      <c r="B22">
        <v>12</v>
      </c>
      <c r="C22">
        <v>20</v>
      </c>
    </row>
    <row r="23" spans="1:3" x14ac:dyDescent="0.2">
      <c r="A23" s="17" t="s">
        <v>55</v>
      </c>
      <c r="B23">
        <v>3</v>
      </c>
      <c r="C23">
        <v>1</v>
      </c>
    </row>
    <row r="24" spans="1:3" x14ac:dyDescent="0.2">
      <c r="A24" s="17" t="s">
        <v>56</v>
      </c>
      <c r="B24">
        <v>33</v>
      </c>
      <c r="C24">
        <v>37</v>
      </c>
    </row>
    <row r="25" spans="1:3" x14ac:dyDescent="0.2">
      <c r="A25" s="17" t="s">
        <v>75</v>
      </c>
      <c r="B25">
        <v>13</v>
      </c>
      <c r="C25">
        <v>12</v>
      </c>
    </row>
    <row r="26" spans="1:3" x14ac:dyDescent="0.2">
      <c r="A26" s="17" t="s">
        <v>57</v>
      </c>
      <c r="B26">
        <v>10</v>
      </c>
      <c r="C26">
        <v>6</v>
      </c>
    </row>
    <row r="27" spans="1:3" x14ac:dyDescent="0.2">
      <c r="A27" s="17" t="s">
        <v>72</v>
      </c>
      <c r="B27">
        <v>9</v>
      </c>
      <c r="C27">
        <v>6</v>
      </c>
    </row>
    <row r="28" spans="1:3" x14ac:dyDescent="0.2">
      <c r="A28" s="17" t="s">
        <v>58</v>
      </c>
      <c r="B28">
        <v>11</v>
      </c>
      <c r="C28">
        <v>14</v>
      </c>
    </row>
    <row r="29" spans="1:3" x14ac:dyDescent="0.2">
      <c r="A29" s="17" t="s">
        <v>59</v>
      </c>
      <c r="B29">
        <v>15</v>
      </c>
      <c r="C29">
        <v>7</v>
      </c>
    </row>
    <row r="30" spans="1:3" x14ac:dyDescent="0.2">
      <c r="A30" s="17" t="s">
        <v>60</v>
      </c>
      <c r="B30">
        <v>26</v>
      </c>
      <c r="C30">
        <v>19</v>
      </c>
    </row>
    <row r="31" spans="1:3" x14ac:dyDescent="0.2">
      <c r="A31" s="17" t="s">
        <v>61</v>
      </c>
      <c r="B31">
        <v>40</v>
      </c>
      <c r="C31">
        <v>89</v>
      </c>
    </row>
    <row r="32" spans="1:3" x14ac:dyDescent="0.2">
      <c r="A32" s="17" t="s">
        <v>78</v>
      </c>
      <c r="B32">
        <v>8</v>
      </c>
      <c r="C32">
        <v>15</v>
      </c>
    </row>
    <row r="33" spans="1:3" x14ac:dyDescent="0.2">
      <c r="A33" s="17" t="s">
        <v>62</v>
      </c>
      <c r="B33">
        <v>3</v>
      </c>
      <c r="C33">
        <v>5</v>
      </c>
    </row>
    <row r="34" spans="1:3" x14ac:dyDescent="0.2">
      <c r="A34" s="17" t="s">
        <v>63</v>
      </c>
      <c r="B34">
        <v>3</v>
      </c>
      <c r="C34">
        <v>1</v>
      </c>
    </row>
    <row r="35" spans="1:3" x14ac:dyDescent="0.2">
      <c r="A35" s="17" t="s">
        <v>64</v>
      </c>
      <c r="B35">
        <v>7</v>
      </c>
      <c r="C35">
        <v>6</v>
      </c>
    </row>
    <row r="36" spans="1:3" x14ac:dyDescent="0.2">
      <c r="A36" s="17" t="s">
        <v>65</v>
      </c>
      <c r="B36">
        <v>40</v>
      </c>
      <c r="C36">
        <v>69</v>
      </c>
    </row>
    <row r="37" spans="1:3" x14ac:dyDescent="0.2">
      <c r="A37" s="17" t="s">
        <v>73</v>
      </c>
      <c r="B37">
        <v>4</v>
      </c>
      <c r="C37">
        <v>9</v>
      </c>
    </row>
    <row r="38" spans="1:3" x14ac:dyDescent="0.2">
      <c r="A38" s="17" t="s">
        <v>66</v>
      </c>
      <c r="B38">
        <v>6</v>
      </c>
      <c r="C38">
        <v>4</v>
      </c>
    </row>
    <row r="39" spans="1:3" x14ac:dyDescent="0.2">
      <c r="A39" s="17" t="s">
        <v>67</v>
      </c>
      <c r="B39">
        <v>50</v>
      </c>
      <c r="C39">
        <v>135</v>
      </c>
    </row>
    <row r="40" spans="1:3" x14ac:dyDescent="0.2">
      <c r="A40" s="17"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16" t="s">
        <v>23</v>
      </c>
      <c r="B1" t="s">
        <v>45</v>
      </c>
    </row>
    <row r="3" spans="1:4" x14ac:dyDescent="0.2">
      <c r="A3" s="16" t="s">
        <v>89</v>
      </c>
      <c r="B3" t="s">
        <v>90</v>
      </c>
      <c r="C3" t="s">
        <v>91</v>
      </c>
      <c r="D3" t="s">
        <v>93</v>
      </c>
    </row>
    <row r="4" spans="1:4" x14ac:dyDescent="0.2">
      <c r="A4" s="17">
        <v>1995</v>
      </c>
      <c r="B4">
        <v>3</v>
      </c>
      <c r="C4">
        <v>3</v>
      </c>
    </row>
    <row r="5" spans="1:4" x14ac:dyDescent="0.2">
      <c r="A5" s="17">
        <v>1999</v>
      </c>
      <c r="B5">
        <v>3</v>
      </c>
      <c r="C5">
        <v>3</v>
      </c>
    </row>
    <row r="6" spans="1:4" x14ac:dyDescent="0.2">
      <c r="A6" s="17">
        <v>2003</v>
      </c>
      <c r="B6">
        <v>3</v>
      </c>
      <c r="C6">
        <v>3</v>
      </c>
      <c r="D6">
        <v>49</v>
      </c>
    </row>
    <row r="7" spans="1:4" x14ac:dyDescent="0.2">
      <c r="A7" s="17">
        <v>2007</v>
      </c>
      <c r="B7">
        <v>4</v>
      </c>
      <c r="C7">
        <v>9</v>
      </c>
      <c r="D7">
        <v>48.3</v>
      </c>
    </row>
    <row r="8" spans="1:4" x14ac:dyDescent="0.2">
      <c r="A8" s="17">
        <v>2011</v>
      </c>
      <c r="B8">
        <v>4</v>
      </c>
      <c r="C8">
        <v>6</v>
      </c>
      <c r="D8">
        <v>53.5</v>
      </c>
    </row>
    <row r="9" spans="1:4" x14ac:dyDescent="0.2">
      <c r="A9" s="17">
        <v>2015</v>
      </c>
      <c r="B9">
        <v>5</v>
      </c>
      <c r="C9">
        <v>5</v>
      </c>
      <c r="D9">
        <v>46.2</v>
      </c>
    </row>
    <row r="10" spans="1:4" x14ac:dyDescent="0.2">
      <c r="A10" s="17">
        <v>2019</v>
      </c>
      <c r="B10">
        <v>4</v>
      </c>
      <c r="C10">
        <v>8</v>
      </c>
      <c r="D10">
        <v>61.3</v>
      </c>
    </row>
    <row r="11" spans="1:4" x14ac:dyDescent="0.2">
      <c r="A11" s="17"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opLeftCell="A176" workbookViewId="0">
      <selection activeCell="I206" sqref="I206"/>
    </sheetView>
  </sheetViews>
  <sheetFormatPr baseColWidth="10" defaultColWidth="11" defaultRowHeight="16" x14ac:dyDescent="0.2"/>
  <cols>
    <col min="2" max="2" width="15.33203125" customWidth="1"/>
    <col min="9" max="9" width="11.5" customWidth="1"/>
    <col min="15" max="15" width="11.5" customWidth="1"/>
  </cols>
  <sheetData>
    <row r="1" spans="1:12" x14ac:dyDescent="0.2">
      <c r="A1" s="12" t="s">
        <v>94</v>
      </c>
    </row>
    <row r="3" spans="1:12" x14ac:dyDescent="0.2">
      <c r="A3" t="s">
        <v>95</v>
      </c>
      <c r="B3" s="2" cm="1">
        <f t="array" ref="B3:B6">LEN(A3:A6)</f>
        <v>5</v>
      </c>
      <c r="C3" s="18" t="s">
        <v>96</v>
      </c>
    </row>
    <row r="4" spans="1:12" x14ac:dyDescent="0.2">
      <c r="A4" t="s">
        <v>97</v>
      </c>
      <c r="B4" s="2">
        <v>6</v>
      </c>
    </row>
    <row r="5" spans="1:12" x14ac:dyDescent="0.2">
      <c r="A5" t="s">
        <v>98</v>
      </c>
      <c r="B5" s="2">
        <v>2</v>
      </c>
    </row>
    <row r="6" spans="1:12" x14ac:dyDescent="0.2">
      <c r="A6" t="s">
        <v>99</v>
      </c>
      <c r="B6" s="2">
        <v>9</v>
      </c>
    </row>
    <row r="7" spans="1:12" ht="17" thickBot="1" x14ac:dyDescent="0.25">
      <c r="B7" s="19" cm="1">
        <f t="array" ref="B7">SUM(LEN(_xlfn.ANCHORARRAY(B3)))</f>
        <v>4</v>
      </c>
      <c r="C7">
        <f>SUM(_xlfn.ANCHORARRAY(B3))</f>
        <v>22</v>
      </c>
    </row>
    <row r="8" spans="1:12" s="20" customFormat="1" ht="17" thickTop="1" x14ac:dyDescent="0.2">
      <c r="B8" s="56" t="s">
        <v>210</v>
      </c>
      <c r="C8" s="56" t="s">
        <v>211</v>
      </c>
    </row>
    <row r="10" spans="1:12" x14ac:dyDescent="0.2">
      <c r="A10" s="12" t="s">
        <v>100</v>
      </c>
    </row>
    <row r="11" spans="1:12" x14ac:dyDescent="0.2">
      <c r="H11" s="21" t="s">
        <v>101</v>
      </c>
      <c r="K11" s="21" t="s">
        <v>102</v>
      </c>
    </row>
    <row r="12" spans="1:12" x14ac:dyDescent="0.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x14ac:dyDescent="0.2">
      <c r="A13" s="2">
        <v>0</v>
      </c>
      <c r="H13" s="2">
        <v>0</v>
      </c>
      <c r="K13" s="2" t="str">
        <v/>
      </c>
    </row>
    <row r="14" spans="1:12" x14ac:dyDescent="0.2">
      <c r="A14" s="2">
        <v>0</v>
      </c>
      <c r="B14">
        <v>1</v>
      </c>
      <c r="C14" s="2" cm="1">
        <f t="array" ref="C14">SUM(IF(matches_played=B14,1,0))</f>
        <v>0</v>
      </c>
      <c r="D14" t="str" cm="1">
        <f t="array" aca="1" ref="D14:D20" ca="1">_xlfn.FORMULATEXT(C14:C20)</f>
        <v>=SUM(IF(matches_played=B14,1,0))</v>
      </c>
      <c r="H14" s="2">
        <v>1</v>
      </c>
      <c r="K14" s="2" t="str">
        <v>Water</v>
      </c>
    </row>
    <row r="15" spans="1:12" x14ac:dyDescent="0.2">
      <c r="A15" s="2">
        <v>0</v>
      </c>
      <c r="B15">
        <v>2</v>
      </c>
      <c r="C15" s="2" cm="1">
        <f t="array" ref="C15">SUM(IF(matches_played=B15,1,0))</f>
        <v>0</v>
      </c>
      <c r="D15" t="str">
        <f ca="1"/>
        <v>=SUM(IF(matches_played=B15,1,0))</v>
      </c>
      <c r="H15" s="2">
        <v>0</v>
      </c>
      <c r="K15" s="2" t="str">
        <v/>
      </c>
    </row>
    <row r="16" spans="1:12" x14ac:dyDescent="0.2">
      <c r="A16" s="2">
        <v>0</v>
      </c>
      <c r="B16">
        <v>3</v>
      </c>
      <c r="C16" s="2" cm="1">
        <f t="array" ref="C16">SUM(IF(matches_played=B16,1,0))</f>
        <v>56</v>
      </c>
      <c r="D16" t="str">
        <f ca="1"/>
        <v>=SUM(IF(matches_played=B16,1,0))</v>
      </c>
      <c r="H16" s="2">
        <v>0</v>
      </c>
      <c r="K16" s="2" t="str">
        <v/>
      </c>
    </row>
    <row r="17" spans="1:13" x14ac:dyDescent="0.2">
      <c r="A17" s="2">
        <v>0</v>
      </c>
      <c r="B17">
        <v>4</v>
      </c>
      <c r="C17" s="2" cm="1">
        <f t="array" ref="C17">SUM(IF(matches_played=B17,1,0))</f>
        <v>40</v>
      </c>
      <c r="D17" t="str">
        <f ca="1"/>
        <v>=SUM(IF(matches_played=B17,1,0))</v>
      </c>
      <c r="H17" s="2">
        <v>0</v>
      </c>
      <c r="K17" s="2" t="str">
        <v/>
      </c>
    </row>
    <row r="18" spans="1:13" x14ac:dyDescent="0.2">
      <c r="A18" s="2">
        <v>0</v>
      </c>
      <c r="B18">
        <v>5</v>
      </c>
      <c r="C18" s="2" cm="1">
        <f t="array" ref="C18">SUM(IF(matches_played=B18,1,0))</f>
        <v>8</v>
      </c>
      <c r="D18" t="str">
        <f ca="1"/>
        <v>=SUM(IF(matches_played=B18,1,0))</v>
      </c>
      <c r="H18" s="2">
        <v>0</v>
      </c>
      <c r="K18" s="2" t="str">
        <v/>
      </c>
    </row>
    <row r="19" spans="1:13" x14ac:dyDescent="0.2">
      <c r="A19" s="2">
        <v>1</v>
      </c>
      <c r="B19">
        <v>6</v>
      </c>
      <c r="C19" s="2" cm="1">
        <f t="array" ref="C19">SUM(IF(matches_played=B19,1,0))</f>
        <v>24</v>
      </c>
      <c r="D19" t="str">
        <f ca="1"/>
        <v>=SUM(IF(matches_played=B19,1,0))</v>
      </c>
      <c r="H19" s="2">
        <v>0</v>
      </c>
      <c r="K19" s="2" t="str">
        <v/>
      </c>
    </row>
    <row r="20" spans="1:13" x14ac:dyDescent="0.2">
      <c r="A20" s="2">
        <v>0</v>
      </c>
      <c r="B20">
        <v>7</v>
      </c>
      <c r="C20" s="2" cm="1">
        <f t="array" ref="C20">SUM(IF(matches_played=B20,1,0))</f>
        <v>8</v>
      </c>
      <c r="D20" t="str">
        <f ca="1"/>
        <v>=SUM(IF(matches_played=B20,1,0))</v>
      </c>
      <c r="H20" s="2">
        <v>1</v>
      </c>
      <c r="K20" s="2" t="str">
        <v>Ground</v>
      </c>
    </row>
    <row r="21" spans="1:13" x14ac:dyDescent="0.2">
      <c r="A21" s="2">
        <v>0</v>
      </c>
      <c r="H21" s="2">
        <v>0</v>
      </c>
      <c r="K21" s="2" t="str">
        <v/>
      </c>
    </row>
    <row r="22" spans="1:13" x14ac:dyDescent="0.2">
      <c r="A22" s="2">
        <v>0</v>
      </c>
      <c r="H22" s="2">
        <v>0</v>
      </c>
      <c r="K22" s="2" t="str">
        <v/>
      </c>
    </row>
    <row r="23" spans="1:13" x14ac:dyDescent="0.2">
      <c r="A23" s="2">
        <v>0</v>
      </c>
      <c r="H23" s="2">
        <v>0</v>
      </c>
      <c r="K23" s="2" t="str">
        <v/>
      </c>
    </row>
    <row r="24" spans="1:13" x14ac:dyDescent="0.2">
      <c r="A24" s="2">
        <v>0</v>
      </c>
      <c r="H24" s="2">
        <v>1</v>
      </c>
      <c r="K24" s="2" t="str">
        <v>Rock</v>
      </c>
    </row>
    <row r="25" spans="1:13" x14ac:dyDescent="0.2">
      <c r="A25" s="2">
        <v>0</v>
      </c>
      <c r="H25" s="2">
        <v>0</v>
      </c>
      <c r="K25" s="2" t="str">
        <v/>
      </c>
    </row>
    <row r="26" spans="1:13" x14ac:dyDescent="0.2">
      <c r="A26" s="2">
        <v>1</v>
      </c>
      <c r="H26" s="2">
        <v>0</v>
      </c>
      <c r="K26" s="2" t="str">
        <v/>
      </c>
    </row>
    <row r="27" spans="1:13" x14ac:dyDescent="0.2">
      <c r="A27" s="2">
        <v>0</v>
      </c>
      <c r="H27" s="2">
        <v>0</v>
      </c>
      <c r="K27" s="2" t="str">
        <v/>
      </c>
    </row>
    <row r="28" spans="1:13" x14ac:dyDescent="0.2">
      <c r="A28" s="2">
        <v>0</v>
      </c>
      <c r="H28" s="2">
        <v>0</v>
      </c>
      <c r="K28" s="2" t="str">
        <v/>
      </c>
    </row>
    <row r="29" spans="1:13" x14ac:dyDescent="0.2">
      <c r="A29" s="2">
        <v>0</v>
      </c>
      <c r="H29" s="2">
        <v>0</v>
      </c>
      <c r="K29" s="2" t="str">
        <v/>
      </c>
    </row>
    <row r="30" spans="1:13" ht="17" thickBot="1" x14ac:dyDescent="0.25">
      <c r="A30" s="2">
        <v>0</v>
      </c>
    </row>
    <row r="31" spans="1:13" x14ac:dyDescent="0.2">
      <c r="A31" s="2">
        <v>0</v>
      </c>
      <c r="C31" s="3" t="s">
        <v>103</v>
      </c>
      <c r="D31" s="4" t="s">
        <v>104</v>
      </c>
      <c r="E31" s="4" t="s">
        <v>105</v>
      </c>
      <c r="F31" s="5" t="s">
        <v>106</v>
      </c>
      <c r="I31" t="str">
        <f ca="1">_xlfn.FORMULATEXT(I32)</f>
        <v>=VLOOKUP(H32,lossratios,{2,4},FALSE)</v>
      </c>
      <c r="M31" t="str">
        <f ca="1">_xlfn.FORMULATEXT(M32)</f>
        <v>=AVERAGE(VLOOKUP(H32,lossratios,{2,4},FALSE))</v>
      </c>
    </row>
    <row r="32" spans="1:13" x14ac:dyDescent="0.2">
      <c r="A32" s="2">
        <v>0</v>
      </c>
      <c r="C32" s="6" t="s">
        <v>107</v>
      </c>
      <c r="D32" s="22">
        <v>0.92900000000000005</v>
      </c>
      <c r="E32" s="22">
        <v>0.76500000000000001</v>
      </c>
      <c r="F32" s="23">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x14ac:dyDescent="0.2">
      <c r="A33" s="2">
        <v>1</v>
      </c>
      <c r="C33" s="6" t="s">
        <v>108</v>
      </c>
      <c r="D33" s="22">
        <v>0.61199999999999999</v>
      </c>
      <c r="E33" s="22">
        <v>0.76100000000000001</v>
      </c>
      <c r="F33" s="23">
        <v>1.093</v>
      </c>
      <c r="H33" t="str">
        <v>Liability</v>
      </c>
      <c r="I33" s="2" cm="1">
        <f t="array" ref="I33:J33">VLOOKUP(H33,lossratios,{2,4},FALSE)</f>
        <v>0.61199999999999999</v>
      </c>
      <c r="J33" s="2">
        <v>1.093</v>
      </c>
      <c r="M33" s="2" cm="1">
        <f t="array" ref="M33">AVERAGE(VLOOKUP(H33,lossratios,{2,4},FALSE))</f>
        <v>0.85250000000000004</v>
      </c>
    </row>
    <row r="34" spans="1:13" x14ac:dyDescent="0.2">
      <c r="A34" s="2">
        <v>0</v>
      </c>
      <c r="C34" s="6" t="s">
        <v>109</v>
      </c>
      <c r="D34" s="22">
        <v>0.871</v>
      </c>
      <c r="E34" s="22">
        <v>0.92800000000000005</v>
      </c>
      <c r="F34" s="23">
        <v>0.65900000000000003</v>
      </c>
      <c r="H34" t="str">
        <v>Life</v>
      </c>
      <c r="I34" s="2" cm="1">
        <f t="array" ref="I34:J34">VLOOKUP(H34,lossratios,{2,4},FALSE)</f>
        <v>0.871</v>
      </c>
      <c r="J34" s="2">
        <v>0.65900000000000003</v>
      </c>
      <c r="M34" s="2" cm="1">
        <f t="array" ref="M34">AVERAGE(VLOOKUP(H34,lossratios,{2,4},FALSE))</f>
        <v>0.76500000000000001</v>
      </c>
    </row>
    <row r="35" spans="1:13" ht="17" thickBot="1" x14ac:dyDescent="0.25">
      <c r="A35" s="2">
        <v>1</v>
      </c>
      <c r="C35" s="8" t="s">
        <v>110</v>
      </c>
      <c r="D35" s="24">
        <v>1.0489999999999999</v>
      </c>
      <c r="E35" s="24">
        <v>0.67500000000000004</v>
      </c>
      <c r="F35" s="25">
        <v>0.96699999999999997</v>
      </c>
      <c r="H35" t="str">
        <v>Property</v>
      </c>
      <c r="I35" s="2" cm="1">
        <f t="array" ref="I35:J35">VLOOKUP(H35,lossratios,{2,4},FALSE)</f>
        <v>1.0489999999999999</v>
      </c>
      <c r="J35" s="2">
        <v>0.96699999999999997</v>
      </c>
      <c r="M35" s="2" cm="1">
        <f t="array" ref="M35">AVERAGE(VLOOKUP(H35,lossratios,{2,4},FALSE))</f>
        <v>1.008</v>
      </c>
    </row>
    <row r="36" spans="1:13" x14ac:dyDescent="0.2">
      <c r="A36" s="2">
        <v>0</v>
      </c>
    </row>
    <row r="37" spans="1:13" x14ac:dyDescent="0.2">
      <c r="A37" s="2">
        <v>0</v>
      </c>
      <c r="H37" t="str">
        <f>C32</f>
        <v>Motor</v>
      </c>
      <c r="I37" s="2" cm="1">
        <f t="array" ref="I37:I38">VLOOKUP(H37,lossratios,{2;4},FALSE)</f>
        <v>0.92900000000000005</v>
      </c>
      <c r="J37" t="str">
        <f ca="1">_xlfn.FORMULATEXT(I37)</f>
        <v>=VLOOKUP(H37,lossratios,{2;4},FALSE)</v>
      </c>
    </row>
    <row r="38" spans="1:13" x14ac:dyDescent="0.2">
      <c r="A38" s="2">
        <v>0</v>
      </c>
      <c r="I38" s="2">
        <v>0.94099999999999995</v>
      </c>
    </row>
    <row r="39" spans="1:13" x14ac:dyDescent="0.2">
      <c r="A39" s="2">
        <v>0</v>
      </c>
    </row>
    <row r="40" spans="1:13" x14ac:dyDescent="0.2">
      <c r="A40" s="2">
        <v>0</v>
      </c>
    </row>
    <row r="41" spans="1:13" hidden="1" x14ac:dyDescent="0.2">
      <c r="A41" s="2">
        <v>0</v>
      </c>
    </row>
    <row r="42" spans="1:13" hidden="1" x14ac:dyDescent="0.2">
      <c r="A42" s="2">
        <v>0</v>
      </c>
    </row>
    <row r="43" spans="1:13" hidden="1" x14ac:dyDescent="0.2">
      <c r="A43" s="2">
        <v>0</v>
      </c>
    </row>
    <row r="44" spans="1:13" hidden="1" x14ac:dyDescent="0.2">
      <c r="A44" s="2">
        <v>0</v>
      </c>
    </row>
    <row r="45" spans="1:13" hidden="1" x14ac:dyDescent="0.2">
      <c r="A45" s="2">
        <v>1</v>
      </c>
    </row>
    <row r="46" spans="1:13" hidden="1" x14ac:dyDescent="0.2">
      <c r="A46" s="2">
        <v>0</v>
      </c>
    </row>
    <row r="47" spans="1:13" hidden="1" x14ac:dyDescent="0.2">
      <c r="A47" s="2">
        <v>1</v>
      </c>
    </row>
    <row r="48" spans="1:13" hidden="1" x14ac:dyDescent="0.2">
      <c r="A48" s="2">
        <v>1</v>
      </c>
    </row>
    <row r="49" spans="1:1" hidden="1" x14ac:dyDescent="0.2">
      <c r="A49" s="2">
        <v>0</v>
      </c>
    </row>
    <row r="50" spans="1:1" hidden="1" x14ac:dyDescent="0.2">
      <c r="A50" s="2">
        <v>0</v>
      </c>
    </row>
    <row r="51" spans="1:1" hidden="1" x14ac:dyDescent="0.2">
      <c r="A51" s="2">
        <v>0</v>
      </c>
    </row>
    <row r="52" spans="1:1" hidden="1" x14ac:dyDescent="0.2">
      <c r="A52" s="2">
        <v>0</v>
      </c>
    </row>
    <row r="53" spans="1:1" hidden="1" x14ac:dyDescent="0.2">
      <c r="A53" s="2">
        <v>0</v>
      </c>
    </row>
    <row r="54" spans="1:1" hidden="1" x14ac:dyDescent="0.2">
      <c r="A54" s="2">
        <v>0</v>
      </c>
    </row>
    <row r="55" spans="1:1" hidden="1" x14ac:dyDescent="0.2">
      <c r="A55" s="2">
        <v>0</v>
      </c>
    </row>
    <row r="56" spans="1:1" hidden="1" x14ac:dyDescent="0.2">
      <c r="A56" s="2">
        <v>0</v>
      </c>
    </row>
    <row r="57" spans="1:1" hidden="1" x14ac:dyDescent="0.2">
      <c r="A57" s="2">
        <v>0</v>
      </c>
    </row>
    <row r="58" spans="1:1" hidden="1" x14ac:dyDescent="0.2">
      <c r="A58" s="2">
        <v>0</v>
      </c>
    </row>
    <row r="59" spans="1:1" hidden="1" x14ac:dyDescent="0.2">
      <c r="A59" s="2">
        <v>1</v>
      </c>
    </row>
    <row r="60" spans="1:1" hidden="1" x14ac:dyDescent="0.2">
      <c r="A60" s="2">
        <v>0</v>
      </c>
    </row>
    <row r="61" spans="1:1" hidden="1" x14ac:dyDescent="0.2">
      <c r="A61" s="2">
        <v>0</v>
      </c>
    </row>
    <row r="62" spans="1:1" hidden="1" x14ac:dyDescent="0.2">
      <c r="A62" s="2">
        <v>0</v>
      </c>
    </row>
    <row r="63" spans="1:1" hidden="1" x14ac:dyDescent="0.2">
      <c r="A63" s="2">
        <v>0</v>
      </c>
    </row>
    <row r="64" spans="1:1" hidden="1" x14ac:dyDescent="0.2">
      <c r="A64" s="2">
        <v>0</v>
      </c>
    </row>
    <row r="65" spans="1:1" hidden="1" x14ac:dyDescent="0.2">
      <c r="A65" s="2">
        <v>0</v>
      </c>
    </row>
    <row r="66" spans="1:1" hidden="1" x14ac:dyDescent="0.2">
      <c r="A66" s="2">
        <v>0</v>
      </c>
    </row>
    <row r="67" spans="1:1" hidden="1" x14ac:dyDescent="0.2">
      <c r="A67" s="2">
        <v>0</v>
      </c>
    </row>
    <row r="68" spans="1:1" hidden="1" x14ac:dyDescent="0.2">
      <c r="A68" s="2">
        <v>0</v>
      </c>
    </row>
    <row r="69" spans="1:1" hidden="1" x14ac:dyDescent="0.2">
      <c r="A69" s="2">
        <v>0</v>
      </c>
    </row>
    <row r="70" spans="1:1" hidden="1" x14ac:dyDescent="0.2">
      <c r="A70" s="2">
        <v>0</v>
      </c>
    </row>
    <row r="71" spans="1:1" hidden="1" x14ac:dyDescent="0.2">
      <c r="A71" s="2">
        <v>0</v>
      </c>
    </row>
    <row r="72" spans="1:1" hidden="1" x14ac:dyDescent="0.2">
      <c r="A72" s="2">
        <v>0</v>
      </c>
    </row>
    <row r="73" spans="1:1" hidden="1" x14ac:dyDescent="0.2">
      <c r="A73" s="2">
        <v>0</v>
      </c>
    </row>
    <row r="74" spans="1:1" hidden="1" x14ac:dyDescent="0.2">
      <c r="A74" s="2">
        <v>0</v>
      </c>
    </row>
    <row r="75" spans="1:1" hidden="1" x14ac:dyDescent="0.2">
      <c r="A75" s="2">
        <v>0</v>
      </c>
    </row>
    <row r="76" spans="1:1" hidden="1" x14ac:dyDescent="0.2">
      <c r="A76" s="2">
        <v>0</v>
      </c>
    </row>
    <row r="77" spans="1:1" hidden="1" x14ac:dyDescent="0.2">
      <c r="A77" s="2">
        <v>0</v>
      </c>
    </row>
    <row r="78" spans="1:1" hidden="1" x14ac:dyDescent="0.2">
      <c r="A78" s="2">
        <v>0</v>
      </c>
    </row>
    <row r="79" spans="1:1" hidden="1" x14ac:dyDescent="0.2">
      <c r="A79" s="2">
        <v>0</v>
      </c>
    </row>
    <row r="80" spans="1:1" hidden="1" x14ac:dyDescent="0.2">
      <c r="A80" s="2">
        <v>0</v>
      </c>
    </row>
    <row r="81" spans="1:1" hidden="1" x14ac:dyDescent="0.2">
      <c r="A81" s="2">
        <v>0</v>
      </c>
    </row>
    <row r="82" spans="1:1" hidden="1" x14ac:dyDescent="0.2">
      <c r="A82" s="2">
        <v>0</v>
      </c>
    </row>
    <row r="83" spans="1:1" hidden="1" x14ac:dyDescent="0.2">
      <c r="A83" s="2">
        <v>0</v>
      </c>
    </row>
    <row r="84" spans="1:1" hidden="1" x14ac:dyDescent="0.2">
      <c r="A84" s="2">
        <v>0</v>
      </c>
    </row>
    <row r="85" spans="1:1" hidden="1" x14ac:dyDescent="0.2">
      <c r="A85" s="2">
        <v>0</v>
      </c>
    </row>
    <row r="86" spans="1:1" hidden="1" x14ac:dyDescent="0.2">
      <c r="A86" s="2">
        <v>0</v>
      </c>
    </row>
    <row r="87" spans="1:1" hidden="1" x14ac:dyDescent="0.2">
      <c r="A87" s="2">
        <v>0</v>
      </c>
    </row>
    <row r="88" spans="1:1" hidden="1" x14ac:dyDescent="0.2">
      <c r="A88" s="2">
        <v>0</v>
      </c>
    </row>
    <row r="89" spans="1:1" hidden="1" x14ac:dyDescent="0.2">
      <c r="A89" s="2">
        <v>0</v>
      </c>
    </row>
    <row r="90" spans="1:1" hidden="1" x14ac:dyDescent="0.2">
      <c r="A90" s="2">
        <v>0</v>
      </c>
    </row>
    <row r="91" spans="1:1" hidden="1" x14ac:dyDescent="0.2">
      <c r="A91" s="2">
        <v>0</v>
      </c>
    </row>
    <row r="92" spans="1:1" hidden="1" x14ac:dyDescent="0.2">
      <c r="A92" s="2">
        <v>0</v>
      </c>
    </row>
    <row r="93" spans="1:1" hidden="1" x14ac:dyDescent="0.2">
      <c r="A93" s="2">
        <v>0</v>
      </c>
    </row>
    <row r="94" spans="1:1" hidden="1" x14ac:dyDescent="0.2">
      <c r="A94" s="2">
        <v>0</v>
      </c>
    </row>
    <row r="95" spans="1:1" hidden="1" x14ac:dyDescent="0.2">
      <c r="A95" s="2">
        <v>0</v>
      </c>
    </row>
    <row r="96" spans="1:1" hidden="1" x14ac:dyDescent="0.2">
      <c r="A96" s="2">
        <v>0</v>
      </c>
    </row>
    <row r="97" spans="1:1" hidden="1" x14ac:dyDescent="0.2">
      <c r="A97" s="2">
        <v>0</v>
      </c>
    </row>
    <row r="98" spans="1:1" hidden="1" x14ac:dyDescent="0.2">
      <c r="A98" s="2">
        <v>0</v>
      </c>
    </row>
    <row r="99" spans="1:1" hidden="1" x14ac:dyDescent="0.2">
      <c r="A99" s="2">
        <v>0</v>
      </c>
    </row>
    <row r="100" spans="1:1" hidden="1" x14ac:dyDescent="0.2">
      <c r="A100" s="2">
        <v>0</v>
      </c>
    </row>
    <row r="101" spans="1:1" hidden="1" x14ac:dyDescent="0.2">
      <c r="A101" s="2">
        <v>0</v>
      </c>
    </row>
    <row r="102" spans="1:1" hidden="1" x14ac:dyDescent="0.2">
      <c r="A102" s="2">
        <v>0</v>
      </c>
    </row>
    <row r="103" spans="1:1" hidden="1" x14ac:dyDescent="0.2">
      <c r="A103" s="2">
        <v>0</v>
      </c>
    </row>
    <row r="104" spans="1:1" hidden="1" x14ac:dyDescent="0.2">
      <c r="A104" s="2">
        <v>0</v>
      </c>
    </row>
    <row r="105" spans="1:1" hidden="1" x14ac:dyDescent="0.2">
      <c r="A105" s="2">
        <v>0</v>
      </c>
    </row>
    <row r="106" spans="1:1" hidden="1" x14ac:dyDescent="0.2">
      <c r="A106" s="2">
        <v>0</v>
      </c>
    </row>
    <row r="107" spans="1:1" hidden="1" x14ac:dyDescent="0.2">
      <c r="A107" s="2">
        <v>0</v>
      </c>
    </row>
    <row r="108" spans="1:1" hidden="1" x14ac:dyDescent="0.2">
      <c r="A108" s="2">
        <v>0</v>
      </c>
    </row>
    <row r="109" spans="1:1" hidden="1" x14ac:dyDescent="0.2">
      <c r="A109" s="2">
        <v>0</v>
      </c>
    </row>
    <row r="110" spans="1:1" hidden="1" x14ac:dyDescent="0.2">
      <c r="A110" s="2">
        <v>0</v>
      </c>
    </row>
    <row r="111" spans="1:1" hidden="1" x14ac:dyDescent="0.2">
      <c r="A111" s="2">
        <v>0</v>
      </c>
    </row>
    <row r="112" spans="1:1" hidden="1" x14ac:dyDescent="0.2">
      <c r="A112" s="2">
        <v>0</v>
      </c>
    </row>
    <row r="113" spans="1:1" hidden="1" x14ac:dyDescent="0.2">
      <c r="A113" s="2">
        <v>0</v>
      </c>
    </row>
    <row r="114" spans="1:1" hidden="1" x14ac:dyDescent="0.2">
      <c r="A114" s="2">
        <v>0</v>
      </c>
    </row>
    <row r="115" spans="1:1" hidden="1" x14ac:dyDescent="0.2">
      <c r="A115" s="2">
        <v>0</v>
      </c>
    </row>
    <row r="116" spans="1:1" hidden="1" x14ac:dyDescent="0.2">
      <c r="A116" s="2">
        <v>0</v>
      </c>
    </row>
    <row r="117" spans="1:1" hidden="1" x14ac:dyDescent="0.2">
      <c r="A117" s="2">
        <v>0</v>
      </c>
    </row>
    <row r="118" spans="1:1" hidden="1" x14ac:dyDescent="0.2">
      <c r="A118" s="2">
        <v>0</v>
      </c>
    </row>
    <row r="119" spans="1:1" hidden="1" x14ac:dyDescent="0.2">
      <c r="A119" s="2">
        <v>0</v>
      </c>
    </row>
    <row r="120" spans="1:1" hidden="1" x14ac:dyDescent="0.2">
      <c r="A120" s="2">
        <v>0</v>
      </c>
    </row>
    <row r="121" spans="1:1" hidden="1" x14ac:dyDescent="0.2">
      <c r="A121" s="2">
        <v>0</v>
      </c>
    </row>
    <row r="122" spans="1:1" hidden="1" x14ac:dyDescent="0.2">
      <c r="A122" s="2">
        <v>0</v>
      </c>
    </row>
    <row r="123" spans="1:1" hidden="1" x14ac:dyDescent="0.2">
      <c r="A123" s="2">
        <v>0</v>
      </c>
    </row>
    <row r="124" spans="1:1" hidden="1" x14ac:dyDescent="0.2">
      <c r="A124" s="2">
        <v>0</v>
      </c>
    </row>
    <row r="125" spans="1:1" hidden="1" x14ac:dyDescent="0.2">
      <c r="A125" s="2">
        <v>0</v>
      </c>
    </row>
    <row r="126" spans="1:1" hidden="1" x14ac:dyDescent="0.2">
      <c r="A126" s="2">
        <v>0</v>
      </c>
    </row>
    <row r="127" spans="1:1" hidden="1" x14ac:dyDescent="0.2">
      <c r="A127" s="2">
        <v>0</v>
      </c>
    </row>
    <row r="128" spans="1:1" hidden="1" x14ac:dyDescent="0.2">
      <c r="A128" s="2">
        <v>0</v>
      </c>
    </row>
    <row r="129" spans="1:1" hidden="1" x14ac:dyDescent="0.2">
      <c r="A129" s="2">
        <v>0</v>
      </c>
    </row>
    <row r="130" spans="1:1" hidden="1" x14ac:dyDescent="0.2">
      <c r="A130" s="2">
        <v>0</v>
      </c>
    </row>
    <row r="131" spans="1:1" hidden="1" x14ac:dyDescent="0.2">
      <c r="A131" s="2">
        <v>0</v>
      </c>
    </row>
    <row r="132" spans="1:1" hidden="1" x14ac:dyDescent="0.2">
      <c r="A132" s="2">
        <v>0</v>
      </c>
    </row>
    <row r="133" spans="1:1" hidden="1" x14ac:dyDescent="0.2">
      <c r="A133" s="2">
        <v>0</v>
      </c>
    </row>
    <row r="134" spans="1:1" hidden="1" x14ac:dyDescent="0.2">
      <c r="A134" s="2">
        <v>0</v>
      </c>
    </row>
    <row r="135" spans="1:1" hidden="1" x14ac:dyDescent="0.2">
      <c r="A135" s="2">
        <v>0</v>
      </c>
    </row>
    <row r="136" spans="1:1" hidden="1" x14ac:dyDescent="0.2">
      <c r="A136" s="2">
        <v>0</v>
      </c>
    </row>
    <row r="137" spans="1:1" hidden="1" x14ac:dyDescent="0.2">
      <c r="A137" s="2">
        <v>0</v>
      </c>
    </row>
    <row r="138" spans="1:1" hidden="1" x14ac:dyDescent="0.2">
      <c r="A138" s="2">
        <v>0</v>
      </c>
    </row>
    <row r="139" spans="1:1" hidden="1" x14ac:dyDescent="0.2">
      <c r="A139" s="2">
        <v>0</v>
      </c>
    </row>
    <row r="140" spans="1:1" hidden="1" x14ac:dyDescent="0.2">
      <c r="A140" s="2">
        <v>0</v>
      </c>
    </row>
    <row r="141" spans="1:1" hidden="1" x14ac:dyDescent="0.2">
      <c r="A141" s="2">
        <v>0</v>
      </c>
    </row>
    <row r="142" spans="1:1" hidden="1" x14ac:dyDescent="0.2">
      <c r="A142" s="2">
        <v>0</v>
      </c>
    </row>
    <row r="143" spans="1:1" hidden="1" x14ac:dyDescent="0.2">
      <c r="A143" s="2">
        <v>0</v>
      </c>
    </row>
    <row r="144" spans="1:1" x14ac:dyDescent="0.2">
      <c r="A144" s="2">
        <v>0</v>
      </c>
    </row>
    <row r="145" spans="1:12" x14ac:dyDescent="0.2">
      <c r="A145" s="2">
        <v>0</v>
      </c>
    </row>
    <row r="146" spans="1:12" x14ac:dyDescent="0.2">
      <c r="A146" s="2">
        <v>0</v>
      </c>
    </row>
    <row r="147" spans="1:12" x14ac:dyDescent="0.2">
      <c r="A147" s="2">
        <v>0</v>
      </c>
    </row>
    <row r="149" spans="1:12" s="1" customFormat="1" x14ac:dyDescent="0.2"/>
    <row r="150" spans="1:12" x14ac:dyDescent="0.2">
      <c r="A150" s="12" t="s">
        <v>111</v>
      </c>
    </row>
    <row r="152" spans="1:12" x14ac:dyDescent="0.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x14ac:dyDescent="0.2">
      <c r="C153" s="2">
        <v>0</v>
      </c>
      <c r="E153" s="2">
        <f>SUM(_xlfn.ANCHORARRAY(H12))</f>
        <v>3</v>
      </c>
      <c r="F153" t="str">
        <f ca="1">_xlfn.FORMULATEXT(E153)</f>
        <v>=SUM(H12#)</v>
      </c>
      <c r="H153" s="2">
        <v>2</v>
      </c>
      <c r="K153" s="2">
        <f>SUM(_xlfn.ANCHORARRAY(H152))</f>
        <v>15</v>
      </c>
      <c r="L153" t="str">
        <f ca="1">_xlfn.FORMULATEXT(K153)</f>
        <v>=SUM(H152#)</v>
      </c>
    </row>
    <row r="154" spans="1:12" x14ac:dyDescent="0.2">
      <c r="C154" s="2">
        <v>1</v>
      </c>
      <c r="H154" s="2">
        <v>3</v>
      </c>
    </row>
    <row r="155" spans="1:12" x14ac:dyDescent="0.2">
      <c r="C155" s="2">
        <v>0</v>
      </c>
      <c r="H155" s="2">
        <v>4</v>
      </c>
      <c r="J155" s="12" t="s">
        <v>112</v>
      </c>
    </row>
    <row r="156" spans="1:12" x14ac:dyDescent="0.2">
      <c r="C156" s="2">
        <v>0</v>
      </c>
      <c r="H156" s="2">
        <v>5</v>
      </c>
    </row>
    <row r="157" spans="1:12" x14ac:dyDescent="0.2">
      <c r="C157" s="2">
        <v>0</v>
      </c>
    </row>
    <row r="158" spans="1:12" x14ac:dyDescent="0.2">
      <c r="C158" s="2">
        <v>0</v>
      </c>
    </row>
    <row r="159" spans="1:12" x14ac:dyDescent="0.2">
      <c r="C159" s="2">
        <v>0</v>
      </c>
    </row>
    <row r="160" spans="1:12" x14ac:dyDescent="0.2">
      <c r="C160" s="2">
        <v>1</v>
      </c>
    </row>
    <row r="161" spans="1:7" x14ac:dyDescent="0.2">
      <c r="C161" s="2">
        <v>0</v>
      </c>
    </row>
    <row r="162" spans="1:7" x14ac:dyDescent="0.2">
      <c r="C162" s="2">
        <v>0</v>
      </c>
    </row>
    <row r="163" spans="1:7" x14ac:dyDescent="0.2">
      <c r="C163" s="2">
        <v>0</v>
      </c>
    </row>
    <row r="164" spans="1:7" x14ac:dyDescent="0.2">
      <c r="C164" s="2">
        <v>1</v>
      </c>
    </row>
    <row r="165" spans="1:7" x14ac:dyDescent="0.2">
      <c r="C165" s="2">
        <v>0</v>
      </c>
    </row>
    <row r="166" spans="1:7" x14ac:dyDescent="0.2">
      <c r="C166" s="2">
        <v>0</v>
      </c>
    </row>
    <row r="167" spans="1:7" x14ac:dyDescent="0.2">
      <c r="C167" s="2">
        <v>0</v>
      </c>
    </row>
    <row r="168" spans="1:7" x14ac:dyDescent="0.2">
      <c r="C168" s="2">
        <v>0</v>
      </c>
    </row>
    <row r="169" spans="1:7" x14ac:dyDescent="0.2">
      <c r="C169" s="2">
        <v>0</v>
      </c>
    </row>
    <row r="171" spans="1:7" s="1" customFormat="1" x14ac:dyDescent="0.2"/>
    <row r="172" spans="1:7" x14ac:dyDescent="0.2">
      <c r="A172" s="12" t="s">
        <v>113</v>
      </c>
    </row>
    <row r="174" spans="1:7" x14ac:dyDescent="0.2">
      <c r="A174" s="21" t="s">
        <v>114</v>
      </c>
    </row>
    <row r="176" spans="1:7" x14ac:dyDescent="0.2">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x14ac:dyDescent="0.2">
      <c r="A177" s="2" t="str">
        <v>England</v>
      </c>
      <c r="F177" s="2" t="str">
        <v>Netherlands</v>
      </c>
    </row>
    <row r="178" spans="1:18" x14ac:dyDescent="0.2">
      <c r="A178" s="2" t="str">
        <v>Netherlands</v>
      </c>
      <c r="F178" s="2" t="str">
        <v>Sweden</v>
      </c>
    </row>
    <row r="179" spans="1:18" x14ac:dyDescent="0.2">
      <c r="A179" s="2" t="str">
        <v>Sweden</v>
      </c>
      <c r="F179" s="2" t="str">
        <v>USA</v>
      </c>
    </row>
    <row r="180" spans="1:18" x14ac:dyDescent="0.2">
      <c r="A180" s="2" t="str">
        <v>USA</v>
      </c>
      <c r="F180" s="2" t="str">
        <v>Germany</v>
      </c>
    </row>
    <row r="181" spans="1:18" x14ac:dyDescent="0.2">
      <c r="A181" s="2" t="str">
        <v>Germany</v>
      </c>
      <c r="F181" s="2" t="str">
        <v>Japan</v>
      </c>
    </row>
    <row r="182" spans="1:18" x14ac:dyDescent="0.2">
      <c r="A182" s="2" t="str">
        <v>Japan</v>
      </c>
    </row>
    <row r="183" spans="1:18" s="26" customFormat="1" x14ac:dyDescent="0.2"/>
    <row r="185" spans="1:18" x14ac:dyDescent="0.2">
      <c r="A185" s="12" t="s">
        <v>115</v>
      </c>
      <c r="H185" s="12" t="s">
        <v>116</v>
      </c>
    </row>
    <row r="186" spans="1:18" x14ac:dyDescent="0.2">
      <c r="H186" s="21" t="s">
        <v>117</v>
      </c>
    </row>
    <row r="187" spans="1:18" x14ac:dyDescent="0.2">
      <c r="B187" s="27" t="str" cm="1">
        <f t="array" ref="B187:E191">lossratios</f>
        <v>Loss ratios</v>
      </c>
      <c r="C187" s="28" t="str">
        <v>NSW</v>
      </c>
      <c r="D187" s="28" t="str">
        <v>VIC</v>
      </c>
      <c r="E187" s="29" t="str">
        <v>ACT</v>
      </c>
      <c r="H187" t="str">
        <f ca="1">_xlfn.FORMULATEXT(H188)</f>
        <v>=VLOOKUP(products,B188:E191,4, FALSE)</v>
      </c>
      <c r="M187" s="21" t="s">
        <v>118</v>
      </c>
    </row>
    <row r="188" spans="1:18" x14ac:dyDescent="0.2">
      <c r="B188" s="30" t="str">
        <v>Motor</v>
      </c>
      <c r="C188">
        <v>0.92900000000000005</v>
      </c>
      <c r="D188">
        <v>0.76500000000000001</v>
      </c>
      <c r="E188" s="31">
        <v>0.94099999999999995</v>
      </c>
      <c r="H188" s="2" cm="1">
        <f t="array" ref="H188:H192">VLOOKUP(products,B188:E191,4, FALSE)</f>
        <v>0.94099999999999995</v>
      </c>
      <c r="M188" s="21" t="s">
        <v>119</v>
      </c>
    </row>
    <row r="189" spans="1:18" x14ac:dyDescent="0.2">
      <c r="B189" s="30" t="str">
        <v>Liability</v>
      </c>
      <c r="C189">
        <v>0.61199999999999999</v>
      </c>
      <c r="D189">
        <v>0.76100000000000001</v>
      </c>
      <c r="E189" s="31">
        <v>1.093</v>
      </c>
      <c r="H189" s="2">
        <v>0.65900000000000003</v>
      </c>
      <c r="I189" t="s">
        <v>120</v>
      </c>
      <c r="M189" t="str">
        <f ca="1">_xlfn.FORMULATEXT(M190)</f>
        <v>=VLOOKUP(E197,B188:E191,{2,4;1,3;4,2},FALSE)</v>
      </c>
    </row>
    <row r="190" spans="1:18" x14ac:dyDescent="0.2">
      <c r="B190" s="30" t="str">
        <v>Life</v>
      </c>
      <c r="C190">
        <v>0.871</v>
      </c>
      <c r="D190">
        <v>0.92800000000000005</v>
      </c>
      <c r="E190" s="31">
        <v>0.65900000000000003</v>
      </c>
      <c r="H190" s="2">
        <v>1.093</v>
      </c>
      <c r="I190" t="s">
        <v>121</v>
      </c>
      <c r="M190" s="2" cm="1">
        <f t="array" ref="M190:N192">VLOOKUP(E197,B188:E191,{2,4;1,3;4,2},FALSE)</f>
        <v>0.92900000000000005</v>
      </c>
      <c r="N190" s="2">
        <v>0.94099999999999995</v>
      </c>
      <c r="O190" t="s">
        <v>122</v>
      </c>
      <c r="P190" s="21"/>
      <c r="Q190" s="21"/>
      <c r="R190" s="21"/>
    </row>
    <row r="191" spans="1:18" x14ac:dyDescent="0.2">
      <c r="B191" s="32" t="str">
        <v>Property</v>
      </c>
      <c r="C191" s="26">
        <v>1.0489999999999999</v>
      </c>
      <c r="D191" s="26">
        <v>0.67500000000000004</v>
      </c>
      <c r="E191" s="33">
        <v>0.96699999999999997</v>
      </c>
      <c r="H191" s="2">
        <v>0.96699999999999997</v>
      </c>
      <c r="I191" t="s">
        <v>123</v>
      </c>
      <c r="M191" s="2" t="str">
        <v>Motor</v>
      </c>
      <c r="N191" s="2">
        <v>0.76500000000000001</v>
      </c>
      <c r="O191" t="s">
        <v>124</v>
      </c>
      <c r="P191" s="21"/>
      <c r="Q191" s="21"/>
      <c r="R191" s="21"/>
    </row>
    <row r="192" spans="1:18" x14ac:dyDescent="0.2">
      <c r="H192" t="e">
        <v>#N/A</v>
      </c>
      <c r="I192" t="s">
        <v>125</v>
      </c>
      <c r="M192" s="2">
        <v>0.94099999999999995</v>
      </c>
      <c r="N192" s="2">
        <v>0.92900000000000005</v>
      </c>
      <c r="O192" t="s">
        <v>126</v>
      </c>
      <c r="P192" s="21"/>
      <c r="Q192" s="21"/>
      <c r="R192" s="21"/>
    </row>
    <row r="195" spans="5:20" x14ac:dyDescent="0.2">
      <c r="H195" s="37" t="s">
        <v>127</v>
      </c>
    </row>
    <row r="196" spans="5:20" x14ac:dyDescent="0.2">
      <c r="E196" s="34" t="s">
        <v>128</v>
      </c>
      <c r="H196" s="21" t="s">
        <v>129</v>
      </c>
      <c r="N196" s="38" t="s">
        <v>130</v>
      </c>
      <c r="R196" s="21" t="s">
        <v>131</v>
      </c>
    </row>
    <row r="197" spans="5:20" x14ac:dyDescent="0.2">
      <c r="E197" s="35" t="s">
        <v>107</v>
      </c>
      <c r="H197" t="str">
        <f ca="1">_xlfn.FORMULATEXT(H198)</f>
        <v>=XLOOKUP(products,loss_ratios,E188:E191,"No such product")</v>
      </c>
      <c r="N197" s="40" t="str">
        <f ca="1">_xlfn.FORMULATEXT(N198)</f>
        <v>=MATCH(B188,products,0)</v>
      </c>
      <c r="T197" s="40" t="str">
        <f ca="1">_xlfn.FORMULATEXT(T198)</f>
        <v>=INDEX(C$188:C$191,MATCH(B188,loss_ratios,0))</v>
      </c>
    </row>
    <row r="198" spans="5:20" x14ac:dyDescent="0.2">
      <c r="E198" s="35" t="s">
        <v>109</v>
      </c>
      <c r="H198" s="2" cm="1">
        <f t="array" ref="H198:H202">_xlfn.XLOOKUP(products,loss_ratios,E188:E191,"No such product")</f>
        <v>0.94099999999999995</v>
      </c>
      <c r="N198" s="2">
        <f>MATCH(B188,products,0)</f>
        <v>1</v>
      </c>
      <c r="T198" s="2">
        <f>INDEX(C$188:C$191,MATCH(B188,loss_ratios,0))</f>
        <v>0.92900000000000005</v>
      </c>
    </row>
    <row r="199" spans="5:20" x14ac:dyDescent="0.2">
      <c r="E199" s="35" t="s">
        <v>108</v>
      </c>
      <c r="H199" s="2">
        <v>0.65900000000000003</v>
      </c>
      <c r="I199" t="s">
        <v>132</v>
      </c>
      <c r="N199" s="2">
        <f>MATCH(B189,products,0)</f>
        <v>3</v>
      </c>
      <c r="T199" s="2">
        <f>INDEX(C$188:C$191,MATCH(B189,B$188:B$191,0))</f>
        <v>0.61199999999999999</v>
      </c>
    </row>
    <row r="200" spans="5:20" x14ac:dyDescent="0.2">
      <c r="E200" s="35" t="s">
        <v>110</v>
      </c>
      <c r="H200" s="2">
        <v>1.093</v>
      </c>
      <c r="I200" t="s">
        <v>133</v>
      </c>
      <c r="N200" s="2">
        <f>MATCH(B190,products,0)</f>
        <v>2</v>
      </c>
      <c r="T200" s="2">
        <f>INDEX(C$188:C$191,MATCH(B190,B$188:B$191,0))</f>
        <v>0.871</v>
      </c>
    </row>
    <row r="201" spans="5:20" x14ac:dyDescent="0.2">
      <c r="E201" s="36" t="s">
        <v>134</v>
      </c>
      <c r="H201" s="2">
        <v>0.96699999999999997</v>
      </c>
      <c r="N201" s="2">
        <f>MATCH(B191,products,0)</f>
        <v>4</v>
      </c>
      <c r="T201" s="2">
        <f>INDEX(C$188:C$191,MATCH(B191,B$188:B$191,0))</f>
        <v>1.0489999999999999</v>
      </c>
    </row>
    <row r="202" spans="5:20" x14ac:dyDescent="0.2">
      <c r="H202" s="2" t="str">
        <v>No such product</v>
      </c>
    </row>
    <row r="203" spans="5:20" x14ac:dyDescent="0.2">
      <c r="N203" s="12" t="s">
        <v>135</v>
      </c>
      <c r="O203" s="21" t="s">
        <v>136</v>
      </c>
    </row>
    <row r="204" spans="5:20" x14ac:dyDescent="0.2">
      <c r="H204" t="s">
        <v>137</v>
      </c>
      <c r="N204" t="str">
        <f ca="1">_xlfn.FORMULATEXT(N205)</f>
        <v>=INDEX(products,2)</v>
      </c>
    </row>
    <row r="205" spans="5:20" x14ac:dyDescent="0.2">
      <c r="H205" s="21" t="s">
        <v>138</v>
      </c>
      <c r="J205" s="21" t="s">
        <v>139</v>
      </c>
      <c r="N205" s="2" t="str">
        <f>INDEX(products,2)</f>
        <v>Life</v>
      </c>
    </row>
    <row r="206" spans="5:20" x14ac:dyDescent="0.2">
      <c r="H206" s="2">
        <f>_xlfn.XLOOKUP("Argentina",squad, goals,,0,1)</f>
        <v>2</v>
      </c>
      <c r="I206" t="str">
        <f ca="1">_xlfn.FORMULATEXT(H206)</f>
        <v>=XLOOKUP("Argentina",squad, goals,,0,1)</v>
      </c>
    </row>
    <row r="207" spans="5:20" x14ac:dyDescent="0.2">
      <c r="H207" s="2">
        <f>_xlfn.XLOOKUP("Argentina",squad, goals,,0,-1)</f>
        <v>1</v>
      </c>
      <c r="I207" t="str">
        <f ca="1">_xlfn.FORMULATEXT(H207)</f>
        <v>=XLOOKUP("Argentina",squad, goals,,0,-1)</v>
      </c>
    </row>
    <row r="208" spans="5:20" x14ac:dyDescent="0.2">
      <c r="N208" s="39" t="s">
        <v>140</v>
      </c>
      <c r="R208" s="21" t="s">
        <v>141</v>
      </c>
    </row>
    <row r="209" spans="8:18" x14ac:dyDescent="0.2">
      <c r="H209" t="s">
        <v>142</v>
      </c>
      <c r="N209" s="2">
        <f>_xlfn.XMATCH("Argentina",squad,0,1)</f>
        <v>1</v>
      </c>
      <c r="O209" s="40" t="str">
        <f ca="1">_xlfn.FORMULATEXT(N209)</f>
        <v>=XMATCH("Argentina",squad,0,1)</v>
      </c>
      <c r="R209" t="str">
        <f ca="1">_xlfn.FORMULATEXT(R210)</f>
        <v>=INDEX(goals, XMATCH("Argentina",squad,0,-1))</v>
      </c>
    </row>
    <row r="210" spans="8:18" x14ac:dyDescent="0.2">
      <c r="H210" t="s">
        <v>143</v>
      </c>
      <c r="N210" s="2">
        <f>_xlfn.XMATCH("Argentina",squad,0,-1)</f>
        <v>81</v>
      </c>
      <c r="O210" s="40" t="str">
        <f ca="1">_xlfn.FORMULATEXT(N210)</f>
        <v>=XMATCH("Argentina",squad,0,-1)</v>
      </c>
      <c r="R210" s="2" cm="1">
        <f t="array" ref="R210">INDEX(goals, _xlfn.XMATCH("Argentina",squad,0,-1))</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466A-6204-486C-B2AF-D5C5F6CCDC89}">
  <sheetPr codeName="Sheet7"/>
  <dimension ref="A2:U70"/>
  <sheetViews>
    <sheetView tabSelected="1" topLeftCell="A29" workbookViewId="0">
      <selection activeCell="R66" sqref="R66"/>
    </sheetView>
  </sheetViews>
  <sheetFormatPr baseColWidth="10" defaultColWidth="8.83203125" defaultRowHeight="16" x14ac:dyDescent="0.2"/>
  <cols>
    <col min="10" max="10" width="11.1640625" customWidth="1"/>
    <col min="11" max="11" width="9.83203125" customWidth="1"/>
    <col min="13" max="13" width="9" customWidth="1"/>
    <col min="14" max="14" width="12.6640625" customWidth="1"/>
  </cols>
  <sheetData>
    <row r="2" spans="1:12" x14ac:dyDescent="0.2">
      <c r="A2" s="12" t="s">
        <v>144</v>
      </c>
    </row>
    <row r="3" spans="1:12" x14ac:dyDescent="0.2">
      <c r="F3" s="12" t="s">
        <v>145</v>
      </c>
    </row>
    <row r="4" spans="1:12" x14ac:dyDescent="0.2">
      <c r="B4" s="27" t="s">
        <v>146</v>
      </c>
      <c r="C4" s="29" t="s">
        <v>147</v>
      </c>
      <c r="F4" t="s">
        <v>148</v>
      </c>
    </row>
    <row r="5" spans="1:12" x14ac:dyDescent="0.2">
      <c r="B5" s="30" t="s">
        <v>149</v>
      </c>
      <c r="C5" s="31">
        <v>624</v>
      </c>
      <c r="F5" s="52">
        <v>5</v>
      </c>
    </row>
    <row r="6" spans="1:12" x14ac:dyDescent="0.2">
      <c r="B6" s="30" t="s">
        <v>150</v>
      </c>
      <c r="C6" s="31">
        <v>390</v>
      </c>
      <c r="F6" s="2" t="str" cm="1">
        <f t="array" aca="1" ref="F6:G6" ca="1">OFFSET(monthly_profit, F5,0,1,2)</f>
        <v>May</v>
      </c>
      <c r="G6" s="2">
        <f ca="1"/>
        <v>439</v>
      </c>
      <c r="H6" t="str">
        <f ca="1">_xlfn.FORMULATEXT(F6)</f>
        <v>=OFFSET(monthly_profit, F5,0,1,2)</v>
      </c>
    </row>
    <row r="7" spans="1:12" x14ac:dyDescent="0.2">
      <c r="B7" s="30" t="s">
        <v>151</v>
      </c>
      <c r="C7" s="31">
        <v>1000</v>
      </c>
    </row>
    <row r="8" spans="1:12" x14ac:dyDescent="0.2">
      <c r="B8" s="30" t="s">
        <v>152</v>
      </c>
      <c r="C8" s="31">
        <v>250</v>
      </c>
    </row>
    <row r="9" spans="1:12" x14ac:dyDescent="0.2">
      <c r="B9" s="30" t="s">
        <v>153</v>
      </c>
      <c r="C9" s="31">
        <v>439</v>
      </c>
      <c r="F9" t="s">
        <v>154</v>
      </c>
      <c r="G9" t="s">
        <v>155</v>
      </c>
    </row>
    <row r="10" spans="1:12" x14ac:dyDescent="0.2">
      <c r="B10" s="30" t="s">
        <v>156</v>
      </c>
      <c r="C10" s="31">
        <v>109</v>
      </c>
      <c r="F10" s="52">
        <v>3</v>
      </c>
      <c r="G10" s="52">
        <v>7</v>
      </c>
      <c r="H10" s="21" t="s">
        <v>157</v>
      </c>
    </row>
    <row r="11" spans="1:12" x14ac:dyDescent="0.2">
      <c r="B11" s="30" t="s">
        <v>158</v>
      </c>
      <c r="C11" s="31">
        <v>530</v>
      </c>
      <c r="F11" s="2" t="str" cm="1">
        <f t="array" aca="1" ref="F11:G15" ca="1">OFFSET(monthly_profit, F10, 0,G10-F10+1,2)</f>
        <v>Mar</v>
      </c>
      <c r="G11" s="2">
        <f ca="1"/>
        <v>1000</v>
      </c>
      <c r="H11" t="str">
        <f ca="1">_xlfn.FORMULATEXT(F11)</f>
        <v>=OFFSET(monthly_profit, F10, 0,G10-F10+1,2)</v>
      </c>
      <c r="L11" s="21" t="s">
        <v>159</v>
      </c>
    </row>
    <row r="12" spans="1:12" x14ac:dyDescent="0.2">
      <c r="B12" s="30" t="s">
        <v>160</v>
      </c>
      <c r="C12" s="31">
        <v>123</v>
      </c>
      <c r="F12" s="2" t="str">
        <f ca="1"/>
        <v>Apr</v>
      </c>
      <c r="G12" s="2">
        <f ca="1"/>
        <v>250</v>
      </c>
    </row>
    <row r="13" spans="1:12" x14ac:dyDescent="0.2">
      <c r="B13" s="30" t="s">
        <v>161</v>
      </c>
      <c r="C13" s="31">
        <v>5345</v>
      </c>
      <c r="F13" s="2" t="str">
        <f ca="1"/>
        <v>May</v>
      </c>
      <c r="G13" s="2">
        <f ca="1"/>
        <v>439</v>
      </c>
      <c r="I13" t="s">
        <v>162</v>
      </c>
    </row>
    <row r="14" spans="1:12" x14ac:dyDescent="0.2">
      <c r="B14" s="30" t="s">
        <v>163</v>
      </c>
      <c r="C14" s="31">
        <v>312</v>
      </c>
      <c r="F14" s="2" t="str">
        <f ca="1"/>
        <v>Jun</v>
      </c>
      <c r="G14" s="2">
        <f ca="1"/>
        <v>109</v>
      </c>
      <c r="I14" t="s">
        <v>164</v>
      </c>
    </row>
    <row r="15" spans="1:12" x14ac:dyDescent="0.2">
      <c r="B15" s="30" t="s">
        <v>165</v>
      </c>
      <c r="C15" s="31">
        <v>98</v>
      </c>
      <c r="F15" s="2" t="str">
        <f ca="1"/>
        <v>Jul</v>
      </c>
      <c r="G15" s="2">
        <f ca="1"/>
        <v>530</v>
      </c>
      <c r="I15" t="s">
        <v>213</v>
      </c>
    </row>
    <row r="16" spans="1:12" x14ac:dyDescent="0.2">
      <c r="B16" s="32" t="s">
        <v>166</v>
      </c>
      <c r="C16" s="33">
        <v>672</v>
      </c>
      <c r="F16" s="2"/>
      <c r="G16" s="2"/>
      <c r="I16" t="s">
        <v>212</v>
      </c>
    </row>
    <row r="17" spans="6:14" x14ac:dyDescent="0.2">
      <c r="F17" s="2"/>
      <c r="G17" s="2"/>
      <c r="I17" t="s">
        <v>167</v>
      </c>
    </row>
    <row r="18" spans="6:14" x14ac:dyDescent="0.2">
      <c r="F18" s="2"/>
      <c r="G18" s="2"/>
    </row>
    <row r="19" spans="6:14" x14ac:dyDescent="0.2">
      <c r="F19" s="2"/>
      <c r="G19" s="2"/>
    </row>
    <row r="20" spans="6:14" x14ac:dyDescent="0.2">
      <c r="F20" s="2"/>
      <c r="G20" s="2"/>
    </row>
    <row r="21" spans="6:14" x14ac:dyDescent="0.2">
      <c r="F21" s="2"/>
      <c r="G21" s="2"/>
    </row>
    <row r="22" spans="6:14" x14ac:dyDescent="0.2">
      <c r="F22" s="2"/>
      <c r="G22" s="2"/>
    </row>
    <row r="23" spans="6:14" s="26" customFormat="1" x14ac:dyDescent="0.2"/>
    <row r="27" spans="6:14" x14ac:dyDescent="0.2">
      <c r="I27" s="12" t="s">
        <v>168</v>
      </c>
      <c r="J27" s="21" t="s">
        <v>214</v>
      </c>
    </row>
    <row r="28" spans="6:14" x14ac:dyDescent="0.2">
      <c r="I28" s="40" t="s">
        <v>169</v>
      </c>
    </row>
    <row r="29" spans="6:14" x14ac:dyDescent="0.2">
      <c r="I29" s="2" t="str">
        <f>ADDRESS(26,2)</f>
        <v>$B$26</v>
      </c>
      <c r="J29" t="str">
        <f ca="1">_xlfn.FORMULATEXT(I29)</f>
        <v>=ADDRESS(26,2)</v>
      </c>
      <c r="L29" s="11" t="s">
        <v>170</v>
      </c>
    </row>
    <row r="30" spans="6:14" x14ac:dyDescent="0.2">
      <c r="N30" s="11"/>
    </row>
    <row r="31" spans="6:14" x14ac:dyDescent="0.2">
      <c r="I31" s="12" t="s">
        <v>171</v>
      </c>
      <c r="J31" s="21" t="s">
        <v>172</v>
      </c>
    </row>
    <row r="32" spans="6:14" x14ac:dyDescent="0.2">
      <c r="I32" t="s">
        <v>173</v>
      </c>
    </row>
    <row r="33" spans="1:21" x14ac:dyDescent="0.2">
      <c r="I33" s="2" cm="1">
        <f t="array" aca="1" ref="I33" ca="1">INDIRECT(I29)</f>
        <v>0</v>
      </c>
      <c r="J33" t="str">
        <f ca="1">_xlfn.FORMULATEXT(I33)</f>
        <v>=INDIRECT(I29)</v>
      </c>
    </row>
    <row r="35" spans="1:21" x14ac:dyDescent="0.2">
      <c r="I35" s="12" t="s">
        <v>174</v>
      </c>
      <c r="K35" s="21" t="s">
        <v>175</v>
      </c>
      <c r="P35" s="12" t="s">
        <v>176</v>
      </c>
    </row>
    <row r="36" spans="1:21" x14ac:dyDescent="0.2">
      <c r="I36" s="26" t="s">
        <v>154</v>
      </c>
      <c r="J36" s="26" t="s">
        <v>177</v>
      </c>
      <c r="K36" s="26" t="s">
        <v>178</v>
      </c>
      <c r="L36" s="26" t="s">
        <v>179</v>
      </c>
      <c r="M36" s="26"/>
      <c r="P36" s="26" t="s">
        <v>154</v>
      </c>
      <c r="Q36" s="26" t="s">
        <v>177</v>
      </c>
      <c r="R36" s="26" t="s">
        <v>178</v>
      </c>
      <c r="S36" s="26" t="s">
        <v>179</v>
      </c>
      <c r="T36" s="26"/>
    </row>
    <row r="37" spans="1:21" x14ac:dyDescent="0.2">
      <c r="I37" s="52" t="s">
        <v>150</v>
      </c>
      <c r="J37" s="52" t="s">
        <v>153</v>
      </c>
      <c r="K37" s="52">
        <v>1</v>
      </c>
      <c r="L37" s="52">
        <v>3</v>
      </c>
      <c r="M37" s="21" t="s">
        <v>180</v>
      </c>
      <c r="N37" s="50" t="s">
        <v>181</v>
      </c>
      <c r="O37" s="51" t="s">
        <v>182</v>
      </c>
      <c r="P37" s="52" t="s">
        <v>151</v>
      </c>
      <c r="Q37" s="52" t="s">
        <v>156</v>
      </c>
      <c r="R37" s="52">
        <v>2</v>
      </c>
      <c r="S37" s="52">
        <v>4</v>
      </c>
    </row>
    <row r="38" spans="1:21" x14ac:dyDescent="0.2">
      <c r="A38" s="27"/>
      <c r="B38" s="28" t="s">
        <v>149</v>
      </c>
      <c r="C38" s="28" t="s">
        <v>150</v>
      </c>
      <c r="D38" s="28" t="s">
        <v>151</v>
      </c>
      <c r="E38" s="28" t="s">
        <v>152</v>
      </c>
      <c r="F38" s="28" t="s">
        <v>153</v>
      </c>
      <c r="G38" s="29" t="s">
        <v>156</v>
      </c>
      <c r="I38" s="41" t="str" cm="1">
        <f t="array" aca="1" ref="I38:L38" ca="1">INDIRECT(ADDRESS(38,MATCH(I37,A38:G38,0))):INDIRECT(ADDRESS(38,MATCH(J37,A38:G38,0)))</f>
        <v>Feb</v>
      </c>
      <c r="J38" s="41" t="str">
        <f ca="1"/>
        <v>Mar</v>
      </c>
      <c r="K38" s="41" t="str">
        <f ca="1"/>
        <v>Apr</v>
      </c>
      <c r="L38" s="41" t="str">
        <f ca="1"/>
        <v>May</v>
      </c>
      <c r="M38" s="47"/>
      <c r="N38" s="42"/>
      <c r="P38" s="41" t="str" cm="1">
        <f t="array" aca="1" ref="P38:S38" ca="1">OFFSET(B38:G38,0,MATCH(P37,B38:G38,0)-1,1,MATCH(Q37,B38:G38,0)-MATCH(P37,B38:G38,0)+1)</f>
        <v>Mar</v>
      </c>
      <c r="Q38" s="41" t="str">
        <f ca="1"/>
        <v>Apr</v>
      </c>
      <c r="R38" s="41" t="str">
        <f ca="1"/>
        <v>May</v>
      </c>
      <c r="S38" s="41" t="str">
        <f ca="1"/>
        <v>Jun</v>
      </c>
      <c r="T38" s="47"/>
      <c r="U38" s="42"/>
    </row>
    <row r="39" spans="1:21" x14ac:dyDescent="0.2">
      <c r="A39" s="30" t="s">
        <v>183</v>
      </c>
      <c r="B39">
        <v>3</v>
      </c>
      <c r="C39">
        <v>2</v>
      </c>
      <c r="D39">
        <v>7</v>
      </c>
      <c r="E39">
        <v>8</v>
      </c>
      <c r="F39">
        <v>6</v>
      </c>
      <c r="G39" s="31">
        <v>8</v>
      </c>
      <c r="I39" s="41" cm="1">
        <f t="array" aca="1" ref="I39:L41" ca="1">INDIRECT(ADDRESS(38+K37,MATCH(I37,A38:G38,0))):INDIRECT(ADDRESS(38+L37,MATCH(J37,A38:G38,0)))</f>
        <v>2</v>
      </c>
      <c r="J39" s="41">
        <f ca="1"/>
        <v>7</v>
      </c>
      <c r="K39" s="41">
        <f ca="1"/>
        <v>8</v>
      </c>
      <c r="L39" s="41">
        <f ca="1"/>
        <v>6</v>
      </c>
      <c r="M39" s="47"/>
      <c r="N39" s="42"/>
      <c r="P39" s="41" cm="1">
        <f t="array" aca="1" ref="P39:S41" ca="1">OFFSET(B39:G42,R37-1,MATCH(P37,B38:G38,0)-1,S37-R37+1,MATCH(Q37,B38:G38,0)-MATCH(P37,B38:G38,0)+1)</f>
        <v>9</v>
      </c>
      <c r="Q39" s="41">
        <f ca="1"/>
        <v>4</v>
      </c>
      <c r="R39" s="41">
        <f ca="1"/>
        <v>5</v>
      </c>
      <c r="S39" s="41">
        <f ca="1"/>
        <v>9</v>
      </c>
      <c r="T39" s="47"/>
      <c r="U39" s="42"/>
    </row>
    <row r="40" spans="1:21" x14ac:dyDescent="0.2">
      <c r="A40" s="30" t="s">
        <v>184</v>
      </c>
      <c r="B40">
        <v>2</v>
      </c>
      <c r="C40">
        <v>3</v>
      </c>
      <c r="D40">
        <v>9</v>
      </c>
      <c r="E40">
        <v>4</v>
      </c>
      <c r="F40">
        <v>5</v>
      </c>
      <c r="G40" s="31">
        <v>9</v>
      </c>
      <c r="I40" s="43">
        <f ca="1"/>
        <v>3</v>
      </c>
      <c r="J40" s="43">
        <f ca="1"/>
        <v>9</v>
      </c>
      <c r="K40" s="43">
        <f ca="1"/>
        <v>4</v>
      </c>
      <c r="L40" s="43">
        <f ca="1"/>
        <v>5</v>
      </c>
      <c r="M40" s="48"/>
      <c r="N40" s="44"/>
      <c r="P40" s="43">
        <f ca="1"/>
        <v>0</v>
      </c>
      <c r="Q40" s="43">
        <f ca="1"/>
        <v>23</v>
      </c>
      <c r="R40" s="43">
        <f ca="1"/>
        <v>10</v>
      </c>
      <c r="S40" s="43">
        <f ca="1"/>
        <v>7</v>
      </c>
      <c r="T40" s="48"/>
      <c r="U40" s="44"/>
    </row>
    <row r="41" spans="1:21" x14ac:dyDescent="0.2">
      <c r="A41" s="30" t="s">
        <v>185</v>
      </c>
      <c r="B41">
        <v>1</v>
      </c>
      <c r="C41">
        <v>7</v>
      </c>
      <c r="D41">
        <v>0</v>
      </c>
      <c r="E41">
        <v>23</v>
      </c>
      <c r="F41">
        <v>10</v>
      </c>
      <c r="G41" s="31">
        <v>7</v>
      </c>
      <c r="I41" s="43">
        <f ca="1"/>
        <v>7</v>
      </c>
      <c r="J41" s="43">
        <f ca="1"/>
        <v>0</v>
      </c>
      <c r="K41" s="43">
        <f ca="1"/>
        <v>23</v>
      </c>
      <c r="L41" s="43">
        <f ca="1"/>
        <v>10</v>
      </c>
      <c r="M41" s="48"/>
      <c r="N41" s="44"/>
      <c r="P41" s="43">
        <f ca="1"/>
        <v>2</v>
      </c>
      <c r="Q41" s="43">
        <f ca="1"/>
        <v>1</v>
      </c>
      <c r="R41" s="43">
        <f ca="1"/>
        <v>2</v>
      </c>
      <c r="S41" s="43">
        <f ca="1"/>
        <v>4</v>
      </c>
      <c r="T41" s="48"/>
      <c r="U41" s="44"/>
    </row>
    <row r="42" spans="1:21" x14ac:dyDescent="0.2">
      <c r="A42" s="32" t="s">
        <v>186</v>
      </c>
      <c r="B42" s="26">
        <v>4</v>
      </c>
      <c r="C42" s="26">
        <v>6</v>
      </c>
      <c r="D42" s="26">
        <v>2</v>
      </c>
      <c r="E42" s="26">
        <v>1</v>
      </c>
      <c r="F42" s="26">
        <v>2</v>
      </c>
      <c r="G42" s="33">
        <v>4</v>
      </c>
      <c r="I42" s="45"/>
      <c r="J42" s="45"/>
      <c r="K42" s="45"/>
      <c r="L42" s="45"/>
      <c r="M42" s="49"/>
      <c r="N42" s="46"/>
      <c r="P42" s="45"/>
      <c r="Q42" s="45"/>
      <c r="R42" s="45"/>
      <c r="S42" s="45"/>
      <c r="T42" s="49"/>
      <c r="U42" s="46"/>
    </row>
    <row r="44" spans="1:21" x14ac:dyDescent="0.2">
      <c r="D44" t="s">
        <v>187</v>
      </c>
      <c r="F44" t="str">
        <f ca="1">_xlfn.FORMULATEXT(I38)</f>
        <v>=INDIRECT(ADDRESS(38,MATCH(I37,A38:G38,0))):INDIRECT(ADDRESS(38,MATCH(J37,A38:G38,0)))</v>
      </c>
      <c r="P44" t="str">
        <f ca="1">_xlfn.FORMULATEXT(P38)</f>
        <v>=OFFSET(B38:G38,0,MATCH(P37,B38:G38,0)-1,1,MATCH(Q37,B38:G38,0)-MATCH(P37,B38:G38,0)+1)</v>
      </c>
    </row>
    <row r="45" spans="1:21" x14ac:dyDescent="0.2">
      <c r="D45" t="s">
        <v>188</v>
      </c>
      <c r="F45" t="str">
        <f ca="1">_xlfn.FORMULATEXT(I39)</f>
        <v>=INDIRECT(ADDRESS(38+K37,MATCH(I37,A38:G38,0))):INDIRECT(ADDRESS(38+L37,MATCH(J37,A38:G38,0)))</v>
      </c>
      <c r="P45" t="str">
        <f ca="1">_xlfn.FORMULATEXT(P39)</f>
        <v>=OFFSET(B39:G42,R37-1,MATCH(P37,B38:G38,0)-1,S37-R37+1,MATCH(Q37,B38:G38,0)-MATCH(P37,B38:G38,0)+1)</v>
      </c>
    </row>
    <row r="46" spans="1:21" x14ac:dyDescent="0.2">
      <c r="F46" s="21"/>
    </row>
    <row r="47" spans="1:21" x14ac:dyDescent="0.2">
      <c r="F47" s="21"/>
      <c r="P47" s="21" t="s">
        <v>189</v>
      </c>
    </row>
    <row r="48" spans="1:21" x14ac:dyDescent="0.2">
      <c r="B48" s="54" t="s">
        <v>190</v>
      </c>
      <c r="C48" s="28"/>
      <c r="D48" s="28"/>
      <c r="E48" s="28"/>
      <c r="F48" s="53"/>
      <c r="G48" s="28"/>
      <c r="H48" s="28"/>
      <c r="I48" s="28"/>
      <c r="J48" s="28"/>
      <c r="K48" s="28"/>
      <c r="L48" s="28"/>
      <c r="M48" s="28"/>
      <c r="N48" s="28"/>
      <c r="O48" s="28"/>
      <c r="P48" s="29"/>
    </row>
    <row r="49" spans="2:16" x14ac:dyDescent="0.2">
      <c r="B49" s="30" t="s">
        <v>191</v>
      </c>
      <c r="D49" t="s">
        <v>192</v>
      </c>
      <c r="H49" t="s">
        <v>193</v>
      </c>
      <c r="P49" s="31"/>
    </row>
    <row r="50" spans="2:16" x14ac:dyDescent="0.2">
      <c r="B50" s="30"/>
      <c r="D50" t="s">
        <v>194</v>
      </c>
      <c r="H50" t="s">
        <v>195</v>
      </c>
      <c r="P50" s="31"/>
    </row>
    <row r="51" spans="2:16" x14ac:dyDescent="0.2">
      <c r="B51" s="30"/>
      <c r="D51" t="s">
        <v>196</v>
      </c>
      <c r="H51" t="s">
        <v>197</v>
      </c>
      <c r="P51" s="31"/>
    </row>
    <row r="52" spans="2:16" x14ac:dyDescent="0.2">
      <c r="B52" s="30"/>
      <c r="P52" s="31"/>
    </row>
    <row r="53" spans="2:16" x14ac:dyDescent="0.2">
      <c r="B53" s="30"/>
      <c r="H53" t="s">
        <v>198</v>
      </c>
      <c r="P53" s="31"/>
    </row>
    <row r="54" spans="2:16" x14ac:dyDescent="0.2">
      <c r="B54" s="30"/>
      <c r="H54" t="s">
        <v>199</v>
      </c>
      <c r="P54" s="31"/>
    </row>
    <row r="55" spans="2:16" x14ac:dyDescent="0.2">
      <c r="B55" s="30"/>
      <c r="P55" s="31"/>
    </row>
    <row r="56" spans="2:16" x14ac:dyDescent="0.2">
      <c r="B56" s="30" t="s">
        <v>200</v>
      </c>
      <c r="D56" t="s">
        <v>192</v>
      </c>
      <c r="H56" t="s">
        <v>201</v>
      </c>
      <c r="P56" s="31"/>
    </row>
    <row r="57" spans="2:16" x14ac:dyDescent="0.2">
      <c r="B57" s="30"/>
      <c r="D57" t="s">
        <v>202</v>
      </c>
      <c r="H57" t="s">
        <v>203</v>
      </c>
      <c r="P57" s="31"/>
    </row>
    <row r="58" spans="2:16" x14ac:dyDescent="0.2">
      <c r="B58" s="30"/>
      <c r="D58" t="s">
        <v>196</v>
      </c>
      <c r="H58" t="s">
        <v>204</v>
      </c>
      <c r="P58" s="31"/>
    </row>
    <row r="59" spans="2:16" x14ac:dyDescent="0.2">
      <c r="B59" s="30"/>
      <c r="P59" s="31"/>
    </row>
    <row r="60" spans="2:16" x14ac:dyDescent="0.2">
      <c r="B60" s="32"/>
      <c r="C60" s="26"/>
      <c r="D60" s="26"/>
      <c r="E60" s="26"/>
      <c r="F60" s="26"/>
      <c r="G60" s="26"/>
      <c r="H60" s="26" t="s">
        <v>205</v>
      </c>
      <c r="I60" s="26"/>
      <c r="J60" s="26"/>
      <c r="K60" s="26"/>
      <c r="L60" s="26"/>
      <c r="M60" s="26"/>
      <c r="N60" s="26"/>
      <c r="O60" s="26"/>
      <c r="P60" s="33"/>
    </row>
    <row r="62" spans="2:16" x14ac:dyDescent="0.2">
      <c r="B62" s="54" t="s">
        <v>206</v>
      </c>
      <c r="C62" s="28"/>
      <c r="D62" s="28"/>
      <c r="E62" s="28"/>
      <c r="F62" s="28"/>
      <c r="G62" s="28"/>
      <c r="H62" s="28"/>
      <c r="I62" s="28"/>
      <c r="J62" s="28"/>
      <c r="K62" s="28"/>
      <c r="L62" s="28"/>
      <c r="M62" s="28"/>
      <c r="N62" s="28"/>
      <c r="O62" s="28"/>
      <c r="P62" s="29"/>
    </row>
    <row r="63" spans="2:16" x14ac:dyDescent="0.2">
      <c r="B63" s="30"/>
      <c r="P63" s="31"/>
    </row>
    <row r="64" spans="2:16" x14ac:dyDescent="0.2">
      <c r="B64" s="27">
        <v>1</v>
      </c>
      <c r="C64" s="28">
        <v>4</v>
      </c>
      <c r="D64" s="29">
        <v>7</v>
      </c>
      <c r="F64" t="s">
        <v>207</v>
      </c>
      <c r="G64" t="s">
        <v>215</v>
      </c>
      <c r="I64" s="2" t="e" cm="1">
        <f t="array" aca="1" ref="I64:I65" ca="1">INDIRECT(G64:G65)</f>
        <v>#VALUE!</v>
      </c>
      <c r="J64" t="str">
        <f ca="1">_xlfn.FORMULATEXT(I64)</f>
        <v>=INDIRECT(G64:G65)</v>
      </c>
      <c r="P64" s="31"/>
    </row>
    <row r="65" spans="2:16" x14ac:dyDescent="0.2">
      <c r="B65" s="30">
        <v>2</v>
      </c>
      <c r="C65">
        <v>5</v>
      </c>
      <c r="D65" s="31">
        <v>8</v>
      </c>
      <c r="F65" t="s">
        <v>208</v>
      </c>
      <c r="G65" t="s">
        <v>216</v>
      </c>
      <c r="I65" s="2" t="e">
        <f ca="1"/>
        <v>#VALUE!</v>
      </c>
      <c r="P65" s="31"/>
    </row>
    <row r="66" spans="2:16" x14ac:dyDescent="0.2">
      <c r="B66" s="32">
        <v>3</v>
      </c>
      <c r="C66" s="26">
        <v>6</v>
      </c>
      <c r="D66" s="33">
        <v>9</v>
      </c>
      <c r="P66" s="31"/>
    </row>
    <row r="67" spans="2:16" x14ac:dyDescent="0.2">
      <c r="B67" s="30"/>
      <c r="I67" s="2" cm="1">
        <f t="array" aca="1" ref="I67:K69" ca="1">INDIRECT(G64):INDIRECT(G65)</f>
        <v>1</v>
      </c>
      <c r="J67" s="2">
        <f ca="1"/>
        <v>4</v>
      </c>
      <c r="K67" s="2">
        <f ca="1"/>
        <v>7</v>
      </c>
      <c r="L67" t="str">
        <f ca="1">_xlfn.FORMULATEXT(I67)</f>
        <v>=INDIRECT(G64):INDIRECT(G65)</v>
      </c>
      <c r="P67" s="31"/>
    </row>
    <row r="68" spans="2:16" x14ac:dyDescent="0.2">
      <c r="B68" s="30"/>
      <c r="I68" s="2">
        <f ca="1"/>
        <v>2</v>
      </c>
      <c r="J68" s="2">
        <f ca="1"/>
        <v>5</v>
      </c>
      <c r="K68" s="2">
        <f ca="1"/>
        <v>8</v>
      </c>
      <c r="P68" s="31"/>
    </row>
    <row r="69" spans="2:16" x14ac:dyDescent="0.2">
      <c r="B69" s="30"/>
      <c r="I69" s="2">
        <f ca="1"/>
        <v>3</v>
      </c>
      <c r="J69" s="2">
        <f ca="1"/>
        <v>6</v>
      </c>
      <c r="K69" s="2">
        <f ca="1"/>
        <v>9</v>
      </c>
      <c r="P69" s="31"/>
    </row>
    <row r="70" spans="2:16" x14ac:dyDescent="0.2">
      <c r="B70" s="32"/>
      <c r="C70" s="26"/>
      <c r="D70" s="26"/>
      <c r="E70" s="26"/>
      <c r="F70" s="26"/>
      <c r="G70" s="26"/>
      <c r="H70" s="26"/>
      <c r="I70" s="26"/>
      <c r="J70" s="26"/>
      <c r="K70" s="26"/>
      <c r="L70" s="26"/>
      <c r="M70" s="26"/>
      <c r="N70" s="26"/>
      <c r="O70" s="26"/>
      <c r="P70" s="3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Pokemon data</vt:lpstr>
      <vt:lpstr>FIFA WWC</vt:lpstr>
      <vt:lpstr>M6.1 - Assumed Knowledge</vt:lpstr>
      <vt:lpstr>M6.2 - Pivot table</vt:lpstr>
      <vt:lpstr>M6.2 - Pivot chart</vt:lpstr>
      <vt:lpstr>M6.3 - Dynamic arrays</vt:lpstr>
      <vt:lpstr>M6.4 - Dynamic references</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monthly_profit</vt:lpstr>
      <vt:lpstr>months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weekly_profit</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2024-08-11T06:53:41Z</dcterms:modified>
  <cp:category/>
  <cp:contentStatus/>
</cp:coreProperties>
</file>